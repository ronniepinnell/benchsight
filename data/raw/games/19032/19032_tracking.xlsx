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niepinnell/Documents/Documents - Ronnie’s MacBook Pro - 1/Programming_HD/Hockey/Beer League Beauties/beer-league-beauties/data/tracking/19032/"/>
    </mc:Choice>
  </mc:AlternateContent>
  <xr:revisionPtr revIDLastSave="0" documentId="8_{F708955F-68CC-BE49-BACC-9B9C4D853F48}" xr6:coauthVersionLast="47" xr6:coauthVersionMax="47" xr10:uidLastSave="{00000000-0000-0000-0000-000000000000}"/>
  <bookViews>
    <workbookView xWindow="72960" yWindow="620" windowWidth="38400" windowHeight="20980" activeTab="4" xr2:uid="{EF01C613-D165-2D4B-B5E8-CA54AD994DA8}"/>
  </bookViews>
  <sheets>
    <sheet name="examples" sheetId="9" r:id="rId1"/>
    <sheet name="Sheet1" sheetId="10" r:id="rId2"/>
    <sheet name="Rules" sheetId="5" r:id="rId3"/>
    <sheet name="Lists" sheetId="4" r:id="rId4"/>
    <sheet name="events" sheetId="1" r:id="rId5"/>
    <sheet name="shifts" sheetId="8" r:id="rId6"/>
    <sheet name="game_rosters" sheetId="11" r:id="rId7"/>
  </sheets>
  <definedNames>
    <definedName name="_xlnm._FilterDatabase" localSheetId="4" hidden="1">events!$A$1:$BU$1</definedName>
    <definedName name="DEfensive">Lists!$BL:$BL</definedName>
    <definedName name="EventType">Lists!$A$2:$A$16</definedName>
    <definedName name="Faceoff">Lists!$G$2:$G$1048576</definedName>
    <definedName name="Goal">Lists!$J$2:$J$1048576</definedName>
    <definedName name="Goal_PenaltyShot">Lists!$BA$2:$BA$1048576</definedName>
    <definedName name="Goal_Scored">Lists!$AY$2:$AY$1048576</definedName>
    <definedName name="Goal_Shootout">Lists!$AZ$2:$AZ$1048576</definedName>
    <definedName name="LoosePuck">Lists!$P$2:$P$1048576</definedName>
    <definedName name="Offensive">Lists!$BK:$BK</definedName>
    <definedName name="Pass">Lists!$I$2:$I$1048576</definedName>
    <definedName name="Pass_Completed">Lists!$R$2:$R$1048576</definedName>
    <definedName name="Pass_Deflected">Lists!$T$2:$T$1048576</definedName>
    <definedName name="Pass_Intercepted">Lists!$U$2:$U$1048576</definedName>
    <definedName name="Pass_Missed">Lists!$S$2:$S$1048576</definedName>
    <definedName name="Penalty">Lists!$M$2:$M$1048576</definedName>
    <definedName name="Penalty_Major">Lists!$AA$2:$AA$1048576</definedName>
    <definedName name="Penalty_Minor">Lists!$AB$2:$AB$1048576</definedName>
    <definedName name="Penalty_Offsetting">Lists!$AC$2:$AC$1048576</definedName>
    <definedName name="PenaltyShot_Missed">Lists!$AK$2:$AK$1048576</definedName>
    <definedName name="PenaltyShot_OnNet">Lists!$AJ$2:$AJ$1048576</definedName>
    <definedName name="PenaltyShot_Saved">Lists!$AL$2:$AL$1048576</definedName>
    <definedName name="PenaltyShot_Shootout">Lists!$N$2:$N$1048576</definedName>
    <definedName name="Play">Lists!$F:$F</definedName>
    <definedName name="Play_Defensive">Lists!$BE:$BE</definedName>
    <definedName name="Play_Offensive">Lists!$BD:$BD</definedName>
    <definedName name="Possession">Lists!$BF:$BF</definedName>
    <definedName name="Rebound">Lists!$BC$2:$BC$1048576</definedName>
    <definedName name="Save">Lists!$Q$2:$Q$1048576</definedName>
    <definedName name="Save_Freeze">Lists!$AN$2:$AN$1048576</definedName>
    <definedName name="Save_Played">Lists!$BB:$BB</definedName>
    <definedName name="Save_Rebound">Lists!$AM$2:$AM$1048576</definedName>
    <definedName name="Shootout_Missed">Lists!$AH$2:$AH$1048576</definedName>
    <definedName name="Shootout_OnNet">Lists!$AG$2:$AG$1048576</definedName>
    <definedName name="Shootout_Saved">Lists!$AI$2:$AI$1048576</definedName>
    <definedName name="Shot">Lists!$H$2:$H$1048576</definedName>
    <definedName name="Shot_Blocked">Lists!$AQ$2:$AQ$1048576</definedName>
    <definedName name="Shot_BlockedSameTeam">Lists!$AR$2:$AR$1048576</definedName>
    <definedName name="Shot_Deflected">Lists!$AS$2:$AS$1048576</definedName>
    <definedName name="Shot_DeflectedGoal">Lists!$AX$2:$AX$1048576</definedName>
    <definedName name="Shot_DeflectedOnNetSaved">Lists!$AT$2:$AT$1048576</definedName>
    <definedName name="Shot_Missed">Lists!$AP$2:$AP$1048576</definedName>
    <definedName name="Shot_MissedPost">Lists!$BH:$BH</definedName>
    <definedName name="Shot_OnNetGoal">Lists!$AV$2:$AV$1048576</definedName>
    <definedName name="Shot_OnNetSaved">Lists!$AO$2:$AO$1048576</definedName>
    <definedName name="Shot_TippedGoal">Lists!$AW$2:$AW$1048576</definedName>
    <definedName name="Shot_TippedOnNetSaved">Lists!$AU$2:$AU$1048576</definedName>
    <definedName name="Stoppage">Lists!$O$2:$O$1048576</definedName>
    <definedName name="Stoppage_Other">Lists!$AF$2:$AF$1048576</definedName>
    <definedName name="Stoppage_Period">Lists!$AE$2:$AE$1048576</definedName>
    <definedName name="Stoppage_Play">Lists!$AD$2:$AD$1048576</definedName>
    <definedName name="Turnover">Lists!$K$2:$K$1048576</definedName>
    <definedName name="Turnover_Giveaway">Lists!$V$2:$V$1048576</definedName>
    <definedName name="Turnover_Takeaway">Lists!$W$2:$W$1048576</definedName>
    <definedName name="Zone_Entry">Lists!$X$2:$X$1048576</definedName>
    <definedName name="Zone_Entry_Exit">Lists!$L$2:$L$1048576</definedName>
    <definedName name="Zone_EntryFailed">Lists!$BM:$BM</definedName>
    <definedName name="Zone_Exit">Lists!$Y$2:$Y$1048576</definedName>
    <definedName name="Zone_ExitFailed">Lists!$BN:$BN</definedName>
    <definedName name="Zone_Keepin">Lists!$Z$2:$Z$1048576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61" i="1" l="1" a="1"/>
  <c r="X861" i="1" s="1"/>
  <c r="X862" i="1" a="1"/>
  <c r="X862" i="1"/>
  <c r="X863" i="1" a="1"/>
  <c r="X863" i="1"/>
  <c r="X864" i="1" a="1"/>
  <c r="X864" i="1"/>
  <c r="X865" i="1" a="1"/>
  <c r="X865" i="1" s="1"/>
  <c r="X866" i="1" a="1"/>
  <c r="X866" i="1" s="1"/>
  <c r="X867" i="1" a="1"/>
  <c r="X867" i="1" s="1"/>
  <c r="X868" i="1" a="1"/>
  <c r="X868" i="1" s="1"/>
  <c r="X869" i="1" a="1"/>
  <c r="X869" i="1" s="1"/>
  <c r="X870" i="1" a="1"/>
  <c r="X870" i="1"/>
  <c r="X871" i="1" a="1"/>
  <c r="X871" i="1"/>
  <c r="X872" i="1" a="1"/>
  <c r="X872" i="1"/>
  <c r="X873" i="1" a="1"/>
  <c r="X873" i="1" s="1"/>
  <c r="X874" i="1" a="1"/>
  <c r="X874" i="1" s="1"/>
  <c r="X875" i="1" a="1"/>
  <c r="X875" i="1"/>
  <c r="X876" i="1" a="1"/>
  <c r="X876" i="1" s="1"/>
  <c r="X877" i="1" a="1"/>
  <c r="X877" i="1" s="1"/>
  <c r="X878" i="1" a="1"/>
  <c r="X878" i="1"/>
  <c r="X879" i="1" a="1"/>
  <c r="X879" i="1" s="1"/>
  <c r="X880" i="1" a="1"/>
  <c r="X880" i="1"/>
  <c r="X881" i="1" a="1"/>
  <c r="X881" i="1" s="1"/>
  <c r="X882" i="1" a="1"/>
  <c r="X882" i="1"/>
  <c r="X883" i="1" a="1"/>
  <c r="X883" i="1" s="1"/>
  <c r="X884" i="1" a="1"/>
  <c r="X884" i="1" s="1"/>
  <c r="X885" i="1" a="1"/>
  <c r="X885" i="1" s="1"/>
  <c r="X886" i="1" a="1"/>
  <c r="X886" i="1"/>
  <c r="X887" i="1" a="1"/>
  <c r="X887" i="1" s="1"/>
  <c r="X888" i="1" a="1"/>
  <c r="X888" i="1" s="1"/>
  <c r="X889" i="1" a="1"/>
  <c r="X889" i="1" s="1"/>
  <c r="X890" i="1" a="1"/>
  <c r="X890" i="1" s="1"/>
  <c r="X891" i="1" a="1"/>
  <c r="X891" i="1"/>
  <c r="X892" i="1" a="1"/>
  <c r="X892" i="1" s="1"/>
  <c r="X893" i="1" a="1"/>
  <c r="X893" i="1" s="1"/>
  <c r="X894" i="1" a="1"/>
  <c r="X894" i="1"/>
  <c r="X895" i="1" a="1"/>
  <c r="X895" i="1"/>
  <c r="X896" i="1" a="1"/>
  <c r="X896" i="1" s="1"/>
  <c r="X897" i="1" a="1"/>
  <c r="X897" i="1" s="1"/>
  <c r="X898" i="1" a="1"/>
  <c r="X898" i="1" s="1"/>
  <c r="X899" i="1" a="1"/>
  <c r="X899" i="1" s="1"/>
  <c r="X900" i="1" a="1"/>
  <c r="X900" i="1" s="1"/>
  <c r="X901" i="1" a="1"/>
  <c r="X901" i="1" s="1"/>
  <c r="X902" i="1" a="1"/>
  <c r="X902" i="1"/>
  <c r="X903" i="1" a="1"/>
  <c r="X903" i="1" s="1"/>
  <c r="X904" i="1" a="1"/>
  <c r="X904" i="1"/>
  <c r="X905" i="1" a="1"/>
  <c r="X905" i="1" s="1"/>
  <c r="X906" i="1" a="1"/>
  <c r="X906" i="1" s="1"/>
  <c r="X907" i="1" a="1"/>
  <c r="X907" i="1" s="1"/>
  <c r="X908" i="1" a="1"/>
  <c r="X908" i="1" s="1"/>
  <c r="X909" i="1" a="1"/>
  <c r="X909" i="1" s="1"/>
  <c r="X910" i="1" a="1"/>
  <c r="X910" i="1"/>
  <c r="X911" i="1" a="1"/>
  <c r="X911" i="1"/>
  <c r="X912" i="1" a="1"/>
  <c r="X912" i="1" s="1"/>
  <c r="X913" i="1" a="1"/>
  <c r="X913" i="1" s="1"/>
  <c r="X914" i="1" a="1"/>
  <c r="X914" i="1"/>
  <c r="X915" i="1" a="1"/>
  <c r="X915" i="1" s="1"/>
  <c r="X916" i="1" a="1"/>
  <c r="X916" i="1" s="1"/>
  <c r="X917" i="1" a="1"/>
  <c r="X917" i="1" s="1"/>
  <c r="X918" i="1" a="1"/>
  <c r="X918" i="1"/>
  <c r="X919" i="1" a="1"/>
  <c r="X919" i="1"/>
  <c r="X920" i="1" a="1"/>
  <c r="X920" i="1"/>
  <c r="X921" i="1" a="1"/>
  <c r="X921" i="1"/>
  <c r="X922" i="1" a="1"/>
  <c r="X922" i="1" s="1"/>
  <c r="X923" i="1" a="1"/>
  <c r="X923" i="1"/>
  <c r="X924" i="1" a="1"/>
  <c r="X924" i="1" s="1"/>
  <c r="X925" i="1" a="1"/>
  <c r="X925" i="1" s="1"/>
  <c r="X926" i="1" a="1"/>
  <c r="X926" i="1"/>
  <c r="X927" i="1" a="1"/>
  <c r="X927" i="1" s="1"/>
  <c r="X928" i="1" a="1"/>
  <c r="X928" i="1"/>
  <c r="X929" i="1" a="1"/>
  <c r="X929" i="1" s="1"/>
  <c r="X930" i="1" a="1"/>
  <c r="X930" i="1"/>
  <c r="X931" i="1" a="1"/>
  <c r="X931" i="1"/>
  <c r="X932" i="1" a="1"/>
  <c r="X932" i="1" s="1"/>
  <c r="X933" i="1" a="1"/>
  <c r="X933" i="1" s="1"/>
  <c r="X934" i="1" a="1"/>
  <c r="X934" i="1"/>
  <c r="X935" i="1" a="1"/>
  <c r="X935" i="1" s="1"/>
  <c r="X936" i="1" a="1"/>
  <c r="X936" i="1" s="1"/>
  <c r="X937" i="1" a="1"/>
  <c r="X937" i="1" s="1"/>
  <c r="X938" i="1" a="1"/>
  <c r="X938" i="1" s="1"/>
  <c r="X939" i="1" a="1"/>
  <c r="X939" i="1" s="1"/>
  <c r="X940" i="1" a="1"/>
  <c r="X940" i="1" s="1"/>
  <c r="X941" i="1" a="1"/>
  <c r="X941" i="1" s="1"/>
  <c r="X942" i="1" a="1"/>
  <c r="X942" i="1"/>
  <c r="X943" i="1" a="1"/>
  <c r="X943" i="1" s="1"/>
  <c r="X944" i="1" a="1"/>
  <c r="X944" i="1" s="1"/>
  <c r="X945" i="1" a="1"/>
  <c r="X945" i="1" s="1"/>
  <c r="X946" i="1" a="1"/>
  <c r="X946" i="1" s="1"/>
  <c r="X947" i="1" a="1"/>
  <c r="X947" i="1"/>
  <c r="X948" i="1" a="1"/>
  <c r="X948" i="1" s="1"/>
  <c r="X949" i="1" a="1"/>
  <c r="X949" i="1" s="1"/>
  <c r="X950" i="1" a="1"/>
  <c r="X950" i="1"/>
  <c r="X951" i="1" a="1"/>
  <c r="X951" i="1"/>
  <c r="X952" i="1" a="1"/>
  <c r="X952" i="1"/>
  <c r="X953" i="1" a="1"/>
  <c r="X953" i="1" s="1"/>
  <c r="X954" i="1" a="1"/>
  <c r="X954" i="1" s="1"/>
  <c r="X955" i="1" a="1"/>
  <c r="X955" i="1"/>
  <c r="X956" i="1" a="1"/>
  <c r="X956" i="1" s="1"/>
  <c r="X957" i="1" a="1"/>
  <c r="X957" i="1" s="1"/>
  <c r="X958" i="1" a="1"/>
  <c r="X958" i="1"/>
  <c r="X959" i="1" a="1"/>
  <c r="X959" i="1" s="1"/>
  <c r="X960" i="1" a="1"/>
  <c r="X960" i="1" s="1"/>
  <c r="X961" i="1" a="1"/>
  <c r="X961" i="1"/>
  <c r="X962" i="1" a="1"/>
  <c r="X962" i="1" s="1"/>
  <c r="X963" i="1" a="1"/>
  <c r="X963" i="1" s="1"/>
  <c r="X964" i="1" a="1"/>
  <c r="X964" i="1" s="1"/>
  <c r="X965" i="1" a="1"/>
  <c r="X965" i="1" s="1"/>
  <c r="X966" i="1" a="1"/>
  <c r="X966" i="1"/>
  <c r="X967" i="1" a="1"/>
  <c r="X967" i="1" s="1"/>
  <c r="X968" i="1" a="1"/>
  <c r="X968" i="1"/>
  <c r="X969" i="1" a="1"/>
  <c r="X969" i="1" s="1"/>
  <c r="X970" i="1" a="1"/>
  <c r="X970" i="1" s="1"/>
  <c r="X971" i="1" a="1"/>
  <c r="X971" i="1" s="1"/>
  <c r="X972" i="1" a="1"/>
  <c r="X972" i="1" s="1"/>
  <c r="X973" i="1" a="1"/>
  <c r="X973" i="1" s="1"/>
  <c r="X974" i="1" a="1"/>
  <c r="X974" i="1"/>
  <c r="X975" i="1" a="1"/>
  <c r="X975" i="1"/>
  <c r="X976" i="1" a="1"/>
  <c r="X976" i="1"/>
  <c r="X977" i="1" a="1"/>
  <c r="X977" i="1"/>
  <c r="X978" i="1" a="1"/>
  <c r="X978" i="1" s="1"/>
  <c r="X979" i="1" a="1"/>
  <c r="X979" i="1"/>
  <c r="X980" i="1" a="1"/>
  <c r="X980" i="1" s="1"/>
  <c r="X981" i="1" a="1"/>
  <c r="X981" i="1" s="1"/>
  <c r="X982" i="1" a="1"/>
  <c r="X982" i="1"/>
  <c r="X983" i="1" a="1"/>
  <c r="X983" i="1" s="1"/>
  <c r="X984" i="1" a="1"/>
  <c r="X984" i="1"/>
  <c r="X985" i="1" a="1"/>
  <c r="X985" i="1"/>
  <c r="X986" i="1" a="1"/>
  <c r="X986" i="1"/>
  <c r="X987" i="1" a="1"/>
  <c r="X987" i="1" s="1"/>
  <c r="X988" i="1" a="1"/>
  <c r="X988" i="1" s="1"/>
  <c r="X989" i="1" a="1"/>
  <c r="X989" i="1" s="1"/>
  <c r="X990" i="1" a="1"/>
  <c r="X990" i="1"/>
  <c r="X991" i="1" a="1"/>
  <c r="X991" i="1" s="1"/>
  <c r="X992" i="1" a="1"/>
  <c r="X992" i="1"/>
  <c r="X993" i="1" a="1"/>
  <c r="X993" i="1" s="1"/>
  <c r="X994" i="1" a="1"/>
  <c r="X994" i="1"/>
  <c r="X995" i="1" a="1"/>
  <c r="X995" i="1" s="1"/>
  <c r="X996" i="1" a="1"/>
  <c r="X996" i="1" s="1"/>
  <c r="X997" i="1" a="1"/>
  <c r="X997" i="1" s="1"/>
  <c r="X998" i="1" a="1"/>
  <c r="X998" i="1"/>
  <c r="X999" i="1" a="1"/>
  <c r="X999" i="1" s="1"/>
  <c r="X1000" i="1" a="1"/>
  <c r="X1000" i="1" s="1"/>
  <c r="X1001" i="1" a="1"/>
  <c r="X1001" i="1"/>
  <c r="X1002" i="1" a="1"/>
  <c r="X1002" i="1"/>
  <c r="X1003" i="1" a="1"/>
  <c r="X1003" i="1" s="1"/>
  <c r="X1004" i="1" a="1"/>
  <c r="X1004" i="1" s="1"/>
  <c r="X1005" i="1" a="1"/>
  <c r="X1005" i="1" s="1"/>
  <c r="X1006" i="1" a="1"/>
  <c r="X1006" i="1"/>
  <c r="X1007" i="1" a="1"/>
  <c r="X1007" i="1"/>
  <c r="X1008" i="1" a="1"/>
  <c r="X1008" i="1" s="1"/>
  <c r="X1009" i="1" a="1"/>
  <c r="X1009" i="1" s="1"/>
  <c r="X1010" i="1" a="1"/>
  <c r="X1010" i="1" s="1"/>
  <c r="X1011" i="1" a="1"/>
  <c r="X1011" i="1"/>
  <c r="X1012" i="1" a="1"/>
  <c r="X1012" i="1" s="1"/>
  <c r="X1013" i="1" a="1"/>
  <c r="X1013" i="1" s="1"/>
  <c r="X1014" i="1" a="1"/>
  <c r="X1014" i="1"/>
  <c r="X1015" i="1" a="1"/>
  <c r="X1015" i="1"/>
  <c r="X1016" i="1" a="1"/>
  <c r="X1016" i="1" s="1"/>
  <c r="X1017" i="1" a="1"/>
  <c r="X1017" i="1" s="1"/>
  <c r="X1018" i="1" a="1"/>
  <c r="X1018" i="1" s="1"/>
  <c r="X1019" i="1" a="1"/>
  <c r="X1019" i="1" s="1"/>
  <c r="X1020" i="1" a="1"/>
  <c r="X1020" i="1" s="1"/>
  <c r="X1021" i="1" a="1"/>
  <c r="X1021" i="1" s="1"/>
  <c r="X1022" i="1" a="1"/>
  <c r="X1022" i="1"/>
  <c r="X1023" i="1" a="1"/>
  <c r="X1023" i="1" s="1"/>
  <c r="X1024" i="1" a="1"/>
  <c r="X1024" i="1" s="1"/>
  <c r="X1025" i="1" a="1"/>
  <c r="X1025" i="1"/>
  <c r="X1026" i="1" a="1"/>
  <c r="X1026" i="1" s="1"/>
  <c r="X1027" i="1" a="1"/>
  <c r="X1027" i="1" s="1"/>
  <c r="X1028" i="1" a="1"/>
  <c r="X1028" i="1" s="1"/>
  <c r="X1029" i="1" a="1"/>
  <c r="X1029" i="1" s="1"/>
  <c r="X1030" i="1" a="1"/>
  <c r="X1030" i="1"/>
  <c r="X1031" i="1" a="1"/>
  <c r="X1031" i="1" s="1"/>
  <c r="X1032" i="1" a="1"/>
  <c r="X1032" i="1"/>
  <c r="X1033" i="1" a="1"/>
  <c r="X1033" i="1"/>
  <c r="X1034" i="1" a="1"/>
  <c r="X1034" i="1" s="1"/>
  <c r="X1035" i="1" a="1"/>
  <c r="X1035" i="1" s="1"/>
  <c r="X1036" i="1" a="1"/>
  <c r="X1036" i="1" s="1"/>
  <c r="X1037" i="1" a="1"/>
  <c r="X1037" i="1" s="1"/>
  <c r="X1038" i="1" a="1"/>
  <c r="X1038" i="1"/>
  <c r="X1039" i="1" a="1"/>
  <c r="X1039" i="1" s="1"/>
  <c r="X1040" i="1" a="1"/>
  <c r="X1040" i="1"/>
  <c r="X1041" i="1" a="1"/>
  <c r="X1041" i="1" s="1"/>
  <c r="X1042" i="1" a="1"/>
  <c r="X1042" i="1"/>
  <c r="X1043" i="1" a="1"/>
  <c r="X1043" i="1" s="1"/>
  <c r="X1044" i="1" a="1"/>
  <c r="X1044" i="1" s="1"/>
  <c r="X1045" i="1" a="1"/>
  <c r="X1045" i="1" s="1"/>
  <c r="X1046" i="1" a="1"/>
  <c r="X1046" i="1"/>
  <c r="X1047" i="1" a="1"/>
  <c r="X1047" i="1"/>
  <c r="X1048" i="1" a="1"/>
  <c r="X1048" i="1" s="1"/>
  <c r="X1049" i="1" a="1"/>
  <c r="X1049" i="1"/>
  <c r="X1050" i="1" a="1"/>
  <c r="X1050" i="1" s="1"/>
  <c r="X1051" i="1" a="1"/>
  <c r="X1051" i="1"/>
  <c r="X1052" i="1" a="1"/>
  <c r="X1052" i="1" s="1"/>
  <c r="X1053" i="1" a="1"/>
  <c r="X1053" i="1" s="1"/>
  <c r="X1054" i="1" a="1"/>
  <c r="X1054" i="1"/>
  <c r="X1055" i="1" a="1"/>
  <c r="X1055" i="1" s="1"/>
  <c r="X1056" i="1" a="1"/>
  <c r="X1056" i="1" s="1"/>
  <c r="X1057" i="1" a="1"/>
  <c r="X1057" i="1" s="1"/>
  <c r="X1058" i="1" a="1"/>
  <c r="X1058" i="1"/>
  <c r="X1059" i="1" a="1"/>
  <c r="X1059" i="1" s="1"/>
  <c r="X1060" i="1" a="1"/>
  <c r="X1060" i="1" s="1"/>
  <c r="X1061" i="1" a="1"/>
  <c r="X1061" i="1" s="1"/>
  <c r="X1062" i="1" a="1"/>
  <c r="X1062" i="1"/>
  <c r="X1063" i="1" a="1"/>
  <c r="X1063" i="1" s="1"/>
  <c r="X1064" i="1" a="1"/>
  <c r="X1064" i="1" s="1"/>
  <c r="X1065" i="1" a="1"/>
  <c r="X1065" i="1"/>
  <c r="X1066" i="1" a="1"/>
  <c r="X1066" i="1" s="1"/>
  <c r="X1067" i="1" a="1"/>
  <c r="X1067" i="1"/>
  <c r="X1068" i="1" a="1"/>
  <c r="X1068" i="1" s="1"/>
  <c r="X1069" i="1" a="1"/>
  <c r="X1069" i="1" s="1"/>
  <c r="X1070" i="1" a="1"/>
  <c r="X1070" i="1"/>
  <c r="X1071" i="1" a="1"/>
  <c r="X1071" i="1"/>
  <c r="X1072" i="1" a="1"/>
  <c r="X1072" i="1" s="1"/>
  <c r="X1073" i="1" a="1"/>
  <c r="X1073" i="1" s="1"/>
  <c r="X1074" i="1" a="1"/>
  <c r="X1074" i="1" s="1"/>
  <c r="X1075" i="1" a="1"/>
  <c r="X1075" i="1"/>
  <c r="X1076" i="1" a="1"/>
  <c r="X1076" i="1" s="1"/>
  <c r="X1077" i="1" a="1"/>
  <c r="X1077" i="1" s="1"/>
  <c r="X1078" i="1" a="1"/>
  <c r="X1078" i="1"/>
  <c r="X1079" i="1" a="1"/>
  <c r="X1079" i="1"/>
  <c r="X1080" i="1" a="1"/>
  <c r="X1080" i="1" s="1"/>
  <c r="X1081" i="1" a="1"/>
  <c r="X1081" i="1" s="1"/>
  <c r="X1082" i="1" a="1"/>
  <c r="X1082" i="1" s="1"/>
  <c r="X1083" i="1" a="1"/>
  <c r="X1083" i="1"/>
  <c r="X1084" i="1" a="1"/>
  <c r="X1084" i="1" s="1"/>
  <c r="X1085" i="1" a="1"/>
  <c r="X1085" i="1" s="1"/>
  <c r="X1086" i="1" a="1"/>
  <c r="X1086" i="1"/>
  <c r="X1087" i="1" a="1"/>
  <c r="X1087" i="1" s="1"/>
  <c r="X1088" i="1" a="1"/>
  <c r="X1088" i="1" s="1"/>
  <c r="X1089" i="1" a="1"/>
  <c r="X1089" i="1"/>
  <c r="X1090" i="1" a="1"/>
  <c r="X1090" i="1" s="1"/>
  <c r="X1091" i="1" a="1"/>
  <c r="X1091" i="1" s="1"/>
  <c r="X1092" i="1" a="1"/>
  <c r="X1092" i="1" s="1"/>
  <c r="X1093" i="1" a="1"/>
  <c r="X1093" i="1" s="1"/>
  <c r="X1094" i="1" a="1"/>
  <c r="X1094" i="1"/>
  <c r="X1095" i="1" a="1"/>
  <c r="X1095" i="1" s="1"/>
  <c r="X1096" i="1" a="1"/>
  <c r="X1096" i="1"/>
  <c r="X1097" i="1" a="1"/>
  <c r="X1097" i="1" s="1"/>
  <c r="X1098" i="1" a="1"/>
  <c r="X1098" i="1" s="1"/>
  <c r="X1099" i="1" a="1"/>
  <c r="X1099" i="1" s="1"/>
  <c r="X1100" i="1" a="1"/>
  <c r="X1100" i="1" s="1"/>
  <c r="X1101" i="1" a="1"/>
  <c r="X1101" i="1" s="1"/>
  <c r="X1102" i="1" a="1"/>
  <c r="X1102" i="1"/>
  <c r="X1103" i="1" a="1"/>
  <c r="X1103" i="1" s="1"/>
  <c r="X1104" i="1" a="1"/>
  <c r="X1104" i="1"/>
  <c r="X1105" i="1" a="1"/>
  <c r="X1105" i="1"/>
  <c r="X1106" i="1" a="1"/>
  <c r="X1106" i="1"/>
  <c r="X1107" i="1" a="1"/>
  <c r="X1107" i="1"/>
  <c r="X1108" i="1" a="1"/>
  <c r="X1108" i="1" s="1"/>
  <c r="X1109" i="1" a="1"/>
  <c r="X1109" i="1" s="1"/>
  <c r="X1110" i="1" a="1"/>
  <c r="X1110" i="1"/>
  <c r="X1111" i="1" a="1"/>
  <c r="X1111" i="1" s="1"/>
  <c r="X1112" i="1" a="1"/>
  <c r="X1112" i="1" s="1"/>
  <c r="X1113" i="1" a="1"/>
  <c r="X1113" i="1"/>
  <c r="X1114" i="1" a="1"/>
  <c r="X1114" i="1"/>
  <c r="X1115" i="1" a="1"/>
  <c r="X1115" i="1"/>
  <c r="X1116" i="1" a="1"/>
  <c r="X1116" i="1" s="1"/>
  <c r="X1117" i="1" a="1"/>
  <c r="X1117" i="1" s="1"/>
  <c r="X1118" i="1" a="1"/>
  <c r="X1118" i="1"/>
  <c r="X1119" i="1" a="1"/>
  <c r="X1119" i="1" s="1"/>
  <c r="X1120" i="1" a="1"/>
  <c r="X1120" i="1" s="1"/>
  <c r="X1121" i="1" a="1"/>
  <c r="X1121" i="1"/>
  <c r="X1122" i="1" a="1"/>
  <c r="X1122" i="1" s="1"/>
  <c r="X1123" i="1" a="1"/>
  <c r="X1123" i="1" s="1"/>
  <c r="X1124" i="1" a="1"/>
  <c r="X1124" i="1" s="1"/>
  <c r="X1125" i="1" a="1"/>
  <c r="X1125" i="1" s="1"/>
  <c r="X1126" i="1" a="1"/>
  <c r="X1126" i="1"/>
  <c r="X1127" i="1" a="1"/>
  <c r="X1127" i="1" s="1"/>
  <c r="X1128" i="1" a="1"/>
  <c r="X1128" i="1" s="1"/>
  <c r="X1129" i="1" a="1"/>
  <c r="X1129" i="1"/>
  <c r="X1130" i="1" a="1"/>
  <c r="X1130" i="1" s="1"/>
  <c r="X1131" i="1" a="1"/>
  <c r="X1131" i="1"/>
  <c r="X1132" i="1" a="1"/>
  <c r="X1132" i="1" s="1"/>
  <c r="X1133" i="1" a="1"/>
  <c r="X1133" i="1" s="1"/>
  <c r="X1134" i="1" a="1"/>
  <c r="X1134" i="1"/>
  <c r="X1135" i="1" a="1"/>
  <c r="X1135" i="1"/>
  <c r="X1136" i="1" a="1"/>
  <c r="X1136" i="1" s="1"/>
  <c r="X1137" i="1" a="1"/>
  <c r="X1137" i="1" s="1"/>
  <c r="X1138" i="1" a="1"/>
  <c r="X1138" i="1"/>
  <c r="X1139" i="1" a="1"/>
  <c r="X1139" i="1"/>
  <c r="X1140" i="1" a="1"/>
  <c r="X1140" i="1" s="1"/>
  <c r="X1141" i="1" a="1"/>
  <c r="X1141" i="1" s="1"/>
  <c r="X1142" i="1" a="1"/>
  <c r="X1142" i="1"/>
  <c r="X1143" i="1" a="1"/>
  <c r="X1143" i="1" s="1"/>
  <c r="X1144" i="1" a="1"/>
  <c r="X1144" i="1" s="1"/>
  <c r="X1145" i="1" a="1"/>
  <c r="X1145" i="1" s="1"/>
  <c r="X1146" i="1" a="1"/>
  <c r="X1146" i="1" s="1"/>
  <c r="X1147" i="1" a="1"/>
  <c r="X1147" i="1" s="1"/>
  <c r="X1148" i="1" a="1"/>
  <c r="X1148" i="1" s="1"/>
  <c r="X1149" i="1" a="1"/>
  <c r="X1149" i="1" s="1"/>
  <c r="X1150" i="1" a="1"/>
  <c r="X1150" i="1"/>
  <c r="X1151" i="1" a="1"/>
  <c r="X1151" i="1" s="1"/>
  <c r="X1152" i="1" a="1"/>
  <c r="X1152" i="1"/>
  <c r="X1153" i="1" a="1"/>
  <c r="X1153" i="1"/>
  <c r="X1154" i="1" a="1"/>
  <c r="X1154" i="1" s="1"/>
  <c r="X1155" i="1" a="1"/>
  <c r="X1155" i="1" s="1"/>
  <c r="X1156" i="1" a="1"/>
  <c r="X1156" i="1" s="1"/>
  <c r="X1157" i="1" a="1"/>
  <c r="X1157" i="1" s="1"/>
  <c r="X1158" i="1" a="1"/>
  <c r="X1158" i="1"/>
  <c r="X1159" i="1" a="1"/>
  <c r="X1159" i="1"/>
  <c r="X1160" i="1" a="1"/>
  <c r="X1160" i="1"/>
  <c r="X1161" i="1" a="1"/>
  <c r="X1161" i="1" s="1"/>
  <c r="X1162" i="1" a="1"/>
  <c r="X1162" i="1" s="1"/>
  <c r="X1163" i="1" a="1"/>
  <c r="X1163" i="1" s="1"/>
  <c r="X1164" i="1" a="1"/>
  <c r="X1164" i="1" s="1"/>
  <c r="X1165" i="1" a="1"/>
  <c r="X1165" i="1" s="1"/>
  <c r="X1166" i="1" a="1"/>
  <c r="X1166" i="1"/>
  <c r="X1167" i="1" a="1"/>
  <c r="X1167" i="1"/>
  <c r="X1168" i="1" a="1"/>
  <c r="X1168" i="1"/>
  <c r="X1169" i="1" a="1"/>
  <c r="X1169" i="1"/>
  <c r="X1170" i="1" a="1"/>
  <c r="X1170" i="1"/>
  <c r="X1171" i="1" a="1"/>
  <c r="X1171" i="1"/>
  <c r="X1172" i="1" a="1"/>
  <c r="X1172" i="1" s="1"/>
  <c r="X1173" i="1" a="1"/>
  <c r="X1173" i="1" s="1"/>
  <c r="X1174" i="1" a="1"/>
  <c r="X1174" i="1" s="1"/>
  <c r="X1175" i="1" a="1"/>
  <c r="X1175" i="1" s="1"/>
  <c r="X1176" i="1" a="1"/>
  <c r="X1176" i="1"/>
  <c r="X1177" i="1" a="1"/>
  <c r="X1177" i="1" s="1"/>
  <c r="X1178" i="1" a="1"/>
  <c r="X1178" i="1" s="1"/>
  <c r="X1179" i="1" a="1"/>
  <c r="X1179" i="1"/>
  <c r="X1180" i="1" a="1"/>
  <c r="X1180" i="1" s="1"/>
  <c r="X1181" i="1" a="1"/>
  <c r="X1181" i="1" s="1"/>
  <c r="X1182" i="1" a="1"/>
  <c r="X1182" i="1" s="1"/>
  <c r="X1183" i="1" a="1"/>
  <c r="X1183" i="1" s="1"/>
  <c r="X1184" i="1" a="1"/>
  <c r="X1184" i="1"/>
  <c r="X1185" i="1" a="1"/>
  <c r="X1185" i="1" s="1"/>
  <c r="X1186" i="1" a="1"/>
  <c r="X1186" i="1"/>
  <c r="X1187" i="1" a="1"/>
  <c r="X1187" i="1" s="1"/>
  <c r="X1188" i="1" a="1"/>
  <c r="X1188" i="1" s="1"/>
  <c r="X1189" i="1" a="1"/>
  <c r="X1189" i="1" s="1"/>
  <c r="X1190" i="1" a="1"/>
  <c r="X1190" i="1" s="1"/>
  <c r="X1191" i="1" a="1"/>
  <c r="X1191" i="1" s="1"/>
  <c r="X1192" i="1" a="1"/>
  <c r="X1192" i="1" s="1"/>
  <c r="X1193" i="1" a="1"/>
  <c r="X1193" i="1"/>
  <c r="X1194" i="1" a="1"/>
  <c r="X1194" i="1" s="1"/>
  <c r="X1195" i="1" a="1"/>
  <c r="X1195" i="1" s="1"/>
  <c r="X1196" i="1" a="1"/>
  <c r="X1196" i="1" s="1"/>
  <c r="X1197" i="1" a="1"/>
  <c r="X1197" i="1" s="1"/>
  <c r="X1198" i="1" a="1"/>
  <c r="X1198" i="1" s="1"/>
  <c r="X1199" i="1" a="1"/>
  <c r="X1199" i="1"/>
  <c r="X1200" i="1" a="1"/>
  <c r="X1200" i="1" s="1"/>
  <c r="X1201" i="1" a="1"/>
  <c r="X1201" i="1" s="1"/>
  <c r="X1202" i="1" a="1"/>
  <c r="X1202" i="1" s="1"/>
  <c r="X1203" i="1" a="1"/>
  <c r="X1203" i="1"/>
  <c r="X1204" i="1" a="1"/>
  <c r="X1204" i="1" s="1"/>
  <c r="X1205" i="1" a="1"/>
  <c r="X1205" i="1" s="1"/>
  <c r="X1206" i="1" a="1"/>
  <c r="X1206" i="1" s="1"/>
  <c r="X1207" i="1" a="1"/>
  <c r="X1207" i="1" s="1"/>
  <c r="X1208" i="1" a="1"/>
  <c r="X1208" i="1" s="1"/>
  <c r="X1209" i="1" a="1"/>
  <c r="X1209" i="1" s="1"/>
  <c r="X1210" i="1" a="1"/>
  <c r="X1210" i="1" s="1"/>
  <c r="X1211" i="1" a="1"/>
  <c r="X1211" i="1"/>
  <c r="X1212" i="1" a="1"/>
  <c r="X1212" i="1" s="1"/>
  <c r="X1213" i="1" a="1"/>
  <c r="X1213" i="1" s="1"/>
  <c r="X1214" i="1" a="1"/>
  <c r="X1214" i="1"/>
  <c r="X1215" i="1" a="1"/>
  <c r="X1215" i="1"/>
  <c r="X1216" i="1" a="1"/>
  <c r="X1216" i="1" s="1"/>
  <c r="X1217" i="1" a="1"/>
  <c r="X1217" i="1" s="1"/>
  <c r="X1218" i="1" a="1"/>
  <c r="X1218" i="1" s="1"/>
  <c r="X1219" i="1" a="1"/>
  <c r="X1219" i="1" s="1"/>
  <c r="X1220" i="1" a="1"/>
  <c r="X1220" i="1" s="1"/>
  <c r="X1221" i="1" a="1"/>
  <c r="X1221" i="1" s="1"/>
  <c r="X1222" i="1" a="1"/>
  <c r="X1222" i="1" s="1"/>
  <c r="X1223" i="1" a="1"/>
  <c r="X1223" i="1"/>
  <c r="X1224" i="1" a="1"/>
  <c r="X1224" i="1" s="1"/>
  <c r="X1225" i="1" a="1"/>
  <c r="X1225" i="1"/>
  <c r="X1226" i="1" a="1"/>
  <c r="X1226" i="1" s="1"/>
  <c r="X1227" i="1" a="1"/>
  <c r="X1227" i="1" s="1"/>
  <c r="X1228" i="1" a="1"/>
  <c r="X1228" i="1" s="1"/>
  <c r="X1229" i="1" a="1"/>
  <c r="X1229" i="1" s="1"/>
  <c r="X1230" i="1" a="1"/>
  <c r="X1230" i="1"/>
  <c r="X1231" i="1" a="1"/>
  <c r="X1231" i="1"/>
  <c r="X1232" i="1" a="1"/>
  <c r="X1232" i="1" s="1"/>
  <c r="X1233" i="1" a="1"/>
  <c r="X1233" i="1"/>
  <c r="X1234" i="1" a="1"/>
  <c r="X1234" i="1" s="1"/>
  <c r="X1235" i="1" a="1"/>
  <c r="X1235" i="1"/>
  <c r="X1236" i="1" a="1"/>
  <c r="X1236" i="1" s="1"/>
  <c r="X1237" i="1" a="1"/>
  <c r="X1237" i="1" s="1"/>
  <c r="X1238" i="1" a="1"/>
  <c r="X1238" i="1" s="1"/>
  <c r="X1239" i="1" a="1"/>
  <c r="X1239" i="1" s="1"/>
  <c r="X1240" i="1" a="1"/>
  <c r="X1240" i="1"/>
  <c r="X1241" i="1" a="1"/>
  <c r="X1241" i="1"/>
  <c r="X1242" i="1" a="1"/>
  <c r="X1242" i="1"/>
  <c r="X1243" i="1" a="1"/>
  <c r="X1243" i="1"/>
  <c r="X1244" i="1" a="1"/>
  <c r="X1244" i="1" s="1"/>
  <c r="X1245" i="1" a="1"/>
  <c r="X1245" i="1" s="1"/>
  <c r="X1246" i="1" a="1"/>
  <c r="X1246" i="1" s="1"/>
  <c r="X1247" i="1" a="1"/>
  <c r="X1247" i="1" s="1"/>
  <c r="X1248" i="1" a="1"/>
  <c r="X1248" i="1"/>
  <c r="X1249" i="1" a="1"/>
  <c r="X1249" i="1" s="1"/>
  <c r="X1250" i="1" a="1"/>
  <c r="X1250" i="1"/>
  <c r="X1251" i="1" a="1"/>
  <c r="X1251" i="1"/>
  <c r="X1252" i="1" a="1"/>
  <c r="X1252" i="1" s="1"/>
  <c r="X1253" i="1" a="1"/>
  <c r="X1253" i="1" s="1"/>
  <c r="X1254" i="1" a="1"/>
  <c r="X1254" i="1" s="1"/>
  <c r="X1255" i="1" a="1"/>
  <c r="X1255" i="1" s="1"/>
  <c r="X1256" i="1" a="1"/>
  <c r="X1256" i="1" s="1"/>
  <c r="X1257" i="1" a="1"/>
  <c r="X1257" i="1" s="1"/>
  <c r="X1258" i="1" a="1"/>
  <c r="X1258" i="1" s="1"/>
  <c r="X1259" i="1" a="1"/>
  <c r="X1259" i="1" s="1"/>
  <c r="X1260" i="1" a="1"/>
  <c r="X1260" i="1" s="1"/>
  <c r="X1261" i="1" a="1"/>
  <c r="X1261" i="1" s="1"/>
  <c r="X1262" i="1" a="1"/>
  <c r="X1262" i="1"/>
  <c r="X1263" i="1" a="1"/>
  <c r="X1263" i="1"/>
  <c r="X1264" i="1" a="1"/>
  <c r="X1264" i="1" s="1"/>
  <c r="X1265" i="1" a="1"/>
  <c r="X1265" i="1" s="1"/>
  <c r="X1266" i="1" a="1"/>
  <c r="X1266" i="1" s="1"/>
  <c r="X1267" i="1" a="1"/>
  <c r="X1267" i="1" s="1"/>
  <c r="X1268" i="1" a="1"/>
  <c r="X1268" i="1" s="1"/>
  <c r="X1269" i="1" a="1"/>
  <c r="X1269" i="1" s="1"/>
  <c r="X1270" i="1" a="1"/>
  <c r="X1270" i="1" s="1"/>
  <c r="X1271" i="1" a="1"/>
  <c r="X1271" i="1"/>
  <c r="X1272" i="1" a="1"/>
  <c r="X1272" i="1"/>
  <c r="X1273" i="1" a="1"/>
  <c r="X1273" i="1" s="1"/>
  <c r="X1274" i="1" a="1"/>
  <c r="X1274" i="1" s="1"/>
  <c r="X1275" i="1" a="1"/>
  <c r="X1275" i="1"/>
  <c r="X1276" i="1" a="1"/>
  <c r="X1276" i="1" s="1"/>
  <c r="X1277" i="1" a="1"/>
  <c r="X1277" i="1" s="1"/>
  <c r="X1278" i="1" a="1"/>
  <c r="X1278" i="1" s="1"/>
  <c r="X1279" i="1" a="1"/>
  <c r="X1279" i="1" s="1"/>
  <c r="X1280" i="1" a="1"/>
  <c r="X1280" i="1" s="1"/>
  <c r="X1281" i="1" a="1"/>
  <c r="X1281" i="1" s="1"/>
  <c r="X1282" i="1" a="1"/>
  <c r="X1282" i="1" s="1"/>
  <c r="X1283" i="1" a="1"/>
  <c r="X1283" i="1" s="1"/>
  <c r="X1284" i="1" a="1"/>
  <c r="X1284" i="1" s="1"/>
  <c r="X1285" i="1" a="1"/>
  <c r="X1285" i="1" s="1"/>
  <c r="X1286" i="1" a="1"/>
  <c r="X1286" i="1" s="1"/>
  <c r="X1287" i="1" a="1"/>
  <c r="X1287" i="1"/>
  <c r="X1288" i="1" a="1"/>
  <c r="X1288" i="1" s="1"/>
  <c r="X1289" i="1" a="1"/>
  <c r="X1289" i="1" s="1"/>
  <c r="X1290" i="1" a="1"/>
  <c r="X1290" i="1" s="1"/>
  <c r="X1291" i="1" a="1"/>
  <c r="X1291" i="1" s="1"/>
  <c r="X1292" i="1" a="1"/>
  <c r="X1292" i="1" s="1"/>
  <c r="X1293" i="1" a="1"/>
  <c r="X1293" i="1" s="1"/>
  <c r="X1294" i="1" a="1"/>
  <c r="X1294" i="1"/>
  <c r="X1295" i="1" a="1"/>
  <c r="X1295" i="1" s="1"/>
  <c r="X1296" i="1" a="1"/>
  <c r="X1296" i="1" s="1"/>
  <c r="X1297" i="1" a="1"/>
  <c r="X1297" i="1" s="1"/>
  <c r="X1298" i="1" a="1"/>
  <c r="X1298" i="1"/>
  <c r="X1299" i="1" a="1"/>
  <c r="X1299" i="1"/>
  <c r="X1300" i="1" a="1"/>
  <c r="X1300" i="1" s="1"/>
  <c r="X1301" i="1" a="1"/>
  <c r="X1301" i="1" s="1"/>
  <c r="X1302" i="1" a="1"/>
  <c r="X1302" i="1" s="1"/>
  <c r="X1303" i="1" a="1"/>
  <c r="X1303" i="1"/>
  <c r="X1304" i="1" a="1"/>
  <c r="X1304" i="1" s="1"/>
  <c r="X1305" i="1" a="1"/>
  <c r="X1305" i="1"/>
  <c r="X1306" i="1" a="1"/>
  <c r="X1306" i="1"/>
  <c r="X1307" i="1" a="1"/>
  <c r="X1307" i="1" s="1"/>
  <c r="X1308" i="1" a="1"/>
  <c r="X1308" i="1" s="1"/>
  <c r="X1309" i="1" a="1"/>
  <c r="X1309" i="1" s="1"/>
  <c r="X1310" i="1" a="1"/>
  <c r="X1310" i="1" s="1"/>
  <c r="X1311" i="1" a="1"/>
  <c r="X1311" i="1" s="1"/>
  <c r="X1312" i="1" a="1"/>
  <c r="X1312" i="1"/>
  <c r="X1313" i="1" a="1"/>
  <c r="X1313" i="1" s="1"/>
  <c r="X1314" i="1" a="1"/>
  <c r="X1314" i="1" s="1"/>
  <c r="X1315" i="1" a="1"/>
  <c r="X1315" i="1" s="1"/>
  <c r="X1316" i="1" a="1"/>
  <c r="X1316" i="1" s="1"/>
  <c r="X1317" i="1" a="1"/>
  <c r="X1317" i="1" s="1"/>
  <c r="X1318" i="1" a="1"/>
  <c r="X1318" i="1" s="1"/>
  <c r="X1319" i="1" a="1"/>
  <c r="X1319" i="1" s="1"/>
  <c r="X1320" i="1" a="1"/>
  <c r="X1320" i="1" s="1"/>
  <c r="X1321" i="1" a="1"/>
  <c r="X1321" i="1" s="1"/>
  <c r="X1322" i="1" a="1"/>
  <c r="X1322" i="1" s="1"/>
  <c r="X1323" i="1" a="1"/>
  <c r="X1323" i="1"/>
  <c r="X1324" i="1" a="1"/>
  <c r="X1324" i="1" s="1"/>
  <c r="X1325" i="1" a="1"/>
  <c r="X1325" i="1" s="1"/>
  <c r="X1326" i="1" a="1"/>
  <c r="X1326" i="1" s="1"/>
  <c r="X1327" i="1" a="1"/>
  <c r="X1327" i="1" s="1"/>
  <c r="X1328" i="1" a="1"/>
  <c r="X1328" i="1" s="1"/>
  <c r="X1329" i="1" a="1"/>
  <c r="X1329" i="1" s="1"/>
  <c r="X1330" i="1" a="1"/>
  <c r="X1330" i="1"/>
  <c r="X1331" i="1" a="1"/>
  <c r="X1331" i="1" s="1"/>
  <c r="X1332" i="1" a="1"/>
  <c r="X1332" i="1" s="1"/>
  <c r="X1333" i="1" a="1"/>
  <c r="X1333" i="1" s="1"/>
  <c r="X1334" i="1" a="1"/>
  <c r="X1334" i="1" s="1"/>
  <c r="X1335" i="1" a="1"/>
  <c r="X1335" i="1"/>
  <c r="X1336" i="1" a="1"/>
  <c r="X1336" i="1"/>
  <c r="X1337" i="1" a="1"/>
  <c r="X1337" i="1" s="1"/>
  <c r="X1338" i="1" a="1"/>
  <c r="X1338" i="1" s="1"/>
  <c r="X1339" i="1" a="1"/>
  <c r="X1339" i="1" s="1"/>
  <c r="X1340" i="1" a="1"/>
  <c r="X1340" i="1" s="1"/>
  <c r="X1341" i="1" a="1"/>
  <c r="X1341" i="1" s="1"/>
  <c r="X1342" i="1" a="1"/>
  <c r="X1342" i="1" s="1"/>
  <c r="X1343" i="1" a="1"/>
  <c r="X1343" i="1"/>
  <c r="X1344" i="1" a="1"/>
  <c r="X1344" i="1"/>
  <c r="X1345" i="1" a="1"/>
  <c r="X1345" i="1" s="1"/>
  <c r="X1346" i="1" a="1"/>
  <c r="X1346" i="1" s="1"/>
  <c r="X1347" i="1" a="1"/>
  <c r="X1347" i="1" s="1"/>
  <c r="X1348" i="1" a="1"/>
  <c r="X1348" i="1" s="1"/>
  <c r="X1349" i="1" a="1"/>
  <c r="X1349" i="1" s="1"/>
  <c r="X1350" i="1" a="1"/>
  <c r="X1350" i="1" s="1"/>
  <c r="X1351" i="1" a="1"/>
  <c r="X1351" i="1" s="1"/>
  <c r="X1352" i="1" a="1"/>
  <c r="X1352" i="1" s="1"/>
  <c r="X1353" i="1" a="1"/>
  <c r="X1353" i="1" s="1"/>
  <c r="X1354" i="1" a="1"/>
  <c r="X1354" i="1" s="1"/>
  <c r="X1355" i="1" a="1"/>
  <c r="X1355" i="1" s="1"/>
  <c r="X1356" i="1" a="1"/>
  <c r="X1356" i="1" s="1"/>
  <c r="X1357" i="1" a="1"/>
  <c r="X1357" i="1" s="1"/>
  <c r="X1358" i="1" a="1"/>
  <c r="X1358" i="1"/>
  <c r="X1359" i="1" a="1"/>
  <c r="X1359" i="1" s="1"/>
  <c r="X1360" i="1" a="1"/>
  <c r="X1360" i="1"/>
  <c r="X1361" i="1" a="1"/>
  <c r="X1361" i="1"/>
  <c r="X1362" i="1" a="1"/>
  <c r="X1362" i="1"/>
  <c r="X1363" i="1" a="1"/>
  <c r="X1363" i="1"/>
  <c r="X1364" i="1" a="1"/>
  <c r="X1364" i="1" s="1"/>
  <c r="X1365" i="1" a="1"/>
  <c r="X1365" i="1" s="1"/>
  <c r="X1366" i="1" a="1"/>
  <c r="X1366" i="1" s="1"/>
  <c r="X1367" i="1" a="1"/>
  <c r="X1367" i="1" s="1"/>
  <c r="X1368" i="1" a="1"/>
  <c r="X1368" i="1"/>
  <c r="X1369" i="1" a="1"/>
  <c r="X1369" i="1" s="1"/>
  <c r="X1370" i="1" a="1"/>
  <c r="X1370" i="1" s="1"/>
  <c r="X1371" i="1" a="1"/>
  <c r="X1371" i="1" s="1"/>
  <c r="X1372" i="1" a="1"/>
  <c r="X1372" i="1" s="1"/>
  <c r="X1373" i="1" a="1"/>
  <c r="X1373" i="1" s="1"/>
  <c r="X1374" i="1" a="1"/>
  <c r="X1374" i="1" s="1"/>
  <c r="X1375" i="1" a="1"/>
  <c r="X1375" i="1" s="1"/>
  <c r="X1376" i="1" a="1"/>
  <c r="X1376" i="1"/>
  <c r="X1377" i="1" a="1"/>
  <c r="X1377" i="1"/>
  <c r="X1378" i="1" a="1"/>
  <c r="X1378" i="1"/>
  <c r="X1379" i="1" a="1"/>
  <c r="X1379" i="1" s="1"/>
  <c r="X1380" i="1" a="1"/>
  <c r="X1380" i="1" s="1"/>
  <c r="X1381" i="1" a="1"/>
  <c r="X1381" i="1" s="1"/>
  <c r="X1382" i="1" a="1"/>
  <c r="X1382" i="1" s="1"/>
  <c r="X1383" i="1" a="1"/>
  <c r="X1383" i="1" s="1"/>
  <c r="X1384" i="1" a="1"/>
  <c r="X1384" i="1" s="1"/>
  <c r="X1385" i="1" a="1"/>
  <c r="X1385" i="1" s="1"/>
  <c r="X1386" i="1" a="1"/>
  <c r="X1386" i="1"/>
  <c r="X1387" i="1" a="1"/>
  <c r="X1387" i="1"/>
  <c r="X1388" i="1" a="1"/>
  <c r="X1388" i="1" s="1"/>
  <c r="X1389" i="1" a="1"/>
  <c r="X1389" i="1" s="1"/>
  <c r="X1390" i="1" a="1"/>
  <c r="X1390" i="1" s="1"/>
  <c r="X1391" i="1" a="1"/>
  <c r="X1391" i="1" s="1"/>
  <c r="X1392" i="1" a="1"/>
  <c r="X1392" i="1" s="1"/>
  <c r="X1393" i="1" a="1"/>
  <c r="X1393" i="1" s="1"/>
  <c r="X1394" i="1" a="1"/>
  <c r="X1394" i="1"/>
  <c r="X1395" i="1" a="1"/>
  <c r="X1395" i="1"/>
  <c r="X1396" i="1" a="1"/>
  <c r="X1396" i="1" s="1"/>
  <c r="X1397" i="1" a="1"/>
  <c r="X1397" i="1" s="1"/>
  <c r="X1398" i="1" a="1"/>
  <c r="X1398" i="1"/>
  <c r="X1399" i="1" a="1"/>
  <c r="X1399" i="1"/>
  <c r="X1400" i="1" a="1"/>
  <c r="X1400" i="1" s="1"/>
  <c r="X1401" i="1" a="1"/>
  <c r="X1401" i="1" s="1"/>
  <c r="X1402" i="1" a="1"/>
  <c r="X1402" i="1" s="1"/>
  <c r="X1403" i="1" a="1"/>
  <c r="X1403" i="1" s="1"/>
  <c r="X1404" i="1" a="1"/>
  <c r="X1404" i="1" s="1"/>
  <c r="X1405" i="1" a="1"/>
  <c r="X1405" i="1" s="1"/>
  <c r="X1406" i="1" a="1"/>
  <c r="X1406" i="1"/>
  <c r="X1407" i="1" a="1"/>
  <c r="X1407" i="1"/>
  <c r="X1408" i="1" a="1"/>
  <c r="X1408" i="1" s="1"/>
  <c r="X1409" i="1" a="1"/>
  <c r="X1409" i="1"/>
  <c r="X1410" i="1" a="1"/>
  <c r="X1410" i="1" s="1"/>
  <c r="X1411" i="1" a="1"/>
  <c r="X1411" i="1" s="1"/>
  <c r="X1412" i="1" a="1"/>
  <c r="X1412" i="1" s="1"/>
  <c r="X1413" i="1" a="1"/>
  <c r="X1413" i="1" s="1"/>
  <c r="X1414" i="1" a="1"/>
  <c r="X1414" i="1" s="1"/>
  <c r="X1415" i="1" a="1"/>
  <c r="X1415" i="1"/>
  <c r="X1416" i="1" a="1"/>
  <c r="X1416" i="1" s="1"/>
  <c r="X1417" i="1" a="1"/>
  <c r="X1417" i="1" s="1"/>
  <c r="X1418" i="1" a="1"/>
  <c r="X1418" i="1" s="1"/>
  <c r="X1419" i="1" a="1"/>
  <c r="X1419" i="1" s="1"/>
  <c r="X1420" i="1" a="1"/>
  <c r="X1420" i="1" s="1"/>
  <c r="X1421" i="1" a="1"/>
  <c r="X1421" i="1" s="1"/>
  <c r="X1422" i="1" a="1"/>
  <c r="X1422" i="1"/>
  <c r="X1423" i="1" a="1"/>
  <c r="X1423" i="1"/>
  <c r="X1424" i="1" a="1"/>
  <c r="X1424" i="1"/>
  <c r="X1425" i="1" a="1"/>
  <c r="X1425" i="1"/>
  <c r="X1426" i="1" a="1"/>
  <c r="X1426" i="1" s="1"/>
  <c r="X1427" i="1" a="1"/>
  <c r="X1427" i="1"/>
  <c r="X1428" i="1" a="1"/>
  <c r="X1428" i="1" s="1"/>
  <c r="X1429" i="1" a="1"/>
  <c r="X1429" i="1" s="1"/>
  <c r="X1430" i="1" a="1"/>
  <c r="X1430" i="1" s="1"/>
  <c r="X1431" i="1" a="1"/>
  <c r="X1431" i="1" s="1"/>
  <c r="X1432" i="1" a="1"/>
  <c r="X1432" i="1" s="1"/>
  <c r="X1433" i="1" a="1"/>
  <c r="X1433" i="1" s="1"/>
  <c r="X1434" i="1" a="1"/>
  <c r="X1434" i="1" s="1"/>
  <c r="X1435" i="1" a="1"/>
  <c r="X1435" i="1"/>
  <c r="X1436" i="1" a="1"/>
  <c r="X1436" i="1" s="1"/>
  <c r="X1437" i="1" a="1"/>
  <c r="X1437" i="1" s="1"/>
  <c r="X1438" i="1" a="1"/>
  <c r="X1438" i="1" s="1"/>
  <c r="X1439" i="1" a="1"/>
  <c r="X1439" i="1" s="1"/>
  <c r="X1440" i="1" a="1"/>
  <c r="X1440" i="1"/>
  <c r="X1441" i="1" a="1"/>
  <c r="X1441" i="1" s="1"/>
  <c r="X1442" i="1" a="1"/>
  <c r="X1442" i="1" s="1"/>
  <c r="X1443" i="1" a="1"/>
  <c r="X1443" i="1" s="1"/>
  <c r="X1444" i="1" a="1"/>
  <c r="X1444" i="1" s="1"/>
  <c r="X1445" i="1" a="1"/>
  <c r="X1445" i="1" s="1"/>
  <c r="X1446" i="1" a="1"/>
  <c r="X1446" i="1" s="1"/>
  <c r="X1447" i="1" a="1"/>
  <c r="X1447" i="1" s="1"/>
  <c r="X1448" i="1" a="1"/>
  <c r="X1448" i="1" s="1"/>
  <c r="X1449" i="1" a="1"/>
  <c r="X1449" i="1" s="1"/>
  <c r="X1450" i="1" a="1"/>
  <c r="X1450" i="1"/>
  <c r="X1451" i="1" a="1"/>
  <c r="X1451" i="1" s="1"/>
  <c r="X1452" i="1" a="1"/>
  <c r="X1452" i="1" s="1"/>
  <c r="X1453" i="1" a="1"/>
  <c r="X1453" i="1" s="1"/>
  <c r="X1454" i="1" a="1"/>
  <c r="X1454" i="1" s="1"/>
  <c r="X1455" i="1" a="1"/>
  <c r="X1455" i="1" s="1"/>
  <c r="X1456" i="1" a="1"/>
  <c r="X1456" i="1" s="1"/>
  <c r="X1457" i="1" a="1"/>
  <c r="X1457" i="1" s="1"/>
  <c r="X1458" i="1" a="1"/>
  <c r="X1458" i="1" s="1"/>
  <c r="X1459" i="1" a="1"/>
  <c r="X1459" i="1"/>
  <c r="X1460" i="1" a="1"/>
  <c r="X1460" i="1" s="1"/>
  <c r="X1461" i="1" a="1"/>
  <c r="X1461" i="1" s="1"/>
  <c r="X1462" i="1" a="1"/>
  <c r="X1462" i="1" s="1"/>
  <c r="X1463" i="1" a="1"/>
  <c r="X1463" i="1" s="1"/>
  <c r="X1464" i="1" a="1"/>
  <c r="X1464" i="1" s="1"/>
  <c r="X1465" i="1" a="1"/>
  <c r="X1465" i="1" s="1"/>
  <c r="X1466" i="1" a="1"/>
  <c r="X1466" i="1" s="1"/>
  <c r="X1467" i="1" a="1"/>
  <c r="X1467" i="1" s="1"/>
  <c r="X1468" i="1" a="1"/>
  <c r="X1468" i="1" s="1"/>
  <c r="X1469" i="1" a="1"/>
  <c r="X1469" i="1" s="1"/>
  <c r="X1470" i="1" a="1"/>
  <c r="X1470" i="1" s="1"/>
  <c r="X1471" i="1" a="1"/>
  <c r="X1471" i="1" s="1"/>
  <c r="X1472" i="1" a="1"/>
  <c r="X1472" i="1" s="1"/>
  <c r="X1473" i="1" a="1"/>
  <c r="X1473" i="1" s="1"/>
  <c r="X1474" i="1" a="1"/>
  <c r="X1474" i="1" s="1"/>
  <c r="X1475" i="1" a="1"/>
  <c r="X1475" i="1" s="1"/>
  <c r="X1476" i="1" a="1"/>
  <c r="X1476" i="1" s="1"/>
  <c r="X1477" i="1" a="1"/>
  <c r="X1477" i="1" s="1"/>
  <c r="X1478" i="1" a="1"/>
  <c r="X1478" i="1"/>
  <c r="X1479" i="1" a="1"/>
  <c r="X1479" i="1" s="1"/>
  <c r="X1480" i="1" a="1"/>
  <c r="X1480" i="1"/>
  <c r="X1481" i="1" a="1"/>
  <c r="X1481" i="1"/>
  <c r="X1482" i="1" a="1"/>
  <c r="X1482" i="1" s="1"/>
  <c r="X1483" i="1" a="1"/>
  <c r="X1483" i="1" s="1"/>
  <c r="X1484" i="1" a="1"/>
  <c r="X1484" i="1" s="1"/>
  <c r="X1485" i="1" a="1"/>
  <c r="X1485" i="1" s="1"/>
  <c r="X1486" i="1" a="1"/>
  <c r="X1486" i="1"/>
  <c r="X1487" i="1" a="1"/>
  <c r="X1487" i="1" s="1"/>
  <c r="X1488" i="1" a="1"/>
  <c r="X1488" i="1"/>
  <c r="X1489" i="1" a="1"/>
  <c r="X1489" i="1" s="1"/>
  <c r="X1490" i="1" a="1"/>
  <c r="X1490" i="1"/>
  <c r="X1491" i="1" a="1"/>
  <c r="X1491" i="1" s="1"/>
  <c r="X1492" i="1" a="1"/>
  <c r="X1492" i="1" s="1"/>
  <c r="X1493" i="1" a="1"/>
  <c r="X1493" i="1" s="1"/>
  <c r="X1494" i="1" a="1"/>
  <c r="X1494" i="1" s="1"/>
  <c r="X1495" i="1" a="1"/>
  <c r="X1495" i="1" s="1"/>
  <c r="X1496" i="1" a="1"/>
  <c r="X1496" i="1" s="1"/>
  <c r="X1497" i="1" a="1"/>
  <c r="X1497" i="1"/>
  <c r="X1498" i="1" a="1"/>
  <c r="X1498" i="1"/>
  <c r="X1499" i="1" a="1"/>
  <c r="X1499" i="1" s="1"/>
  <c r="X1500" i="1" a="1"/>
  <c r="X1500" i="1" s="1"/>
  <c r="X1501" i="1" a="1"/>
  <c r="X1501" i="1" s="1"/>
  <c r="X1502" i="1" a="1"/>
  <c r="X1502" i="1" s="1"/>
  <c r="X1503" i="1" a="1"/>
  <c r="X1503" i="1" s="1"/>
  <c r="X1504" i="1" a="1"/>
  <c r="X1504" i="1" s="1"/>
  <c r="X1505" i="1" a="1"/>
  <c r="X1505" i="1" s="1"/>
  <c r="X1506" i="1" a="1"/>
  <c r="X1506" i="1" s="1"/>
  <c r="X1507" i="1" a="1"/>
  <c r="X1507" i="1"/>
  <c r="X1508" i="1" a="1"/>
  <c r="X1508" i="1" s="1"/>
  <c r="X1509" i="1" a="1"/>
  <c r="X1509" i="1" s="1"/>
  <c r="X1510" i="1" a="1"/>
  <c r="X1510" i="1"/>
  <c r="X1511" i="1" a="1"/>
  <c r="X1511" i="1" s="1"/>
  <c r="X1512" i="1" a="1"/>
  <c r="X1512" i="1" s="1"/>
  <c r="X1513" i="1" a="1"/>
  <c r="X1513" i="1" s="1"/>
  <c r="X1514" i="1" a="1"/>
  <c r="X1514" i="1" s="1"/>
  <c r="X1515" i="1" a="1"/>
  <c r="X1515" i="1" s="1"/>
  <c r="X1516" i="1" a="1"/>
  <c r="X1516" i="1" s="1"/>
  <c r="X1517" i="1" a="1"/>
  <c r="X1517" i="1" s="1"/>
  <c r="X1518" i="1" a="1"/>
  <c r="X1518" i="1"/>
  <c r="X1519" i="1" a="1"/>
  <c r="X1519" i="1" s="1"/>
  <c r="X1520" i="1" a="1"/>
  <c r="X1520" i="1" s="1"/>
  <c r="X1521" i="1" a="1"/>
  <c r="X1521" i="1" s="1"/>
  <c r="X1522" i="1" a="1"/>
  <c r="X1522" i="1" s="1"/>
  <c r="X1523" i="1" a="1"/>
  <c r="X1523" i="1" s="1"/>
  <c r="X1524" i="1" a="1"/>
  <c r="X1524" i="1" s="1"/>
  <c r="X1525" i="1" a="1"/>
  <c r="X1525" i="1" s="1"/>
  <c r="X1526" i="1" a="1"/>
  <c r="X1526" i="1" s="1"/>
  <c r="X1527" i="1" a="1"/>
  <c r="X1527" i="1" s="1"/>
  <c r="X1528" i="1" a="1"/>
  <c r="X1528" i="1" s="1"/>
  <c r="X1529" i="1" a="1"/>
  <c r="X1529" i="1" s="1"/>
  <c r="X1530" i="1" a="1"/>
  <c r="X1530" i="1" s="1"/>
  <c r="X1531" i="1" a="1"/>
  <c r="X1531" i="1"/>
  <c r="X1532" i="1" a="1"/>
  <c r="X1532" i="1" s="1"/>
  <c r="X1533" i="1" a="1"/>
  <c r="X1533" i="1" s="1"/>
  <c r="X1534" i="1" a="1"/>
  <c r="X1534" i="1" s="1"/>
  <c r="X1535" i="1" a="1"/>
  <c r="X1535" i="1" s="1"/>
  <c r="X1536" i="1" a="1"/>
  <c r="X1536" i="1" s="1"/>
  <c r="X1537" i="1" a="1"/>
  <c r="X1537" i="1" s="1"/>
  <c r="X1538" i="1" a="1"/>
  <c r="X1538" i="1" s="1"/>
  <c r="X1539" i="1" a="1"/>
  <c r="X1539" i="1" s="1"/>
  <c r="X1540" i="1" a="1"/>
  <c r="X1540" i="1"/>
  <c r="X1541" i="1" a="1"/>
  <c r="X1541" i="1" s="1"/>
  <c r="X1542" i="1" a="1"/>
  <c r="X1542" i="1" s="1"/>
  <c r="X1543" i="1" a="1"/>
  <c r="X1543" i="1" s="1"/>
  <c r="X1544" i="1" a="1"/>
  <c r="X1544" i="1" s="1"/>
  <c r="X1545" i="1" a="1"/>
  <c r="X1545" i="1" s="1"/>
  <c r="X1546" i="1" a="1"/>
  <c r="X1546" i="1" s="1"/>
  <c r="X1547" i="1" a="1"/>
  <c r="X1547" i="1" s="1"/>
  <c r="X1548" i="1" a="1"/>
  <c r="X1548" i="1"/>
  <c r="X1549" i="1" a="1"/>
  <c r="X1549" i="1" s="1"/>
  <c r="X1550" i="1" a="1"/>
  <c r="X1550" i="1" s="1"/>
  <c r="X1551" i="1" a="1"/>
  <c r="X1551" i="1" s="1"/>
  <c r="X1552" i="1" a="1"/>
  <c r="X1552" i="1" s="1"/>
  <c r="X1553" i="1" a="1"/>
  <c r="X1553" i="1" s="1"/>
  <c r="X1554" i="1" a="1"/>
  <c r="X1554" i="1" s="1"/>
  <c r="X1555" i="1" a="1"/>
  <c r="X1555" i="1" s="1"/>
  <c r="X1556" i="1" a="1"/>
  <c r="X1556" i="1" s="1"/>
  <c r="X1557" i="1" a="1"/>
  <c r="X1557" i="1" s="1"/>
  <c r="X1558" i="1" a="1"/>
  <c r="X1558" i="1" s="1"/>
  <c r="X1559" i="1" a="1"/>
  <c r="X1559" i="1" s="1"/>
  <c r="X1560" i="1" a="1"/>
  <c r="X1560" i="1" s="1"/>
  <c r="X1561" i="1" a="1"/>
  <c r="X1561" i="1" s="1"/>
  <c r="X1562" i="1" a="1"/>
  <c r="X1562" i="1" s="1"/>
  <c r="X1563" i="1" a="1"/>
  <c r="X1563" i="1" s="1"/>
  <c r="X1564" i="1" a="1"/>
  <c r="X1564" i="1" s="1"/>
  <c r="X1565" i="1" a="1"/>
  <c r="X1565" i="1"/>
  <c r="X1566" i="1" a="1"/>
  <c r="X1566" i="1"/>
  <c r="X1567" i="1" a="1"/>
  <c r="X1567" i="1" s="1"/>
  <c r="X1568" i="1" a="1"/>
  <c r="X1568" i="1"/>
  <c r="X1569" i="1" a="1"/>
  <c r="X1569" i="1" s="1"/>
  <c r="X1570" i="1" a="1"/>
  <c r="X1570" i="1" s="1"/>
  <c r="X1571" i="1" a="1"/>
  <c r="X1571" i="1" s="1"/>
  <c r="X1572" i="1" a="1"/>
  <c r="X1572" i="1" s="1"/>
  <c r="X1573" i="1" a="1"/>
  <c r="X1573" i="1" s="1"/>
  <c r="X1574" i="1" a="1"/>
  <c r="X1574" i="1"/>
  <c r="X1575" i="1" a="1"/>
  <c r="X1575" i="1" s="1"/>
  <c r="X1576" i="1" a="1"/>
  <c r="X1576" i="1"/>
  <c r="X1577" i="1" a="1"/>
  <c r="X1577" i="1" s="1"/>
  <c r="X1578" i="1" a="1"/>
  <c r="X1578" i="1" s="1"/>
  <c r="X1579" i="1" a="1"/>
  <c r="X1579" i="1" s="1"/>
  <c r="X1580" i="1" a="1"/>
  <c r="X1580" i="1" s="1"/>
  <c r="X1581" i="1" a="1"/>
  <c r="X1581" i="1" s="1"/>
  <c r="X1582" i="1" a="1"/>
  <c r="X1582" i="1" s="1"/>
  <c r="X1583" i="1" a="1"/>
  <c r="X1583" i="1" s="1"/>
  <c r="X1584" i="1" a="1"/>
  <c r="X1584" i="1" s="1"/>
  <c r="X1585" i="1" a="1"/>
  <c r="X1585" i="1"/>
  <c r="X1586" i="1" a="1"/>
  <c r="X1586" i="1" s="1"/>
  <c r="X1587" i="1" a="1"/>
  <c r="X1587" i="1" s="1"/>
  <c r="X1588" i="1" a="1"/>
  <c r="X1588" i="1" s="1"/>
  <c r="X1589" i="1" a="1"/>
  <c r="X1589" i="1" s="1"/>
  <c r="X1590" i="1" a="1"/>
  <c r="X1590" i="1" s="1"/>
  <c r="X1591" i="1" a="1"/>
  <c r="X1591" i="1" s="1"/>
  <c r="X1592" i="1" a="1"/>
  <c r="X1592" i="1" s="1"/>
  <c r="X1593" i="1" a="1"/>
  <c r="X1593" i="1"/>
  <c r="X1594" i="1" a="1"/>
  <c r="X1594" i="1" s="1"/>
  <c r="X1595" i="1" a="1"/>
  <c r="X1595" i="1" s="1"/>
  <c r="X1596" i="1" a="1"/>
  <c r="X1596" i="1"/>
  <c r="X1597" i="1" a="1"/>
  <c r="X1597" i="1"/>
  <c r="X1598" i="1" a="1"/>
  <c r="X1598" i="1" s="1"/>
  <c r="X1599" i="1" a="1"/>
  <c r="X1599" i="1" s="1"/>
  <c r="X1600" i="1" a="1"/>
  <c r="X1600" i="1" s="1"/>
  <c r="X1601" i="1" a="1"/>
  <c r="X1601" i="1"/>
  <c r="X1602" i="1" a="1"/>
  <c r="X1602" i="1" s="1"/>
  <c r="X1603" i="1" a="1"/>
  <c r="X1603" i="1" s="1"/>
  <c r="X1604" i="1" a="1"/>
  <c r="X1604" i="1"/>
  <c r="X1605" i="1" a="1"/>
  <c r="X1605" i="1" s="1"/>
  <c r="X1606" i="1" a="1"/>
  <c r="X1606" i="1" s="1"/>
  <c r="X1607" i="1" a="1"/>
  <c r="X1607" i="1" s="1"/>
  <c r="X1608" i="1" a="1"/>
  <c r="X1608" i="1" s="1"/>
  <c r="X1609" i="1" a="1"/>
  <c r="X1609" i="1" s="1"/>
  <c r="X1610" i="1" a="1"/>
  <c r="X1610" i="1" s="1"/>
  <c r="X1611" i="1" a="1"/>
  <c r="X1611" i="1" s="1"/>
  <c r="X1612" i="1" a="1"/>
  <c r="X1612" i="1" s="1"/>
  <c r="X1613" i="1" a="1"/>
  <c r="X1613" i="1" s="1"/>
  <c r="X1614" i="1" a="1"/>
  <c r="X1614" i="1" s="1"/>
  <c r="X1615" i="1" a="1"/>
  <c r="X1615" i="1"/>
  <c r="X1616" i="1" a="1"/>
  <c r="X1616" i="1" s="1"/>
  <c r="X1617" i="1" a="1"/>
  <c r="X1617" i="1" s="1"/>
  <c r="X1618" i="1" a="1"/>
  <c r="X1618" i="1" s="1"/>
  <c r="X1619" i="1" a="1"/>
  <c r="X1619" i="1" s="1"/>
  <c r="X1620" i="1" a="1"/>
  <c r="X1620" i="1" s="1"/>
  <c r="X1621" i="1" a="1"/>
  <c r="X1621" i="1"/>
  <c r="X1622" i="1" a="1"/>
  <c r="X1622" i="1" s="1"/>
  <c r="X1623" i="1" a="1"/>
  <c r="X1623" i="1" s="1"/>
  <c r="X1624" i="1" a="1"/>
  <c r="X1624" i="1" s="1"/>
  <c r="X1625" i="1" a="1"/>
  <c r="X1625" i="1" s="1"/>
  <c r="X1626" i="1" a="1"/>
  <c r="X1626" i="1" s="1"/>
  <c r="X1627" i="1" a="1"/>
  <c r="X1627" i="1" s="1"/>
  <c r="X1628" i="1" a="1"/>
  <c r="X1628" i="1" s="1"/>
  <c r="X1629" i="1" a="1"/>
  <c r="X1629" i="1"/>
  <c r="X1630" i="1" a="1"/>
  <c r="X1630" i="1"/>
  <c r="X1631" i="1" a="1"/>
  <c r="X1631" i="1" s="1"/>
  <c r="X1632" i="1" a="1"/>
  <c r="X1632" i="1" s="1"/>
  <c r="X1633" i="1" a="1"/>
  <c r="X1633" i="1"/>
  <c r="X1634" i="1" a="1"/>
  <c r="X1634" i="1" s="1"/>
  <c r="X1635" i="1" a="1"/>
  <c r="X1635" i="1" s="1"/>
  <c r="X1636" i="1" a="1"/>
  <c r="X1636" i="1" s="1"/>
  <c r="X1637" i="1" a="1"/>
  <c r="X1637" i="1" s="1"/>
  <c r="X1638" i="1" a="1"/>
  <c r="X1638" i="1" s="1"/>
  <c r="X1639" i="1" a="1"/>
  <c r="X1639" i="1"/>
  <c r="X1640" i="1" a="1"/>
  <c r="X1640" i="1" s="1"/>
  <c r="X1641" i="1" a="1"/>
  <c r="X1641" i="1"/>
  <c r="X1642" i="1" a="1"/>
  <c r="X1642" i="1" s="1"/>
  <c r="X1643" i="1" a="1"/>
  <c r="X1643" i="1" s="1"/>
  <c r="X1644" i="1" a="1"/>
  <c r="X1644" i="1" s="1"/>
  <c r="X1645" i="1" a="1"/>
  <c r="X1645" i="1" s="1"/>
  <c r="X1646" i="1" a="1"/>
  <c r="X1646" i="1" s="1"/>
  <c r="X1647" i="1" a="1"/>
  <c r="X1647" i="1"/>
  <c r="X1648" i="1" a="1"/>
  <c r="X1648" i="1"/>
  <c r="X1649" i="1" a="1"/>
  <c r="X1649" i="1" s="1"/>
  <c r="X1650" i="1" a="1"/>
  <c r="X1650" i="1" s="1"/>
  <c r="X1651" i="1" a="1"/>
  <c r="X1651" i="1" s="1"/>
  <c r="X1652" i="1" a="1"/>
  <c r="X1652" i="1" s="1"/>
  <c r="X1653" i="1" a="1"/>
  <c r="X1653" i="1" s="1"/>
  <c r="X1654" i="1" a="1"/>
  <c r="X1654" i="1" s="1"/>
  <c r="X1655" i="1" a="1"/>
  <c r="X1655" i="1" s="1"/>
  <c r="X1656" i="1" a="1"/>
  <c r="X1656" i="1"/>
  <c r="X1657" i="1" a="1"/>
  <c r="X1657" i="1" s="1"/>
  <c r="X1658" i="1" a="1"/>
  <c r="X1658" i="1" s="1"/>
  <c r="X1659" i="1" a="1"/>
  <c r="X1659" i="1" s="1"/>
  <c r="X1660" i="1" a="1"/>
  <c r="X1660" i="1" s="1"/>
  <c r="X1661" i="1" a="1"/>
  <c r="X1661" i="1"/>
  <c r="X1662" i="1" a="1"/>
  <c r="X1662" i="1" s="1"/>
  <c r="X1663" i="1" a="1"/>
  <c r="X1663" i="1" s="1"/>
  <c r="X1664" i="1" a="1"/>
  <c r="X1664" i="1" s="1"/>
  <c r="X1665" i="1" a="1"/>
  <c r="X1665" i="1" s="1"/>
  <c r="X1666" i="1" a="1"/>
  <c r="X1666" i="1" s="1"/>
  <c r="X1667" i="1" a="1"/>
  <c r="X1667" i="1" s="1"/>
  <c r="X1668" i="1" a="1"/>
  <c r="X1668" i="1" s="1"/>
  <c r="X1669" i="1" a="1"/>
  <c r="X1669" i="1"/>
  <c r="X1670" i="1" a="1"/>
  <c r="X1670" i="1"/>
  <c r="X1671" i="1" a="1"/>
  <c r="X1671" i="1" s="1"/>
  <c r="X1672" i="1" a="1"/>
  <c r="X1672" i="1" s="1"/>
  <c r="X1673" i="1" a="1"/>
  <c r="X1673" i="1" s="1"/>
  <c r="X1674" i="1" a="1"/>
  <c r="X1674" i="1" s="1"/>
  <c r="X1675" i="1" a="1"/>
  <c r="X1675" i="1" s="1"/>
  <c r="X1676" i="1" a="1"/>
  <c r="X1676" i="1"/>
  <c r="X1677" i="1" a="1"/>
  <c r="X1677" i="1" s="1"/>
  <c r="X1678" i="1" a="1"/>
  <c r="X1678" i="1"/>
  <c r="X1679" i="1" a="1"/>
  <c r="X1679" i="1" s="1"/>
  <c r="X1680" i="1" a="1"/>
  <c r="X1680" i="1" s="1"/>
  <c r="X1681" i="1" a="1"/>
  <c r="X1681" i="1" s="1"/>
  <c r="X1682" i="1" a="1"/>
  <c r="X1682" i="1" s="1"/>
  <c r="X1683" i="1" a="1"/>
  <c r="X1683" i="1" s="1"/>
  <c r="X1684" i="1" a="1"/>
  <c r="X1684" i="1"/>
  <c r="X1685" i="1" a="1"/>
  <c r="X1685" i="1" s="1"/>
  <c r="X1686" i="1" a="1"/>
  <c r="X1686" i="1"/>
  <c r="X1687" i="1" a="1"/>
  <c r="X1687" i="1" s="1"/>
  <c r="X1688" i="1" a="1"/>
  <c r="X1688" i="1"/>
  <c r="X1689" i="1" a="1"/>
  <c r="X1689" i="1" s="1"/>
  <c r="X1690" i="1" a="1"/>
  <c r="X1690" i="1" s="1"/>
  <c r="X1691" i="1" a="1"/>
  <c r="X1691" i="1" s="1"/>
  <c r="X1692" i="1" a="1"/>
  <c r="X1692" i="1" s="1"/>
  <c r="X1693" i="1" a="1"/>
  <c r="X1693" i="1" s="1"/>
  <c r="X1694" i="1" a="1"/>
  <c r="X1694" i="1"/>
  <c r="X1695" i="1" a="1"/>
  <c r="X1695" i="1"/>
  <c r="X1696" i="1" a="1"/>
  <c r="X1696" i="1" s="1"/>
  <c r="X1697" i="1" a="1"/>
  <c r="X1697" i="1" s="1"/>
  <c r="X1698" i="1" a="1"/>
  <c r="X1698" i="1" s="1"/>
  <c r="X1699" i="1" a="1"/>
  <c r="X1699" i="1" s="1"/>
  <c r="X1700" i="1" a="1"/>
  <c r="X1700" i="1" s="1"/>
  <c r="X1701" i="1" a="1"/>
  <c r="X1701" i="1" s="1"/>
  <c r="X1702" i="1" a="1"/>
  <c r="X1702" i="1"/>
  <c r="X1703" i="1" a="1"/>
  <c r="X1703" i="1" s="1"/>
  <c r="X1704" i="1" a="1"/>
  <c r="X1704" i="1"/>
  <c r="X1705" i="1" a="1"/>
  <c r="X1705" i="1" s="1"/>
  <c r="X1706" i="1" a="1"/>
  <c r="X1706" i="1" s="1"/>
  <c r="X1707" i="1" a="1"/>
  <c r="X1707" i="1" s="1"/>
  <c r="X1708" i="1" a="1"/>
  <c r="X1708" i="1" s="1"/>
  <c r="X1709" i="1" a="1"/>
  <c r="X1709" i="1" s="1"/>
  <c r="X1710" i="1" a="1"/>
  <c r="X1710" i="1" s="1"/>
  <c r="X1711" i="1" a="1"/>
  <c r="X1711" i="1" s="1"/>
  <c r="X1712" i="1" a="1"/>
  <c r="X1712" i="1"/>
  <c r="X1713" i="1" a="1"/>
  <c r="X1713" i="1"/>
  <c r="X1714" i="1" a="1"/>
  <c r="X1714" i="1" s="1"/>
  <c r="X1715" i="1" a="1"/>
  <c r="X1715" i="1" s="1"/>
  <c r="X1716" i="1" a="1"/>
  <c r="X1716" i="1" s="1"/>
  <c r="X1717" i="1" a="1"/>
  <c r="X1717" i="1" s="1"/>
  <c r="X1718" i="1" a="1"/>
  <c r="X1718" i="1" s="1"/>
  <c r="X1719" i="1" a="1"/>
  <c r="X1719" i="1" s="1"/>
  <c r="X1720" i="1" a="1"/>
  <c r="X1720" i="1" s="1"/>
  <c r="X1721" i="1" a="1"/>
  <c r="X1721" i="1"/>
  <c r="X1722" i="1" a="1"/>
  <c r="X1722" i="1" s="1"/>
  <c r="X1723" i="1" a="1"/>
  <c r="X1723" i="1" s="1"/>
  <c r="X1724" i="1" a="1"/>
  <c r="X1724" i="1"/>
  <c r="X1725" i="1" a="1"/>
  <c r="X1725" i="1" s="1"/>
  <c r="X1726" i="1" a="1"/>
  <c r="X1726" i="1" s="1"/>
  <c r="X1727" i="1" a="1"/>
  <c r="X1727" i="1" s="1"/>
  <c r="X1728" i="1" a="1"/>
  <c r="X1728" i="1" s="1"/>
  <c r="X1729" i="1" a="1"/>
  <c r="X1729" i="1" s="1"/>
  <c r="X1730" i="1" a="1"/>
  <c r="X1730" i="1" s="1"/>
  <c r="X1731" i="1" a="1"/>
  <c r="X1731" i="1" s="1"/>
  <c r="X1732" i="1" a="1"/>
  <c r="X1732" i="1"/>
  <c r="X1733" i="1" a="1"/>
  <c r="X1733" i="1" s="1"/>
  <c r="X1734" i="1" a="1"/>
  <c r="X1734" i="1"/>
  <c r="X1735" i="1" a="1"/>
  <c r="X1735" i="1" s="1"/>
  <c r="X1736" i="1" a="1"/>
  <c r="X1736" i="1" s="1"/>
  <c r="X1737" i="1" a="1"/>
  <c r="X1737" i="1" s="1"/>
  <c r="X1738" i="1" a="1"/>
  <c r="X1738" i="1" s="1"/>
  <c r="X1739" i="1" a="1"/>
  <c r="X1739" i="1" s="1"/>
  <c r="X1740" i="1" a="1"/>
  <c r="X1740" i="1"/>
  <c r="X1741" i="1" a="1"/>
  <c r="X1741" i="1" s="1"/>
  <c r="X1742" i="1" a="1"/>
  <c r="X1742" i="1" s="1"/>
  <c r="X1743" i="1" a="1"/>
  <c r="X1743" i="1"/>
  <c r="X1744" i="1" a="1"/>
  <c r="X1744" i="1" s="1"/>
  <c r="X1745" i="1" a="1"/>
  <c r="X1745" i="1" s="1"/>
  <c r="X1746" i="1" a="1"/>
  <c r="X1746" i="1" s="1"/>
  <c r="X1747" i="1" a="1"/>
  <c r="X1747" i="1" s="1"/>
  <c r="X1748" i="1" a="1"/>
  <c r="X1748" i="1" s="1"/>
  <c r="X1749" i="1" a="1"/>
  <c r="X1749" i="1"/>
  <c r="X1750" i="1" a="1"/>
  <c r="X1750" i="1"/>
  <c r="X1751" i="1" a="1"/>
  <c r="X1751" i="1"/>
  <c r="X1752" i="1" a="1"/>
  <c r="X1752" i="1" s="1"/>
  <c r="X1753" i="1" a="1"/>
  <c r="X1753" i="1" s="1"/>
  <c r="X1754" i="1" a="1"/>
  <c r="X1754" i="1" s="1"/>
  <c r="X1755" i="1" a="1"/>
  <c r="X1755" i="1"/>
  <c r="X1756" i="1" a="1"/>
  <c r="X1756" i="1"/>
  <c r="X1757" i="1" a="1"/>
  <c r="X1757" i="1" s="1"/>
  <c r="X1758" i="1" a="1"/>
  <c r="X1758" i="1"/>
  <c r="X1759" i="1" a="1"/>
  <c r="X1759" i="1" s="1"/>
  <c r="X1760" i="1" a="1"/>
  <c r="X1760" i="1"/>
  <c r="X1761" i="1" a="1"/>
  <c r="X1761" i="1" s="1"/>
  <c r="X1762" i="1" a="1"/>
  <c r="X1762" i="1"/>
  <c r="X1763" i="1" a="1"/>
  <c r="X1763" i="1"/>
  <c r="X1764" i="1" a="1"/>
  <c r="X1764" i="1"/>
  <c r="X1765" i="1" a="1"/>
  <c r="X1765" i="1" s="1"/>
  <c r="X1766" i="1" a="1"/>
  <c r="X1766" i="1"/>
  <c r="X1767" i="1" a="1"/>
  <c r="X1767" i="1"/>
  <c r="X1768" i="1" a="1"/>
  <c r="X1768" i="1" s="1"/>
  <c r="X1769" i="1" a="1"/>
  <c r="X1769" i="1" s="1"/>
  <c r="X1770" i="1" a="1"/>
  <c r="X1770" i="1"/>
  <c r="X1771" i="1" a="1"/>
  <c r="X1771" i="1"/>
  <c r="X1772" i="1" a="1"/>
  <c r="X1772" i="1"/>
  <c r="X1773" i="1" a="1"/>
  <c r="X1773" i="1" s="1"/>
  <c r="X1774" i="1" a="1"/>
  <c r="X1774" i="1"/>
  <c r="X1775" i="1" a="1"/>
  <c r="X1775" i="1"/>
  <c r="X1776" i="1" a="1"/>
  <c r="X1776" i="1"/>
  <c r="X1777" i="1" a="1"/>
  <c r="X1777" i="1" s="1"/>
  <c r="X1778" i="1" a="1"/>
  <c r="X1778" i="1"/>
  <c r="X1779" i="1" a="1"/>
  <c r="X1779" i="1"/>
  <c r="X1780" i="1" a="1"/>
  <c r="X1780" i="1"/>
  <c r="X1781" i="1" a="1"/>
  <c r="X1781" i="1" s="1"/>
  <c r="X1782" i="1" a="1"/>
  <c r="X1782" i="1"/>
  <c r="X1783" i="1" a="1"/>
  <c r="X1783" i="1"/>
  <c r="X1784" i="1" a="1"/>
  <c r="X1784" i="1"/>
  <c r="X1785" i="1" a="1"/>
  <c r="X1785" i="1" s="1"/>
  <c r="X1786" i="1" a="1"/>
  <c r="X1786" i="1"/>
  <c r="X1787" i="1" a="1"/>
  <c r="X1787" i="1"/>
  <c r="X1788" i="1" a="1"/>
  <c r="X1788" i="1"/>
  <c r="X1789" i="1" a="1"/>
  <c r="X1789" i="1" s="1"/>
  <c r="X1790" i="1" a="1"/>
  <c r="X1790" i="1"/>
  <c r="X1791" i="1" a="1"/>
  <c r="X1791" i="1" s="1"/>
  <c r="X1792" i="1" a="1"/>
  <c r="X1792" i="1"/>
  <c r="X1793" i="1" a="1"/>
  <c r="X1793" i="1" s="1"/>
  <c r="X1794" i="1" a="1"/>
  <c r="X1794" i="1"/>
  <c r="X1795" i="1" a="1"/>
  <c r="X1795" i="1"/>
  <c r="X1796" i="1" a="1"/>
  <c r="X1796" i="1"/>
  <c r="X1797" i="1" a="1"/>
  <c r="X1797" i="1" s="1"/>
  <c r="X1798" i="1" a="1"/>
  <c r="X1798" i="1"/>
  <c r="X1799" i="1" a="1"/>
  <c r="X1799" i="1" s="1"/>
  <c r="X1800" i="1" a="1"/>
  <c r="X1800" i="1" s="1"/>
  <c r="X1801" i="1" a="1"/>
  <c r="X1801" i="1" s="1"/>
  <c r="X1802" i="1" a="1"/>
  <c r="X1802" i="1"/>
  <c r="X1803" i="1" a="1"/>
  <c r="X1803" i="1"/>
  <c r="X1804" i="1" a="1"/>
  <c r="X1804" i="1"/>
  <c r="X1805" i="1" a="1"/>
  <c r="X1805" i="1" s="1"/>
  <c r="X1806" i="1" a="1"/>
  <c r="X1806" i="1"/>
  <c r="X1807" i="1" a="1"/>
  <c r="X1807" i="1"/>
  <c r="X1808" i="1" a="1"/>
  <c r="X1808" i="1" s="1"/>
  <c r="X1809" i="1" a="1"/>
  <c r="X1809" i="1" s="1"/>
  <c r="X1810" i="1" a="1"/>
  <c r="X1810" i="1"/>
  <c r="X1811" i="1" a="1"/>
  <c r="X1811" i="1"/>
  <c r="X1812" i="1" a="1"/>
  <c r="X1812" i="1"/>
  <c r="X1813" i="1" a="1"/>
  <c r="X1813" i="1" s="1"/>
  <c r="X1814" i="1" a="1"/>
  <c r="X1814" i="1"/>
  <c r="X1815" i="1" a="1"/>
  <c r="X1815" i="1"/>
  <c r="X1816" i="1" a="1"/>
  <c r="X1816" i="1" s="1"/>
  <c r="X1817" i="1" a="1"/>
  <c r="X1817" i="1" s="1"/>
  <c r="X1818" i="1" a="1"/>
  <c r="X1818" i="1"/>
  <c r="X1819" i="1" a="1"/>
  <c r="X1819" i="1"/>
  <c r="X1820" i="1" a="1"/>
  <c r="X1820" i="1"/>
  <c r="X1821" i="1" a="1"/>
  <c r="X1821" i="1" s="1"/>
  <c r="X1822" i="1" a="1"/>
  <c r="X1822" i="1"/>
  <c r="X1823" i="1" a="1"/>
  <c r="X1823" i="1"/>
  <c r="X1824" i="1" a="1"/>
  <c r="X1824" i="1"/>
  <c r="X1825" i="1" a="1"/>
  <c r="X1825" i="1" s="1"/>
  <c r="X1826" i="1" a="1"/>
  <c r="X1826" i="1"/>
  <c r="X1827" i="1" a="1"/>
  <c r="X1827" i="1"/>
  <c r="X1828" i="1" a="1"/>
  <c r="X1828" i="1"/>
  <c r="X1829" i="1" a="1"/>
  <c r="X1829" i="1" s="1"/>
  <c r="X1830" i="1" a="1"/>
  <c r="X1830" i="1"/>
  <c r="X1831" i="1" a="1"/>
  <c r="X1831" i="1" s="1"/>
  <c r="X1832" i="1" a="1"/>
  <c r="X1832" i="1"/>
  <c r="X1833" i="1" a="1"/>
  <c r="X1833" i="1" s="1"/>
  <c r="X1834" i="1" a="1"/>
  <c r="X1834" i="1"/>
  <c r="X1835" i="1" a="1"/>
  <c r="X1835" i="1"/>
  <c r="X1836" i="1" a="1"/>
  <c r="X1836" i="1"/>
  <c r="X1837" i="1" a="1"/>
  <c r="X1837" i="1" s="1"/>
  <c r="X1838" i="1" a="1"/>
  <c r="X1838" i="1"/>
  <c r="X1839" i="1" a="1"/>
  <c r="X1839" i="1"/>
  <c r="X1840" i="1" a="1"/>
  <c r="X1840" i="1" s="1"/>
  <c r="X1841" i="1" a="1"/>
  <c r="X1841" i="1" s="1"/>
  <c r="X1842" i="1" a="1"/>
  <c r="X1842" i="1"/>
  <c r="X1843" i="1" a="1"/>
  <c r="X1843" i="1"/>
  <c r="X1844" i="1" a="1"/>
  <c r="X1844" i="1"/>
  <c r="X1845" i="1" a="1"/>
  <c r="X1845" i="1" s="1"/>
  <c r="X1846" i="1" a="1"/>
  <c r="X1846" i="1"/>
  <c r="X1847" i="1" a="1"/>
  <c r="X1847" i="1"/>
  <c r="X1848" i="1" a="1"/>
  <c r="X1848" i="1"/>
  <c r="X1849" i="1" a="1"/>
  <c r="X1849" i="1" s="1"/>
  <c r="X1850" i="1" a="1"/>
  <c r="X1850" i="1"/>
  <c r="X1851" i="1" a="1"/>
  <c r="X1851" i="1"/>
  <c r="X1852" i="1" a="1"/>
  <c r="X1852" i="1"/>
  <c r="X1853" i="1" a="1"/>
  <c r="X1853" i="1" s="1"/>
  <c r="X1854" i="1" a="1"/>
  <c r="X1854" i="1"/>
  <c r="X1855" i="1" a="1"/>
  <c r="X1855" i="1" s="1"/>
  <c r="X1856" i="1" a="1"/>
  <c r="X1856" i="1"/>
  <c r="X1857" i="1" a="1"/>
  <c r="X1857" i="1" s="1"/>
  <c r="X1858" i="1" a="1"/>
  <c r="X1858" i="1"/>
  <c r="X1859" i="1" a="1"/>
  <c r="X1859" i="1"/>
  <c r="X1860" i="1" a="1"/>
  <c r="X1860" i="1"/>
  <c r="X1861" i="1" a="1"/>
  <c r="X1861" i="1" s="1"/>
  <c r="X1862" i="1" a="1"/>
  <c r="X1862" i="1"/>
  <c r="X1863" i="1" a="1"/>
  <c r="X1863" i="1" s="1"/>
  <c r="X1864" i="1" a="1"/>
  <c r="X1864" i="1" s="1"/>
  <c r="X1865" i="1" a="1"/>
  <c r="X1865" i="1" s="1"/>
  <c r="X1866" i="1" a="1"/>
  <c r="X1866" i="1"/>
  <c r="X1867" i="1" a="1"/>
  <c r="X1867" i="1"/>
  <c r="X1868" i="1" a="1"/>
  <c r="X1868" i="1"/>
  <c r="X1869" i="1" a="1"/>
  <c r="X1869" i="1" s="1"/>
  <c r="X1870" i="1" a="1"/>
  <c r="X1870" i="1"/>
  <c r="X1871" i="1" a="1"/>
  <c r="X1871" i="1" s="1"/>
  <c r="X1872" i="1" a="1"/>
  <c r="X1872" i="1" s="1"/>
  <c r="X1873" i="1" a="1"/>
  <c r="X1873" i="1" s="1"/>
  <c r="X1874" i="1" a="1"/>
  <c r="X1874" i="1"/>
  <c r="X1875" i="1" a="1"/>
  <c r="X1875" i="1"/>
  <c r="X1876" i="1" a="1"/>
  <c r="X1876" i="1"/>
  <c r="X1877" i="1" a="1"/>
  <c r="X1877" i="1" s="1"/>
  <c r="X1878" i="1" a="1"/>
  <c r="X1878" i="1"/>
  <c r="X1879" i="1" a="1"/>
  <c r="X1879" i="1" s="1"/>
  <c r="X1880" i="1" a="1"/>
  <c r="X1880" i="1"/>
  <c r="X1881" i="1" a="1"/>
  <c r="X1881" i="1" s="1"/>
  <c r="X1882" i="1" a="1"/>
  <c r="X1882" i="1"/>
  <c r="X1883" i="1" a="1"/>
  <c r="X1883" i="1"/>
  <c r="X1884" i="1" a="1"/>
  <c r="X1884" i="1"/>
  <c r="X1885" i="1" a="1"/>
  <c r="X1885" i="1" s="1"/>
  <c r="X1886" i="1" a="1"/>
  <c r="X1886" i="1"/>
  <c r="X1887" i="1" a="1"/>
  <c r="X1887" i="1"/>
  <c r="X1888" i="1" a="1"/>
  <c r="X1888" i="1" s="1"/>
  <c r="X1889" i="1" a="1"/>
  <c r="X1889" i="1" s="1"/>
  <c r="X1890" i="1" a="1"/>
  <c r="X1890" i="1"/>
  <c r="X1891" i="1" a="1"/>
  <c r="X1891" i="1"/>
  <c r="X1892" i="1" a="1"/>
  <c r="X1892" i="1"/>
  <c r="X1893" i="1" a="1"/>
  <c r="X1893" i="1" s="1"/>
  <c r="X1894" i="1" a="1"/>
  <c r="X1894" i="1"/>
  <c r="X1895" i="1" a="1"/>
  <c r="X1895" i="1"/>
  <c r="X1896" i="1" a="1"/>
  <c r="X1896" i="1"/>
  <c r="X1897" i="1" a="1"/>
  <c r="X1897" i="1" s="1"/>
  <c r="X1898" i="1" a="1"/>
  <c r="X1898" i="1"/>
  <c r="X1899" i="1" a="1"/>
  <c r="X1899" i="1"/>
  <c r="X1900" i="1" a="1"/>
  <c r="X1900" i="1"/>
  <c r="X1901" i="1" a="1"/>
  <c r="X1901" i="1" s="1"/>
  <c r="X1902" i="1" a="1"/>
  <c r="X1902" i="1"/>
  <c r="X1903" i="1" a="1"/>
  <c r="X1903" i="1"/>
  <c r="X1904" i="1" a="1"/>
  <c r="X1904" i="1"/>
  <c r="X1905" i="1" a="1"/>
  <c r="X1905" i="1" s="1"/>
  <c r="X1906" i="1" a="1"/>
  <c r="X1906" i="1"/>
  <c r="X1907" i="1" a="1"/>
  <c r="X1907" i="1"/>
  <c r="X1908" i="1" a="1"/>
  <c r="X1908" i="1"/>
  <c r="X1909" i="1" a="1"/>
  <c r="X1909" i="1" s="1"/>
  <c r="X1910" i="1" a="1"/>
  <c r="X1910" i="1"/>
  <c r="X1911" i="1" a="1"/>
  <c r="X1911" i="1"/>
  <c r="X1912" i="1" a="1"/>
  <c r="X1912" i="1"/>
  <c r="X1913" i="1" a="1"/>
  <c r="X1913" i="1" s="1"/>
  <c r="X1914" i="1" a="1"/>
  <c r="X1914" i="1"/>
  <c r="X1915" i="1" a="1"/>
  <c r="X1915" i="1"/>
  <c r="X1916" i="1" a="1"/>
  <c r="X1916" i="1"/>
  <c r="X1917" i="1" a="1"/>
  <c r="X1917" i="1" s="1"/>
  <c r="X1918" i="1" a="1"/>
  <c r="X1918" i="1"/>
  <c r="X1919" i="1" a="1"/>
  <c r="X1919" i="1" s="1"/>
  <c r="X1920" i="1" a="1"/>
  <c r="X1920" i="1"/>
  <c r="X1921" i="1" a="1"/>
  <c r="X1921" i="1" s="1"/>
  <c r="X1922" i="1" a="1"/>
  <c r="X1922" i="1"/>
  <c r="X1923" i="1" a="1"/>
  <c r="X1923" i="1"/>
  <c r="X1924" i="1" a="1"/>
  <c r="X1924" i="1"/>
  <c r="X1925" i="1" a="1"/>
  <c r="X1925" i="1" s="1"/>
  <c r="X1926" i="1" a="1"/>
  <c r="X1926" i="1"/>
  <c r="X1927" i="1" a="1"/>
  <c r="X1927" i="1" s="1"/>
  <c r="X1928" i="1" a="1"/>
  <c r="X1928" i="1" s="1"/>
  <c r="X1929" i="1" a="1"/>
  <c r="X1929" i="1" s="1"/>
  <c r="X1930" i="1" a="1"/>
  <c r="X1930" i="1"/>
  <c r="X1931" i="1" a="1"/>
  <c r="X1931" i="1"/>
  <c r="X1932" i="1" a="1"/>
  <c r="X1932" i="1"/>
  <c r="X1933" i="1" a="1"/>
  <c r="X1933" i="1" s="1"/>
  <c r="X1934" i="1" a="1"/>
  <c r="X1934" i="1"/>
  <c r="X1935" i="1" a="1"/>
  <c r="X1935" i="1"/>
  <c r="X1936" i="1" a="1"/>
  <c r="X1936" i="1" s="1"/>
  <c r="X1937" i="1" a="1"/>
  <c r="X1937" i="1" s="1"/>
  <c r="X1938" i="1" a="1"/>
  <c r="X1938" i="1"/>
  <c r="X1939" i="1" a="1"/>
  <c r="X1939" i="1"/>
  <c r="X1940" i="1" a="1"/>
  <c r="X1940" i="1"/>
  <c r="X1941" i="1" a="1"/>
  <c r="X1941" i="1" s="1"/>
  <c r="X1942" i="1" a="1"/>
  <c r="X1942" i="1"/>
  <c r="X1943" i="1" a="1"/>
  <c r="X1943" i="1" s="1"/>
  <c r="X1944" i="1" a="1"/>
  <c r="X1944" i="1"/>
  <c r="X1945" i="1" a="1"/>
  <c r="X1945" i="1" s="1"/>
  <c r="X1946" i="1" a="1"/>
  <c r="X1946" i="1"/>
  <c r="X1947" i="1" a="1"/>
  <c r="X1947" i="1"/>
  <c r="X1948" i="1" a="1"/>
  <c r="X1948" i="1"/>
  <c r="X1949" i="1" a="1"/>
  <c r="X1949" i="1" s="1"/>
  <c r="X1950" i="1" a="1"/>
  <c r="X1950" i="1"/>
  <c r="X1951" i="1" a="1"/>
  <c r="X1951" i="1"/>
  <c r="X1952" i="1" a="1"/>
  <c r="X1952" i="1" s="1"/>
  <c r="X1953" i="1" a="1"/>
  <c r="X1953" i="1" s="1"/>
  <c r="X1954" i="1" a="1"/>
  <c r="X1954" i="1"/>
  <c r="X1955" i="1" a="1"/>
  <c r="X1955" i="1"/>
  <c r="X1956" i="1" a="1"/>
  <c r="X1956" i="1"/>
  <c r="X1957" i="1" a="1"/>
  <c r="X1957" i="1" s="1"/>
  <c r="X1958" i="1" a="1"/>
  <c r="X1958" i="1"/>
  <c r="X1959" i="1" a="1"/>
  <c r="X1959" i="1"/>
  <c r="X1960" i="1" a="1"/>
  <c r="X1960" i="1"/>
  <c r="X1961" i="1" a="1"/>
  <c r="X1961" i="1" s="1"/>
  <c r="X1962" i="1" a="1"/>
  <c r="X1962" i="1"/>
  <c r="X1963" i="1" a="1"/>
  <c r="X1963" i="1"/>
  <c r="X1964" i="1" a="1"/>
  <c r="X1964" i="1"/>
  <c r="X1965" i="1" a="1"/>
  <c r="X1965" i="1" s="1"/>
  <c r="X1966" i="1" a="1"/>
  <c r="X1966" i="1"/>
  <c r="X1967" i="1" a="1"/>
  <c r="X1967" i="1" s="1"/>
  <c r="X1968" i="1" a="1"/>
  <c r="X1968" i="1"/>
  <c r="X1969" i="1" a="1"/>
  <c r="X1969" i="1" s="1"/>
  <c r="X1970" i="1" a="1"/>
  <c r="X1970" i="1"/>
  <c r="X1971" i="1" a="1"/>
  <c r="X1971" i="1"/>
  <c r="X1972" i="1" a="1"/>
  <c r="X1972" i="1"/>
  <c r="X1973" i="1" a="1"/>
  <c r="X1973" i="1" s="1"/>
  <c r="X1974" i="1" a="1"/>
  <c r="X1974" i="1"/>
  <c r="X1975" i="1" a="1"/>
  <c r="X1975" i="1"/>
  <c r="X1976" i="1" a="1"/>
  <c r="X1976" i="1" s="1"/>
  <c r="X1977" i="1" a="1"/>
  <c r="X1977" i="1" s="1"/>
  <c r="X1978" i="1" a="1"/>
  <c r="X1978" i="1"/>
  <c r="X1979" i="1" a="1"/>
  <c r="X1979" i="1"/>
  <c r="X1980" i="1" a="1"/>
  <c r="X1980" i="1"/>
  <c r="X1981" i="1" a="1"/>
  <c r="X1981" i="1" s="1"/>
  <c r="X1982" i="1" a="1"/>
  <c r="X1982" i="1"/>
  <c r="X1983" i="1" a="1"/>
  <c r="X1983" i="1" s="1"/>
  <c r="X1984" i="1" a="1"/>
  <c r="X1984" i="1"/>
  <c r="X1985" i="1" a="1"/>
  <c r="X1985" i="1" s="1"/>
  <c r="X1986" i="1" a="1"/>
  <c r="X1986" i="1"/>
  <c r="X1987" i="1" a="1"/>
  <c r="X1987" i="1"/>
  <c r="X1988" i="1" a="1"/>
  <c r="X1988" i="1"/>
  <c r="X1989" i="1" a="1"/>
  <c r="X1989" i="1" s="1"/>
  <c r="X1990" i="1" a="1"/>
  <c r="X1990" i="1"/>
  <c r="X1991" i="1" a="1"/>
  <c r="X1991" i="1" s="1"/>
  <c r="X1992" i="1" a="1"/>
  <c r="X1992" i="1" s="1"/>
  <c r="X1993" i="1" a="1"/>
  <c r="X1993" i="1" s="1"/>
  <c r="X1994" i="1" a="1"/>
  <c r="X1994" i="1"/>
  <c r="X1995" i="1" a="1"/>
  <c r="X1995" i="1"/>
  <c r="X1996" i="1" a="1"/>
  <c r="X1996" i="1"/>
  <c r="X1997" i="1" a="1"/>
  <c r="X1997" i="1" s="1"/>
  <c r="X1998" i="1" a="1"/>
  <c r="X1998" i="1"/>
  <c r="X1999" i="1" a="1"/>
  <c r="X1999" i="1"/>
  <c r="X2000" i="1" a="1"/>
  <c r="X2000" i="1" s="1"/>
  <c r="X2001" i="1" a="1"/>
  <c r="X2001" i="1" s="1"/>
  <c r="X2002" i="1" a="1"/>
  <c r="X2002" i="1" s="1"/>
  <c r="X2003" i="1" a="1"/>
  <c r="X2003" i="1"/>
  <c r="X2004" i="1" a="1"/>
  <c r="X2004" i="1"/>
  <c r="X2005" i="1" a="1"/>
  <c r="X2005" i="1"/>
  <c r="X2006" i="1" a="1"/>
  <c r="X2006" i="1"/>
  <c r="X2007" i="1" a="1"/>
  <c r="X2007" i="1"/>
  <c r="X2008" i="1" a="1"/>
  <c r="X2008" i="1"/>
  <c r="X2009" i="1" a="1"/>
  <c r="X2009" i="1" s="1"/>
  <c r="X2010" i="1" a="1"/>
  <c r="X2010" i="1" s="1"/>
  <c r="X2011" i="1" a="1"/>
  <c r="X2011" i="1"/>
  <c r="X2012" i="1" a="1"/>
  <c r="X2012" i="1"/>
  <c r="X2013" i="1" a="1"/>
  <c r="X2013" i="1"/>
  <c r="X2014" i="1" a="1"/>
  <c r="X2014" i="1" s="1"/>
  <c r="X2015" i="1" a="1"/>
  <c r="X2015" i="1"/>
  <c r="X2016" i="1" a="1"/>
  <c r="X2016" i="1"/>
  <c r="X2017" i="1" a="1"/>
  <c r="X2017" i="1" s="1"/>
  <c r="X2018" i="1" a="1"/>
  <c r="X2018" i="1" s="1"/>
  <c r="X2019" i="1" a="1"/>
  <c r="X2019" i="1"/>
  <c r="X2020" i="1" a="1"/>
  <c r="X2020" i="1"/>
  <c r="X2021" i="1" a="1"/>
  <c r="X2021" i="1"/>
  <c r="X2022" i="1" a="1"/>
  <c r="X2022" i="1"/>
  <c r="X2023" i="1" a="1"/>
  <c r="X2023" i="1"/>
  <c r="X2024" i="1" a="1"/>
  <c r="X2024" i="1" s="1"/>
  <c r="X2025" i="1" a="1"/>
  <c r="X2025" i="1"/>
  <c r="X2026" i="1" a="1"/>
  <c r="X2026" i="1" s="1"/>
  <c r="X2027" i="1" a="1"/>
  <c r="X2027" i="1"/>
  <c r="X2028" i="1" a="1"/>
  <c r="X2028" i="1"/>
  <c r="X2029" i="1" a="1"/>
  <c r="X2029" i="1" s="1"/>
  <c r="X2030" i="1" a="1"/>
  <c r="X2030" i="1"/>
  <c r="X2031" i="1" a="1"/>
  <c r="X2031" i="1" s="1"/>
  <c r="X2032" i="1" a="1"/>
  <c r="X2032" i="1"/>
  <c r="X2033" i="1" a="1"/>
  <c r="X2033" i="1"/>
  <c r="X2034" i="1" a="1"/>
  <c r="X2034" i="1" s="1"/>
  <c r="X2035" i="1" a="1"/>
  <c r="X2035" i="1"/>
  <c r="X2036" i="1" a="1"/>
  <c r="X2036" i="1"/>
  <c r="X2037" i="1" a="1"/>
  <c r="X2037" i="1" s="1"/>
  <c r="X2038" i="1" a="1"/>
  <c r="X2038" i="1"/>
  <c r="X2039" i="1" a="1"/>
  <c r="X2039" i="1"/>
  <c r="X2040" i="1" a="1"/>
  <c r="X2040" i="1"/>
  <c r="X2041" i="1" a="1"/>
  <c r="X2041" i="1"/>
  <c r="X2042" i="1" a="1"/>
  <c r="X2042" i="1" s="1"/>
  <c r="X2043" i="1" a="1"/>
  <c r="X2043" i="1"/>
  <c r="X2044" i="1" a="1"/>
  <c r="X2044" i="1"/>
  <c r="X2045" i="1" a="1"/>
  <c r="X2045" i="1" s="1"/>
  <c r="X2046" i="1" a="1"/>
  <c r="X2046" i="1" s="1"/>
  <c r="X2047" i="1" a="1"/>
  <c r="X2047" i="1" s="1"/>
  <c r="X2048" i="1" a="1"/>
  <c r="X2048" i="1" s="1"/>
  <c r="X2049" i="1" a="1"/>
  <c r="X2049" i="1"/>
  <c r="X2050" i="1" a="1"/>
  <c r="X2050" i="1" s="1"/>
  <c r="X2051" i="1" a="1"/>
  <c r="X2051" i="1"/>
  <c r="X2052" i="1" a="1"/>
  <c r="X2052" i="1"/>
  <c r="X2053" i="1" a="1"/>
  <c r="X2053" i="1"/>
  <c r="X2054" i="1" a="1"/>
  <c r="X2054" i="1" s="1"/>
  <c r="X2055" i="1" a="1"/>
  <c r="X2055" i="1"/>
  <c r="X2056" i="1" a="1"/>
  <c r="X2056" i="1"/>
  <c r="X2057" i="1" a="1"/>
  <c r="X2057" i="1"/>
  <c r="X2058" i="1" a="1"/>
  <c r="X2058" i="1" s="1"/>
  <c r="X2059" i="1" a="1"/>
  <c r="X2059" i="1"/>
  <c r="X2060" i="1" a="1"/>
  <c r="X2060" i="1"/>
  <c r="X2061" i="1" a="1"/>
  <c r="X2061" i="1" s="1"/>
  <c r="X2062" i="1" a="1"/>
  <c r="X2062" i="1"/>
  <c r="X2063" i="1" a="1"/>
  <c r="X2063" i="1" s="1"/>
  <c r="X2064" i="1" a="1"/>
  <c r="X2064" i="1"/>
  <c r="X2065" i="1" a="1"/>
  <c r="X2065" i="1" s="1"/>
  <c r="X2066" i="1" a="1"/>
  <c r="X2066" i="1" s="1"/>
  <c r="X2067" i="1" a="1"/>
  <c r="X2067" i="1"/>
  <c r="X2068" i="1" a="1"/>
  <c r="X2068" i="1"/>
  <c r="X2069" i="1" a="1"/>
  <c r="X2069" i="1"/>
  <c r="X2070" i="1" a="1"/>
  <c r="X2070" i="1"/>
  <c r="X2071" i="1" a="1"/>
  <c r="X2071" i="1" s="1"/>
  <c r="X2072" i="1" a="1"/>
  <c r="X2072" i="1"/>
  <c r="X2073" i="1" a="1"/>
  <c r="X2073" i="1" s="1"/>
  <c r="X2074" i="1" a="1"/>
  <c r="X2074" i="1" s="1"/>
  <c r="X2075" i="1" a="1"/>
  <c r="X2075" i="1"/>
  <c r="X2076" i="1" a="1"/>
  <c r="X2076" i="1"/>
  <c r="X2077" i="1" a="1"/>
  <c r="X2077" i="1"/>
  <c r="X2078" i="1" a="1"/>
  <c r="X2078" i="1" s="1"/>
  <c r="X2079" i="1" a="1"/>
  <c r="X2079" i="1"/>
  <c r="X2080" i="1" a="1"/>
  <c r="X2080" i="1" s="1"/>
  <c r="X2081" i="1" a="1"/>
  <c r="X2081" i="1"/>
  <c r="X2082" i="1" a="1"/>
  <c r="X2082" i="1" s="1"/>
  <c r="X2083" i="1" a="1"/>
  <c r="X2083" i="1"/>
  <c r="X2084" i="1" a="1"/>
  <c r="X2084" i="1" s="1"/>
  <c r="X2085" i="1" a="1"/>
  <c r="X2085" i="1"/>
  <c r="X2086" i="1" a="1"/>
  <c r="X2086" i="1"/>
  <c r="X2087" i="1" a="1"/>
  <c r="X2087" i="1"/>
  <c r="X2088" i="1" a="1"/>
  <c r="X2088" i="1" s="1"/>
  <c r="X2089" i="1" a="1"/>
  <c r="X2089" i="1"/>
  <c r="X2090" i="1" a="1"/>
  <c r="X2090" i="1" s="1"/>
  <c r="X2091" i="1" a="1"/>
  <c r="X2091" i="1"/>
  <c r="X2092" i="1" a="1"/>
  <c r="X2092" i="1"/>
  <c r="X2093" i="1" a="1"/>
  <c r="X2093" i="1" s="1"/>
  <c r="X2094" i="1" a="1"/>
  <c r="X2094" i="1"/>
  <c r="X2095" i="1" a="1"/>
  <c r="X2095" i="1" s="1"/>
  <c r="X2096" i="1" a="1"/>
  <c r="X2096" i="1"/>
  <c r="X2097" i="1" a="1"/>
  <c r="X2097" i="1" s="1"/>
  <c r="X2098" i="1" a="1"/>
  <c r="X2098" i="1" s="1"/>
  <c r="X2099" i="1" a="1"/>
  <c r="X2099" i="1"/>
  <c r="X2100" i="1" a="1"/>
  <c r="X2100" i="1"/>
  <c r="X2101" i="1" a="1"/>
  <c r="X2101" i="1"/>
  <c r="X2102" i="1" a="1"/>
  <c r="X2102" i="1"/>
  <c r="X2103" i="1" a="1"/>
  <c r="X2103" i="1" s="1"/>
  <c r="X2104" i="1" a="1"/>
  <c r="X2104" i="1"/>
  <c r="X2105" i="1" a="1"/>
  <c r="X2105" i="1" s="1"/>
  <c r="X2106" i="1" a="1"/>
  <c r="X2106" i="1" s="1"/>
  <c r="X2107" i="1" a="1"/>
  <c r="X2107" i="1"/>
  <c r="X2108" i="1" a="1"/>
  <c r="X2108" i="1" s="1"/>
  <c r="X2109" i="1" a="1"/>
  <c r="X2109" i="1"/>
  <c r="X2110" i="1" a="1"/>
  <c r="X2110" i="1"/>
  <c r="X2111" i="1" a="1"/>
  <c r="X2111" i="1"/>
  <c r="X2112" i="1" a="1"/>
  <c r="X2112" i="1" s="1"/>
  <c r="X2113" i="1" a="1"/>
  <c r="X2113" i="1" s="1"/>
  <c r="X2114" i="1" a="1"/>
  <c r="X2114" i="1" s="1"/>
  <c r="X2115" i="1" a="1"/>
  <c r="X2115" i="1"/>
  <c r="X2116" i="1" a="1"/>
  <c r="X2116" i="1"/>
  <c r="X2117" i="1" a="1"/>
  <c r="X2117" i="1"/>
  <c r="X2118" i="1" a="1"/>
  <c r="X2118" i="1"/>
  <c r="X2119" i="1" a="1"/>
  <c r="X2119" i="1"/>
  <c r="X2120" i="1" a="1"/>
  <c r="X2120" i="1"/>
  <c r="X2121" i="1" a="1"/>
  <c r="X2121" i="1"/>
  <c r="X2122" i="1" a="1"/>
  <c r="X2122" i="1" s="1"/>
  <c r="X2123" i="1" a="1"/>
  <c r="X2123" i="1"/>
  <c r="X2124" i="1" a="1"/>
  <c r="X2124" i="1"/>
  <c r="X2125" i="1" a="1"/>
  <c r="X2125" i="1" s="1"/>
  <c r="X2126" i="1" a="1"/>
  <c r="X2126" i="1"/>
  <c r="X2127" i="1" a="1"/>
  <c r="X2127" i="1"/>
  <c r="X2128" i="1" a="1"/>
  <c r="X2128" i="1"/>
  <c r="X2129" i="1" a="1"/>
  <c r="X2129" i="1" s="1"/>
  <c r="X2130" i="1" a="1"/>
  <c r="X2130" i="1" s="1"/>
  <c r="X2131" i="1" a="1"/>
  <c r="X2131" i="1"/>
  <c r="X2132" i="1" a="1"/>
  <c r="X2132" i="1"/>
  <c r="X2133" i="1" a="1"/>
  <c r="X2133" i="1"/>
  <c r="X2134" i="1" a="1"/>
  <c r="X2134" i="1"/>
  <c r="X2135" i="1" a="1"/>
  <c r="X2135" i="1" s="1"/>
  <c r="X2136" i="1" a="1"/>
  <c r="X2136" i="1"/>
  <c r="X2137" i="1" a="1"/>
  <c r="X2137" i="1"/>
  <c r="X2138" i="1" a="1"/>
  <c r="X2138" i="1" s="1"/>
  <c r="X2139" i="1" a="1"/>
  <c r="X2139" i="1"/>
  <c r="X2140" i="1" a="1"/>
  <c r="X2140" i="1" s="1"/>
  <c r="X2141" i="1" a="1"/>
  <c r="X2141" i="1"/>
  <c r="X2142" i="1" a="1"/>
  <c r="X2142" i="1" s="1"/>
  <c r="X2143" i="1" a="1"/>
  <c r="X2143" i="1"/>
  <c r="X2144" i="1" a="1"/>
  <c r="X2144" i="1"/>
  <c r="X2145" i="1" a="1"/>
  <c r="X2145" i="1"/>
  <c r="X2146" i="1" a="1"/>
  <c r="X2146" i="1" s="1"/>
  <c r="X2147" i="1" a="1"/>
  <c r="X2147" i="1"/>
  <c r="X2148" i="1" a="1"/>
  <c r="X2148" i="1" s="1"/>
  <c r="X2149" i="1" a="1"/>
  <c r="X2149" i="1"/>
  <c r="X2150" i="1" a="1"/>
  <c r="X2150" i="1" s="1"/>
  <c r="X2151" i="1" a="1"/>
  <c r="X2151" i="1"/>
  <c r="X2152" i="1" a="1"/>
  <c r="X2152" i="1"/>
  <c r="X2153" i="1" a="1"/>
  <c r="X2153" i="1"/>
  <c r="X2154" i="1" a="1"/>
  <c r="X2154" i="1" s="1"/>
  <c r="X2155" i="1" a="1"/>
  <c r="X2155" i="1"/>
  <c r="X2156" i="1" a="1"/>
  <c r="X2156" i="1"/>
  <c r="X2157" i="1" a="1"/>
  <c r="X2157" i="1" s="1"/>
  <c r="X2158" i="1" a="1"/>
  <c r="X2158" i="1"/>
  <c r="X2159" i="1" a="1"/>
  <c r="X2159" i="1" s="1"/>
  <c r="X2160" i="1" a="1"/>
  <c r="X2160" i="1"/>
  <c r="X2161" i="1" a="1"/>
  <c r="X2161" i="1"/>
  <c r="X2162" i="1" a="1"/>
  <c r="X2162" i="1" s="1"/>
  <c r="X2163" i="1" a="1"/>
  <c r="X2163" i="1"/>
  <c r="X2164" i="1" a="1"/>
  <c r="X2164" i="1"/>
  <c r="X2165" i="1" a="1"/>
  <c r="X2165" i="1" s="1"/>
  <c r="X2166" i="1" a="1"/>
  <c r="X2166" i="1"/>
  <c r="X2167" i="1" a="1"/>
  <c r="X2167" i="1"/>
  <c r="X2168" i="1" a="1"/>
  <c r="X2168" i="1"/>
  <c r="X2169" i="1" a="1"/>
  <c r="X2169" i="1"/>
  <c r="X2170" i="1" a="1"/>
  <c r="X2170" i="1" s="1"/>
  <c r="X2171" i="1" a="1"/>
  <c r="X2171" i="1"/>
  <c r="X2172" i="1" a="1"/>
  <c r="X2172" i="1" s="1"/>
  <c r="X2173" i="1" a="1"/>
  <c r="X2173" i="1" s="1"/>
  <c r="X2174" i="1" a="1"/>
  <c r="X2174" i="1" s="1"/>
  <c r="X2175" i="1" a="1"/>
  <c r="X2175" i="1"/>
  <c r="X2176" i="1" a="1"/>
  <c r="X2176" i="1" s="1"/>
  <c r="X2177" i="1" a="1"/>
  <c r="X2177" i="1"/>
  <c r="X2178" i="1" a="1"/>
  <c r="X2178" i="1" s="1"/>
  <c r="X2179" i="1" a="1"/>
  <c r="X2179" i="1"/>
  <c r="X2180" i="1" a="1"/>
  <c r="X2180" i="1"/>
  <c r="X2181" i="1" a="1"/>
  <c r="X2181" i="1"/>
  <c r="X2182" i="1" a="1"/>
  <c r="X2182" i="1" s="1"/>
  <c r="X2183" i="1" a="1"/>
  <c r="X2183" i="1"/>
  <c r="X2184" i="1" a="1"/>
  <c r="X2184" i="1"/>
  <c r="X2185" i="1" a="1"/>
  <c r="X2185" i="1"/>
  <c r="X2186" i="1" a="1"/>
  <c r="X2186" i="1" s="1"/>
  <c r="X2187" i="1" a="1"/>
  <c r="X2187" i="1"/>
  <c r="X2188" i="1" a="1"/>
  <c r="X2188" i="1" s="1"/>
  <c r="X2189" i="1" a="1"/>
  <c r="X2189" i="1" s="1"/>
  <c r="X2190" i="1" a="1"/>
  <c r="X2190" i="1"/>
  <c r="X2191" i="1" a="1"/>
  <c r="X2191" i="1" s="1"/>
  <c r="X2192" i="1" a="1"/>
  <c r="X2192" i="1" s="1"/>
  <c r="X2193" i="1" a="1"/>
  <c r="X2193" i="1" s="1"/>
  <c r="X2194" i="1" a="1"/>
  <c r="X2194" i="1" s="1"/>
  <c r="X2195" i="1" a="1"/>
  <c r="X2195" i="1"/>
  <c r="X2196" i="1" a="1"/>
  <c r="X2196" i="1"/>
  <c r="X2197" i="1" a="1"/>
  <c r="X2197" i="1"/>
  <c r="X2198" i="1" a="1"/>
  <c r="X2198" i="1"/>
  <c r="X2199" i="1" a="1"/>
  <c r="X2199" i="1" s="1"/>
  <c r="X2200" i="1" a="1"/>
  <c r="X2200" i="1"/>
  <c r="X2201" i="1" a="1"/>
  <c r="X2201" i="1"/>
  <c r="X2202" i="1" a="1"/>
  <c r="X2202" i="1" s="1"/>
  <c r="X2203" i="1" a="1"/>
  <c r="X2203" i="1"/>
  <c r="X2204" i="1" a="1"/>
  <c r="X2204" i="1"/>
  <c r="X2205" i="1" a="1"/>
  <c r="X2205" i="1"/>
  <c r="X2206" i="1" a="1"/>
  <c r="X2206" i="1" s="1"/>
  <c r="X2207" i="1" a="1"/>
  <c r="X2207" i="1" s="1"/>
  <c r="X2208" i="1" a="1"/>
  <c r="X2208" i="1" s="1"/>
  <c r="X2209" i="1" a="1"/>
  <c r="X2209" i="1"/>
  <c r="X2210" i="1" a="1"/>
  <c r="X2210" i="1" s="1"/>
  <c r="X2211" i="1" a="1"/>
  <c r="X2211" i="1"/>
  <c r="X2212" i="1" a="1"/>
  <c r="X2212" i="1" s="1"/>
  <c r="X2213" i="1" a="1"/>
  <c r="X2213" i="1" s="1"/>
  <c r="X2214" i="1" a="1"/>
  <c r="X2214" i="1"/>
  <c r="X2215" i="1" a="1"/>
  <c r="X2215" i="1"/>
  <c r="X2216" i="1" a="1"/>
  <c r="X2216" i="1" s="1"/>
  <c r="X2217" i="1" a="1"/>
  <c r="X2217" i="1"/>
  <c r="X2218" i="1" a="1"/>
  <c r="X2218" i="1" s="1"/>
  <c r="X2219" i="1" a="1"/>
  <c r="X2219" i="1" s="1"/>
  <c r="X2220" i="1" a="1"/>
  <c r="X2220" i="1"/>
  <c r="X2221" i="1" a="1"/>
  <c r="X2221" i="1"/>
  <c r="X2222" i="1" a="1"/>
  <c r="X2222" i="1"/>
  <c r="X2223" i="1" a="1"/>
  <c r="X2223" i="1" s="1"/>
  <c r="X2224" i="1" a="1"/>
  <c r="X2224" i="1"/>
  <c r="X2225" i="1" a="1"/>
  <c r="X2225" i="1" s="1"/>
  <c r="X2226" i="1" a="1"/>
  <c r="X2226" i="1" s="1"/>
  <c r="X2227" i="1" a="1"/>
  <c r="X2227" i="1" s="1"/>
  <c r="X2228" i="1" a="1"/>
  <c r="X2228" i="1"/>
  <c r="X2229" i="1" a="1"/>
  <c r="X2229" i="1"/>
  <c r="X2230" i="1" a="1"/>
  <c r="X2230" i="1" s="1"/>
  <c r="X2231" i="1" a="1"/>
  <c r="X2231" i="1"/>
  <c r="X2232" i="1" a="1"/>
  <c r="X2232" i="1"/>
  <c r="X2233" i="1" a="1"/>
  <c r="X2233" i="1" s="1"/>
  <c r="X2234" i="1" a="1"/>
  <c r="X2234" i="1" s="1"/>
  <c r="X2235" i="1" a="1"/>
  <c r="X2235" i="1"/>
  <c r="X2236" i="1" a="1"/>
  <c r="X2236" i="1" s="1"/>
  <c r="X2237" i="1" a="1"/>
  <c r="X2237" i="1" s="1"/>
  <c r="X2238" i="1" a="1"/>
  <c r="X2238" i="1"/>
  <c r="X2239" i="1" a="1"/>
  <c r="X2239" i="1"/>
  <c r="X2240" i="1" a="1"/>
  <c r="X2240" i="1" s="1"/>
  <c r="X2241" i="1" a="1"/>
  <c r="X2241" i="1"/>
  <c r="X2242" i="1" a="1"/>
  <c r="X2242" i="1" s="1"/>
  <c r="X2243" i="1" a="1"/>
  <c r="X2243" i="1"/>
  <c r="X2244" i="1" a="1"/>
  <c r="X2244" i="1"/>
  <c r="X2245" i="1" a="1"/>
  <c r="X2245" i="1"/>
  <c r="X2246" i="1" a="1"/>
  <c r="X2246" i="1" s="1"/>
  <c r="X2247" i="1" a="1"/>
  <c r="X2247" i="1" s="1"/>
  <c r="X2248" i="1" a="1"/>
  <c r="X2248" i="1"/>
  <c r="X2249" i="1" a="1"/>
  <c r="X2249" i="1"/>
  <c r="X2250" i="1" a="1"/>
  <c r="X2250" i="1" s="1"/>
  <c r="X2251" i="1" a="1"/>
  <c r="X2251" i="1" s="1"/>
  <c r="X2252" i="1" a="1"/>
  <c r="X2252" i="1"/>
  <c r="X2253" i="1" a="1"/>
  <c r="X2253" i="1" s="1"/>
  <c r="X2254" i="1" a="1"/>
  <c r="X2254" i="1"/>
  <c r="X2255" i="1" a="1"/>
  <c r="X2255" i="1" s="1"/>
  <c r="X2256" i="1" a="1"/>
  <c r="X2256" i="1"/>
  <c r="X2257" i="1" a="1"/>
  <c r="X2257" i="1" s="1"/>
  <c r="X2258" i="1" a="1"/>
  <c r="X2258" i="1" s="1"/>
  <c r="X2259" i="1" a="1"/>
  <c r="X2259" i="1" s="1"/>
  <c r="X2260" i="1" a="1"/>
  <c r="X2260" i="1"/>
  <c r="X2261" i="1" a="1"/>
  <c r="X2261" i="1"/>
  <c r="X2262" i="1" a="1"/>
  <c r="X2262" i="1"/>
  <c r="X2263" i="1" a="1"/>
  <c r="X2263" i="1" s="1"/>
  <c r="X2264" i="1" a="1"/>
  <c r="X2264" i="1" s="1"/>
  <c r="X2265" i="1" a="1"/>
  <c r="X2265" i="1" s="1"/>
  <c r="X2266" i="1" a="1"/>
  <c r="X2266" i="1" s="1"/>
  <c r="X2267" i="1" a="1"/>
  <c r="X2267" i="1"/>
  <c r="X2268" i="1" a="1"/>
  <c r="X2268" i="1" s="1"/>
  <c r="X2269" i="1" a="1"/>
  <c r="X2269" i="1"/>
  <c r="X2270" i="1" a="1"/>
  <c r="X2270" i="1" s="1"/>
  <c r="X2271" i="1" a="1"/>
  <c r="X2271" i="1"/>
  <c r="X2272" i="1" a="1"/>
  <c r="X2272" i="1"/>
  <c r="X2273" i="1" a="1"/>
  <c r="X2273" i="1" s="1"/>
  <c r="X2274" i="1" a="1"/>
  <c r="X2274" i="1" s="1"/>
  <c r="X2275" i="1" a="1"/>
  <c r="X2275" i="1"/>
  <c r="X2276" i="1" a="1"/>
  <c r="X2276" i="1" s="1"/>
  <c r="X2277" i="1" a="1"/>
  <c r="X2277" i="1"/>
  <c r="X2278" i="1" a="1"/>
  <c r="X2278" i="1"/>
  <c r="X2279" i="1" a="1"/>
  <c r="X2279" i="1"/>
  <c r="X2280" i="1" a="1"/>
  <c r="X2280" i="1"/>
  <c r="X2281" i="1" a="1"/>
  <c r="X2281" i="1"/>
  <c r="X2282" i="1" a="1"/>
  <c r="X2282" i="1" s="1"/>
  <c r="X2283" i="1" a="1"/>
  <c r="X2283" i="1" s="1"/>
  <c r="X2284" i="1" a="1"/>
  <c r="X2284" i="1" s="1"/>
  <c r="X2285" i="1" a="1"/>
  <c r="X2285" i="1" s="1"/>
  <c r="X2286" i="1" a="1"/>
  <c r="X2286" i="1" s="1"/>
  <c r="X2287" i="1" a="1"/>
  <c r="X2287" i="1" s="1"/>
  <c r="X2288" i="1" a="1"/>
  <c r="X2288" i="1"/>
  <c r="X2289" i="1" a="1"/>
  <c r="X2289" i="1"/>
  <c r="X2290" i="1" a="1"/>
  <c r="X2290" i="1" s="1"/>
  <c r="X2291" i="1" a="1"/>
  <c r="X2291" i="1"/>
  <c r="X2292" i="1" a="1"/>
  <c r="X2292" i="1"/>
  <c r="X2293" i="1" a="1"/>
  <c r="X2293" i="1" s="1"/>
  <c r="X2294" i="1" a="1"/>
  <c r="X2294" i="1"/>
  <c r="X2295" i="1" a="1"/>
  <c r="X2295" i="1"/>
  <c r="X2296" i="1" a="1"/>
  <c r="X2296" i="1"/>
  <c r="X2297" i="1" a="1"/>
  <c r="X2297" i="1"/>
  <c r="X2298" i="1" a="1"/>
  <c r="X2298" i="1" s="1"/>
  <c r="X2299" i="1" a="1"/>
  <c r="X2299" i="1"/>
  <c r="X2300" i="1" a="1"/>
  <c r="X2300" i="1" s="1"/>
  <c r="X2301" i="1" a="1"/>
  <c r="X2301" i="1"/>
  <c r="X2302" i="1" a="1"/>
  <c r="X2302" i="1" s="1"/>
  <c r="X2303" i="1" a="1"/>
  <c r="X2303" i="1"/>
  <c r="X2304" i="1" a="1"/>
  <c r="X2304" i="1" s="1"/>
  <c r="X2305" i="1" a="1"/>
  <c r="X2305" i="1"/>
  <c r="X2306" i="1" a="1"/>
  <c r="X2306" i="1" s="1"/>
  <c r="X2307" i="1" a="1"/>
  <c r="X2307" i="1"/>
  <c r="X2308" i="1" a="1"/>
  <c r="X2308" i="1"/>
  <c r="X2309" i="1" a="1"/>
  <c r="X2309" i="1"/>
  <c r="X2310" i="1" a="1"/>
  <c r="X2310" i="1" s="1"/>
  <c r="X2311" i="1" a="1"/>
  <c r="X2311" i="1"/>
  <c r="X2312" i="1" a="1"/>
  <c r="X2312" i="1"/>
  <c r="X2313" i="1" a="1"/>
  <c r="X2313" i="1"/>
  <c r="X2314" i="1" a="1"/>
  <c r="X2314" i="1" s="1"/>
  <c r="X2315" i="1" a="1"/>
  <c r="X2315" i="1" s="1"/>
  <c r="X2316" i="1" a="1"/>
  <c r="X2316" i="1"/>
  <c r="X2317" i="1" a="1"/>
  <c r="X2317" i="1" s="1"/>
  <c r="X2318" i="1" a="1"/>
  <c r="X2318" i="1"/>
  <c r="X2319" i="1" a="1"/>
  <c r="X2319" i="1" s="1"/>
  <c r="X2320" i="1" a="1"/>
  <c r="X2320" i="1"/>
  <c r="X2321" i="1" a="1"/>
  <c r="X2321" i="1" s="1"/>
  <c r="X2322" i="1" a="1"/>
  <c r="X2322" i="1" s="1"/>
  <c r="X2323" i="1" a="1"/>
  <c r="X2323" i="1"/>
  <c r="X2324" i="1" a="1"/>
  <c r="X2324" i="1" s="1"/>
  <c r="X2325" i="1" a="1"/>
  <c r="X2325" i="1" s="1"/>
  <c r="X2326" i="1" a="1"/>
  <c r="X2326" i="1"/>
  <c r="X2327" i="1" a="1"/>
  <c r="X2327" i="1" s="1"/>
  <c r="X2328" i="1" a="1"/>
  <c r="X2328" i="1"/>
  <c r="X2329" i="1" a="1"/>
  <c r="X2329" i="1"/>
  <c r="X2330" i="1" a="1"/>
  <c r="X2330" i="1" s="1"/>
  <c r="X2331" i="1" a="1"/>
  <c r="X2331" i="1"/>
  <c r="X2332" i="1" a="1"/>
  <c r="X2332" i="1"/>
  <c r="X2333" i="1" a="1"/>
  <c r="X2333" i="1" s="1"/>
  <c r="X2334" i="1" a="1"/>
  <c r="X2334" i="1" s="1"/>
  <c r="X2335" i="1" a="1"/>
  <c r="X2335" i="1"/>
  <c r="X2336" i="1" a="1"/>
  <c r="X2336" i="1" s="1"/>
  <c r="X2337" i="1" a="1"/>
  <c r="X2337" i="1" s="1"/>
  <c r="X2338" i="1" a="1"/>
  <c r="X2338" i="1" s="1"/>
  <c r="X2339" i="1" a="1"/>
  <c r="X2339" i="1"/>
  <c r="X2340" i="1" a="1"/>
  <c r="X2340" i="1"/>
  <c r="X2341" i="1" a="1"/>
  <c r="X2341" i="1"/>
  <c r="X2342" i="1" a="1"/>
  <c r="X2342" i="1" s="1"/>
  <c r="X2343" i="1" a="1"/>
  <c r="X2343" i="1"/>
  <c r="X2344" i="1" a="1"/>
  <c r="X2344" i="1" s="1"/>
  <c r="X2345" i="1" a="1"/>
  <c r="X2345" i="1"/>
  <c r="X2346" i="1" a="1"/>
  <c r="X2346" i="1" s="1"/>
  <c r="X2347" i="1" a="1"/>
  <c r="X2347" i="1" s="1"/>
  <c r="X2348" i="1" a="1"/>
  <c r="X2348" i="1"/>
  <c r="X2349" i="1" a="1"/>
  <c r="X2349" i="1"/>
  <c r="X2350" i="1" a="1"/>
  <c r="X2350" i="1"/>
  <c r="X2351" i="1" a="1"/>
  <c r="X2351" i="1" s="1"/>
  <c r="X2352" i="1" a="1"/>
  <c r="X2352" i="1" s="1"/>
  <c r="X2353" i="1" a="1"/>
  <c r="X2353" i="1" s="1"/>
  <c r="X2354" i="1" a="1"/>
  <c r="X2354" i="1" s="1"/>
  <c r="X2355" i="1" a="1"/>
  <c r="X2355" i="1"/>
  <c r="X2356" i="1" a="1"/>
  <c r="X2356" i="1"/>
  <c r="X2357" i="1" a="1"/>
  <c r="X2357" i="1"/>
  <c r="X2358" i="1" a="1"/>
  <c r="X2358" i="1"/>
  <c r="X2359" i="1" a="1"/>
  <c r="X2359" i="1"/>
  <c r="X2360" i="1" a="1"/>
  <c r="X2360" i="1"/>
  <c r="X2361" i="1" a="1"/>
  <c r="X2361" i="1" s="1"/>
  <c r="X2362" i="1" a="1"/>
  <c r="X2362" i="1" s="1"/>
  <c r="X2363" i="1" a="1"/>
  <c r="X2363" i="1"/>
  <c r="X2364" i="1" a="1"/>
  <c r="X2364" i="1" s="1"/>
  <c r="X2365" i="1" a="1"/>
  <c r="X2365" i="1"/>
  <c r="X2366" i="1" a="1"/>
  <c r="X2366" i="1"/>
  <c r="X2367" i="1" a="1"/>
  <c r="X2367" i="1" s="1"/>
  <c r="X2368" i="1" a="1"/>
  <c r="X2368" i="1" s="1"/>
  <c r="X2369" i="1" a="1"/>
  <c r="X2369" i="1"/>
  <c r="X2370" i="1" a="1"/>
  <c r="X2370" i="1" s="1"/>
  <c r="X2371" i="1" a="1"/>
  <c r="X2371" i="1"/>
  <c r="X2372" i="1" a="1"/>
  <c r="X2372" i="1" s="1"/>
  <c r="X2373" i="1" a="1"/>
  <c r="X2373" i="1"/>
  <c r="X2374" i="1" a="1"/>
  <c r="X2374" i="1"/>
  <c r="X2375" i="1" a="1"/>
  <c r="X2375" i="1" s="1"/>
  <c r="X2376" i="1" a="1"/>
  <c r="X2376" i="1"/>
  <c r="X2377" i="1" a="1"/>
  <c r="X2377" i="1"/>
  <c r="X2378" i="1" a="1"/>
  <c r="X2378" i="1" s="1"/>
  <c r="X2379" i="1" a="1"/>
  <c r="X2379" i="1" s="1"/>
  <c r="X2380" i="1" a="1"/>
  <c r="X2380" i="1"/>
  <c r="X2381" i="1" a="1"/>
  <c r="X2381" i="1" s="1"/>
  <c r="X2382" i="1" a="1"/>
  <c r="X2382" i="1"/>
  <c r="X2383" i="1" a="1"/>
  <c r="X2383" i="1"/>
  <c r="X2384" i="1" a="1"/>
  <c r="X2384" i="1"/>
  <c r="X2385" i="1" a="1"/>
  <c r="X2385" i="1" s="1"/>
  <c r="X2386" i="1" a="1"/>
  <c r="X2386" i="1" s="1"/>
  <c r="X2387" i="1" a="1"/>
  <c r="X2387" i="1" s="1"/>
  <c r="X2388" i="1" a="1"/>
  <c r="X2388" i="1"/>
  <c r="X2389" i="1" a="1"/>
  <c r="X2389" i="1"/>
  <c r="X2390" i="1" a="1"/>
  <c r="X2390" i="1"/>
  <c r="X2391" i="1" a="1"/>
  <c r="X2391" i="1" s="1"/>
  <c r="X2392" i="1" a="1"/>
  <c r="X2392" i="1"/>
  <c r="X2393" i="1" a="1"/>
  <c r="X2393" i="1"/>
  <c r="X2394" i="1" a="1"/>
  <c r="X2394" i="1" s="1"/>
  <c r="X2395" i="1" a="1"/>
  <c r="X2395" i="1" s="1"/>
  <c r="X2396" i="1" a="1"/>
  <c r="X2396" i="1" s="1"/>
  <c r="X2397" i="1" a="1"/>
  <c r="X2397" i="1" s="1"/>
  <c r="X2398" i="1" a="1"/>
  <c r="X2398" i="1" s="1"/>
  <c r="X2399" i="1" a="1"/>
  <c r="X2399" i="1"/>
  <c r="X2400" i="1" a="1"/>
  <c r="X2400" i="1" s="1"/>
  <c r="X2401" i="1" a="1"/>
  <c r="X2401" i="1"/>
  <c r="X2402" i="1" a="1"/>
  <c r="X2402" i="1" s="1"/>
  <c r="X2403" i="1" a="1"/>
  <c r="X2403" i="1"/>
  <c r="X2404" i="1" a="1"/>
  <c r="X2404" i="1" s="1"/>
  <c r="X2405" i="1" a="1"/>
  <c r="X2405" i="1"/>
  <c r="X2406" i="1" a="1"/>
  <c r="X2406" i="1"/>
  <c r="X2407" i="1" a="1"/>
  <c r="X2407" i="1"/>
  <c r="X2408" i="1" a="1"/>
  <c r="X2408" i="1"/>
  <c r="X2409" i="1" a="1"/>
  <c r="X2409" i="1" s="1"/>
  <c r="X2410" i="1" a="1"/>
  <c r="X2410" i="1" s="1"/>
  <c r="X2411" i="1" a="1"/>
  <c r="X2411" i="1" s="1"/>
  <c r="X2412" i="1" a="1"/>
  <c r="X2412" i="1"/>
  <c r="X2413" i="1" a="1"/>
  <c r="X2413" i="1" s="1"/>
  <c r="X2414" i="1" a="1"/>
  <c r="X2414" i="1" s="1"/>
  <c r="X2415" i="1" a="1"/>
  <c r="X2415" i="1" s="1"/>
  <c r="X2416" i="1" a="1"/>
  <c r="X2416" i="1" s="1"/>
  <c r="X2417" i="1" a="1"/>
  <c r="X2417" i="1"/>
  <c r="X2418" i="1" a="1"/>
  <c r="X2418" i="1" s="1"/>
  <c r="X2419" i="1" a="1"/>
  <c r="X2419" i="1"/>
  <c r="X2420" i="1" a="1"/>
  <c r="X2420" i="1"/>
  <c r="X2421" i="1" a="1"/>
  <c r="X2421" i="1" s="1"/>
  <c r="X2422" i="1" a="1"/>
  <c r="X2422" i="1"/>
  <c r="X2423" i="1" a="1"/>
  <c r="X2423" i="1"/>
  <c r="X2424" i="1" a="1"/>
  <c r="X2424" i="1"/>
  <c r="X2425" i="1" a="1"/>
  <c r="X2425" i="1" s="1"/>
  <c r="X2426" i="1" a="1"/>
  <c r="X2426" i="1" s="1"/>
  <c r="X2427" i="1" a="1"/>
  <c r="X2427" i="1" s="1"/>
  <c r="X2428" i="1" a="1"/>
  <c r="X2428" i="1" s="1"/>
  <c r="X2429" i="1" a="1"/>
  <c r="X2429" i="1" s="1"/>
  <c r="X2430" i="1" a="1"/>
  <c r="X2430" i="1" s="1"/>
  <c r="X2431" i="1" a="1"/>
  <c r="X2431" i="1" s="1"/>
  <c r="X2432" i="1" a="1"/>
  <c r="X2432" i="1" s="1"/>
  <c r="X2433" i="1" a="1"/>
  <c r="X2433" i="1"/>
  <c r="X2434" i="1" a="1"/>
  <c r="X2434" i="1" s="1"/>
  <c r="X2435" i="1" a="1"/>
  <c r="X2435" i="1" s="1"/>
  <c r="X2436" i="1" a="1"/>
  <c r="X2436" i="1"/>
  <c r="X2437" i="1" a="1"/>
  <c r="X2437" i="1"/>
  <c r="X2438" i="1" a="1"/>
  <c r="X2438" i="1" s="1"/>
  <c r="X2439" i="1" a="1"/>
  <c r="X2439" i="1"/>
  <c r="X2440" i="1" a="1"/>
  <c r="X2440" i="1"/>
  <c r="X2441" i="1" a="1"/>
  <c r="X2441" i="1"/>
  <c r="X2442" i="1" a="1"/>
  <c r="X2442" i="1" s="1"/>
  <c r="X2443" i="1" a="1"/>
  <c r="X2443" i="1"/>
  <c r="X2444" i="1" a="1"/>
  <c r="X2444" i="1" s="1"/>
  <c r="X2445" i="1" a="1"/>
  <c r="X2445" i="1" s="1"/>
  <c r="X2446" i="1" a="1"/>
  <c r="X2446" i="1" s="1"/>
  <c r="X2447" i="1" a="1"/>
  <c r="X2447" i="1" s="1"/>
  <c r="X2448" i="1" a="1"/>
  <c r="X2448" i="1" s="1"/>
  <c r="X2449" i="1" a="1"/>
  <c r="X2449" i="1" s="1"/>
  <c r="X2450" i="1" a="1"/>
  <c r="X2450" i="1" s="1"/>
  <c r="X2451" i="1" a="1"/>
  <c r="X2451" i="1" s="1"/>
  <c r="X2452" i="1" a="1"/>
  <c r="X2452" i="1"/>
  <c r="X2453" i="1" a="1"/>
  <c r="X2453" i="1"/>
  <c r="X2454" i="1" a="1"/>
  <c r="X2454" i="1"/>
  <c r="X2455" i="1" a="1"/>
  <c r="X2455" i="1" s="1"/>
  <c r="X2456" i="1" a="1"/>
  <c r="X2456" i="1"/>
  <c r="X2457" i="1" a="1"/>
  <c r="X2457" i="1"/>
  <c r="X2458" i="1" a="1"/>
  <c r="X2458" i="1" s="1"/>
  <c r="X2459" i="1" a="1"/>
  <c r="X2459" i="1" s="1"/>
  <c r="X2460" i="1" a="1"/>
  <c r="X2460" i="1" s="1"/>
  <c r="X2461" i="1" a="1"/>
  <c r="X2461" i="1"/>
  <c r="X2462" i="1" a="1"/>
  <c r="X2462" i="1" s="1"/>
  <c r="X2463" i="1" a="1"/>
  <c r="X2463" i="1"/>
  <c r="X2464" i="1" a="1"/>
  <c r="X2464" i="1" s="1"/>
  <c r="X2465" i="1" a="1"/>
  <c r="X2465" i="1"/>
  <c r="X2466" i="1" a="1"/>
  <c r="X2466" i="1" s="1"/>
  <c r="X2467" i="1" a="1"/>
  <c r="X2467" i="1"/>
  <c r="X2468" i="1" a="1"/>
  <c r="X2468" i="1" s="1"/>
  <c r="X2469" i="1" a="1"/>
  <c r="X2469" i="1"/>
  <c r="X2470" i="1" a="1"/>
  <c r="X2470" i="1"/>
  <c r="X2471" i="1" a="1"/>
  <c r="X2471" i="1"/>
  <c r="X2472" i="1" a="1"/>
  <c r="X2472" i="1" s="1"/>
  <c r="X2473" i="1" a="1"/>
  <c r="X2473" i="1"/>
  <c r="X2474" i="1" a="1"/>
  <c r="X2474" i="1" s="1"/>
  <c r="X2475" i="1" a="1"/>
  <c r="X2475" i="1" s="1"/>
  <c r="X2476" i="1" a="1"/>
  <c r="X2476" i="1" s="1"/>
  <c r="X2477" i="1" a="1"/>
  <c r="X2477" i="1"/>
  <c r="X2478" i="1" a="1"/>
  <c r="X2478" i="1" s="1"/>
  <c r="X2479" i="1" a="1"/>
  <c r="X2479" i="1" s="1"/>
  <c r="X2480" i="1" a="1"/>
  <c r="X2480" i="1"/>
  <c r="X2481" i="1" a="1"/>
  <c r="X2481" i="1" s="1"/>
  <c r="X2482" i="1" a="1"/>
  <c r="X2482" i="1" s="1"/>
  <c r="X2483" i="1" a="1"/>
  <c r="X2483" i="1"/>
  <c r="X2484" i="1" a="1"/>
  <c r="X2484" i="1"/>
  <c r="X2485" i="1" a="1"/>
  <c r="X2485" i="1"/>
  <c r="X2486" i="1" a="1"/>
  <c r="X2486" i="1" s="1"/>
  <c r="X2487" i="1" a="1"/>
  <c r="X2487" i="1" s="1"/>
  <c r="X2488" i="1" a="1"/>
  <c r="X2488" i="1"/>
  <c r="X2489" i="1" a="1"/>
  <c r="X2489" i="1" s="1"/>
  <c r="X2490" i="1" a="1"/>
  <c r="X2490" i="1" s="1"/>
  <c r="X2491" i="1" a="1"/>
  <c r="X2491" i="1"/>
  <c r="X2492" i="1" a="1"/>
  <c r="X2492" i="1" s="1"/>
  <c r="X2493" i="1" a="1"/>
  <c r="X2493" i="1"/>
  <c r="X2494" i="1" a="1"/>
  <c r="X2494" i="1"/>
  <c r="X2495" i="1" a="1"/>
  <c r="X2495" i="1"/>
  <c r="X2496" i="1" a="1"/>
  <c r="X2496" i="1" s="1"/>
  <c r="X2497" i="1" a="1"/>
  <c r="X2497" i="1" s="1"/>
  <c r="X2498" i="1" a="1"/>
  <c r="X2498" i="1" s="1"/>
  <c r="X2499" i="1" a="1"/>
  <c r="X2499" i="1"/>
  <c r="X2500" i="1" a="1"/>
  <c r="X2500" i="1"/>
  <c r="X2501" i="1" a="1"/>
  <c r="X2501" i="1"/>
  <c r="X2502" i="1" a="1"/>
  <c r="X2502" i="1"/>
  <c r="X2503" i="1" a="1"/>
  <c r="X2503" i="1"/>
  <c r="X2504" i="1" a="1"/>
  <c r="X2504" i="1"/>
  <c r="X2505" i="1" a="1"/>
  <c r="X2505" i="1"/>
  <c r="X2506" i="1" a="1"/>
  <c r="X2506" i="1" s="1"/>
  <c r="X2507" i="1" a="1"/>
  <c r="X2507" i="1" s="1"/>
  <c r="X2508" i="1" a="1"/>
  <c r="X2508" i="1"/>
  <c r="X2509" i="1" a="1"/>
  <c r="X2509" i="1" s="1"/>
  <c r="X2510" i="1" a="1"/>
  <c r="X2510" i="1"/>
  <c r="X2511" i="1" a="1"/>
  <c r="X2511" i="1"/>
  <c r="X2512" i="1" a="1"/>
  <c r="X2512" i="1"/>
  <c r="X2513" i="1" a="1"/>
  <c r="X2513" i="1" s="1"/>
  <c r="X2514" i="1" a="1"/>
  <c r="X2514" i="1" s="1"/>
  <c r="X2515" i="1" a="1"/>
  <c r="X2515" i="1" s="1"/>
  <c r="X2516" i="1" a="1"/>
  <c r="X2516" i="1"/>
  <c r="X2517" i="1" a="1"/>
  <c r="X2517" i="1" s="1"/>
  <c r="X2518" i="1" a="1"/>
  <c r="X2518" i="1"/>
  <c r="X2519" i="1" a="1"/>
  <c r="X2519" i="1"/>
  <c r="X2520" i="1" a="1"/>
  <c r="X2520" i="1" s="1"/>
  <c r="X2521" i="1" a="1"/>
  <c r="X2521" i="1"/>
  <c r="X2522" i="1" a="1"/>
  <c r="X2522" i="1" s="1"/>
  <c r="X2523" i="1" a="1"/>
  <c r="X2523" i="1"/>
  <c r="X2524" i="1" a="1"/>
  <c r="X2524" i="1" s="1"/>
  <c r="X2525" i="1" a="1"/>
  <c r="X2525" i="1"/>
  <c r="X2526" i="1" a="1"/>
  <c r="X2526" i="1" s="1"/>
  <c r="X2527" i="1" a="1"/>
  <c r="X2527" i="1"/>
  <c r="X2528" i="1" a="1"/>
  <c r="X2528" i="1"/>
  <c r="X2529" i="1" a="1"/>
  <c r="X2529" i="1"/>
  <c r="X2530" i="1" a="1"/>
  <c r="X2530" i="1" s="1"/>
  <c r="X2531" i="1" a="1"/>
  <c r="X2531" i="1"/>
  <c r="X2532" i="1" a="1"/>
  <c r="X2532" i="1" s="1"/>
  <c r="X2533" i="1" a="1"/>
  <c r="X2533" i="1"/>
  <c r="X2534" i="1" a="1"/>
  <c r="X2534" i="1"/>
  <c r="X2535" i="1" a="1"/>
  <c r="X2535" i="1" s="1"/>
  <c r="X2536" i="1" a="1"/>
  <c r="X2536" i="1"/>
  <c r="X2537" i="1" a="1"/>
  <c r="X2537" i="1"/>
  <c r="X2538" i="1" a="1"/>
  <c r="X2538" i="1" s="1"/>
  <c r="X2539" i="1" a="1"/>
  <c r="X2539" i="1"/>
  <c r="X2540" i="1" a="1"/>
  <c r="X2540" i="1"/>
  <c r="X2541" i="1" a="1"/>
  <c r="X2541" i="1" s="1"/>
  <c r="X2542" i="1" a="1"/>
  <c r="X2542" i="1"/>
  <c r="X2543" i="1" a="1"/>
  <c r="X2543" i="1"/>
  <c r="X2544" i="1" a="1"/>
  <c r="X2544" i="1" s="1"/>
  <c r="X2545" i="1" a="1"/>
  <c r="X2545" i="1"/>
  <c r="X2546" i="1" a="1"/>
  <c r="X2546" i="1" s="1"/>
  <c r="X2547" i="1" a="1"/>
  <c r="X2547" i="1"/>
  <c r="X2548" i="1" a="1"/>
  <c r="X2548" i="1"/>
  <c r="X2549" i="1" a="1"/>
  <c r="X2549" i="1" s="1"/>
  <c r="X2550" i="1" a="1"/>
  <c r="X2550" i="1"/>
  <c r="X2551" i="1" a="1"/>
  <c r="X2551" i="1"/>
  <c r="X2552" i="1" a="1"/>
  <c r="X2552" i="1"/>
  <c r="X2553" i="1" a="1"/>
  <c r="X2553" i="1" s="1"/>
  <c r="X2554" i="1" a="1"/>
  <c r="X2554" i="1" s="1"/>
  <c r="X2555" i="1" a="1"/>
  <c r="X2555" i="1"/>
  <c r="X2556" i="1" a="1"/>
  <c r="X2556" i="1"/>
  <c r="X2557" i="1" a="1"/>
  <c r="X2557" i="1" s="1"/>
  <c r="X2558" i="1" a="1"/>
  <c r="X2558" i="1" s="1"/>
  <c r="X2559" i="1" a="1"/>
  <c r="X2559" i="1"/>
  <c r="X2560" i="1" a="1"/>
  <c r="X2560" i="1"/>
  <c r="X2561" i="1" a="1"/>
  <c r="X2561" i="1"/>
  <c r="X2562" i="1" a="1"/>
  <c r="X2562" i="1" s="1"/>
  <c r="X2563" i="1" a="1"/>
  <c r="X2563" i="1" s="1"/>
  <c r="X2564" i="1" a="1"/>
  <c r="X2564" i="1"/>
  <c r="X2565" i="1" a="1"/>
  <c r="X2565" i="1"/>
  <c r="X2566" i="1" a="1"/>
  <c r="X2566" i="1" s="1"/>
  <c r="X2567" i="1" a="1"/>
  <c r="X2567" i="1"/>
  <c r="X2568" i="1" a="1"/>
  <c r="X2568" i="1"/>
  <c r="X2569" i="1" a="1"/>
  <c r="X2569" i="1"/>
  <c r="X2570" i="1" a="1"/>
  <c r="X2570" i="1" s="1"/>
  <c r="X2571" i="1" a="1"/>
  <c r="X2571" i="1"/>
  <c r="X2572" i="1" a="1"/>
  <c r="X2572" i="1" s="1"/>
  <c r="X2573" i="1" a="1"/>
  <c r="X2573" i="1" s="1"/>
  <c r="X2574" i="1" a="1"/>
  <c r="X2574" i="1"/>
  <c r="X2575" i="1" a="1"/>
  <c r="X2575" i="1" s="1"/>
  <c r="X2576" i="1" a="1"/>
  <c r="X2576" i="1"/>
  <c r="X2577" i="1" a="1"/>
  <c r="X2577" i="1" s="1"/>
  <c r="X2578" i="1" a="1"/>
  <c r="X2578" i="1" s="1"/>
  <c r="X2579" i="1" a="1"/>
  <c r="X2579" i="1" s="1"/>
  <c r="X2580" i="1" a="1"/>
  <c r="X2580" i="1"/>
  <c r="X2581" i="1" a="1"/>
  <c r="X2581" i="1" s="1"/>
  <c r="X2582" i="1" a="1"/>
  <c r="X2582" i="1" s="1"/>
  <c r="X2583" i="1" a="1"/>
  <c r="X2583" i="1" s="1"/>
  <c r="X2584" i="1" a="1"/>
  <c r="X2584" i="1"/>
  <c r="X2585" i="1" a="1"/>
  <c r="X2585" i="1"/>
  <c r="X2586" i="1" a="1"/>
  <c r="X2586" i="1" s="1"/>
  <c r="X2587" i="1" a="1"/>
  <c r="X2587" i="1"/>
  <c r="X2588" i="1" a="1"/>
  <c r="X2588" i="1"/>
  <c r="X2589" i="1" a="1"/>
  <c r="X2589" i="1" s="1"/>
  <c r="X2590" i="1" a="1"/>
  <c r="X2590" i="1" s="1"/>
  <c r="X2591" i="1" a="1"/>
  <c r="X2591" i="1" s="1"/>
  <c r="X2592" i="1" a="1"/>
  <c r="X2592" i="1" s="1"/>
  <c r="X2593" i="1" a="1"/>
  <c r="X2593" i="1"/>
  <c r="X2594" i="1" a="1"/>
  <c r="X2594" i="1" s="1"/>
  <c r="X2595" i="1" a="1"/>
  <c r="X2595" i="1"/>
  <c r="X2596" i="1" a="1"/>
  <c r="X2596" i="1" s="1"/>
  <c r="X2597" i="1" a="1"/>
  <c r="X2597" i="1"/>
  <c r="X2598" i="1" a="1"/>
  <c r="X2598" i="1"/>
  <c r="X2599" i="1" a="1"/>
  <c r="X2599" i="1" s="1"/>
  <c r="X2600" i="1" a="1"/>
  <c r="X2600" i="1" s="1"/>
  <c r="X2601" i="1" a="1"/>
  <c r="X2601" i="1"/>
  <c r="X2602" i="1" a="1"/>
  <c r="X2602" i="1" s="1"/>
  <c r="X2603" i="1" a="1"/>
  <c r="X2603" i="1"/>
  <c r="X2604" i="1" a="1"/>
  <c r="X2604" i="1"/>
  <c r="X2605" i="1" a="1"/>
  <c r="X2605" i="1"/>
  <c r="X2606" i="1" a="1"/>
  <c r="X2606" i="1"/>
  <c r="X2607" i="1" a="1"/>
  <c r="X2607" i="1" s="1"/>
  <c r="X2608" i="1" a="1"/>
  <c r="X2608" i="1" s="1"/>
  <c r="X2609" i="1" a="1"/>
  <c r="X2609" i="1" s="1"/>
  <c r="X2610" i="1" a="1"/>
  <c r="X2610" i="1" s="1"/>
  <c r="X2611" i="1" a="1"/>
  <c r="X2611" i="1"/>
  <c r="X2612" i="1" a="1"/>
  <c r="X2612" i="1"/>
  <c r="X2613" i="1" a="1"/>
  <c r="X2613" i="1"/>
  <c r="X2614" i="1" a="1"/>
  <c r="X2614" i="1"/>
  <c r="X2615" i="1" a="1"/>
  <c r="X2615" i="1" s="1"/>
  <c r="X2616" i="1" a="1"/>
  <c r="X2616" i="1"/>
  <c r="X2617" i="1" a="1"/>
  <c r="X2617" i="1" s="1"/>
  <c r="X2618" i="1" a="1"/>
  <c r="X2618" i="1" s="1"/>
  <c r="X2619" i="1" a="1"/>
  <c r="X2619" i="1" s="1"/>
  <c r="X2620" i="1" a="1"/>
  <c r="X2620" i="1"/>
  <c r="X2621" i="1" a="1"/>
  <c r="X2621" i="1"/>
  <c r="X2622" i="1" a="1"/>
  <c r="X2622" i="1"/>
  <c r="X2623" i="1" a="1"/>
  <c r="X2623" i="1"/>
  <c r="X2624" i="1" a="1"/>
  <c r="X2624" i="1"/>
  <c r="X2625" i="1" a="1"/>
  <c r="X2625" i="1"/>
  <c r="X2626" i="1" a="1"/>
  <c r="X2626" i="1" s="1"/>
  <c r="X2627" i="1" a="1"/>
  <c r="X2627" i="1"/>
  <c r="X2628" i="1" a="1"/>
  <c r="X2628" i="1"/>
  <c r="X2629" i="1" a="1"/>
  <c r="X2629" i="1"/>
  <c r="X2630" i="1" a="1"/>
  <c r="X2630" i="1"/>
  <c r="X2631" i="1" a="1"/>
  <c r="X2631" i="1"/>
  <c r="X2632" i="1" a="1"/>
  <c r="X2632" i="1"/>
  <c r="X2633" i="1" a="1"/>
  <c r="X2633" i="1" s="1"/>
  <c r="X2634" i="1" a="1"/>
  <c r="X2634" i="1" s="1"/>
  <c r="X2635" i="1" a="1"/>
  <c r="X2635" i="1" s="1"/>
  <c r="X2636" i="1" a="1"/>
  <c r="X2636" i="1"/>
  <c r="X2637" i="1" a="1"/>
  <c r="X2637" i="1"/>
  <c r="X2638" i="1" a="1"/>
  <c r="X2638" i="1"/>
  <c r="X2639" i="1" a="1"/>
  <c r="X2639" i="1"/>
  <c r="X2640" i="1" a="1"/>
  <c r="X2640" i="1"/>
  <c r="X2641" i="1" a="1"/>
  <c r="X2641" i="1"/>
  <c r="X2642" i="1" a="1"/>
  <c r="X2642" i="1" s="1"/>
  <c r="X2643" i="1" a="1"/>
  <c r="X2643" i="1" s="1"/>
  <c r="X2644" i="1" a="1"/>
  <c r="X2644" i="1"/>
  <c r="X2645" i="1" a="1"/>
  <c r="X2645" i="1"/>
  <c r="X2646" i="1" a="1"/>
  <c r="X2646" i="1"/>
  <c r="X2647" i="1" a="1"/>
  <c r="X2647" i="1"/>
  <c r="X2648" i="1" a="1"/>
  <c r="X2648" i="1"/>
  <c r="X2649" i="1" a="1"/>
  <c r="X2649" i="1"/>
  <c r="X2650" i="1" a="1"/>
  <c r="X2650" i="1" s="1"/>
  <c r="X2651" i="1" a="1"/>
  <c r="X2651" i="1"/>
  <c r="X2652" i="1" a="1"/>
  <c r="X2652" i="1" s="1"/>
  <c r="X2653" i="1" a="1"/>
  <c r="X2653" i="1" s="1"/>
  <c r="X2654" i="1" a="1"/>
  <c r="X2654" i="1"/>
  <c r="X2655" i="1" a="1"/>
  <c r="X2655" i="1"/>
  <c r="X2656" i="1" a="1"/>
  <c r="X2656" i="1"/>
  <c r="X2657" i="1" a="1"/>
  <c r="X2657" i="1"/>
  <c r="X2658" i="1" a="1"/>
  <c r="X2658" i="1" s="1"/>
  <c r="X2659" i="1" a="1"/>
  <c r="X2659" i="1"/>
  <c r="X2660" i="1" a="1"/>
  <c r="X2660" i="1" s="1"/>
  <c r="X2661" i="1" a="1"/>
  <c r="X2661" i="1"/>
  <c r="X2662" i="1" a="1"/>
  <c r="X2662" i="1" s="1"/>
  <c r="X2663" i="1" a="1"/>
  <c r="X2663" i="1"/>
  <c r="X2664" i="1" a="1"/>
  <c r="X2664" i="1"/>
  <c r="X2665" i="1" a="1"/>
  <c r="X2665" i="1" s="1"/>
  <c r="X2666" i="1" a="1"/>
  <c r="X2666" i="1" s="1"/>
  <c r="X2667" i="1" a="1"/>
  <c r="X2667" i="1"/>
  <c r="X2668" i="1" a="1"/>
  <c r="X2668" i="1"/>
  <c r="X2669" i="1" a="1"/>
  <c r="X2669" i="1" s="1"/>
  <c r="X2670" i="1" a="1"/>
  <c r="X2670" i="1"/>
  <c r="X2671" i="1" a="1"/>
  <c r="X2671" i="1" s="1"/>
  <c r="X2672" i="1" a="1"/>
  <c r="X2672" i="1"/>
  <c r="X2673" i="1" a="1"/>
  <c r="X2673" i="1" s="1"/>
  <c r="X2674" i="1" a="1"/>
  <c r="X2674" i="1" s="1"/>
  <c r="X2675" i="1" a="1"/>
  <c r="X2675" i="1"/>
  <c r="X2676" i="1" a="1"/>
  <c r="X2676" i="1"/>
  <c r="X2677" i="1" a="1"/>
  <c r="X2677" i="1" s="1"/>
  <c r="X2678" i="1" a="1"/>
  <c r="X2678" i="1"/>
  <c r="X2679" i="1" a="1"/>
  <c r="X2679" i="1"/>
  <c r="X2680" i="1" a="1"/>
  <c r="X2680" i="1" s="1"/>
  <c r="X2681" i="1" a="1"/>
  <c r="X2681" i="1"/>
  <c r="X2682" i="1" a="1"/>
  <c r="X2682" i="1" s="1"/>
  <c r="X2683" i="1" a="1"/>
  <c r="X2683" i="1"/>
  <c r="X2684" i="1" a="1"/>
  <c r="X2684" i="1"/>
  <c r="X2685" i="1" a="1"/>
  <c r="X2685" i="1" s="1"/>
  <c r="X2686" i="1" a="1"/>
  <c r="X2686" i="1" s="1"/>
  <c r="X2687" i="1" a="1"/>
  <c r="X2687" i="1"/>
  <c r="X2688" i="1" a="1"/>
  <c r="X2688" i="1"/>
  <c r="X2689" i="1" a="1"/>
  <c r="X2689" i="1" s="1"/>
  <c r="X2690" i="1" a="1"/>
  <c r="X2690" i="1" s="1"/>
  <c r="X2691" i="1" a="1"/>
  <c r="X2691" i="1" s="1"/>
  <c r="X2692" i="1" a="1"/>
  <c r="X2692" i="1"/>
  <c r="X2693" i="1" a="1"/>
  <c r="X2693" i="1"/>
  <c r="X2694" i="1" a="1"/>
  <c r="X2694" i="1" s="1"/>
  <c r="X2695" i="1" a="1"/>
  <c r="X2695" i="1"/>
  <c r="X2696" i="1" a="1"/>
  <c r="X2696" i="1"/>
  <c r="X2697" i="1" a="1"/>
  <c r="X2697" i="1"/>
  <c r="X2698" i="1" a="1"/>
  <c r="X2698" i="1" s="1"/>
  <c r="X2699" i="1" a="1"/>
  <c r="X2699" i="1" s="1"/>
  <c r="X2700" i="1" a="1"/>
  <c r="X2700" i="1" s="1"/>
  <c r="X2701" i="1" a="1"/>
  <c r="X2701" i="1"/>
  <c r="X2702" i="1" a="1"/>
  <c r="X2702" i="1" s="1"/>
  <c r="X2703" i="1" a="1"/>
  <c r="X2703" i="1" s="1"/>
  <c r="X2704" i="1" a="1"/>
  <c r="X2704" i="1" s="1"/>
  <c r="X2705" i="1" a="1"/>
  <c r="X2705" i="1"/>
  <c r="X2706" i="1" a="1"/>
  <c r="X2706" i="1" s="1"/>
  <c r="X2707" i="1" a="1"/>
  <c r="X2707" i="1"/>
  <c r="X2708" i="1" a="1"/>
  <c r="X2708" i="1" s="1"/>
  <c r="X2709" i="1" a="1"/>
  <c r="X2709" i="1" s="1"/>
  <c r="X2710" i="1" a="1"/>
  <c r="X2710" i="1"/>
  <c r="X2711" i="1" a="1"/>
  <c r="X2711" i="1" s="1"/>
  <c r="X2712" i="1" a="1"/>
  <c r="X2712" i="1"/>
  <c r="X2713" i="1" a="1"/>
  <c r="X2713" i="1"/>
  <c r="X2714" i="1" a="1"/>
  <c r="X2714" i="1" s="1"/>
  <c r="X2715" i="1" a="1"/>
  <c r="X2715" i="1"/>
  <c r="X2716" i="1" a="1"/>
  <c r="X2716" i="1" s="1"/>
  <c r="X2717" i="1" a="1"/>
  <c r="X2717" i="1" s="1"/>
  <c r="X2718" i="1" a="1"/>
  <c r="X2718" i="1" s="1"/>
  <c r="X2719" i="1" a="1"/>
  <c r="X2719" i="1"/>
  <c r="X2720" i="1" a="1"/>
  <c r="X2720" i="1" s="1"/>
  <c r="X2721" i="1" a="1"/>
  <c r="X2721" i="1"/>
  <c r="X2722" i="1" a="1"/>
  <c r="X2722" i="1" s="1"/>
  <c r="X2723" i="1" a="1"/>
  <c r="X2723" i="1" s="1"/>
  <c r="X2724" i="1" a="1"/>
  <c r="X2724" i="1"/>
  <c r="X2725" i="1" a="1"/>
  <c r="X2725" i="1"/>
  <c r="X2726" i="1" a="1"/>
  <c r="X2726" i="1" s="1"/>
  <c r="X2727" i="1" a="1"/>
  <c r="X2727" i="1" s="1"/>
  <c r="X2728" i="1" a="1"/>
  <c r="X2728" i="1" s="1"/>
  <c r="X2729" i="1" a="1"/>
  <c r="X2729" i="1"/>
  <c r="X2730" i="1" a="1"/>
  <c r="X2730" i="1" s="1"/>
  <c r="X2731" i="1" a="1"/>
  <c r="X2731" i="1"/>
  <c r="X2732" i="1" a="1"/>
  <c r="X2732" i="1"/>
  <c r="X2733" i="1" a="1"/>
  <c r="X2733" i="1" s="1"/>
  <c r="X2734" i="1" a="1"/>
  <c r="X2734" i="1"/>
  <c r="X2735" i="1" a="1"/>
  <c r="X2735" i="1" s="1"/>
  <c r="X2736" i="1" a="1"/>
  <c r="X2736" i="1" s="1"/>
  <c r="X2737" i="1" a="1"/>
  <c r="X2737" i="1" s="1"/>
  <c r="X2738" i="1" a="1"/>
  <c r="X2738" i="1" s="1"/>
  <c r="X2739" i="1" a="1"/>
  <c r="X2739" i="1"/>
  <c r="X2740" i="1" a="1"/>
  <c r="X2740" i="1"/>
  <c r="X2741" i="1" a="1"/>
  <c r="X2741" i="1"/>
  <c r="X2742" i="1" a="1"/>
  <c r="X2742" i="1"/>
  <c r="X2743" i="1" a="1"/>
  <c r="X2743" i="1" s="1"/>
  <c r="X2744" i="1" a="1"/>
  <c r="X2744" i="1" s="1"/>
  <c r="X2745" i="1" a="1"/>
  <c r="X2745" i="1" s="1"/>
  <c r="X2746" i="1" a="1"/>
  <c r="X2746" i="1" s="1"/>
  <c r="X2747" i="1" a="1"/>
  <c r="X2747" i="1"/>
  <c r="X2748" i="1" a="1"/>
  <c r="X2748" i="1"/>
  <c r="X2749" i="1" a="1"/>
  <c r="X2749" i="1"/>
  <c r="X2750" i="1" a="1"/>
  <c r="X2750" i="1"/>
  <c r="X2751" i="1" a="1"/>
  <c r="X2751" i="1"/>
  <c r="X2752" i="1" a="1"/>
  <c r="X2752" i="1"/>
  <c r="X2753" i="1" a="1"/>
  <c r="X2753" i="1" s="1"/>
  <c r="X2754" i="1" a="1"/>
  <c r="X2754" i="1" s="1"/>
  <c r="X2755" i="1" a="1"/>
  <c r="X2755" i="1"/>
  <c r="X2756" i="1" a="1"/>
  <c r="X2756" i="1"/>
  <c r="X2757" i="1" a="1"/>
  <c r="X2757" i="1"/>
  <c r="X2758" i="1" a="1"/>
  <c r="X2758" i="1"/>
  <c r="X2759" i="1" a="1"/>
  <c r="X2759" i="1"/>
  <c r="X2760" i="1" a="1"/>
  <c r="X2760" i="1"/>
  <c r="X2761" i="1" a="1"/>
  <c r="X2761" i="1" s="1"/>
  <c r="X2762" i="1" a="1"/>
  <c r="X2762" i="1" s="1"/>
  <c r="X2763" i="1" a="1"/>
  <c r="X2763" i="1" s="1"/>
  <c r="X2764" i="1" a="1"/>
  <c r="X2764" i="1"/>
  <c r="X2765" i="1" a="1"/>
  <c r="X2765" i="1"/>
  <c r="X2766" i="1" a="1"/>
  <c r="X2766" i="1"/>
  <c r="X2767" i="1" a="1"/>
  <c r="X2767" i="1"/>
  <c r="X2768" i="1" a="1"/>
  <c r="X2768" i="1"/>
  <c r="X2769" i="1" a="1"/>
  <c r="X2769" i="1"/>
  <c r="X2770" i="1" a="1"/>
  <c r="X2770" i="1" s="1"/>
  <c r="X2771" i="1" a="1"/>
  <c r="X2771" i="1" s="1"/>
  <c r="X2772" i="1" a="1"/>
  <c r="X2772" i="1"/>
  <c r="X2773" i="1" a="1"/>
  <c r="X2773" i="1"/>
  <c r="X2774" i="1" a="1"/>
  <c r="X2774" i="1"/>
  <c r="X2775" i="1" a="1"/>
  <c r="X2775" i="1"/>
  <c r="X2776" i="1" a="1"/>
  <c r="X2776" i="1"/>
  <c r="X2777" i="1" a="1"/>
  <c r="X2777" i="1"/>
  <c r="X2778" i="1" a="1"/>
  <c r="X2778" i="1" s="1"/>
  <c r="X2779" i="1" a="1"/>
  <c r="X2779" i="1"/>
  <c r="X2780" i="1" a="1"/>
  <c r="X2780" i="1" s="1"/>
  <c r="X2781" i="1" a="1"/>
  <c r="X2781" i="1"/>
  <c r="X2782" i="1" a="1"/>
  <c r="X2782" i="1"/>
  <c r="X2783" i="1" a="1"/>
  <c r="X2783" i="1"/>
  <c r="X2784" i="1" a="1"/>
  <c r="X2784" i="1"/>
  <c r="X2785" i="1" a="1"/>
  <c r="X2785" i="1"/>
  <c r="X2786" i="1" a="1"/>
  <c r="X2786" i="1" s="1"/>
  <c r="X2787" i="1" a="1"/>
  <c r="X2787" i="1"/>
  <c r="X2788" i="1" a="1"/>
  <c r="X2788" i="1" s="1"/>
  <c r="X2789" i="1" a="1"/>
  <c r="X2789" i="1"/>
  <c r="X2790" i="1" a="1"/>
  <c r="X2790" i="1"/>
  <c r="X2791" i="1" a="1"/>
  <c r="X2791" i="1"/>
  <c r="X2792" i="1" a="1"/>
  <c r="X2792" i="1"/>
  <c r="X2793" i="1" a="1"/>
  <c r="X2793" i="1" s="1"/>
  <c r="X2794" i="1" a="1"/>
  <c r="X2794" i="1" s="1"/>
  <c r="X2795" i="1" a="1"/>
  <c r="X2795" i="1"/>
  <c r="X2796" i="1" a="1"/>
  <c r="X2796" i="1"/>
  <c r="X2797" i="1" a="1"/>
  <c r="X2797" i="1" s="1"/>
  <c r="X2798" i="1" a="1"/>
  <c r="X2798" i="1" s="1"/>
  <c r="X2799" i="1" a="1"/>
  <c r="X2799" i="1"/>
  <c r="X2800" i="1" a="1"/>
  <c r="X2800" i="1"/>
  <c r="X2801" i="1" a="1"/>
  <c r="X2801" i="1" s="1"/>
  <c r="X2802" i="1" a="1"/>
  <c r="X2802" i="1" s="1"/>
  <c r="X2803" i="1" a="1"/>
  <c r="X2803" i="1" s="1"/>
  <c r="X2804" i="1" a="1"/>
  <c r="X2804" i="1"/>
  <c r="X2805" i="1" a="1"/>
  <c r="X2805" i="1" s="1"/>
  <c r="X2806" i="1" a="1"/>
  <c r="X2806" i="1"/>
  <c r="X2807" i="1" a="1"/>
  <c r="X2807" i="1" s="1"/>
  <c r="X2808" i="1" a="1"/>
  <c r="X2808" i="1"/>
  <c r="X2809" i="1" a="1"/>
  <c r="X2809" i="1"/>
  <c r="X2810" i="1" a="1"/>
  <c r="X2810" i="1" s="1"/>
  <c r="X2811" i="1" a="1"/>
  <c r="X2811" i="1" s="1"/>
  <c r="X2812" i="1" a="1"/>
  <c r="X2812" i="1"/>
  <c r="X2813" i="1" a="1"/>
  <c r="X2813" i="1"/>
  <c r="X2814" i="1" a="1"/>
  <c r="X2814" i="1" s="1"/>
  <c r="X2815" i="1" a="1"/>
  <c r="X2815" i="1"/>
  <c r="X2816" i="1" a="1"/>
  <c r="X2816" i="1" s="1"/>
  <c r="X2817" i="1" a="1"/>
  <c r="X2817" i="1"/>
  <c r="X2818" i="1" a="1"/>
  <c r="X2818" i="1" s="1"/>
  <c r="X2819" i="1" a="1"/>
  <c r="X2819" i="1"/>
  <c r="X2820" i="1" a="1"/>
  <c r="X2820" i="1"/>
  <c r="X2821" i="1" a="1"/>
  <c r="X2821" i="1"/>
  <c r="X2822" i="1" a="1"/>
  <c r="X2822" i="1" s="1"/>
  <c r="X2823" i="1" a="1"/>
  <c r="X2823" i="1"/>
  <c r="X2824" i="1" a="1"/>
  <c r="X2824" i="1"/>
  <c r="X2825" i="1" a="1"/>
  <c r="X2825" i="1" s="1"/>
  <c r="X2826" i="1" a="1"/>
  <c r="X2826" i="1" s="1"/>
  <c r="X2827" i="1" a="1"/>
  <c r="X2827" i="1" s="1"/>
  <c r="X2828" i="1" a="1"/>
  <c r="X2828" i="1"/>
  <c r="X2829" i="1" a="1"/>
  <c r="X2829" i="1" s="1"/>
  <c r="X2830" i="1" a="1"/>
  <c r="X2830" i="1"/>
  <c r="X2831" i="1" a="1"/>
  <c r="X2831" i="1" s="1"/>
  <c r="X2832" i="1" a="1"/>
  <c r="X2832" i="1"/>
  <c r="X2833" i="1" a="1"/>
  <c r="X2833" i="1"/>
  <c r="X2834" i="1" a="1"/>
  <c r="X2834" i="1" s="1"/>
  <c r="X2835" i="1" a="1"/>
  <c r="X2835" i="1" s="1"/>
  <c r="X2836" i="1" a="1"/>
  <c r="X2836" i="1" s="1"/>
  <c r="X2837" i="1" a="1"/>
  <c r="X2837" i="1"/>
  <c r="X2838" i="1" a="1"/>
  <c r="X2838" i="1"/>
  <c r="X2839" i="1" a="1"/>
  <c r="X2839" i="1" s="1"/>
  <c r="X2840" i="1" a="1"/>
  <c r="X2840" i="1"/>
  <c r="X2841" i="1" a="1"/>
  <c r="X2841" i="1" s="1"/>
  <c r="X2842" i="1" a="1"/>
  <c r="X2842" i="1" s="1"/>
  <c r="X2843" i="1" a="1"/>
  <c r="X2843" i="1" s="1"/>
  <c r="X2844" i="1" a="1"/>
  <c r="X2844" i="1" s="1"/>
  <c r="X2845" i="1" a="1"/>
  <c r="X2845" i="1" s="1"/>
  <c r="X2846" i="1" a="1"/>
  <c r="X2846" i="1"/>
  <c r="X2847" i="1" a="1"/>
  <c r="X2847" i="1"/>
  <c r="X2848" i="1" a="1"/>
  <c r="X2848" i="1" s="1"/>
  <c r="X2849" i="1" a="1"/>
  <c r="X2849" i="1"/>
  <c r="X2850" i="1" a="1"/>
  <c r="X2850" i="1" s="1"/>
  <c r="X2851" i="1" a="1"/>
  <c r="X2851" i="1"/>
  <c r="X2852" i="1" a="1"/>
  <c r="X2852" i="1"/>
  <c r="X2853" i="1" a="1"/>
  <c r="X2853" i="1" s="1"/>
  <c r="X2854" i="1" a="1"/>
  <c r="X2854" i="1" s="1"/>
  <c r="X2855" i="1" a="1"/>
  <c r="X2855" i="1"/>
  <c r="X2856" i="1" a="1"/>
  <c r="X2856" i="1" s="1"/>
  <c r="X2857" i="1" a="1"/>
  <c r="X2857" i="1"/>
  <c r="X2858" i="1" a="1"/>
  <c r="X2858" i="1" s="1"/>
  <c r="X2859" i="1" a="1"/>
  <c r="X2859" i="1"/>
  <c r="X2860" i="1" a="1"/>
  <c r="X2860" i="1" s="1"/>
  <c r="X2861" i="1" a="1"/>
  <c r="X2861" i="1"/>
  <c r="X2862" i="1" a="1"/>
  <c r="X2862" i="1" s="1"/>
  <c r="X2863" i="1" a="1"/>
  <c r="X2863" i="1" s="1"/>
  <c r="X2864" i="1" a="1"/>
  <c r="X2864" i="1"/>
  <c r="X2865" i="1" a="1"/>
  <c r="X2865" i="1" s="1"/>
  <c r="X2866" i="1" a="1"/>
  <c r="X2866" i="1" s="1"/>
  <c r="X2867" i="1" a="1"/>
  <c r="X2867" i="1"/>
  <c r="X2868" i="1" a="1"/>
  <c r="X2868" i="1"/>
  <c r="X2869" i="1" a="1"/>
  <c r="X2869" i="1"/>
  <c r="X2870" i="1" a="1"/>
  <c r="X2870" i="1" s="1"/>
  <c r="X2871" i="1" a="1"/>
  <c r="X2871" i="1" s="1"/>
  <c r="X2872" i="1" a="1"/>
  <c r="X2872" i="1" s="1"/>
  <c r="X2873" i="1" a="1"/>
  <c r="X2873" i="1" s="1"/>
  <c r="X2874" i="1" a="1"/>
  <c r="X2874" i="1" s="1"/>
  <c r="X2875" i="1" a="1"/>
  <c r="X2875" i="1"/>
  <c r="X2876" i="1" a="1"/>
  <c r="X2876" i="1"/>
  <c r="X2877" i="1" a="1"/>
  <c r="X2877" i="1"/>
  <c r="X2878" i="1" a="1"/>
  <c r="X2878" i="1"/>
  <c r="X2879" i="1" a="1"/>
  <c r="X2879" i="1"/>
  <c r="X2880" i="1" a="1"/>
  <c r="X2880" i="1" s="1"/>
  <c r="X2881" i="1" a="1"/>
  <c r="X2881" i="1" s="1"/>
  <c r="X2882" i="1" a="1"/>
  <c r="X2882" i="1" s="1"/>
  <c r="X2883" i="1" a="1"/>
  <c r="X2883" i="1"/>
  <c r="X2884" i="1" a="1"/>
  <c r="X2884" i="1"/>
  <c r="X2885" i="1" a="1"/>
  <c r="X2885" i="1"/>
  <c r="X2886" i="1" a="1"/>
  <c r="X2886" i="1"/>
  <c r="X2887" i="1" a="1"/>
  <c r="X2887" i="1"/>
  <c r="X2888" i="1" a="1"/>
  <c r="X2888" i="1" s="1"/>
  <c r="X2889" i="1" a="1"/>
  <c r="X2889" i="1"/>
  <c r="X2890" i="1" a="1"/>
  <c r="X2890" i="1" s="1"/>
  <c r="X2891" i="1" a="1"/>
  <c r="X2891" i="1" s="1"/>
  <c r="X2892" i="1" a="1"/>
  <c r="X2892" i="1"/>
  <c r="X2893" i="1" a="1"/>
  <c r="X2893" i="1"/>
  <c r="X2894" i="1" a="1"/>
  <c r="X2894" i="1"/>
  <c r="X2895" i="1" a="1"/>
  <c r="X2895" i="1"/>
  <c r="X2896" i="1" a="1"/>
  <c r="X2896" i="1"/>
  <c r="X2897" i="1" a="1"/>
  <c r="X2897" i="1" s="1"/>
  <c r="X2898" i="1" a="1"/>
  <c r="X2898" i="1" s="1"/>
  <c r="X2899" i="1" a="1"/>
  <c r="X2899" i="1" s="1"/>
  <c r="X2900" i="1" a="1"/>
  <c r="X2900" i="1"/>
  <c r="X2901" i="1" a="1"/>
  <c r="X2901" i="1"/>
  <c r="X2902" i="1" a="1"/>
  <c r="X2902" i="1" s="1"/>
  <c r="X2903" i="1" a="1"/>
  <c r="X2903" i="1"/>
  <c r="X2904" i="1" a="1"/>
  <c r="X2904" i="1"/>
  <c r="X2905" i="1" a="1"/>
  <c r="X2905" i="1"/>
  <c r="X2906" i="1" a="1"/>
  <c r="X2906" i="1" s="1"/>
  <c r="X2907" i="1" a="1"/>
  <c r="X2907" i="1" s="1"/>
  <c r="X2908" i="1" a="1"/>
  <c r="X2908" i="1" s="1"/>
  <c r="X2909" i="1" a="1"/>
  <c r="X2909" i="1"/>
  <c r="X2910" i="1" a="1"/>
  <c r="X2910" i="1" s="1"/>
  <c r="X2911" i="1" a="1"/>
  <c r="X2911" i="1"/>
  <c r="X2912" i="1" a="1"/>
  <c r="X2912" i="1"/>
  <c r="X2913" i="1" a="1"/>
  <c r="X2913" i="1"/>
  <c r="X2914" i="1" a="1"/>
  <c r="X2914" i="1" s="1"/>
  <c r="X2915" i="1" a="1"/>
  <c r="X2915" i="1"/>
  <c r="X2916" i="1" a="1"/>
  <c r="X2916" i="1" s="1"/>
  <c r="X2917" i="1" a="1"/>
  <c r="X2917" i="1"/>
  <c r="X2918" i="1" a="1"/>
  <c r="X2918" i="1"/>
  <c r="X2919" i="1" a="1"/>
  <c r="X2919" i="1" s="1"/>
  <c r="X2920" i="1" a="1"/>
  <c r="X2920" i="1"/>
  <c r="X2921" i="1" a="1"/>
  <c r="X2921" i="1"/>
  <c r="X2922" i="1" a="1"/>
  <c r="X2922" i="1" s="1"/>
  <c r="X2923" i="1" a="1"/>
  <c r="X2923" i="1"/>
  <c r="X2924" i="1" a="1"/>
  <c r="X2924" i="1"/>
  <c r="X2925" i="1" a="1"/>
  <c r="X2925" i="1" s="1"/>
  <c r="X2926" i="1" a="1"/>
  <c r="X2926" i="1"/>
  <c r="X2927" i="1" a="1"/>
  <c r="X2927" i="1"/>
  <c r="X2928" i="1" a="1"/>
  <c r="X2928" i="1" s="1"/>
  <c r="X2929" i="1" a="1"/>
  <c r="X2929" i="1"/>
  <c r="X2930" i="1" a="1"/>
  <c r="X2930" i="1" s="1"/>
  <c r="X2931" i="1" a="1"/>
  <c r="X2931" i="1"/>
  <c r="X2932" i="1" a="1"/>
  <c r="X2932" i="1"/>
  <c r="X2933" i="1" a="1"/>
  <c r="X2933" i="1" s="1"/>
  <c r="X2934" i="1" a="1"/>
  <c r="X2934" i="1"/>
  <c r="X2935" i="1" a="1"/>
  <c r="X2935" i="1"/>
  <c r="X2936" i="1" a="1"/>
  <c r="X2936" i="1"/>
  <c r="X2937" i="1" a="1"/>
  <c r="X2937" i="1" s="1"/>
  <c r="X2938" i="1" a="1"/>
  <c r="X2938" i="1" s="1"/>
  <c r="X2939" i="1" a="1"/>
  <c r="X2939" i="1" s="1"/>
  <c r="X2940" i="1" a="1"/>
  <c r="X2940" i="1"/>
  <c r="X2941" i="1" a="1"/>
  <c r="X2941" i="1"/>
  <c r="X2942" i="1" a="1"/>
  <c r="X2942" i="1" s="1"/>
  <c r="X2943" i="1" a="1"/>
  <c r="X2943" i="1" s="1"/>
  <c r="X2944" i="1" a="1"/>
  <c r="X2944" i="1"/>
  <c r="X2945" i="1" a="1"/>
  <c r="X2945" i="1"/>
  <c r="X2946" i="1" a="1"/>
  <c r="X2946" i="1" s="1"/>
  <c r="X2947" i="1" a="1"/>
  <c r="X2947" i="1" s="1"/>
  <c r="X2948" i="1" a="1"/>
  <c r="X2948" i="1"/>
  <c r="X2949" i="1" a="1"/>
  <c r="X2949" i="1"/>
  <c r="X2950" i="1" a="1"/>
  <c r="X2950" i="1" s="1"/>
  <c r="X2951" i="1" a="1"/>
  <c r="X2951" i="1"/>
  <c r="X2952" i="1" a="1"/>
  <c r="X2952" i="1" s="1"/>
  <c r="X2953" i="1" a="1"/>
  <c r="X2953" i="1"/>
  <c r="X2954" i="1" a="1"/>
  <c r="X2954" i="1" s="1"/>
  <c r="X2955" i="1" a="1"/>
  <c r="X2955" i="1"/>
  <c r="X2956" i="1" a="1"/>
  <c r="X2956" i="1"/>
  <c r="X2957" i="1" a="1"/>
  <c r="X2957" i="1"/>
  <c r="X2958" i="1" a="1"/>
  <c r="X2958" i="1" s="1"/>
  <c r="X2959" i="1" a="1"/>
  <c r="X2959" i="1" s="1"/>
  <c r="X2960" i="1" a="1"/>
  <c r="X2960" i="1"/>
  <c r="X2961" i="1" a="1"/>
  <c r="X2961" i="1" s="1"/>
  <c r="X2962" i="1" a="1"/>
  <c r="X2962" i="1" s="1"/>
  <c r="X2963" i="1" a="1"/>
  <c r="X2963" i="1" s="1"/>
  <c r="X2964" i="1" a="1"/>
  <c r="X2964" i="1"/>
  <c r="X2965" i="1" a="1"/>
  <c r="X2965" i="1"/>
  <c r="X2966" i="1" a="1"/>
  <c r="X2966" i="1"/>
  <c r="X2967" i="1" a="1"/>
  <c r="X2967" i="1" s="1"/>
  <c r="X2968" i="1" a="1"/>
  <c r="X2968" i="1"/>
  <c r="X2969" i="1" a="1"/>
  <c r="X2969" i="1"/>
  <c r="X2970" i="1" a="1"/>
  <c r="X2970" i="1" s="1"/>
  <c r="X2971" i="1" a="1"/>
  <c r="X2971" i="1" s="1"/>
  <c r="X2972" i="1" a="1"/>
  <c r="X2972" i="1" s="1"/>
  <c r="X2973" i="1" a="1"/>
  <c r="X2973" i="1"/>
  <c r="X2974" i="1" a="1"/>
  <c r="X2974" i="1"/>
  <c r="X2975" i="1" a="1"/>
  <c r="X2975" i="1"/>
  <c r="X2976" i="1" a="1"/>
  <c r="X2976" i="1" s="1"/>
  <c r="X2977" i="1" a="1"/>
  <c r="X2977" i="1" s="1"/>
  <c r="X2978" i="1" a="1"/>
  <c r="X2978" i="1" s="1"/>
  <c r="X2979" i="1" a="1"/>
  <c r="X2979" i="1" s="1"/>
  <c r="X2980" i="1" a="1"/>
  <c r="X2980" i="1" s="1"/>
  <c r="X2981" i="1" a="1"/>
  <c r="X2981" i="1" s="1"/>
  <c r="X2982" i="1" a="1"/>
  <c r="X2982" i="1"/>
  <c r="X2983" i="1" a="1"/>
  <c r="X2983" i="1"/>
  <c r="X2984" i="1" a="1"/>
  <c r="X2984" i="1" s="1"/>
  <c r="X2985" i="1" a="1"/>
  <c r="X2985" i="1"/>
  <c r="X2986" i="1" a="1"/>
  <c r="X2986" i="1" s="1"/>
  <c r="X2987" i="1" a="1"/>
  <c r="X2987" i="1"/>
  <c r="X2988" i="1" a="1"/>
  <c r="X2988" i="1"/>
  <c r="X2989" i="1" a="1"/>
  <c r="X2989" i="1" s="1"/>
  <c r="X2990" i="1" a="1"/>
  <c r="X2990" i="1" s="1"/>
  <c r="X2991" i="1" a="1"/>
  <c r="X2991" i="1"/>
  <c r="X2992" i="1" a="1"/>
  <c r="X2992" i="1"/>
  <c r="X2993" i="1" a="1"/>
  <c r="X2993" i="1" s="1"/>
  <c r="X2994" i="1" a="1"/>
  <c r="X2994" i="1" s="1"/>
  <c r="X2995" i="1" a="1"/>
  <c r="X2995" i="1"/>
  <c r="X2996" i="1" a="1"/>
  <c r="X2996" i="1"/>
  <c r="X2997" i="1" a="1"/>
  <c r="X2997" i="1"/>
  <c r="X2998" i="1" a="1"/>
  <c r="X2998" i="1" s="1"/>
  <c r="X2999" i="1" a="1"/>
  <c r="X2999" i="1" s="1"/>
  <c r="X3000" i="1" a="1"/>
  <c r="X3000" i="1"/>
  <c r="X3001" i="1" a="1"/>
  <c r="X3001" i="1" s="1"/>
  <c r="X3002" i="1" a="1"/>
  <c r="X3002" i="1" s="1"/>
  <c r="X3003" i="1" a="1"/>
  <c r="X3003" i="1"/>
  <c r="X3004" i="1" a="1"/>
  <c r="X3004" i="1"/>
  <c r="X3005" i="1" a="1"/>
  <c r="X3005" i="1"/>
  <c r="X3006" i="1" a="1"/>
  <c r="X3006" i="1"/>
  <c r="X3007" i="1" a="1"/>
  <c r="X3007" i="1" s="1"/>
  <c r="X3008" i="1" a="1"/>
  <c r="X3008" i="1" s="1"/>
  <c r="X3009" i="1" a="1"/>
  <c r="X3009" i="1"/>
  <c r="X3010" i="1" a="1"/>
  <c r="X3010" i="1" s="1"/>
  <c r="X3011" i="1" a="1"/>
  <c r="X3011" i="1"/>
  <c r="X3012" i="1" a="1"/>
  <c r="X3012" i="1"/>
  <c r="X3013" i="1" a="1"/>
  <c r="X3013" i="1"/>
  <c r="X3014" i="1" a="1"/>
  <c r="X3014" i="1"/>
  <c r="X3015" i="1" a="1"/>
  <c r="X3015" i="1" s="1"/>
  <c r="X3016" i="1" a="1"/>
  <c r="X3016" i="1"/>
  <c r="X3017" i="1" a="1"/>
  <c r="X3017" i="1"/>
  <c r="X3018" i="1" a="1"/>
  <c r="X3018" i="1" s="1"/>
  <c r="X3019" i="1" a="1"/>
  <c r="X3019" i="1" s="1"/>
  <c r="X3020" i="1" a="1"/>
  <c r="X3020" i="1" s="1"/>
  <c r="X3021" i="1" a="1"/>
  <c r="X3021" i="1"/>
  <c r="X3022" i="1" a="1"/>
  <c r="X3022" i="1"/>
  <c r="X3023" i="1" a="1"/>
  <c r="X3023" i="1"/>
  <c r="X3024" i="1" a="1"/>
  <c r="X3024" i="1" s="1"/>
  <c r="X3025" i="1" a="1"/>
  <c r="X3025" i="1"/>
  <c r="X3026" i="1" a="1"/>
  <c r="X3026" i="1" s="1"/>
  <c r="X3027" i="1" a="1"/>
  <c r="X3027" i="1" s="1"/>
  <c r="X3028" i="1" a="1"/>
  <c r="X3028" i="1"/>
  <c r="X3029" i="1" a="1"/>
  <c r="X3029" i="1"/>
  <c r="X3030" i="1" a="1"/>
  <c r="X3030" i="1"/>
  <c r="X3031" i="1" a="1"/>
  <c r="X3031" i="1"/>
  <c r="X3032" i="1" a="1"/>
  <c r="X3032" i="1"/>
  <c r="X3033" i="1" a="1"/>
  <c r="X3033" i="1" s="1"/>
  <c r="X3034" i="1" a="1"/>
  <c r="X3034" i="1" s="1"/>
  <c r="X3035" i="1" a="1"/>
  <c r="X3035" i="1" s="1"/>
  <c r="X3036" i="1" a="1"/>
  <c r="X3036" i="1" s="1"/>
  <c r="X3037" i="1" a="1"/>
  <c r="X3037" i="1"/>
  <c r="X3038" i="1" a="1"/>
  <c r="X3038" i="1" s="1"/>
  <c r="X3039" i="1" a="1"/>
  <c r="X3039" i="1"/>
  <c r="X3040" i="1" a="1"/>
  <c r="X3040" i="1"/>
  <c r="X3041" i="1" a="1"/>
  <c r="X3041" i="1"/>
  <c r="X3042" i="1" a="1"/>
  <c r="X3042" i="1" s="1"/>
  <c r="X3043" i="1" a="1"/>
  <c r="X3043" i="1" s="1"/>
  <c r="X3044" i="1" a="1"/>
  <c r="X3044" i="1" s="1"/>
  <c r="X3045" i="1" a="1"/>
  <c r="X3045" i="1"/>
  <c r="X3046" i="1" a="1"/>
  <c r="X3046" i="1"/>
  <c r="X3047" i="1" a="1"/>
  <c r="X3047" i="1"/>
  <c r="X3048" i="1" a="1"/>
  <c r="X3048" i="1"/>
  <c r="X3049" i="1" a="1"/>
  <c r="X3049" i="1" s="1"/>
  <c r="X3050" i="1" a="1"/>
  <c r="X3050" i="1" s="1"/>
  <c r="X3051" i="1" a="1"/>
  <c r="X3051" i="1"/>
  <c r="X3052" i="1" a="1"/>
  <c r="X3052" i="1" s="1"/>
  <c r="X3053" i="1" a="1"/>
  <c r="X3053" i="1" s="1"/>
  <c r="X3054" i="1" a="1"/>
  <c r="X3054" i="1"/>
  <c r="X3055" i="1" a="1"/>
  <c r="X3055" i="1"/>
  <c r="X3056" i="1" a="1"/>
  <c r="X3056" i="1"/>
  <c r="X3057" i="1" a="1"/>
  <c r="X3057" i="1" s="1"/>
  <c r="X3058" i="1" a="1"/>
  <c r="X3058" i="1" s="1"/>
  <c r="X3059" i="1" a="1"/>
  <c r="X3059" i="1" s="1"/>
  <c r="X3060" i="1" a="1"/>
  <c r="X3060" i="1"/>
  <c r="X3061" i="1" a="1"/>
  <c r="X3061" i="1" s="1"/>
  <c r="X3062" i="1" a="1"/>
  <c r="X3062" i="1"/>
  <c r="X3063" i="1" a="1"/>
  <c r="X3063" i="1"/>
  <c r="X3064" i="1" a="1"/>
  <c r="X3064" i="1"/>
  <c r="X3065" i="1" a="1"/>
  <c r="X3065" i="1"/>
  <c r="X3066" i="1" a="1"/>
  <c r="X3066" i="1" s="1"/>
  <c r="X3067" i="1" a="1"/>
  <c r="X3067" i="1"/>
  <c r="X3068" i="1" a="1"/>
  <c r="X3068" i="1" s="1"/>
  <c r="X3069" i="1" a="1"/>
  <c r="X3069" i="1"/>
  <c r="X3070" i="1" a="1"/>
  <c r="X3070" i="1" s="1"/>
  <c r="X3071" i="1" a="1"/>
  <c r="X3071" i="1"/>
  <c r="X3072" i="1" a="1"/>
  <c r="X3072" i="1"/>
  <c r="X3073" i="1" a="1"/>
  <c r="X3073" i="1"/>
  <c r="X3074" i="1" a="1"/>
  <c r="X3074" i="1" s="1"/>
  <c r="X3075" i="1" a="1"/>
  <c r="X3075" i="1"/>
  <c r="X3076" i="1" a="1"/>
  <c r="X3076" i="1"/>
  <c r="X3077" i="1" a="1"/>
  <c r="X3077" i="1" s="1"/>
  <c r="X3078" i="1" a="1"/>
  <c r="X3078" i="1" s="1"/>
  <c r="X3079" i="1" a="1"/>
  <c r="X3079" i="1"/>
  <c r="X3080" i="1" a="1"/>
  <c r="X3080" i="1"/>
  <c r="X3081" i="1" a="1"/>
  <c r="X3081" i="1"/>
  <c r="X3082" i="1" a="1"/>
  <c r="X3082" i="1" s="1"/>
  <c r="X3083" i="1" a="1"/>
  <c r="X3083" i="1"/>
  <c r="X3084" i="1" a="1"/>
  <c r="X3084" i="1"/>
  <c r="X3085" i="1" a="1"/>
  <c r="X3085" i="1"/>
  <c r="X3086" i="1" a="1"/>
  <c r="X3086" i="1" s="1"/>
  <c r="X3087" i="1" a="1"/>
  <c r="X3087" i="1" s="1"/>
  <c r="X3088" i="1" a="1"/>
  <c r="X3088" i="1" s="1"/>
  <c r="X3089" i="1" a="1"/>
  <c r="X3089" i="1"/>
  <c r="X3090" i="1" a="1"/>
  <c r="X3090" i="1" s="1"/>
  <c r="X3091" i="1" a="1"/>
  <c r="X3091" i="1"/>
  <c r="X3092" i="1" a="1"/>
  <c r="X3092" i="1"/>
  <c r="X3093" i="1" a="1"/>
  <c r="X3093" i="1"/>
  <c r="X3094" i="1" a="1"/>
  <c r="X3094" i="1" s="1"/>
  <c r="X3095" i="1" a="1"/>
  <c r="X3095" i="1" s="1"/>
  <c r="X3096" i="1" a="1"/>
  <c r="X3096" i="1"/>
  <c r="X3097" i="1" a="1"/>
  <c r="X3097" i="1" s="1"/>
  <c r="X3098" i="1" a="1"/>
  <c r="X3098" i="1" s="1"/>
  <c r="X3099" i="1" a="1"/>
  <c r="X3099" i="1" s="1"/>
  <c r="X3100" i="1" a="1"/>
  <c r="X3100" i="1"/>
  <c r="X3101" i="1" a="1"/>
  <c r="X3101" i="1"/>
  <c r="X3102" i="1" a="1"/>
  <c r="X3102" i="1"/>
  <c r="X3103" i="1" a="1"/>
  <c r="X3103" i="1"/>
  <c r="X3104" i="1" a="1"/>
  <c r="X3104" i="1" s="1"/>
  <c r="X3105" i="1" a="1"/>
  <c r="X3105" i="1"/>
  <c r="X3106" i="1" a="1"/>
  <c r="X3106" i="1" s="1"/>
  <c r="X3107" i="1" a="1"/>
  <c r="X3107" i="1" s="1"/>
  <c r="X3108" i="1" a="1"/>
  <c r="X3108" i="1" s="1"/>
  <c r="X3109" i="1" a="1"/>
  <c r="X3109" i="1"/>
  <c r="X3110" i="1" a="1"/>
  <c r="X3110" i="1"/>
  <c r="X3111" i="1" a="1"/>
  <c r="X3111" i="1"/>
  <c r="X3112" i="1" a="1"/>
  <c r="X3112" i="1" s="1"/>
  <c r="X3113" i="1" a="1"/>
  <c r="X3113" i="1"/>
  <c r="X3114" i="1" a="1"/>
  <c r="X3114" i="1" s="1"/>
  <c r="X3115" i="1" a="1"/>
  <c r="X3115" i="1" s="1"/>
  <c r="X3116" i="1" a="1"/>
  <c r="X3116" i="1" s="1"/>
  <c r="X3117" i="1" a="1"/>
  <c r="X3117" i="1" s="1"/>
  <c r="X3118" i="1" a="1"/>
  <c r="X3118" i="1"/>
  <c r="X3119" i="1" a="1"/>
  <c r="X3119" i="1" s="1"/>
  <c r="X3120" i="1" a="1"/>
  <c r="X3120" i="1"/>
  <c r="X3121" i="1" a="1"/>
  <c r="X3121" i="1" s="1"/>
  <c r="X3122" i="1" a="1"/>
  <c r="X3122" i="1" s="1"/>
  <c r="X3123" i="1" a="1"/>
  <c r="X3123" i="1"/>
  <c r="X3124" i="1" a="1"/>
  <c r="X3124" i="1"/>
  <c r="X3125" i="1" a="1"/>
  <c r="X3125" i="1" s="1"/>
  <c r="X3126" i="1" a="1"/>
  <c r="X3126" i="1" s="1"/>
  <c r="X3127" i="1" a="1"/>
  <c r="X3127" i="1"/>
  <c r="X3128" i="1" a="1"/>
  <c r="X3128" i="1"/>
  <c r="X3129" i="1" a="1"/>
  <c r="X3129" i="1" s="1"/>
  <c r="X3130" i="1" a="1"/>
  <c r="X3130" i="1" s="1"/>
  <c r="X3131" i="1" a="1"/>
  <c r="X3131" i="1"/>
  <c r="X3132" i="1" a="1"/>
  <c r="X3132" i="1"/>
  <c r="X3133" i="1" a="1"/>
  <c r="X3133" i="1"/>
  <c r="X3134" i="1" a="1"/>
  <c r="X3134" i="1" s="1"/>
  <c r="X3135" i="1" a="1"/>
  <c r="X3135" i="1" s="1"/>
  <c r="X3136" i="1" a="1"/>
  <c r="X3136" i="1"/>
  <c r="X3137" i="1" a="1"/>
  <c r="X3137" i="1"/>
  <c r="X3138" i="1" a="1"/>
  <c r="X3138" i="1" s="1"/>
  <c r="X3139" i="1" a="1"/>
  <c r="X3139" i="1"/>
  <c r="X3140" i="1" a="1"/>
  <c r="X3140" i="1"/>
  <c r="X3141" i="1" a="1"/>
  <c r="X3141" i="1"/>
  <c r="X3142" i="1" a="1"/>
  <c r="X3142" i="1" s="1"/>
  <c r="X3143" i="1" a="1"/>
  <c r="X3143" i="1"/>
  <c r="X3144" i="1" a="1"/>
  <c r="X3144" i="1"/>
  <c r="X3145" i="1" a="1"/>
  <c r="X3145" i="1" s="1"/>
  <c r="X3146" i="1" a="1"/>
  <c r="X3146" i="1" s="1"/>
  <c r="X3147" i="1" a="1"/>
  <c r="X3147" i="1" s="1"/>
  <c r="X3148" i="1" a="1"/>
  <c r="X3148" i="1"/>
  <c r="X3149" i="1" a="1"/>
  <c r="X3149" i="1" s="1"/>
  <c r="X3150" i="1" a="1"/>
  <c r="X3150" i="1"/>
  <c r="X3151" i="1" a="1"/>
  <c r="X3151" i="1" s="1"/>
  <c r="X3152" i="1" a="1"/>
  <c r="X3152" i="1"/>
  <c r="X3153" i="1" a="1"/>
  <c r="X3153" i="1"/>
  <c r="X3154" i="1" a="1"/>
  <c r="X3154" i="1" s="1"/>
  <c r="X3155" i="1" a="1"/>
  <c r="X3155" i="1" s="1"/>
  <c r="X3156" i="1" a="1"/>
  <c r="X3156" i="1"/>
  <c r="X3157" i="1" a="1"/>
  <c r="X3157" i="1" s="1"/>
  <c r="X3158" i="1" a="1"/>
  <c r="X3158" i="1"/>
  <c r="X3159" i="1" a="1"/>
  <c r="X3159" i="1"/>
  <c r="X3160" i="1" a="1"/>
  <c r="X3160" i="1" s="1"/>
  <c r="X3161" i="1" a="1"/>
  <c r="X3161" i="1"/>
  <c r="X3162" i="1" a="1"/>
  <c r="X3162" i="1" s="1"/>
  <c r="X3163" i="1" a="1"/>
  <c r="X3163" i="1"/>
  <c r="X3164" i="1" a="1"/>
  <c r="X3164" i="1" s="1"/>
  <c r="X3165" i="1" a="1"/>
  <c r="X3165" i="1" s="1"/>
  <c r="X3166" i="1" a="1"/>
  <c r="X3166" i="1"/>
  <c r="X3167" i="1" a="1"/>
  <c r="X3167" i="1"/>
  <c r="X3168" i="1" a="1"/>
  <c r="X3168" i="1" s="1"/>
  <c r="X3169" i="1" a="1"/>
  <c r="X3169" i="1" s="1"/>
  <c r="X3170" i="1" a="1"/>
  <c r="X3170" i="1" s="1"/>
  <c r="X3171" i="1" a="1"/>
  <c r="X3171" i="1" s="1"/>
  <c r="X3172" i="1" a="1"/>
  <c r="X3172" i="1" s="1"/>
  <c r="X3173" i="1" a="1"/>
  <c r="X3173" i="1"/>
  <c r="X3174" i="1" a="1"/>
  <c r="X3174" i="1"/>
  <c r="X3175" i="1" a="1"/>
  <c r="X3175" i="1" s="1"/>
  <c r="X3176" i="1" a="1"/>
  <c r="X3176" i="1"/>
  <c r="X3177" i="1" a="1"/>
  <c r="X3177" i="1"/>
  <c r="X3178" i="1" a="1"/>
  <c r="X3178" i="1" s="1"/>
  <c r="X3179" i="1" a="1"/>
  <c r="X3179" i="1" s="1"/>
  <c r="X3180" i="1" a="1"/>
  <c r="X3180" i="1" s="1"/>
  <c r="X3181" i="1" a="1"/>
  <c r="X3181" i="1" s="1"/>
  <c r="X3182" i="1" a="1"/>
  <c r="X3182" i="1"/>
  <c r="X3183" i="1" a="1"/>
  <c r="X3183" i="1"/>
  <c r="X3184" i="1" a="1"/>
  <c r="X3184" i="1"/>
  <c r="X3185" i="1" a="1"/>
  <c r="X3185" i="1" s="1"/>
  <c r="X3186" i="1" a="1"/>
  <c r="X3186" i="1" s="1"/>
  <c r="X3187" i="1" a="1"/>
  <c r="X3187" i="1" s="1"/>
  <c r="X3188" i="1" a="1"/>
  <c r="X3188" i="1" s="1"/>
  <c r="X3189" i="1" a="1"/>
  <c r="X3189" i="1" s="1"/>
  <c r="X3190" i="1" a="1"/>
  <c r="X3190" i="1"/>
  <c r="X3191" i="1" a="1"/>
  <c r="X3191" i="1"/>
  <c r="X3192" i="1" a="1"/>
  <c r="X3192" i="1"/>
  <c r="X3193" i="1" a="1"/>
  <c r="X3193" i="1"/>
  <c r="X3194" i="1" a="1"/>
  <c r="X3194" i="1" s="1"/>
  <c r="X3195" i="1" a="1"/>
  <c r="X3195" i="1" s="1"/>
  <c r="X3196" i="1" a="1"/>
  <c r="X3196" i="1"/>
  <c r="X3197" i="1" a="1"/>
  <c r="X3197" i="1" s="1"/>
  <c r="X3198" i="1" a="1"/>
  <c r="X3198" i="1" s="1"/>
  <c r="X3199" i="1" a="1"/>
  <c r="X3199" i="1"/>
  <c r="X3200" i="1" a="1"/>
  <c r="X3200" i="1"/>
  <c r="X3201" i="1" a="1"/>
  <c r="X3201" i="1"/>
  <c r="X3202" i="1" a="1"/>
  <c r="X3202" i="1" s="1"/>
  <c r="X3203" i="1" a="1"/>
  <c r="X3203" i="1"/>
  <c r="X3204" i="1" a="1"/>
  <c r="X3204" i="1"/>
  <c r="X3205" i="1" a="1"/>
  <c r="X3205" i="1"/>
  <c r="X3206" i="1" a="1"/>
  <c r="X3206" i="1" s="1"/>
  <c r="X3207" i="1" a="1"/>
  <c r="X3207" i="1"/>
  <c r="X3208" i="1" a="1"/>
  <c r="X3208" i="1"/>
  <c r="X3209" i="1" a="1"/>
  <c r="X3209" i="1"/>
  <c r="X3210" i="1" a="1"/>
  <c r="X3210" i="1" s="1"/>
  <c r="X3211" i="1" a="1"/>
  <c r="X3211" i="1"/>
  <c r="X3212" i="1" a="1"/>
  <c r="X3212" i="1"/>
  <c r="X3213" i="1" a="1"/>
  <c r="X3213" i="1"/>
  <c r="X3214" i="1" a="1"/>
  <c r="X3214" i="1"/>
  <c r="X3215" i="1" a="1"/>
  <c r="X3215" i="1" s="1"/>
  <c r="X3216" i="1" a="1"/>
  <c r="X3216" i="1"/>
  <c r="X3217" i="1" a="1"/>
  <c r="X3217" i="1"/>
  <c r="X3218" i="1" a="1"/>
  <c r="X3218" i="1" s="1"/>
  <c r="X3219" i="1" a="1"/>
  <c r="X3219" i="1"/>
  <c r="X3220" i="1" a="1"/>
  <c r="X3220" i="1"/>
  <c r="X3221" i="1" a="1"/>
  <c r="X3221" i="1"/>
  <c r="X3222" i="1" a="1"/>
  <c r="X3222" i="1"/>
  <c r="X3223" i="1" a="1"/>
  <c r="X3223" i="1" s="1"/>
  <c r="X3224" i="1" a="1"/>
  <c r="X3224" i="1"/>
  <c r="X3225" i="1" a="1"/>
  <c r="X3225" i="1"/>
  <c r="X3226" i="1" a="1"/>
  <c r="X3226" i="1" s="1"/>
  <c r="X3227" i="1" a="1"/>
  <c r="X3227" i="1"/>
  <c r="X3228" i="1" a="1"/>
  <c r="X3228" i="1"/>
  <c r="X3229" i="1" a="1"/>
  <c r="X3229" i="1"/>
  <c r="X3230" i="1" a="1"/>
  <c r="X3230" i="1"/>
  <c r="X3231" i="1" a="1"/>
  <c r="X3231" i="1"/>
  <c r="X3232" i="1" a="1"/>
  <c r="X3232" i="1" s="1"/>
  <c r="X3233" i="1" a="1"/>
  <c r="X3233" i="1" s="1"/>
  <c r="X3234" i="1" a="1"/>
  <c r="X3234" i="1" s="1"/>
  <c r="X3235" i="1" a="1"/>
  <c r="X3235" i="1" s="1"/>
  <c r="X3236" i="1" a="1"/>
  <c r="X3236" i="1"/>
  <c r="X3237" i="1" a="1"/>
  <c r="X3237" i="1"/>
  <c r="X3238" i="1" a="1"/>
  <c r="X3238" i="1"/>
  <c r="X3239" i="1" a="1"/>
  <c r="X3239" i="1"/>
  <c r="X3240" i="1" a="1"/>
  <c r="X3240" i="1" s="1"/>
  <c r="X3241" i="1" a="1"/>
  <c r="X3241" i="1"/>
  <c r="X3242" i="1" a="1"/>
  <c r="X3242" i="1" s="1"/>
  <c r="X3243" i="1" a="1"/>
  <c r="X3243" i="1" s="1"/>
  <c r="X3244" i="1" a="1"/>
  <c r="X3244" i="1" s="1"/>
  <c r="X3245" i="1" a="1"/>
  <c r="X3245" i="1" s="1"/>
  <c r="X3246" i="1" a="1"/>
  <c r="X3246" i="1"/>
  <c r="X3247" i="1" a="1"/>
  <c r="X3247" i="1"/>
  <c r="X3248" i="1" a="1"/>
  <c r="X3248" i="1"/>
  <c r="X3249" i="1" a="1"/>
  <c r="X3249" i="1" s="1"/>
  <c r="X3250" i="1" a="1"/>
  <c r="X3250" i="1" s="1"/>
  <c r="X3251" i="1" a="1"/>
  <c r="X3251" i="1"/>
  <c r="X3252" i="1" a="1"/>
  <c r="X3252" i="1" s="1"/>
  <c r="X3253" i="1" a="1"/>
  <c r="X3253" i="1" s="1"/>
  <c r="X3254" i="1" a="1"/>
  <c r="X3254" i="1"/>
  <c r="X3255" i="1" a="1"/>
  <c r="X3255" i="1" s="1"/>
  <c r="X3256" i="1" a="1"/>
  <c r="X3256" i="1"/>
  <c r="X3257" i="1" a="1"/>
  <c r="X3257" i="1" s="1"/>
  <c r="X3258" i="1" a="1"/>
  <c r="X3258" i="1" s="1"/>
  <c r="X3259" i="1" a="1"/>
  <c r="X3259" i="1"/>
  <c r="X3260" i="1" a="1"/>
  <c r="X3260" i="1"/>
  <c r="X3261" i="1" a="1"/>
  <c r="X3261" i="1" s="1"/>
  <c r="X3262" i="1" a="1"/>
  <c r="X3262" i="1" s="1"/>
  <c r="X3263" i="1" a="1"/>
  <c r="X3263" i="1"/>
  <c r="X3264" i="1" a="1"/>
  <c r="X3264" i="1"/>
  <c r="X3265" i="1" a="1"/>
  <c r="X3265" i="1" s="1"/>
  <c r="X3266" i="1" a="1"/>
  <c r="X3266" i="1" s="1"/>
  <c r="X3267" i="1" a="1"/>
  <c r="X3267" i="1"/>
  <c r="X3268" i="1" a="1"/>
  <c r="X3268" i="1"/>
  <c r="X3269" i="1" a="1"/>
  <c r="X3269" i="1"/>
  <c r="X3270" i="1" a="1"/>
  <c r="X3270" i="1"/>
  <c r="X3271" i="1" a="1"/>
  <c r="X3271" i="1"/>
  <c r="X3272" i="1" a="1"/>
  <c r="X3272" i="1" s="1"/>
  <c r="X3273" i="1" a="1"/>
  <c r="X3273" i="1"/>
  <c r="X3274" i="1" a="1"/>
  <c r="X3274" i="1" s="1"/>
  <c r="X3275" i="1" a="1"/>
  <c r="X3275" i="1" s="1"/>
  <c r="X3276" i="1" a="1"/>
  <c r="X3276" i="1" s="1"/>
  <c r="X3277" i="1" a="1"/>
  <c r="X3277" i="1"/>
  <c r="X3278" i="1" a="1"/>
  <c r="X3278" i="1"/>
  <c r="X3279" i="1" a="1"/>
  <c r="X3279" i="1"/>
  <c r="X3280" i="1" a="1"/>
  <c r="X3280" i="1"/>
  <c r="X3281" i="1" a="1"/>
  <c r="X3281" i="1" s="1"/>
  <c r="X3282" i="1" a="1"/>
  <c r="X3282" i="1" s="1"/>
  <c r="X3283" i="1" a="1"/>
  <c r="X3283" i="1" s="1"/>
  <c r="X3284" i="1" a="1"/>
  <c r="X3284" i="1"/>
  <c r="X3285" i="1" a="1"/>
  <c r="X3285" i="1" s="1"/>
  <c r="X3286" i="1" a="1"/>
  <c r="X3286" i="1"/>
  <c r="X3287" i="1" a="1"/>
  <c r="X3287" i="1"/>
  <c r="X3288" i="1" a="1"/>
  <c r="X3288" i="1"/>
  <c r="X3289" i="1" a="1"/>
  <c r="X3289" i="1"/>
  <c r="X3290" i="1" a="1"/>
  <c r="X3290" i="1" s="1"/>
  <c r="X3291" i="1" a="1"/>
  <c r="X3291" i="1"/>
  <c r="X3292" i="1" a="1"/>
  <c r="X3292" i="1" s="1"/>
  <c r="X3293" i="1" a="1"/>
  <c r="X3293" i="1"/>
  <c r="X3294" i="1" a="1"/>
  <c r="X3294" i="1" s="1"/>
  <c r="X3295" i="1" a="1"/>
  <c r="X3295" i="1"/>
  <c r="X3296" i="1" a="1"/>
  <c r="X3296" i="1"/>
  <c r="X3297" i="1" a="1"/>
  <c r="X3297" i="1"/>
  <c r="X3298" i="1" a="1"/>
  <c r="X3298" i="1" s="1"/>
  <c r="X3299" i="1" a="1"/>
  <c r="X3299" i="1"/>
  <c r="X3300" i="1" a="1"/>
  <c r="X3300" i="1" s="1"/>
  <c r="X3301" i="1" a="1"/>
  <c r="X3301" i="1"/>
  <c r="X3302" i="1" a="1"/>
  <c r="X3302" i="1"/>
  <c r="X3303" i="1" a="1"/>
  <c r="X3303" i="1" s="1"/>
  <c r="X3304" i="1" a="1"/>
  <c r="X3304" i="1"/>
  <c r="X3305" i="1" a="1"/>
  <c r="X3305" i="1"/>
  <c r="X3306" i="1" a="1"/>
  <c r="X3306" i="1" s="1"/>
  <c r="X3307" i="1" a="1"/>
  <c r="X3307" i="1" s="1"/>
  <c r="X3308" i="1" a="1"/>
  <c r="X3308" i="1"/>
  <c r="X3309" i="1" a="1"/>
  <c r="X3309" i="1" s="1"/>
  <c r="X3310" i="1" a="1"/>
  <c r="X3310" i="1"/>
  <c r="X3311" i="1" a="1"/>
  <c r="X3311" i="1" s="1"/>
  <c r="X3312" i="1" a="1"/>
  <c r="X3312" i="1"/>
  <c r="X3313" i="1" a="1"/>
  <c r="X3313" i="1"/>
  <c r="X3314" i="1" a="1"/>
  <c r="X3314" i="1" s="1"/>
  <c r="X3315" i="1" a="1"/>
  <c r="X3315" i="1" s="1"/>
  <c r="X3316" i="1" a="1"/>
  <c r="X3316" i="1" s="1"/>
  <c r="X3317" i="1" a="1"/>
  <c r="X3317" i="1" s="1"/>
  <c r="X3318" i="1" a="1"/>
  <c r="X3318" i="1"/>
  <c r="X3319" i="1" a="1"/>
  <c r="X3319" i="1"/>
  <c r="X3320" i="1" a="1"/>
  <c r="X3320" i="1"/>
  <c r="X3321" i="1" a="1"/>
  <c r="X3321" i="1" s="1"/>
  <c r="X3322" i="1" a="1"/>
  <c r="X3322" i="1" s="1"/>
  <c r="X3323" i="1" a="1"/>
  <c r="X3323" i="1" s="1"/>
  <c r="X3324" i="1" a="1"/>
  <c r="X3324" i="1" s="1"/>
  <c r="X3325" i="1" a="1"/>
  <c r="X3325" i="1" s="1"/>
  <c r="X3326" i="1" a="1"/>
  <c r="X3326" i="1" s="1"/>
  <c r="X3327" i="1" a="1"/>
  <c r="X3327" i="1"/>
  <c r="X3328" i="1" a="1"/>
  <c r="X3328" i="1"/>
  <c r="X3329" i="1" a="1"/>
  <c r="X3329" i="1"/>
  <c r="X3330" i="1" a="1"/>
  <c r="X3330" i="1" s="1"/>
  <c r="X3331" i="1" a="1"/>
  <c r="X3331" i="1"/>
  <c r="X3332" i="1" a="1"/>
  <c r="X3332" i="1"/>
  <c r="X3333" i="1" a="1"/>
  <c r="X3333" i="1" s="1"/>
  <c r="X3334" i="1" a="1"/>
  <c r="X3334" i="1" s="1"/>
  <c r="X3335" i="1" a="1"/>
  <c r="X3335" i="1"/>
  <c r="X3336" i="1" a="1"/>
  <c r="X3336" i="1"/>
  <c r="X3337" i="1" a="1"/>
  <c r="X3337" i="1"/>
  <c r="X3338" i="1" a="1"/>
  <c r="X3338" i="1" s="1"/>
  <c r="X3339" i="1" a="1"/>
  <c r="X3339" i="1"/>
  <c r="X3340" i="1" a="1"/>
  <c r="X3340" i="1"/>
  <c r="X3341" i="1" a="1"/>
  <c r="X3341" i="1" s="1"/>
  <c r="X3342" i="1" a="1"/>
  <c r="X3342" i="1" s="1"/>
  <c r="X3343" i="1" a="1"/>
  <c r="X3343" i="1" s="1"/>
  <c r="X3344" i="1" a="1"/>
  <c r="X3344" i="1"/>
  <c r="X3345" i="1" a="1"/>
  <c r="X3345" i="1"/>
  <c r="X3346" i="1" a="1"/>
  <c r="X3346" i="1" s="1"/>
  <c r="X3347" i="1" a="1"/>
  <c r="X3347" i="1"/>
  <c r="X3348" i="1" a="1"/>
  <c r="X3348" i="1"/>
  <c r="X3349" i="1" a="1"/>
  <c r="X3349" i="1" s="1"/>
  <c r="X3350" i="1" a="1"/>
  <c r="X3350" i="1"/>
  <c r="X3351" i="1" a="1"/>
  <c r="X3351" i="1" s="1"/>
  <c r="X3352" i="1" a="1"/>
  <c r="X3352" i="1"/>
  <c r="X3353" i="1" a="1"/>
  <c r="X3353" i="1"/>
  <c r="X3354" i="1" a="1"/>
  <c r="X3354" i="1" s="1"/>
  <c r="X3355" i="1" a="1"/>
  <c r="X3355" i="1"/>
  <c r="X3356" i="1" a="1"/>
  <c r="X3356" i="1"/>
  <c r="X3357" i="1" a="1"/>
  <c r="X3357" i="1"/>
  <c r="X3358" i="1" a="1"/>
  <c r="X3358" i="1" s="1"/>
  <c r="X3359" i="1" a="1"/>
  <c r="X3359" i="1"/>
  <c r="X3360" i="1" a="1"/>
  <c r="X3360" i="1" s="1"/>
  <c r="X3361" i="1" a="1"/>
  <c r="X3361" i="1" s="1"/>
  <c r="X3362" i="1" a="1"/>
  <c r="X3362" i="1" s="1"/>
  <c r="X3363" i="1" a="1"/>
  <c r="X3363" i="1"/>
  <c r="X3364" i="1" a="1"/>
  <c r="X3364" i="1"/>
  <c r="X3365" i="1" a="1"/>
  <c r="X3365" i="1"/>
  <c r="X3366" i="1" a="1"/>
  <c r="X3366" i="1"/>
  <c r="X3367" i="1" a="1"/>
  <c r="X3367" i="1" s="1"/>
  <c r="X3368" i="1" a="1"/>
  <c r="X3368" i="1" s="1"/>
  <c r="X3369" i="1" a="1"/>
  <c r="X3369" i="1" s="1"/>
  <c r="X3370" i="1" a="1"/>
  <c r="X3370" i="1"/>
  <c r="X3371" i="1" a="1"/>
  <c r="X3371" i="1" s="1"/>
  <c r="X3372" i="1" a="1"/>
  <c r="X3372" i="1"/>
  <c r="X3373" i="1" a="1"/>
  <c r="X3373" i="1"/>
  <c r="X3374" i="1" a="1"/>
  <c r="X3374" i="1"/>
  <c r="X3375" i="1" a="1"/>
  <c r="X3375" i="1"/>
  <c r="X3376" i="1" a="1"/>
  <c r="X3376" i="1" s="1"/>
  <c r="X3377" i="1" a="1"/>
  <c r="X3377" i="1" s="1"/>
  <c r="X3378" i="1" a="1"/>
  <c r="X3378" i="1"/>
  <c r="X3379" i="1" a="1"/>
  <c r="X3379" i="1"/>
  <c r="X3380" i="1" a="1"/>
  <c r="X3380" i="1" s="1"/>
  <c r="X3381" i="1" a="1"/>
  <c r="X3381" i="1"/>
  <c r="X3382" i="1" a="1"/>
  <c r="X3382" i="1"/>
  <c r="X3383" i="1" a="1"/>
  <c r="X3383" i="1"/>
  <c r="X3384" i="1" a="1"/>
  <c r="X3384" i="1" s="1"/>
  <c r="X3385" i="1" a="1"/>
  <c r="X3385" i="1" s="1"/>
  <c r="X3386" i="1" a="1"/>
  <c r="X3386" i="1" s="1"/>
  <c r="X3387" i="1" a="1"/>
  <c r="X3387" i="1"/>
  <c r="X3388" i="1" a="1"/>
  <c r="X3388" i="1"/>
  <c r="X3389" i="1" a="1"/>
  <c r="X3389" i="1" s="1"/>
  <c r="X3390" i="1" a="1"/>
  <c r="X3390" i="1"/>
  <c r="X3391" i="1" a="1"/>
  <c r="X3391" i="1"/>
  <c r="X3392" i="1" a="1"/>
  <c r="X3392" i="1" s="1"/>
  <c r="X3393" i="1" a="1"/>
  <c r="X3393" i="1" s="1"/>
  <c r="X3394" i="1" a="1"/>
  <c r="X3394" i="1"/>
  <c r="X3395" i="1" a="1"/>
  <c r="X3395" i="1" s="1"/>
  <c r="X3396" i="1" a="1"/>
  <c r="X3396" i="1"/>
  <c r="X3397" i="1" a="1"/>
  <c r="X3397" i="1"/>
  <c r="X3398" i="1" a="1"/>
  <c r="X3398" i="1" s="1"/>
  <c r="X3399" i="1" a="1"/>
  <c r="X3399" i="1"/>
  <c r="X3400" i="1" a="1"/>
  <c r="X3400" i="1" s="1"/>
  <c r="X3401" i="1" a="1"/>
  <c r="X3401" i="1" s="1"/>
  <c r="X3402" i="1" a="1"/>
  <c r="X3402" i="1"/>
  <c r="X3403" i="1" a="1"/>
  <c r="X3403" i="1"/>
  <c r="X3404" i="1" a="1"/>
  <c r="X3404" i="1" s="1"/>
  <c r="X3405" i="1" a="1"/>
  <c r="X3405" i="1"/>
  <c r="X3406" i="1" a="1"/>
  <c r="X3406" i="1"/>
  <c r="X3407" i="1" a="1"/>
  <c r="X3407" i="1" s="1"/>
  <c r="X3408" i="1" a="1"/>
  <c r="X3408" i="1" s="1"/>
  <c r="X3409" i="1" a="1"/>
  <c r="X3409" i="1" s="1"/>
  <c r="X3410" i="1" a="1"/>
  <c r="X3410" i="1"/>
  <c r="X3411" i="1" a="1"/>
  <c r="X3411" i="1"/>
  <c r="X3412" i="1" a="1"/>
  <c r="X3412" i="1"/>
  <c r="X3413" i="1" a="1"/>
  <c r="X3413" i="1" s="1"/>
  <c r="X3414" i="1" a="1"/>
  <c r="X3414" i="1"/>
  <c r="X3415" i="1" a="1"/>
  <c r="X3415" i="1"/>
  <c r="X3416" i="1" a="1"/>
  <c r="X3416" i="1" s="1"/>
  <c r="X3417" i="1" a="1"/>
  <c r="X3417" i="1" s="1"/>
  <c r="X3418" i="1" a="1"/>
  <c r="X3418" i="1"/>
  <c r="X3419" i="1" a="1"/>
  <c r="X3419" i="1"/>
  <c r="X3420" i="1" a="1"/>
  <c r="X3420" i="1"/>
  <c r="X3421" i="1" a="1"/>
  <c r="X3421" i="1"/>
  <c r="X3422" i="1" a="1"/>
  <c r="X3422" i="1" s="1"/>
  <c r="X3423" i="1" a="1"/>
  <c r="X3423" i="1"/>
  <c r="X3424" i="1" a="1"/>
  <c r="X3424" i="1" s="1"/>
  <c r="X3425" i="1" a="1"/>
  <c r="X3425" i="1" s="1"/>
  <c r="X3426" i="1" a="1"/>
  <c r="X3426" i="1" s="1"/>
  <c r="X3427" i="1" a="1"/>
  <c r="X3427" i="1"/>
  <c r="X3428" i="1" a="1"/>
  <c r="X3428" i="1"/>
  <c r="X3429" i="1" a="1"/>
  <c r="X3429" i="1"/>
  <c r="X3430" i="1" a="1"/>
  <c r="X3430" i="1"/>
  <c r="X3431" i="1" a="1"/>
  <c r="X3431" i="1" s="1"/>
  <c r="X3432" i="1" a="1"/>
  <c r="X3432" i="1" s="1"/>
  <c r="X3433" i="1" a="1"/>
  <c r="X3433" i="1" s="1"/>
  <c r="X3434" i="1" a="1"/>
  <c r="X3434" i="1"/>
  <c r="X3435" i="1" a="1"/>
  <c r="X3435" i="1" s="1"/>
  <c r="X3436" i="1" a="1"/>
  <c r="X3436" i="1"/>
  <c r="X3437" i="1" a="1"/>
  <c r="X3437" i="1"/>
  <c r="X3438" i="1" a="1"/>
  <c r="X3438" i="1"/>
  <c r="X3439" i="1" a="1"/>
  <c r="X3439" i="1"/>
  <c r="X3440" i="1" a="1"/>
  <c r="X3440" i="1" s="1"/>
  <c r="X3441" i="1" a="1"/>
  <c r="X3441" i="1" s="1"/>
  <c r="X3442" i="1" a="1"/>
  <c r="X3442" i="1"/>
  <c r="X3443" i="1" a="1"/>
  <c r="X3443" i="1"/>
  <c r="X3444" i="1" a="1"/>
  <c r="X3444" i="1" s="1"/>
  <c r="X3445" i="1" a="1"/>
  <c r="X3445" i="1"/>
  <c r="X3446" i="1" a="1"/>
  <c r="X3446" i="1"/>
  <c r="X3447" i="1" a="1"/>
  <c r="X3447" i="1"/>
  <c r="X3448" i="1" a="1"/>
  <c r="X3448" i="1" s="1"/>
  <c r="X3449" i="1" a="1"/>
  <c r="X3449" i="1" s="1"/>
  <c r="X3450" i="1" a="1"/>
  <c r="X3450" i="1" s="1"/>
  <c r="X3451" i="1" a="1"/>
  <c r="X3451" i="1"/>
  <c r="X3452" i="1" a="1"/>
  <c r="X3452" i="1"/>
  <c r="X3453" i="1" a="1"/>
  <c r="X3453" i="1" s="1"/>
  <c r="X3454" i="1" a="1"/>
  <c r="X3454" i="1"/>
  <c r="X3455" i="1" a="1"/>
  <c r="X3455" i="1"/>
  <c r="X3456" i="1" a="1"/>
  <c r="X3456" i="1" s="1"/>
  <c r="X3457" i="1" a="1"/>
  <c r="X3457" i="1" s="1"/>
  <c r="X3458" i="1" a="1"/>
  <c r="X3458" i="1"/>
  <c r="X3459" i="1" a="1"/>
  <c r="X3459" i="1" s="1"/>
  <c r="X3460" i="1" a="1"/>
  <c r="X3460" i="1"/>
  <c r="X3461" i="1" a="1"/>
  <c r="X3461" i="1"/>
  <c r="X3462" i="1" a="1"/>
  <c r="X3462" i="1" s="1"/>
  <c r="X3463" i="1" a="1"/>
  <c r="X3463" i="1"/>
  <c r="X3464" i="1" a="1"/>
  <c r="X3464" i="1" s="1"/>
  <c r="X3465" i="1" a="1"/>
  <c r="X3465" i="1" s="1"/>
  <c r="X3466" i="1" a="1"/>
  <c r="X3466" i="1"/>
  <c r="X3467" i="1" a="1"/>
  <c r="X3467" i="1"/>
  <c r="X3468" i="1" a="1"/>
  <c r="X3468" i="1" s="1"/>
  <c r="X3469" i="1" a="1"/>
  <c r="X3469" i="1"/>
  <c r="X3470" i="1" a="1"/>
  <c r="X3470" i="1"/>
  <c r="X3471" i="1" a="1"/>
  <c r="X3471" i="1" s="1"/>
  <c r="X3472" i="1" a="1"/>
  <c r="X3472" i="1" s="1"/>
  <c r="X3473" i="1" a="1"/>
  <c r="X3473" i="1" s="1"/>
  <c r="X3474" i="1" a="1"/>
  <c r="X3474" i="1"/>
  <c r="X3475" i="1" a="1"/>
  <c r="X3475" i="1"/>
  <c r="X3476" i="1" a="1"/>
  <c r="X3476" i="1"/>
  <c r="X3477" i="1" a="1"/>
  <c r="X3477" i="1" s="1"/>
  <c r="X3478" i="1" a="1"/>
  <c r="X3478" i="1"/>
  <c r="X3479" i="1" a="1"/>
  <c r="X3479" i="1"/>
  <c r="X3480" i="1" a="1"/>
  <c r="X3480" i="1" s="1"/>
  <c r="X3481" i="1" a="1"/>
  <c r="X3481" i="1" s="1"/>
  <c r="X3482" i="1" a="1"/>
  <c r="X3482" i="1"/>
  <c r="X3483" i="1" a="1"/>
  <c r="X3483" i="1"/>
  <c r="X3484" i="1" a="1"/>
  <c r="X3484" i="1"/>
  <c r="X3485" i="1" a="1"/>
  <c r="X3485" i="1"/>
  <c r="X3486" i="1" a="1"/>
  <c r="X3486" i="1" s="1"/>
  <c r="X3487" i="1" a="1"/>
  <c r="X3487" i="1"/>
  <c r="X3488" i="1" a="1"/>
  <c r="X3488" i="1" s="1"/>
  <c r="X3489" i="1" a="1"/>
  <c r="X3489" i="1" s="1"/>
  <c r="X3490" i="1" a="1"/>
  <c r="X3490" i="1" s="1"/>
  <c r="X3491" i="1" a="1"/>
  <c r="X3491" i="1"/>
  <c r="X3492" i="1" a="1"/>
  <c r="X3492" i="1"/>
  <c r="X3493" i="1" a="1"/>
  <c r="X3493" i="1"/>
  <c r="X3494" i="1" a="1"/>
  <c r="X3494" i="1"/>
  <c r="X3495" i="1" a="1"/>
  <c r="X3495" i="1" s="1"/>
  <c r="X3496" i="1" a="1"/>
  <c r="X3496" i="1" s="1"/>
  <c r="X3497" i="1" a="1"/>
  <c r="X3497" i="1" s="1"/>
  <c r="X3498" i="1" a="1"/>
  <c r="X3498" i="1"/>
  <c r="X3499" i="1" a="1"/>
  <c r="X3499" i="1" s="1"/>
  <c r="X3500" i="1" a="1"/>
  <c r="X3500" i="1"/>
  <c r="X3501" i="1" a="1"/>
  <c r="X3501" i="1"/>
  <c r="X3502" i="1" a="1"/>
  <c r="X3502" i="1"/>
  <c r="X3503" i="1" a="1"/>
  <c r="X3503" i="1"/>
  <c r="X3504" i="1" a="1"/>
  <c r="X3504" i="1" s="1"/>
  <c r="X3505" i="1" a="1"/>
  <c r="X3505" i="1" s="1"/>
  <c r="X3506" i="1" a="1"/>
  <c r="X3506" i="1"/>
  <c r="X3507" i="1" a="1"/>
  <c r="X3507" i="1"/>
  <c r="X3508" i="1" a="1"/>
  <c r="X3508" i="1" s="1"/>
  <c r="X3509" i="1" a="1"/>
  <c r="X3509" i="1"/>
  <c r="X3510" i="1" a="1"/>
  <c r="X3510" i="1"/>
  <c r="X3511" i="1" a="1"/>
  <c r="X3511" i="1"/>
  <c r="X3512" i="1" a="1"/>
  <c r="X3512" i="1" s="1"/>
  <c r="X3513" i="1" a="1"/>
  <c r="X3513" i="1" s="1"/>
  <c r="X3514" i="1" a="1"/>
  <c r="X3514" i="1" s="1"/>
  <c r="X3515" i="1" a="1"/>
  <c r="X3515" i="1"/>
  <c r="X3516" i="1" a="1"/>
  <c r="X3516" i="1"/>
  <c r="X3517" i="1" a="1"/>
  <c r="X3517" i="1" s="1"/>
  <c r="X3518" i="1" a="1"/>
  <c r="X3518" i="1"/>
  <c r="X3519" i="1" a="1"/>
  <c r="X3519" i="1"/>
  <c r="X3520" i="1" a="1"/>
  <c r="X3520" i="1" s="1"/>
  <c r="X3521" i="1" a="1"/>
  <c r="X3521" i="1" s="1"/>
  <c r="X3522" i="1" a="1"/>
  <c r="X3522" i="1"/>
  <c r="X3523" i="1" a="1"/>
  <c r="X3523" i="1" s="1"/>
  <c r="X3524" i="1" a="1"/>
  <c r="X3524" i="1"/>
  <c r="X3525" i="1" a="1"/>
  <c r="X3525" i="1"/>
  <c r="X3526" i="1" a="1"/>
  <c r="X3526" i="1" s="1"/>
  <c r="X3527" i="1" a="1"/>
  <c r="X3527" i="1"/>
  <c r="X3528" i="1" a="1"/>
  <c r="X3528" i="1" s="1"/>
  <c r="X3529" i="1" a="1"/>
  <c r="X3529" i="1" s="1"/>
  <c r="X3530" i="1" a="1"/>
  <c r="X3530" i="1"/>
  <c r="X3531" i="1" a="1"/>
  <c r="X3531" i="1"/>
  <c r="X3532" i="1" a="1"/>
  <c r="X3532" i="1" s="1"/>
  <c r="X3533" i="1" a="1"/>
  <c r="X3533" i="1"/>
  <c r="X3534" i="1" a="1"/>
  <c r="X3534" i="1"/>
  <c r="X3535" i="1" a="1"/>
  <c r="X3535" i="1" s="1"/>
  <c r="X3536" i="1" a="1"/>
  <c r="X3536" i="1" s="1"/>
  <c r="X3537" i="1" a="1"/>
  <c r="X3537" i="1" s="1"/>
  <c r="X3538" i="1" a="1"/>
  <c r="X3538" i="1"/>
  <c r="X3539" i="1" a="1"/>
  <c r="X3539" i="1"/>
  <c r="X3540" i="1" a="1"/>
  <c r="X3540" i="1"/>
  <c r="X3541" i="1" a="1"/>
  <c r="X3541" i="1" s="1"/>
  <c r="X3542" i="1" a="1"/>
  <c r="X3542" i="1"/>
  <c r="X3543" i="1" a="1"/>
  <c r="X3543" i="1"/>
  <c r="X3544" i="1" a="1"/>
  <c r="X3544" i="1" s="1"/>
  <c r="X3545" i="1" a="1"/>
  <c r="X3545" i="1" s="1"/>
  <c r="X3546" i="1" a="1"/>
  <c r="X3546" i="1"/>
  <c r="X3547" i="1" a="1"/>
  <c r="X3547" i="1"/>
  <c r="X3548" i="1" a="1"/>
  <c r="X3548" i="1"/>
  <c r="X3549" i="1" a="1"/>
  <c r="X3549" i="1"/>
  <c r="X3550" i="1" a="1"/>
  <c r="X3550" i="1" s="1"/>
  <c r="X3551" i="1" a="1"/>
  <c r="X3551" i="1"/>
  <c r="X3552" i="1" a="1"/>
  <c r="X3552" i="1" s="1"/>
  <c r="X3553" i="1" a="1"/>
  <c r="X3553" i="1" s="1"/>
  <c r="X3554" i="1" a="1"/>
  <c r="X3554" i="1" s="1"/>
  <c r="X3555" i="1" a="1"/>
  <c r="X3555" i="1"/>
  <c r="X3556" i="1" a="1"/>
  <c r="X3556" i="1"/>
  <c r="X3557" i="1" a="1"/>
  <c r="X3557" i="1"/>
  <c r="X3558" i="1" a="1"/>
  <c r="X3558" i="1"/>
  <c r="X3559" i="1" a="1"/>
  <c r="X3559" i="1" s="1"/>
  <c r="X3560" i="1" a="1"/>
  <c r="X3560" i="1" s="1"/>
  <c r="X3561" i="1" a="1"/>
  <c r="X3561" i="1" s="1"/>
  <c r="X3562" i="1" a="1"/>
  <c r="X3562" i="1"/>
  <c r="X3563" i="1" a="1"/>
  <c r="X3563" i="1" s="1"/>
  <c r="X3564" i="1" a="1"/>
  <c r="X3564" i="1"/>
  <c r="X3565" i="1" a="1"/>
  <c r="X3565" i="1"/>
  <c r="X3566" i="1" a="1"/>
  <c r="X3566" i="1"/>
  <c r="X3567" i="1" a="1"/>
  <c r="X3567" i="1"/>
  <c r="X3568" i="1" a="1"/>
  <c r="X3568" i="1" s="1"/>
  <c r="X3569" i="1" a="1"/>
  <c r="X3569" i="1" s="1"/>
  <c r="X3570" i="1" a="1"/>
  <c r="X3570" i="1"/>
  <c r="X3571" i="1" a="1"/>
  <c r="X3571" i="1"/>
  <c r="X3572" i="1" a="1"/>
  <c r="X3572" i="1" s="1"/>
  <c r="X3573" i="1" a="1"/>
  <c r="X3573" i="1"/>
  <c r="X3574" i="1" a="1"/>
  <c r="X3574" i="1"/>
  <c r="X3575" i="1" a="1"/>
  <c r="X3575" i="1"/>
  <c r="X3576" i="1" a="1"/>
  <c r="X3576" i="1" s="1"/>
  <c r="X3577" i="1" a="1"/>
  <c r="X3577" i="1" s="1"/>
  <c r="X3578" i="1" a="1"/>
  <c r="X3578" i="1" s="1"/>
  <c r="X3579" i="1" a="1"/>
  <c r="X3579" i="1"/>
  <c r="X3580" i="1" a="1"/>
  <c r="X3580" i="1"/>
  <c r="X3581" i="1" a="1"/>
  <c r="X3581" i="1" s="1"/>
  <c r="X3582" i="1" a="1"/>
  <c r="X3582" i="1"/>
  <c r="X3583" i="1" a="1"/>
  <c r="X3583" i="1"/>
  <c r="X3584" i="1" a="1"/>
  <c r="X3584" i="1" s="1"/>
  <c r="X3585" i="1" a="1"/>
  <c r="X3585" i="1"/>
  <c r="X3586" i="1" a="1"/>
  <c r="X3586" i="1"/>
  <c r="X3587" i="1" a="1"/>
  <c r="X3587" i="1"/>
  <c r="X3588" i="1" a="1"/>
  <c r="X3588" i="1" s="1"/>
  <c r="X3589" i="1" a="1"/>
  <c r="X3589" i="1"/>
  <c r="X3590" i="1" a="1"/>
  <c r="X3590" i="1"/>
  <c r="X3591" i="1" a="1"/>
  <c r="X3591" i="1"/>
  <c r="X3592" i="1" a="1"/>
  <c r="X3592" i="1" s="1"/>
  <c r="X3593" i="1" a="1"/>
  <c r="X3593" i="1"/>
  <c r="X3594" i="1" a="1"/>
  <c r="X3594" i="1"/>
  <c r="X3595" i="1" a="1"/>
  <c r="X3595" i="1" s="1"/>
  <c r="X3596" i="1" a="1"/>
  <c r="X3596" i="1"/>
  <c r="X3597" i="1" a="1"/>
  <c r="X3597" i="1"/>
  <c r="X3598" i="1" a="1"/>
  <c r="X3598" i="1" s="1"/>
  <c r="X3599" i="1" a="1"/>
  <c r="X3599" i="1"/>
  <c r="X3600" i="1" a="1"/>
  <c r="X3600" i="1" s="1"/>
  <c r="X3601" i="1" a="1"/>
  <c r="X3601" i="1"/>
  <c r="X3602" i="1" a="1"/>
  <c r="X3602" i="1"/>
  <c r="X3603" i="1" a="1"/>
  <c r="X3603" i="1"/>
  <c r="X3604" i="1" a="1"/>
  <c r="X3604" i="1"/>
  <c r="X3605" i="1" a="1"/>
  <c r="X3605" i="1" s="1"/>
  <c r="X3606" i="1" a="1"/>
  <c r="X3606" i="1"/>
  <c r="X3607" i="1" a="1"/>
  <c r="X3607" i="1"/>
  <c r="X3608" i="1" a="1"/>
  <c r="X3608" i="1" s="1"/>
  <c r="X3609" i="1" a="1"/>
  <c r="X3609" i="1"/>
  <c r="X3610" i="1" a="1"/>
  <c r="X3610" i="1"/>
  <c r="X3611" i="1" a="1"/>
  <c r="X3611" i="1"/>
  <c r="X3612" i="1" a="1"/>
  <c r="X3612" i="1" s="1"/>
  <c r="X3613" i="1" a="1"/>
  <c r="X3613" i="1"/>
  <c r="X3614" i="1" a="1"/>
  <c r="X3614" i="1"/>
  <c r="X3615" i="1" a="1"/>
  <c r="X3615" i="1" s="1"/>
  <c r="X3616" i="1" a="1"/>
  <c r="X3616" i="1" s="1"/>
  <c r="X3617" i="1" a="1"/>
  <c r="X3617" i="1"/>
  <c r="X3618" i="1" a="1"/>
  <c r="X3618" i="1"/>
  <c r="X3619" i="1" a="1"/>
  <c r="X3619" i="1"/>
  <c r="X3620" i="1" a="1"/>
  <c r="X3620" i="1"/>
  <c r="X3621" i="1" a="1"/>
  <c r="X3621" i="1"/>
  <c r="X3622" i="1" a="1"/>
  <c r="X3622" i="1" s="1"/>
  <c r="X3623" i="1" a="1"/>
  <c r="X3623" i="1"/>
  <c r="X3624" i="1" a="1"/>
  <c r="X3624" i="1" s="1"/>
  <c r="X3625" i="1" a="1"/>
  <c r="X3625" i="1"/>
  <c r="X3626" i="1" a="1"/>
  <c r="X3626" i="1"/>
  <c r="X3627" i="1" a="1"/>
  <c r="X3627" i="1"/>
  <c r="X3628" i="1" a="1"/>
  <c r="X3628" i="1"/>
  <c r="X3629" i="1" a="1"/>
  <c r="X3629" i="1" s="1"/>
  <c r="X3630" i="1" a="1"/>
  <c r="X3630" i="1"/>
  <c r="X3631" i="1" a="1"/>
  <c r="X3631" i="1"/>
  <c r="X3632" i="1" a="1"/>
  <c r="X3632" i="1" s="1"/>
  <c r="X3633" i="1" a="1"/>
  <c r="X3633" i="1"/>
  <c r="X3634" i="1" a="1"/>
  <c r="X3634" i="1"/>
  <c r="X3635" i="1" a="1"/>
  <c r="X3635" i="1"/>
  <c r="X3636" i="1" a="1"/>
  <c r="X3636" i="1"/>
  <c r="X3637" i="1" a="1"/>
  <c r="X3637" i="1"/>
  <c r="X3638" i="1" a="1"/>
  <c r="X3638" i="1"/>
  <c r="X3639" i="1" a="1"/>
  <c r="X3639" i="1" s="1"/>
  <c r="X3640" i="1" a="1"/>
  <c r="X3640" i="1" s="1"/>
  <c r="X3641" i="1" a="1"/>
  <c r="X3641" i="1" s="1"/>
  <c r="X3642" i="1" a="1"/>
  <c r="X3642" i="1"/>
  <c r="X3643" i="1" a="1"/>
  <c r="X3643" i="1"/>
  <c r="X3644" i="1" a="1"/>
  <c r="X3644" i="1"/>
  <c r="X3645" i="1" a="1"/>
  <c r="X3645" i="1"/>
  <c r="X3646" i="1" a="1"/>
  <c r="X3646" i="1" s="1"/>
  <c r="X3647" i="1" a="1"/>
  <c r="X3647" i="1"/>
  <c r="X3648" i="1" a="1"/>
  <c r="X3648" i="1" s="1"/>
  <c r="X3649" i="1" a="1"/>
  <c r="X3649" i="1"/>
  <c r="X3650" i="1" a="1"/>
  <c r="X3650" i="1"/>
  <c r="X3651" i="1" a="1"/>
  <c r="X3651" i="1"/>
  <c r="X3652" i="1" a="1"/>
  <c r="X3652" i="1"/>
  <c r="X3653" i="1" a="1"/>
  <c r="X3653" i="1"/>
  <c r="X3654" i="1" a="1"/>
  <c r="X3654" i="1"/>
  <c r="X3655" i="1" a="1"/>
  <c r="X3655" i="1"/>
  <c r="X3656" i="1" a="1"/>
  <c r="X3656" i="1" s="1"/>
  <c r="X3657" i="1" a="1"/>
  <c r="X3657" i="1"/>
  <c r="X3658" i="1" a="1"/>
  <c r="X3658" i="1" s="1"/>
  <c r="X3659" i="1" a="1"/>
  <c r="X3659" i="1"/>
  <c r="X3660" i="1" a="1"/>
  <c r="X3660" i="1"/>
  <c r="X3661" i="1" a="1"/>
  <c r="X3661" i="1"/>
  <c r="X3662" i="1" a="1"/>
  <c r="X3662" i="1"/>
  <c r="X3663" i="1" a="1"/>
  <c r="X3663" i="1" s="1"/>
  <c r="X3664" i="1" a="1"/>
  <c r="X3664" i="1" s="1"/>
  <c r="X3665" i="1" a="1"/>
  <c r="X3665" i="1" s="1"/>
  <c r="X3666" i="1" a="1"/>
  <c r="X3666" i="1"/>
  <c r="X3667" i="1" a="1"/>
  <c r="X3667" i="1"/>
  <c r="X3668" i="1" a="1"/>
  <c r="X3668" i="1"/>
  <c r="X3669" i="1" a="1"/>
  <c r="X3669" i="1"/>
  <c r="X3670" i="1" a="1"/>
  <c r="X3670" i="1"/>
  <c r="X3671" i="1" a="1"/>
  <c r="X3671" i="1"/>
  <c r="X3672" i="1" a="1"/>
  <c r="X3672" i="1" s="1"/>
  <c r="X3673" i="1" a="1"/>
  <c r="X3673" i="1"/>
  <c r="X3674" i="1" a="1"/>
  <c r="X3674" i="1"/>
  <c r="X3675" i="1" a="1"/>
  <c r="X3675" i="1" s="1"/>
  <c r="X3676" i="1" a="1"/>
  <c r="X3676" i="1"/>
  <c r="X3677" i="1" a="1"/>
  <c r="X3677" i="1"/>
  <c r="X3678" i="1" a="1"/>
  <c r="X3678" i="1"/>
  <c r="X3679" i="1" a="1"/>
  <c r="X3679" i="1"/>
  <c r="X3680" i="1" a="1"/>
  <c r="X3680" i="1" s="1"/>
  <c r="X3681" i="1" a="1"/>
  <c r="X3681" i="1"/>
  <c r="X3682" i="1" a="1"/>
  <c r="X3682" i="1" s="1"/>
  <c r="X3683" i="1" a="1"/>
  <c r="X3683" i="1"/>
  <c r="X3684" i="1" a="1"/>
  <c r="X3684" i="1"/>
  <c r="X3685" i="1" a="1"/>
  <c r="X3685" i="1"/>
  <c r="X3686" i="1" a="1"/>
  <c r="X3686" i="1"/>
  <c r="X3687" i="1" a="1"/>
  <c r="X3687" i="1"/>
  <c r="X3688" i="1" a="1"/>
  <c r="X3688" i="1" s="1"/>
  <c r="X3689" i="1" a="1"/>
  <c r="X3689" i="1" s="1"/>
  <c r="X3690" i="1" a="1"/>
  <c r="X3690" i="1"/>
  <c r="X3691" i="1" a="1"/>
  <c r="X3691" i="1"/>
  <c r="X3692" i="1" a="1"/>
  <c r="X3692" i="1" s="1"/>
  <c r="X3693" i="1" a="1"/>
  <c r="X3693" i="1"/>
  <c r="X3694" i="1" a="1"/>
  <c r="X3694" i="1"/>
  <c r="X3695" i="1" a="1"/>
  <c r="X3695" i="1"/>
  <c r="X3696" i="1" a="1"/>
  <c r="X3696" i="1" s="1"/>
  <c r="X3697" i="1" a="1"/>
  <c r="X3697" i="1"/>
  <c r="X3698" i="1" a="1"/>
  <c r="X3698" i="1"/>
  <c r="X3699" i="1" a="1"/>
  <c r="X3699" i="1" s="1"/>
  <c r="X3700" i="1" a="1"/>
  <c r="X3700" i="1"/>
  <c r="X3701" i="1" a="1"/>
  <c r="X3701" i="1"/>
  <c r="X3702" i="1" a="1"/>
  <c r="X3702" i="1"/>
  <c r="X3703" i="1" a="1"/>
  <c r="X3703" i="1"/>
  <c r="X3704" i="1" a="1"/>
  <c r="X3704" i="1" s="1"/>
  <c r="X3705" i="1" a="1"/>
  <c r="X3705" i="1"/>
  <c r="X3706" i="1" a="1"/>
  <c r="X3706" i="1" s="1"/>
  <c r="X3707" i="1" a="1"/>
  <c r="X3707" i="1"/>
  <c r="X3708" i="1" a="1"/>
  <c r="X3708" i="1"/>
  <c r="X3709" i="1" a="1"/>
  <c r="X3709" i="1" s="1"/>
  <c r="X3710" i="1" a="1"/>
  <c r="X3710" i="1"/>
  <c r="X3711" i="1" a="1"/>
  <c r="X3711" i="1"/>
  <c r="X3712" i="1" a="1"/>
  <c r="X3712" i="1" s="1"/>
  <c r="X3713" i="1" a="1"/>
  <c r="X3713" i="1"/>
  <c r="X3714" i="1" a="1"/>
  <c r="X3714" i="1"/>
  <c r="X3715" i="1" a="1"/>
  <c r="X3715" i="1"/>
  <c r="X3716" i="1" a="1"/>
  <c r="X3716" i="1" s="1"/>
  <c r="X3717" i="1" a="1"/>
  <c r="X3717" i="1"/>
  <c r="X3718" i="1" a="1"/>
  <c r="X3718" i="1"/>
  <c r="X3719" i="1" a="1"/>
  <c r="X3719" i="1"/>
  <c r="X3720" i="1" a="1"/>
  <c r="X3720" i="1" s="1"/>
  <c r="X3721" i="1" a="1"/>
  <c r="X3721" i="1"/>
  <c r="X3722" i="1" a="1"/>
  <c r="X3722" i="1"/>
  <c r="X3723" i="1" a="1"/>
  <c r="X3723" i="1" s="1"/>
  <c r="X3724" i="1" a="1"/>
  <c r="X3724" i="1"/>
  <c r="X3725" i="1" a="1"/>
  <c r="X3725" i="1"/>
  <c r="X3726" i="1" a="1"/>
  <c r="X3726" i="1" s="1"/>
  <c r="X3727" i="1" a="1"/>
  <c r="X3727" i="1"/>
  <c r="X3728" i="1" a="1"/>
  <c r="X3728" i="1" s="1"/>
  <c r="X3729" i="1" a="1"/>
  <c r="X3729" i="1"/>
  <c r="X3730" i="1" a="1"/>
  <c r="X3730" i="1"/>
  <c r="X3731" i="1" a="1"/>
  <c r="X3731" i="1"/>
  <c r="X3732" i="1" a="1"/>
  <c r="X3732" i="1"/>
  <c r="X3733" i="1" a="1"/>
  <c r="X3733" i="1" s="1"/>
  <c r="X3734" i="1" a="1"/>
  <c r="X3734" i="1"/>
  <c r="X3735" i="1" a="1"/>
  <c r="X3735" i="1"/>
  <c r="X3736" i="1" a="1"/>
  <c r="X3736" i="1" s="1"/>
  <c r="X3737" i="1" a="1"/>
  <c r="X3737" i="1"/>
  <c r="X3738" i="1" a="1"/>
  <c r="X3738" i="1"/>
  <c r="X3739" i="1" a="1"/>
  <c r="X3739" i="1"/>
  <c r="X3740" i="1" a="1"/>
  <c r="X3740" i="1" s="1"/>
  <c r="X3741" i="1" a="1"/>
  <c r="X3741" i="1"/>
  <c r="X3742" i="1" a="1"/>
  <c r="X3742" i="1"/>
  <c r="X3743" i="1" a="1"/>
  <c r="X3743" i="1" s="1"/>
  <c r="X3744" i="1" a="1"/>
  <c r="X3744" i="1" s="1"/>
  <c r="X3745" i="1" a="1"/>
  <c r="X3745" i="1"/>
  <c r="X3746" i="1" a="1"/>
  <c r="X3746" i="1"/>
  <c r="X3747" i="1" a="1"/>
  <c r="X3747" i="1"/>
  <c r="X3748" i="1" a="1"/>
  <c r="X3748" i="1"/>
  <c r="X3749" i="1" a="1"/>
  <c r="X3749" i="1"/>
  <c r="X3750" i="1" a="1"/>
  <c r="X3750" i="1" s="1"/>
  <c r="X3751" i="1" a="1"/>
  <c r="X3751" i="1"/>
  <c r="X3752" i="1" a="1"/>
  <c r="X3752" i="1" s="1"/>
  <c r="X3753" i="1" a="1"/>
  <c r="X3753" i="1"/>
  <c r="X3754" i="1" a="1"/>
  <c r="X3754" i="1"/>
  <c r="X3755" i="1" a="1"/>
  <c r="X3755" i="1"/>
  <c r="X3756" i="1" a="1"/>
  <c r="X3756" i="1"/>
  <c r="X3757" i="1" a="1"/>
  <c r="X3757" i="1" s="1"/>
  <c r="X3758" i="1" a="1"/>
  <c r="X3758" i="1"/>
  <c r="X3759" i="1" a="1"/>
  <c r="X3759" i="1"/>
  <c r="X3760" i="1" a="1"/>
  <c r="X3760" i="1" s="1"/>
  <c r="X3761" i="1" a="1"/>
  <c r="X3761" i="1"/>
  <c r="X3762" i="1" a="1"/>
  <c r="X3762" i="1"/>
  <c r="X3763" i="1" a="1"/>
  <c r="X3763" i="1"/>
  <c r="X3764" i="1" a="1"/>
  <c r="X3764" i="1"/>
  <c r="X3765" i="1" a="1"/>
  <c r="X3765" i="1"/>
  <c r="X3766" i="1" a="1"/>
  <c r="X3766" i="1"/>
  <c r="X3767" i="1" a="1"/>
  <c r="X3767" i="1" s="1"/>
  <c r="X3768" i="1" a="1"/>
  <c r="X3768" i="1" s="1"/>
  <c r="X3769" i="1" a="1"/>
  <c r="X3769" i="1" s="1"/>
  <c r="X3770" i="1" a="1"/>
  <c r="X3770" i="1"/>
  <c r="X3771" i="1" a="1"/>
  <c r="X3771" i="1"/>
  <c r="X3772" i="1" a="1"/>
  <c r="X3772" i="1"/>
  <c r="X3773" i="1" a="1"/>
  <c r="X3773" i="1"/>
  <c r="X3774" i="1" a="1"/>
  <c r="X3774" i="1" s="1"/>
  <c r="X3775" i="1" a="1"/>
  <c r="X3775" i="1"/>
  <c r="X3776" i="1" a="1"/>
  <c r="X3776" i="1" s="1"/>
  <c r="X3777" i="1" a="1"/>
  <c r="X3777" i="1"/>
  <c r="X3778" i="1" a="1"/>
  <c r="X3778" i="1"/>
  <c r="X3779" i="1" a="1"/>
  <c r="X3779" i="1"/>
  <c r="X3780" i="1" a="1"/>
  <c r="X3780" i="1"/>
  <c r="X3781" i="1" a="1"/>
  <c r="X3781" i="1"/>
  <c r="X3782" i="1" a="1"/>
  <c r="X3782" i="1"/>
  <c r="X3783" i="1" a="1"/>
  <c r="X3783" i="1"/>
  <c r="X3784" i="1" a="1"/>
  <c r="X3784" i="1" s="1"/>
  <c r="X3785" i="1" a="1"/>
  <c r="X3785" i="1"/>
  <c r="X3786" i="1" a="1"/>
  <c r="X3786" i="1" s="1"/>
  <c r="X3787" i="1" a="1"/>
  <c r="X3787" i="1"/>
  <c r="X3788" i="1" a="1"/>
  <c r="X3788" i="1"/>
  <c r="X3789" i="1" a="1"/>
  <c r="X3789" i="1"/>
  <c r="X3790" i="1" a="1"/>
  <c r="X3790" i="1"/>
  <c r="X3791" i="1" a="1"/>
  <c r="X3791" i="1" s="1"/>
  <c r="X3792" i="1" a="1"/>
  <c r="X3792" i="1" s="1"/>
  <c r="X3793" i="1" a="1"/>
  <c r="X3793" i="1" s="1"/>
  <c r="X3794" i="1" a="1"/>
  <c r="X3794" i="1"/>
  <c r="X3795" i="1" a="1"/>
  <c r="X3795" i="1"/>
  <c r="X3796" i="1" a="1"/>
  <c r="X3796" i="1"/>
  <c r="X3797" i="1" a="1"/>
  <c r="X3797" i="1"/>
  <c r="X3798" i="1" a="1"/>
  <c r="X3798" i="1"/>
  <c r="X3799" i="1" a="1"/>
  <c r="X3799" i="1"/>
  <c r="X3800" i="1" a="1"/>
  <c r="X3800" i="1" s="1"/>
  <c r="X3801" i="1" a="1"/>
  <c r="X3801" i="1"/>
  <c r="X3802" i="1" a="1"/>
  <c r="X3802" i="1"/>
  <c r="X3803" i="1" a="1"/>
  <c r="X3803" i="1" s="1"/>
  <c r="X3804" i="1" a="1"/>
  <c r="X3804" i="1"/>
  <c r="X3805" i="1" a="1"/>
  <c r="X3805" i="1"/>
  <c r="X3806" i="1" a="1"/>
  <c r="X3806" i="1"/>
  <c r="X3807" i="1" a="1"/>
  <c r="X3807" i="1"/>
  <c r="X3808" i="1" a="1"/>
  <c r="X3808" i="1" s="1"/>
  <c r="X3809" i="1" a="1"/>
  <c r="X3809" i="1"/>
  <c r="X3810" i="1" a="1"/>
  <c r="X3810" i="1" s="1"/>
  <c r="X3811" i="1" a="1"/>
  <c r="X3811" i="1"/>
  <c r="X3812" i="1" a="1"/>
  <c r="X3812" i="1"/>
  <c r="X3813" i="1" a="1"/>
  <c r="X3813" i="1"/>
  <c r="X3814" i="1" a="1"/>
  <c r="X3814" i="1"/>
  <c r="X3815" i="1" a="1"/>
  <c r="X3815" i="1"/>
  <c r="X3816" i="1" a="1"/>
  <c r="X3816" i="1" s="1"/>
  <c r="X3817" i="1" a="1"/>
  <c r="X3817" i="1" s="1"/>
  <c r="X3818" i="1" a="1"/>
  <c r="X3818" i="1"/>
  <c r="X3819" i="1" a="1"/>
  <c r="X3819" i="1"/>
  <c r="X3820" i="1" a="1"/>
  <c r="X3820" i="1" s="1"/>
  <c r="X3821" i="1" a="1"/>
  <c r="X3821" i="1"/>
  <c r="X3822" i="1" a="1"/>
  <c r="X3822" i="1"/>
  <c r="X3823" i="1" a="1"/>
  <c r="X3823" i="1"/>
  <c r="X3824" i="1" a="1"/>
  <c r="X3824" i="1" s="1"/>
  <c r="X3825" i="1" a="1"/>
  <c r="X3825" i="1"/>
  <c r="X3826" i="1" a="1"/>
  <c r="X3826" i="1"/>
  <c r="X3827" i="1" a="1"/>
  <c r="X3827" i="1" s="1"/>
  <c r="X3828" i="1" a="1"/>
  <c r="X3828" i="1"/>
  <c r="X3829" i="1" a="1"/>
  <c r="X3829" i="1"/>
  <c r="X3830" i="1" a="1"/>
  <c r="X3830" i="1"/>
  <c r="X3831" i="1" a="1"/>
  <c r="X3831" i="1"/>
  <c r="X3832" i="1" a="1"/>
  <c r="X3832" i="1" s="1"/>
  <c r="X3833" i="1" a="1"/>
  <c r="X3833" i="1"/>
  <c r="X3834" i="1" a="1"/>
  <c r="X3834" i="1" s="1"/>
  <c r="X3835" i="1" a="1"/>
  <c r="X3835" i="1"/>
  <c r="X3836" i="1" a="1"/>
  <c r="X3836" i="1"/>
  <c r="X3837" i="1" a="1"/>
  <c r="X3837" i="1" s="1"/>
  <c r="X3838" i="1" a="1"/>
  <c r="X3838" i="1"/>
  <c r="X3839" i="1" a="1"/>
  <c r="X3839" i="1"/>
  <c r="X3840" i="1" a="1"/>
  <c r="X3840" i="1" s="1"/>
  <c r="X3841" i="1" a="1"/>
  <c r="X3841" i="1"/>
  <c r="X3842" i="1" a="1"/>
  <c r="X3842" i="1"/>
  <c r="X3843" i="1" a="1"/>
  <c r="X3843" i="1"/>
  <c r="X3844" i="1" a="1"/>
  <c r="X3844" i="1" s="1"/>
  <c r="X3845" i="1" a="1"/>
  <c r="X3845" i="1"/>
  <c r="X3846" i="1" a="1"/>
  <c r="X3846" i="1"/>
  <c r="X3847" i="1" a="1"/>
  <c r="X3847" i="1"/>
  <c r="X3848" i="1" a="1"/>
  <c r="X3848" i="1" s="1"/>
  <c r="X3849" i="1" a="1"/>
  <c r="X3849" i="1"/>
  <c r="X3850" i="1" a="1"/>
  <c r="X3850" i="1"/>
  <c r="X3851" i="1" a="1"/>
  <c r="X3851" i="1" s="1"/>
  <c r="X3852" i="1" a="1"/>
  <c r="X3852" i="1"/>
  <c r="X3853" i="1" a="1"/>
  <c r="X3853" i="1"/>
  <c r="X3854" i="1" a="1"/>
  <c r="X3854" i="1" s="1"/>
  <c r="X3855" i="1" a="1"/>
  <c r="X3855" i="1"/>
  <c r="X3856" i="1" a="1"/>
  <c r="X3856" i="1" s="1"/>
  <c r="X3857" i="1" a="1"/>
  <c r="X3857" i="1"/>
  <c r="X3858" i="1" a="1"/>
  <c r="X3858" i="1"/>
  <c r="X3859" i="1" a="1"/>
  <c r="X3859" i="1"/>
  <c r="X3860" i="1" a="1"/>
  <c r="X3860" i="1"/>
  <c r="X3861" i="1" a="1"/>
  <c r="X3861" i="1" s="1"/>
  <c r="X3862" i="1" a="1"/>
  <c r="X3862" i="1"/>
  <c r="X3863" i="1" a="1"/>
  <c r="X3863" i="1"/>
  <c r="X3864" i="1" a="1"/>
  <c r="X3864" i="1" s="1"/>
  <c r="X3865" i="1" a="1"/>
  <c r="X3865" i="1"/>
  <c r="X3866" i="1" a="1"/>
  <c r="X3866" i="1"/>
  <c r="X3867" i="1" a="1"/>
  <c r="X3867" i="1"/>
  <c r="X3868" i="1" a="1"/>
  <c r="X3868" i="1" s="1"/>
  <c r="X3869" i="1" a="1"/>
  <c r="X3869" i="1"/>
  <c r="X3870" i="1" a="1"/>
  <c r="X3870" i="1"/>
  <c r="X3871" i="1" a="1"/>
  <c r="X3871" i="1" s="1"/>
  <c r="X3872" i="1" a="1"/>
  <c r="X3872" i="1" s="1"/>
  <c r="X3873" i="1" a="1"/>
  <c r="X3873" i="1"/>
  <c r="X3874" i="1" a="1"/>
  <c r="X3874" i="1"/>
  <c r="X3875" i="1" a="1"/>
  <c r="X3875" i="1"/>
  <c r="X3876" i="1" a="1"/>
  <c r="X3876" i="1"/>
  <c r="X3877" i="1" a="1"/>
  <c r="X3877" i="1"/>
  <c r="X3878" i="1" a="1"/>
  <c r="X3878" i="1" s="1"/>
  <c r="X3879" i="1" a="1"/>
  <c r="X3879" i="1"/>
  <c r="X3880" i="1" a="1"/>
  <c r="X3880" i="1" s="1"/>
  <c r="X3881" i="1" a="1"/>
  <c r="X3881" i="1"/>
  <c r="X3882" i="1" a="1"/>
  <c r="X3882" i="1"/>
  <c r="X3883" i="1" a="1"/>
  <c r="X3883" i="1"/>
  <c r="X3884" i="1" a="1"/>
  <c r="X3884" i="1"/>
  <c r="X3885" i="1" a="1"/>
  <c r="X3885" i="1" s="1"/>
  <c r="X3886" i="1" a="1"/>
  <c r="X3886" i="1"/>
  <c r="X3887" i="1" a="1"/>
  <c r="X3887" i="1"/>
  <c r="X3888" i="1" a="1"/>
  <c r="X3888" i="1" s="1"/>
  <c r="X3889" i="1" a="1"/>
  <c r="X3889" i="1"/>
  <c r="X3890" i="1" a="1"/>
  <c r="X3890" i="1"/>
  <c r="X3891" i="1" a="1"/>
  <c r="X3891" i="1"/>
  <c r="X3892" i="1" a="1"/>
  <c r="X3892" i="1"/>
  <c r="X3893" i="1" a="1"/>
  <c r="X3893" i="1"/>
  <c r="X3894" i="1" a="1"/>
  <c r="X3894" i="1"/>
  <c r="X3895" i="1" a="1"/>
  <c r="X3895" i="1" s="1"/>
  <c r="X3896" i="1" a="1"/>
  <c r="X3896" i="1" s="1"/>
  <c r="X3897" i="1" a="1"/>
  <c r="X3897" i="1" s="1"/>
  <c r="X3898" i="1" a="1"/>
  <c r="X3898" i="1"/>
  <c r="X3899" i="1" a="1"/>
  <c r="X3899" i="1"/>
  <c r="X3900" i="1" a="1"/>
  <c r="X3900" i="1"/>
  <c r="X3901" i="1" a="1"/>
  <c r="X3901" i="1"/>
  <c r="X3902" i="1" a="1"/>
  <c r="X3902" i="1" s="1"/>
  <c r="X3903" i="1" a="1"/>
  <c r="X3903" i="1"/>
  <c r="X3904" i="1" a="1"/>
  <c r="X3904" i="1" s="1"/>
  <c r="X3905" i="1" a="1"/>
  <c r="X3905" i="1"/>
  <c r="X3906" i="1" a="1"/>
  <c r="X3906" i="1"/>
  <c r="X3907" i="1" a="1"/>
  <c r="X3907" i="1"/>
  <c r="X3908" i="1" a="1"/>
  <c r="X3908" i="1"/>
  <c r="X3909" i="1" a="1"/>
  <c r="X3909" i="1"/>
  <c r="X3910" i="1" a="1"/>
  <c r="X3910" i="1"/>
  <c r="X3911" i="1" a="1"/>
  <c r="X3911" i="1"/>
  <c r="X3912" i="1" a="1"/>
  <c r="X3912" i="1" s="1"/>
  <c r="X3913" i="1" a="1"/>
  <c r="X3913" i="1"/>
  <c r="X3914" i="1" a="1"/>
  <c r="X3914" i="1" s="1"/>
  <c r="X3915" i="1" a="1"/>
  <c r="X3915" i="1"/>
  <c r="X3916" i="1" a="1"/>
  <c r="X3916" i="1"/>
  <c r="X3917" i="1" a="1"/>
  <c r="X3917" i="1"/>
  <c r="X3918" i="1" a="1"/>
  <c r="X3918" i="1"/>
  <c r="X3919" i="1" a="1"/>
  <c r="X3919" i="1" s="1"/>
  <c r="X3920" i="1" a="1"/>
  <c r="X3920" i="1" s="1"/>
  <c r="X3921" i="1" a="1"/>
  <c r="X3921" i="1" s="1"/>
  <c r="X3922" i="1" a="1"/>
  <c r="X3922" i="1"/>
  <c r="X3923" i="1" a="1"/>
  <c r="X3923" i="1"/>
  <c r="X3924" i="1" a="1"/>
  <c r="X3924" i="1"/>
  <c r="X3925" i="1" a="1"/>
  <c r="X3925" i="1"/>
  <c r="X3926" i="1" a="1"/>
  <c r="X3926" i="1"/>
  <c r="X3927" i="1" a="1"/>
  <c r="X3927" i="1"/>
  <c r="X3928" i="1" a="1"/>
  <c r="X3928" i="1" s="1"/>
  <c r="X3929" i="1" a="1"/>
  <c r="X3929" i="1"/>
  <c r="X3930" i="1" a="1"/>
  <c r="X3930" i="1"/>
  <c r="X3931" i="1" a="1"/>
  <c r="X3931" i="1" s="1"/>
  <c r="X3932" i="1" a="1"/>
  <c r="X3932" i="1"/>
  <c r="X3933" i="1" a="1"/>
  <c r="X3933" i="1"/>
  <c r="X3934" i="1" a="1"/>
  <c r="X3934" i="1"/>
  <c r="X3935" i="1" a="1"/>
  <c r="X3935" i="1"/>
  <c r="X3936" i="1" a="1"/>
  <c r="X3936" i="1" s="1"/>
  <c r="X3937" i="1" a="1"/>
  <c r="X3937" i="1"/>
  <c r="X3938" i="1" a="1"/>
  <c r="X3938" i="1" s="1"/>
  <c r="X3939" i="1" a="1"/>
  <c r="X3939" i="1"/>
  <c r="X3940" i="1" a="1"/>
  <c r="X3940" i="1"/>
  <c r="X3941" i="1" a="1"/>
  <c r="X3941" i="1"/>
  <c r="X3942" i="1" a="1"/>
  <c r="X3942" i="1"/>
  <c r="X3943" i="1" a="1"/>
  <c r="X3943" i="1"/>
  <c r="X3944" i="1" a="1"/>
  <c r="X3944" i="1" s="1"/>
  <c r="X3945" i="1" a="1"/>
  <c r="X3945" i="1"/>
  <c r="X3946" i="1" a="1"/>
  <c r="X3946" i="1"/>
  <c r="X3947" i="1" a="1"/>
  <c r="X3947" i="1"/>
  <c r="X3948" i="1" a="1"/>
  <c r="X3948" i="1" s="1"/>
  <c r="X3949" i="1" a="1"/>
  <c r="X3949" i="1"/>
  <c r="X3950" i="1" a="1"/>
  <c r="X3950" i="1"/>
  <c r="X3951" i="1" a="1"/>
  <c r="X3951" i="1"/>
  <c r="X3952" i="1" a="1"/>
  <c r="X3952" i="1" s="1"/>
  <c r="X3953" i="1" a="1"/>
  <c r="X3953" i="1"/>
  <c r="X3954" i="1" a="1"/>
  <c r="X3954" i="1"/>
  <c r="X3955" i="1" a="1"/>
  <c r="X3955" i="1" s="1"/>
  <c r="X3956" i="1" a="1"/>
  <c r="X3956" i="1"/>
  <c r="X3957" i="1" a="1"/>
  <c r="X3957" i="1"/>
  <c r="X3958" i="1" a="1"/>
  <c r="X3958" i="1"/>
  <c r="X3959" i="1" a="1"/>
  <c r="X3959" i="1"/>
  <c r="X3960" i="1" a="1"/>
  <c r="X3960" i="1" s="1"/>
  <c r="X3961" i="1" a="1"/>
  <c r="X3961" i="1"/>
  <c r="X3962" i="1" a="1"/>
  <c r="X3962" i="1"/>
  <c r="X3963" i="1" a="1"/>
  <c r="X3963" i="1"/>
  <c r="X3964" i="1" a="1"/>
  <c r="X3964" i="1"/>
  <c r="X3965" i="1" a="1"/>
  <c r="X3965" i="1" s="1"/>
  <c r="X3966" i="1" a="1"/>
  <c r="X3966" i="1"/>
  <c r="X3967" i="1" a="1"/>
  <c r="X3967" i="1"/>
  <c r="X3968" i="1" a="1"/>
  <c r="X3968" i="1" s="1"/>
  <c r="X3969" i="1" a="1"/>
  <c r="X3969" i="1"/>
  <c r="X3970" i="1" a="1"/>
  <c r="X3970" i="1"/>
  <c r="X3971" i="1" a="1"/>
  <c r="X3971" i="1"/>
  <c r="X3972" i="1" a="1"/>
  <c r="X3972" i="1" s="1"/>
  <c r="X3973" i="1" a="1"/>
  <c r="X3973" i="1"/>
  <c r="X3974" i="1" a="1"/>
  <c r="X3974" i="1"/>
  <c r="X3975" i="1" a="1"/>
  <c r="X3975" i="1"/>
  <c r="X3976" i="1" a="1"/>
  <c r="X3976" i="1" s="1"/>
  <c r="X3977" i="1" a="1"/>
  <c r="X3977" i="1"/>
  <c r="X3978" i="1" a="1"/>
  <c r="X3978" i="1"/>
  <c r="X3979" i="1" a="1"/>
  <c r="X3979" i="1"/>
  <c r="X3980" i="1" a="1"/>
  <c r="X3980" i="1"/>
  <c r="X3981" i="1" a="1"/>
  <c r="X3981" i="1"/>
  <c r="X3982" i="1" a="1"/>
  <c r="X3982" i="1" s="1"/>
  <c r="X3983" i="1" a="1"/>
  <c r="X3983" i="1"/>
  <c r="X3984" i="1" a="1"/>
  <c r="X3984" i="1" s="1"/>
  <c r="X3985" i="1" a="1"/>
  <c r="X3985" i="1"/>
  <c r="X3986" i="1" a="1"/>
  <c r="X3986" i="1"/>
  <c r="X3987" i="1" a="1"/>
  <c r="X3987" i="1"/>
  <c r="X3988" i="1" a="1"/>
  <c r="X3988" i="1"/>
  <c r="X3989" i="1" a="1"/>
  <c r="X3989" i="1" s="1"/>
  <c r="X3990" i="1" a="1"/>
  <c r="X3990" i="1"/>
  <c r="X3991" i="1" a="1"/>
  <c r="X3991" i="1"/>
  <c r="X3992" i="1" a="1"/>
  <c r="X3992" i="1" s="1"/>
  <c r="X3993" i="1" a="1"/>
  <c r="X3993" i="1"/>
  <c r="X3994" i="1" a="1"/>
  <c r="X3994" i="1"/>
  <c r="X3995" i="1" a="1"/>
  <c r="X3995" i="1"/>
  <c r="X3996" i="1" a="1"/>
  <c r="X3996" i="1"/>
  <c r="X3997" i="1" a="1"/>
  <c r="X3997" i="1"/>
  <c r="X3998" i="1" a="1"/>
  <c r="X3998" i="1"/>
  <c r="X3999" i="1" a="1"/>
  <c r="X3999" i="1" s="1"/>
  <c r="X4000" i="1" a="1"/>
  <c r="X4000" i="1" s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4" i="1"/>
  <c r="BM4" i="1"/>
  <c r="Y861" i="1"/>
  <c r="Z861" i="1" a="1"/>
  <c r="Z861" i="1" s="1"/>
  <c r="AA861" i="1"/>
  <c r="AB861" i="1"/>
  <c r="AC861" i="1" s="1"/>
  <c r="Y862" i="1"/>
  <c r="Z862" i="1" a="1"/>
  <c r="Z862" i="1" s="1"/>
  <c r="AA862" i="1"/>
  <c r="AB862" i="1"/>
  <c r="AC862" i="1"/>
  <c r="Y863" i="1"/>
  <c r="Z863" i="1" a="1"/>
  <c r="Z863" i="1" s="1"/>
  <c r="AA863" i="1"/>
  <c r="AB863" i="1"/>
  <c r="AC863" i="1"/>
  <c r="Y864" i="1"/>
  <c r="Z864" i="1" a="1"/>
  <c r="Z864" i="1" s="1"/>
  <c r="AA864" i="1"/>
  <c r="AB864" i="1"/>
  <c r="AC864" i="1"/>
  <c r="Y865" i="1"/>
  <c r="Z865" i="1" a="1"/>
  <c r="Z865" i="1" s="1"/>
  <c r="AA865" i="1"/>
  <c r="AB865" i="1"/>
  <c r="AC865" i="1"/>
  <c r="Y866" i="1"/>
  <c r="Z866" i="1" a="1"/>
  <c r="Z866" i="1" s="1"/>
  <c r="AA866" i="1"/>
  <c r="AB866" i="1"/>
  <c r="AC866" i="1"/>
  <c r="Y867" i="1"/>
  <c r="Z867" i="1" a="1"/>
  <c r="Z867" i="1" s="1"/>
  <c r="AA867" i="1"/>
  <c r="AB867" i="1"/>
  <c r="AC867" i="1"/>
  <c r="Y868" i="1"/>
  <c r="Z868" i="1" a="1"/>
  <c r="Z868" i="1" s="1"/>
  <c r="AA868" i="1"/>
  <c r="AB868" i="1"/>
  <c r="AC868" i="1"/>
  <c r="Y869" i="1"/>
  <c r="Z869" i="1" a="1"/>
  <c r="Z869" i="1" s="1"/>
  <c r="AA869" i="1"/>
  <c r="AB869" i="1"/>
  <c r="AC869" i="1"/>
  <c r="Y870" i="1"/>
  <c r="Z870" i="1" a="1"/>
  <c r="Z870" i="1" s="1"/>
  <c r="AA870" i="1"/>
  <c r="AB870" i="1"/>
  <c r="AC870" i="1"/>
  <c r="Y871" i="1"/>
  <c r="Z871" i="1" a="1"/>
  <c r="Z871" i="1" s="1"/>
  <c r="AA871" i="1"/>
  <c r="AB871" i="1"/>
  <c r="AC871" i="1"/>
  <c r="Y872" i="1"/>
  <c r="Z872" i="1" a="1"/>
  <c r="Z872" i="1" s="1"/>
  <c r="AA872" i="1"/>
  <c r="AB872" i="1"/>
  <c r="AC872" i="1"/>
  <c r="Y873" i="1"/>
  <c r="Z873" i="1" a="1"/>
  <c r="Z873" i="1" s="1"/>
  <c r="AA873" i="1"/>
  <c r="AB873" i="1"/>
  <c r="AC873" i="1"/>
  <c r="Y874" i="1"/>
  <c r="Z874" i="1" a="1"/>
  <c r="Z874" i="1" s="1"/>
  <c r="AA874" i="1"/>
  <c r="AB874" i="1"/>
  <c r="AC874" i="1"/>
  <c r="Y875" i="1"/>
  <c r="Z875" i="1" a="1"/>
  <c r="Z875" i="1" s="1"/>
  <c r="AA875" i="1"/>
  <c r="AB875" i="1"/>
  <c r="AC875" i="1"/>
  <c r="Y876" i="1"/>
  <c r="Z876" i="1" a="1"/>
  <c r="Z876" i="1" s="1"/>
  <c r="AA876" i="1"/>
  <c r="AB876" i="1"/>
  <c r="AC876" i="1"/>
  <c r="Y877" i="1"/>
  <c r="Z877" i="1" a="1"/>
  <c r="Z877" i="1" s="1"/>
  <c r="AA877" i="1"/>
  <c r="AB877" i="1"/>
  <c r="AC877" i="1"/>
  <c r="Y878" i="1"/>
  <c r="Z878" i="1" a="1"/>
  <c r="Z878" i="1" s="1"/>
  <c r="AA878" i="1"/>
  <c r="AB878" i="1"/>
  <c r="AC878" i="1"/>
  <c r="Y879" i="1"/>
  <c r="Z879" i="1" a="1"/>
  <c r="Z879" i="1" s="1"/>
  <c r="AA879" i="1"/>
  <c r="AB879" i="1"/>
  <c r="AC879" i="1"/>
  <c r="Y880" i="1"/>
  <c r="Z880" i="1" a="1"/>
  <c r="Z880" i="1" s="1"/>
  <c r="AA880" i="1"/>
  <c r="AB880" i="1"/>
  <c r="AC880" i="1"/>
  <c r="Y881" i="1"/>
  <c r="Z881" i="1" a="1"/>
  <c r="Z881" i="1" s="1"/>
  <c r="AA881" i="1"/>
  <c r="AB881" i="1"/>
  <c r="AC881" i="1"/>
  <c r="Y882" i="1"/>
  <c r="Z882" i="1" a="1"/>
  <c r="Z882" i="1"/>
  <c r="AA882" i="1"/>
  <c r="AB882" i="1"/>
  <c r="AC882" i="1"/>
  <c r="Y883" i="1"/>
  <c r="Z883" i="1" a="1"/>
  <c r="Z883" i="1" s="1"/>
  <c r="AA883" i="1"/>
  <c r="AB883" i="1"/>
  <c r="AC883" i="1"/>
  <c r="Y884" i="1"/>
  <c r="Z884" i="1" a="1"/>
  <c r="Z884" i="1" s="1"/>
  <c r="AA884" i="1"/>
  <c r="AB884" i="1"/>
  <c r="AC884" i="1"/>
  <c r="Y885" i="1"/>
  <c r="Z885" i="1" a="1"/>
  <c r="Z885" i="1" s="1"/>
  <c r="AA885" i="1"/>
  <c r="AB885" i="1"/>
  <c r="AC885" i="1"/>
  <c r="Y886" i="1"/>
  <c r="Z886" i="1" a="1"/>
  <c r="Z886" i="1" s="1"/>
  <c r="AA886" i="1"/>
  <c r="AB886" i="1"/>
  <c r="AC886" i="1"/>
  <c r="Y887" i="1"/>
  <c r="Z887" i="1" a="1"/>
  <c r="Z887" i="1" s="1"/>
  <c r="AA887" i="1"/>
  <c r="AB887" i="1"/>
  <c r="AC887" i="1"/>
  <c r="Y888" i="1"/>
  <c r="Z888" i="1" a="1"/>
  <c r="Z888" i="1" s="1"/>
  <c r="AA888" i="1"/>
  <c r="AB888" i="1"/>
  <c r="AC888" i="1"/>
  <c r="Y889" i="1"/>
  <c r="Z889" i="1" a="1"/>
  <c r="Z889" i="1" s="1"/>
  <c r="AA889" i="1"/>
  <c r="AB889" i="1"/>
  <c r="AC889" i="1"/>
  <c r="Y890" i="1"/>
  <c r="Z890" i="1" a="1"/>
  <c r="Z890" i="1" s="1"/>
  <c r="AA890" i="1"/>
  <c r="AB890" i="1"/>
  <c r="AC890" i="1"/>
  <c r="Y891" i="1"/>
  <c r="Z891" i="1" a="1"/>
  <c r="Z891" i="1" s="1"/>
  <c r="AA891" i="1"/>
  <c r="AB891" i="1"/>
  <c r="AC891" i="1"/>
  <c r="Y892" i="1"/>
  <c r="Z892" i="1" a="1"/>
  <c r="Z892" i="1" s="1"/>
  <c r="AA892" i="1"/>
  <c r="AB892" i="1"/>
  <c r="AC892" i="1"/>
  <c r="Y893" i="1"/>
  <c r="Z893" i="1" a="1"/>
  <c r="Z893" i="1" s="1"/>
  <c r="AA893" i="1"/>
  <c r="AB893" i="1"/>
  <c r="AC893" i="1"/>
  <c r="Y894" i="1"/>
  <c r="Z894" i="1" a="1"/>
  <c r="Z894" i="1" s="1"/>
  <c r="AA894" i="1"/>
  <c r="AB894" i="1"/>
  <c r="AC894" i="1"/>
  <c r="Y895" i="1"/>
  <c r="Z895" i="1" a="1"/>
  <c r="Z895" i="1" s="1"/>
  <c r="AA895" i="1"/>
  <c r="AB895" i="1"/>
  <c r="AC895" i="1"/>
  <c r="Y896" i="1"/>
  <c r="Z896" i="1" a="1"/>
  <c r="Z896" i="1" s="1"/>
  <c r="AA896" i="1"/>
  <c r="AB896" i="1"/>
  <c r="AC896" i="1"/>
  <c r="Y897" i="1"/>
  <c r="Z897" i="1" a="1"/>
  <c r="Z897" i="1" s="1"/>
  <c r="AA897" i="1"/>
  <c r="AB897" i="1"/>
  <c r="AC897" i="1"/>
  <c r="Y898" i="1"/>
  <c r="Z898" i="1" a="1"/>
  <c r="Z898" i="1" s="1"/>
  <c r="AA898" i="1"/>
  <c r="AB898" i="1"/>
  <c r="AC898" i="1"/>
  <c r="Y899" i="1"/>
  <c r="Z899" i="1" a="1"/>
  <c r="Z899" i="1" s="1"/>
  <c r="AA899" i="1"/>
  <c r="AB899" i="1"/>
  <c r="AC899" i="1"/>
  <c r="Y900" i="1"/>
  <c r="Z900" i="1" a="1"/>
  <c r="Z900" i="1" s="1"/>
  <c r="AA900" i="1"/>
  <c r="AB900" i="1"/>
  <c r="AC900" i="1"/>
  <c r="Y901" i="1"/>
  <c r="Z901" i="1" a="1"/>
  <c r="Z901" i="1" s="1"/>
  <c r="AA901" i="1"/>
  <c r="AB901" i="1"/>
  <c r="AC901" i="1"/>
  <c r="Y902" i="1"/>
  <c r="Z902" i="1" a="1"/>
  <c r="Z902" i="1"/>
  <c r="AA902" i="1"/>
  <c r="AB902" i="1"/>
  <c r="AC902" i="1"/>
  <c r="Y903" i="1"/>
  <c r="Z903" i="1" a="1"/>
  <c r="Z903" i="1" s="1"/>
  <c r="AA903" i="1"/>
  <c r="AB903" i="1"/>
  <c r="AC903" i="1"/>
  <c r="Y904" i="1"/>
  <c r="Z904" i="1" a="1"/>
  <c r="Z904" i="1" s="1"/>
  <c r="AA904" i="1"/>
  <c r="AB904" i="1"/>
  <c r="AC904" i="1"/>
  <c r="Y905" i="1"/>
  <c r="Z905" i="1" a="1"/>
  <c r="Z905" i="1" s="1"/>
  <c r="AA905" i="1"/>
  <c r="AB905" i="1"/>
  <c r="AC905" i="1"/>
  <c r="Y906" i="1"/>
  <c r="Z906" i="1" a="1"/>
  <c r="Z906" i="1" s="1"/>
  <c r="AA906" i="1"/>
  <c r="AB906" i="1"/>
  <c r="AC906" i="1"/>
  <c r="Y907" i="1"/>
  <c r="Z907" i="1" a="1"/>
  <c r="Z907" i="1" s="1"/>
  <c r="AA907" i="1"/>
  <c r="AB907" i="1"/>
  <c r="AC907" i="1"/>
  <c r="Y908" i="1"/>
  <c r="Z908" i="1" a="1"/>
  <c r="Z908" i="1" s="1"/>
  <c r="AA908" i="1"/>
  <c r="AB908" i="1"/>
  <c r="AC908" i="1"/>
  <c r="Y909" i="1"/>
  <c r="Z909" i="1" a="1"/>
  <c r="Z909" i="1" s="1"/>
  <c r="AA909" i="1"/>
  <c r="AB909" i="1"/>
  <c r="AC909" i="1"/>
  <c r="Y910" i="1"/>
  <c r="Z910" i="1" a="1"/>
  <c r="Z910" i="1" s="1"/>
  <c r="AA910" i="1"/>
  <c r="AB910" i="1"/>
  <c r="AC910" i="1"/>
  <c r="Y911" i="1"/>
  <c r="Z911" i="1" a="1"/>
  <c r="Z911" i="1" s="1"/>
  <c r="AA911" i="1"/>
  <c r="AB911" i="1"/>
  <c r="AC911" i="1"/>
  <c r="Y912" i="1"/>
  <c r="Z912" i="1" a="1"/>
  <c r="Z912" i="1" s="1"/>
  <c r="AA912" i="1"/>
  <c r="AB912" i="1"/>
  <c r="AC912" i="1"/>
  <c r="Y913" i="1"/>
  <c r="Z913" i="1" a="1"/>
  <c r="Z913" i="1" s="1"/>
  <c r="AA913" i="1"/>
  <c r="AB913" i="1"/>
  <c r="AC913" i="1"/>
  <c r="Y914" i="1"/>
  <c r="Z914" i="1" a="1"/>
  <c r="Z914" i="1" s="1"/>
  <c r="AA914" i="1"/>
  <c r="AB914" i="1"/>
  <c r="AC914" i="1"/>
  <c r="Y915" i="1"/>
  <c r="Z915" i="1" a="1"/>
  <c r="Z915" i="1" s="1"/>
  <c r="AA915" i="1"/>
  <c r="AB915" i="1"/>
  <c r="AC915" i="1"/>
  <c r="Y916" i="1"/>
  <c r="Z916" i="1" a="1"/>
  <c r="Z916" i="1" s="1"/>
  <c r="AA916" i="1"/>
  <c r="AB916" i="1"/>
  <c r="AC916" i="1"/>
  <c r="Y917" i="1"/>
  <c r="Z917" i="1" a="1"/>
  <c r="Z917" i="1" s="1"/>
  <c r="AA917" i="1"/>
  <c r="AB917" i="1"/>
  <c r="AC917" i="1"/>
  <c r="Y918" i="1"/>
  <c r="Z918" i="1" a="1"/>
  <c r="Z918" i="1" s="1"/>
  <c r="AA918" i="1"/>
  <c r="AB918" i="1"/>
  <c r="AC918" i="1"/>
  <c r="Y919" i="1"/>
  <c r="Z919" i="1" a="1"/>
  <c r="Z919" i="1" s="1"/>
  <c r="AA919" i="1"/>
  <c r="AB919" i="1"/>
  <c r="AC919" i="1"/>
  <c r="Y920" i="1"/>
  <c r="Z920" i="1" a="1"/>
  <c r="Z920" i="1" s="1"/>
  <c r="AA920" i="1"/>
  <c r="AB920" i="1"/>
  <c r="AC920" i="1"/>
  <c r="Y921" i="1"/>
  <c r="Z921" i="1" a="1"/>
  <c r="Z921" i="1" s="1"/>
  <c r="AA921" i="1"/>
  <c r="AB921" i="1"/>
  <c r="AC921" i="1"/>
  <c r="Y922" i="1"/>
  <c r="Z922" i="1" a="1"/>
  <c r="Z922" i="1" s="1"/>
  <c r="AA922" i="1"/>
  <c r="AB922" i="1"/>
  <c r="AC922" i="1"/>
  <c r="Y923" i="1"/>
  <c r="Z923" i="1" a="1"/>
  <c r="Z923" i="1" s="1"/>
  <c r="AA923" i="1"/>
  <c r="AB923" i="1"/>
  <c r="AC923" i="1"/>
  <c r="Y924" i="1"/>
  <c r="Z924" i="1" a="1"/>
  <c r="Z924" i="1" s="1"/>
  <c r="AA924" i="1"/>
  <c r="AB924" i="1"/>
  <c r="AC924" i="1"/>
  <c r="Y925" i="1"/>
  <c r="Z925" i="1" a="1"/>
  <c r="Z925" i="1" s="1"/>
  <c r="AA925" i="1"/>
  <c r="AB925" i="1"/>
  <c r="AC925" i="1"/>
  <c r="Y926" i="1"/>
  <c r="Z926" i="1" a="1"/>
  <c r="Z926" i="1" s="1"/>
  <c r="AA926" i="1"/>
  <c r="AB926" i="1"/>
  <c r="AC926" i="1"/>
  <c r="Y927" i="1"/>
  <c r="Z927" i="1" a="1"/>
  <c r="Z927" i="1" s="1"/>
  <c r="AA927" i="1"/>
  <c r="AB927" i="1"/>
  <c r="AC927" i="1"/>
  <c r="Y928" i="1"/>
  <c r="Z928" i="1" a="1"/>
  <c r="Z928" i="1" s="1"/>
  <c r="AA928" i="1"/>
  <c r="AB928" i="1"/>
  <c r="AC928" i="1"/>
  <c r="Y929" i="1"/>
  <c r="Z929" i="1" a="1"/>
  <c r="Z929" i="1" s="1"/>
  <c r="AA929" i="1"/>
  <c r="AB929" i="1"/>
  <c r="AC929" i="1"/>
  <c r="Y930" i="1"/>
  <c r="Z930" i="1" a="1"/>
  <c r="Z930" i="1" s="1"/>
  <c r="AA930" i="1"/>
  <c r="AB930" i="1"/>
  <c r="AC930" i="1"/>
  <c r="Y931" i="1"/>
  <c r="Z931" i="1" a="1"/>
  <c r="Z931" i="1" s="1"/>
  <c r="AA931" i="1"/>
  <c r="AB931" i="1"/>
  <c r="AC931" i="1"/>
  <c r="Y932" i="1"/>
  <c r="Z932" i="1" a="1"/>
  <c r="Z932" i="1" s="1"/>
  <c r="AA932" i="1"/>
  <c r="AB932" i="1"/>
  <c r="AC932" i="1"/>
  <c r="Y933" i="1"/>
  <c r="Z933" i="1" a="1"/>
  <c r="Z933" i="1" s="1"/>
  <c r="AA933" i="1"/>
  <c r="AB933" i="1"/>
  <c r="AC933" i="1"/>
  <c r="Y934" i="1"/>
  <c r="Z934" i="1" a="1"/>
  <c r="Z934" i="1" s="1"/>
  <c r="AA934" i="1"/>
  <c r="AB934" i="1"/>
  <c r="AC934" i="1"/>
  <c r="Y935" i="1"/>
  <c r="Z935" i="1" a="1"/>
  <c r="Z935" i="1" s="1"/>
  <c r="AA935" i="1"/>
  <c r="AB935" i="1"/>
  <c r="AC935" i="1"/>
  <c r="Y936" i="1"/>
  <c r="Z936" i="1" a="1"/>
  <c r="Z936" i="1" s="1"/>
  <c r="AA936" i="1"/>
  <c r="AB936" i="1"/>
  <c r="AC936" i="1"/>
  <c r="Y937" i="1"/>
  <c r="Z937" i="1" a="1"/>
  <c r="Z937" i="1" s="1"/>
  <c r="AA937" i="1"/>
  <c r="AB937" i="1"/>
  <c r="AC937" i="1"/>
  <c r="Y938" i="1"/>
  <c r="Z938" i="1" a="1"/>
  <c r="Z938" i="1" s="1"/>
  <c r="AA938" i="1"/>
  <c r="AB938" i="1"/>
  <c r="AC938" i="1"/>
  <c r="Y939" i="1"/>
  <c r="Z939" i="1" a="1"/>
  <c r="Z939" i="1" s="1"/>
  <c r="AA939" i="1"/>
  <c r="AB939" i="1"/>
  <c r="AC939" i="1"/>
  <c r="Y940" i="1"/>
  <c r="Z940" i="1" a="1"/>
  <c r="Z940" i="1" s="1"/>
  <c r="AA940" i="1"/>
  <c r="AB940" i="1"/>
  <c r="AC940" i="1"/>
  <c r="Y941" i="1"/>
  <c r="Z941" i="1" a="1"/>
  <c r="Z941" i="1" s="1"/>
  <c r="AA941" i="1"/>
  <c r="AB941" i="1"/>
  <c r="AC941" i="1"/>
  <c r="Y942" i="1"/>
  <c r="Z942" i="1" a="1"/>
  <c r="Z942" i="1" s="1"/>
  <c r="AA942" i="1"/>
  <c r="AB942" i="1"/>
  <c r="AC942" i="1"/>
  <c r="Y943" i="1"/>
  <c r="Z943" i="1" a="1"/>
  <c r="Z943" i="1" s="1"/>
  <c r="AA943" i="1"/>
  <c r="AB943" i="1"/>
  <c r="AC943" i="1"/>
  <c r="Y944" i="1"/>
  <c r="Z944" i="1" a="1"/>
  <c r="Z944" i="1" s="1"/>
  <c r="AA944" i="1"/>
  <c r="AB944" i="1"/>
  <c r="AC944" i="1"/>
  <c r="Y945" i="1"/>
  <c r="Z945" i="1" a="1"/>
  <c r="Z945" i="1" s="1"/>
  <c r="AA945" i="1"/>
  <c r="AB945" i="1"/>
  <c r="AC945" i="1"/>
  <c r="Y946" i="1"/>
  <c r="Z946" i="1" a="1"/>
  <c r="Z946" i="1" s="1"/>
  <c r="AA946" i="1"/>
  <c r="AB946" i="1"/>
  <c r="AC946" i="1"/>
  <c r="Y947" i="1"/>
  <c r="Z947" i="1" a="1"/>
  <c r="Z947" i="1" s="1"/>
  <c r="AA947" i="1"/>
  <c r="AB947" i="1"/>
  <c r="AC947" i="1"/>
  <c r="Y948" i="1"/>
  <c r="Z948" i="1" a="1"/>
  <c r="Z948" i="1" s="1"/>
  <c r="AA948" i="1"/>
  <c r="AB948" i="1"/>
  <c r="AC948" i="1"/>
  <c r="Y949" i="1"/>
  <c r="Z949" i="1" a="1"/>
  <c r="Z949" i="1" s="1"/>
  <c r="AA949" i="1"/>
  <c r="AB949" i="1"/>
  <c r="AC949" i="1"/>
  <c r="Y950" i="1"/>
  <c r="Z950" i="1" a="1"/>
  <c r="Z950" i="1" s="1"/>
  <c r="AA950" i="1"/>
  <c r="AB950" i="1"/>
  <c r="AC950" i="1"/>
  <c r="Y951" i="1"/>
  <c r="Z951" i="1" a="1"/>
  <c r="Z951" i="1" s="1"/>
  <c r="AA951" i="1"/>
  <c r="AB951" i="1"/>
  <c r="AC951" i="1"/>
  <c r="Y952" i="1"/>
  <c r="Z952" i="1" a="1"/>
  <c r="Z952" i="1" s="1"/>
  <c r="AA952" i="1"/>
  <c r="AB952" i="1"/>
  <c r="AC952" i="1"/>
  <c r="Y953" i="1"/>
  <c r="Z953" i="1" a="1"/>
  <c r="Z953" i="1" s="1"/>
  <c r="AA953" i="1"/>
  <c r="AB953" i="1"/>
  <c r="AC953" i="1"/>
  <c r="Y954" i="1"/>
  <c r="Z954" i="1" a="1"/>
  <c r="Z954" i="1" s="1"/>
  <c r="AA954" i="1"/>
  <c r="AB954" i="1"/>
  <c r="AC954" i="1"/>
  <c r="Y955" i="1"/>
  <c r="Z955" i="1" a="1"/>
  <c r="Z955" i="1" s="1"/>
  <c r="AA955" i="1"/>
  <c r="AB955" i="1"/>
  <c r="AC955" i="1"/>
  <c r="Y956" i="1"/>
  <c r="Z956" i="1" a="1"/>
  <c r="Z956" i="1" s="1"/>
  <c r="AA956" i="1"/>
  <c r="AB956" i="1"/>
  <c r="AC956" i="1"/>
  <c r="Y957" i="1"/>
  <c r="Z957" i="1" a="1"/>
  <c r="Z957" i="1" s="1"/>
  <c r="AA957" i="1"/>
  <c r="AB957" i="1"/>
  <c r="AC957" i="1"/>
  <c r="Y958" i="1"/>
  <c r="Z958" i="1" a="1"/>
  <c r="Z958" i="1" s="1"/>
  <c r="AA958" i="1"/>
  <c r="AB958" i="1"/>
  <c r="AC958" i="1"/>
  <c r="Y959" i="1"/>
  <c r="Z959" i="1" a="1"/>
  <c r="Z959" i="1"/>
  <c r="AA959" i="1"/>
  <c r="AB959" i="1"/>
  <c r="AC959" i="1"/>
  <c r="Y960" i="1"/>
  <c r="Z960" i="1" a="1"/>
  <c r="Z960" i="1" s="1"/>
  <c r="AA960" i="1"/>
  <c r="AB960" i="1"/>
  <c r="AC960" i="1"/>
  <c r="Y961" i="1"/>
  <c r="Z961" i="1" a="1"/>
  <c r="Z961" i="1" s="1"/>
  <c r="AA961" i="1"/>
  <c r="AB961" i="1"/>
  <c r="AC961" i="1"/>
  <c r="Y962" i="1"/>
  <c r="Z962" i="1" a="1"/>
  <c r="Z962" i="1" s="1"/>
  <c r="AA962" i="1"/>
  <c r="AB962" i="1"/>
  <c r="AC962" i="1"/>
  <c r="Y963" i="1"/>
  <c r="Z963" i="1" a="1"/>
  <c r="Z963" i="1" s="1"/>
  <c r="AA963" i="1"/>
  <c r="AB963" i="1"/>
  <c r="AC963" i="1"/>
  <c r="Y964" i="1"/>
  <c r="Z964" i="1" a="1"/>
  <c r="Z964" i="1" s="1"/>
  <c r="AA964" i="1"/>
  <c r="AB964" i="1"/>
  <c r="AC964" i="1"/>
  <c r="Y965" i="1"/>
  <c r="Z965" i="1" a="1"/>
  <c r="Z965" i="1" s="1"/>
  <c r="AA965" i="1"/>
  <c r="AB965" i="1"/>
  <c r="AC965" i="1"/>
  <c r="Y966" i="1"/>
  <c r="Z966" i="1" a="1"/>
  <c r="Z966" i="1" s="1"/>
  <c r="AA966" i="1"/>
  <c r="AB966" i="1"/>
  <c r="AC966" i="1"/>
  <c r="Y967" i="1"/>
  <c r="Z967" i="1" a="1"/>
  <c r="Z967" i="1" s="1"/>
  <c r="AA967" i="1"/>
  <c r="AB967" i="1"/>
  <c r="AC967" i="1"/>
  <c r="Y968" i="1"/>
  <c r="Z968" i="1" a="1"/>
  <c r="Z968" i="1" s="1"/>
  <c r="AA968" i="1"/>
  <c r="AB968" i="1"/>
  <c r="AC968" i="1"/>
  <c r="Y969" i="1"/>
  <c r="Z969" i="1" a="1"/>
  <c r="Z969" i="1" s="1"/>
  <c r="AA969" i="1"/>
  <c r="AB969" i="1"/>
  <c r="AC969" i="1"/>
  <c r="Y970" i="1"/>
  <c r="Z970" i="1" a="1"/>
  <c r="Z970" i="1" s="1"/>
  <c r="AA970" i="1"/>
  <c r="AB970" i="1"/>
  <c r="AC970" i="1"/>
  <c r="Y971" i="1"/>
  <c r="Z971" i="1" a="1"/>
  <c r="Z971" i="1" s="1"/>
  <c r="AA971" i="1"/>
  <c r="AB971" i="1"/>
  <c r="AC971" i="1"/>
  <c r="Y972" i="1"/>
  <c r="Z972" i="1" a="1"/>
  <c r="Z972" i="1" s="1"/>
  <c r="AA972" i="1"/>
  <c r="AB972" i="1"/>
  <c r="AC972" i="1"/>
  <c r="Y973" i="1"/>
  <c r="Z973" i="1" a="1"/>
  <c r="Z973" i="1" s="1"/>
  <c r="AA973" i="1"/>
  <c r="AB973" i="1"/>
  <c r="AC973" i="1"/>
  <c r="Y974" i="1"/>
  <c r="Z974" i="1" a="1"/>
  <c r="Z974" i="1" s="1"/>
  <c r="AA974" i="1"/>
  <c r="AB974" i="1"/>
  <c r="AC974" i="1"/>
  <c r="Y975" i="1"/>
  <c r="Z975" i="1" a="1"/>
  <c r="Z975" i="1" s="1"/>
  <c r="AA975" i="1"/>
  <c r="AB975" i="1"/>
  <c r="AC975" i="1"/>
  <c r="Y976" i="1"/>
  <c r="Z976" i="1" a="1"/>
  <c r="Z976" i="1" s="1"/>
  <c r="AA976" i="1"/>
  <c r="AB976" i="1"/>
  <c r="AC976" i="1"/>
  <c r="Y977" i="1"/>
  <c r="Z977" i="1" a="1"/>
  <c r="Z977" i="1" s="1"/>
  <c r="AA977" i="1"/>
  <c r="AB977" i="1"/>
  <c r="AC977" i="1"/>
  <c r="Y978" i="1"/>
  <c r="Z978" i="1" a="1"/>
  <c r="Z978" i="1" s="1"/>
  <c r="AA978" i="1"/>
  <c r="AB978" i="1"/>
  <c r="AC978" i="1"/>
  <c r="Y979" i="1"/>
  <c r="Z979" i="1" a="1"/>
  <c r="Z979" i="1" s="1"/>
  <c r="AA979" i="1"/>
  <c r="AB979" i="1"/>
  <c r="AC979" i="1"/>
  <c r="Y980" i="1"/>
  <c r="Z980" i="1" a="1"/>
  <c r="Z980" i="1" s="1"/>
  <c r="AA980" i="1"/>
  <c r="AB980" i="1"/>
  <c r="AC980" i="1"/>
  <c r="Y981" i="1"/>
  <c r="Z981" i="1" a="1"/>
  <c r="Z981" i="1" s="1"/>
  <c r="AA981" i="1"/>
  <c r="AB981" i="1"/>
  <c r="AC981" i="1"/>
  <c r="Y982" i="1"/>
  <c r="Z982" i="1" a="1"/>
  <c r="Z982" i="1" s="1"/>
  <c r="AA982" i="1"/>
  <c r="AB982" i="1"/>
  <c r="AC982" i="1"/>
  <c r="Y983" i="1"/>
  <c r="Z983" i="1" a="1"/>
  <c r="Z983" i="1" s="1"/>
  <c r="AA983" i="1"/>
  <c r="AB983" i="1"/>
  <c r="AC983" i="1"/>
  <c r="Y984" i="1"/>
  <c r="Z984" i="1" a="1"/>
  <c r="Z984" i="1" s="1"/>
  <c r="AA984" i="1"/>
  <c r="AB984" i="1"/>
  <c r="AC984" i="1"/>
  <c r="Y985" i="1"/>
  <c r="Z985" i="1" a="1"/>
  <c r="Z985" i="1" s="1"/>
  <c r="AA985" i="1"/>
  <c r="AB985" i="1"/>
  <c r="AC985" i="1"/>
  <c r="Y986" i="1"/>
  <c r="Z986" i="1" a="1"/>
  <c r="Z986" i="1" s="1"/>
  <c r="AA986" i="1"/>
  <c r="AB986" i="1"/>
  <c r="AC986" i="1"/>
  <c r="Y987" i="1"/>
  <c r="Z987" i="1" a="1"/>
  <c r="Z987" i="1" s="1"/>
  <c r="AA987" i="1"/>
  <c r="AB987" i="1"/>
  <c r="AC987" i="1"/>
  <c r="Y988" i="1"/>
  <c r="Z988" i="1" a="1"/>
  <c r="Z988" i="1" s="1"/>
  <c r="AA988" i="1"/>
  <c r="AB988" i="1"/>
  <c r="AC988" i="1"/>
  <c r="Y989" i="1"/>
  <c r="Z989" i="1" a="1"/>
  <c r="Z989" i="1" s="1"/>
  <c r="AA989" i="1"/>
  <c r="AB989" i="1"/>
  <c r="AC989" i="1"/>
  <c r="Y990" i="1"/>
  <c r="Z990" i="1" a="1"/>
  <c r="Z990" i="1" s="1"/>
  <c r="AA990" i="1"/>
  <c r="AB990" i="1"/>
  <c r="AC990" i="1"/>
  <c r="Y991" i="1"/>
  <c r="Z991" i="1" a="1"/>
  <c r="Z991" i="1" s="1"/>
  <c r="AA991" i="1"/>
  <c r="AB991" i="1"/>
  <c r="AC991" i="1"/>
  <c r="Y992" i="1"/>
  <c r="Z992" i="1" a="1"/>
  <c r="Z992" i="1" s="1"/>
  <c r="AA992" i="1"/>
  <c r="AB992" i="1"/>
  <c r="AC992" i="1"/>
  <c r="Y993" i="1"/>
  <c r="Z993" i="1" a="1"/>
  <c r="Z993" i="1" s="1"/>
  <c r="AA993" i="1"/>
  <c r="AB993" i="1"/>
  <c r="AC993" i="1"/>
  <c r="Y994" i="1"/>
  <c r="Z994" i="1" a="1"/>
  <c r="Z994" i="1" s="1"/>
  <c r="AA994" i="1"/>
  <c r="AB994" i="1"/>
  <c r="AC994" i="1"/>
  <c r="Y995" i="1"/>
  <c r="Z995" i="1" a="1"/>
  <c r="Z995" i="1" s="1"/>
  <c r="AA995" i="1"/>
  <c r="AB995" i="1"/>
  <c r="AC995" i="1"/>
  <c r="Y996" i="1"/>
  <c r="Z996" i="1" a="1"/>
  <c r="Z996" i="1" s="1"/>
  <c r="AA996" i="1"/>
  <c r="AB996" i="1"/>
  <c r="AC996" i="1"/>
  <c r="Y997" i="1"/>
  <c r="Z997" i="1" a="1"/>
  <c r="Z997" i="1" s="1"/>
  <c r="AA997" i="1"/>
  <c r="AB997" i="1"/>
  <c r="AC997" i="1"/>
  <c r="Y998" i="1"/>
  <c r="Z998" i="1" a="1"/>
  <c r="Z998" i="1" s="1"/>
  <c r="AA998" i="1"/>
  <c r="AB998" i="1"/>
  <c r="AC998" i="1"/>
  <c r="Y999" i="1"/>
  <c r="Z999" i="1" a="1"/>
  <c r="Z999" i="1" s="1"/>
  <c r="AA999" i="1"/>
  <c r="AB999" i="1"/>
  <c r="AC999" i="1" s="1"/>
  <c r="Y1000" i="1"/>
  <c r="Z1000" i="1" a="1"/>
  <c r="Z1000" i="1" s="1"/>
  <c r="AA1000" i="1"/>
  <c r="AB1000" i="1"/>
  <c r="AC1000" i="1"/>
  <c r="Y1001" i="1"/>
  <c r="Z1001" i="1" a="1"/>
  <c r="Z1001" i="1" s="1"/>
  <c r="AA1001" i="1"/>
  <c r="AB1001" i="1"/>
  <c r="AC1001" i="1"/>
  <c r="Y1002" i="1"/>
  <c r="Z1002" i="1" a="1"/>
  <c r="Z1002" i="1" s="1"/>
  <c r="AA1002" i="1"/>
  <c r="AB1002" i="1"/>
  <c r="AC1002" i="1"/>
  <c r="Y1003" i="1"/>
  <c r="Z1003" i="1" a="1"/>
  <c r="Z1003" i="1" s="1"/>
  <c r="AA1003" i="1"/>
  <c r="AB1003" i="1"/>
  <c r="AC1003" i="1"/>
  <c r="Y1004" i="1"/>
  <c r="Z1004" i="1" a="1"/>
  <c r="Z1004" i="1" s="1"/>
  <c r="AA1004" i="1"/>
  <c r="AB1004" i="1"/>
  <c r="AC1004" i="1"/>
  <c r="Y1005" i="1"/>
  <c r="Z1005" i="1" a="1"/>
  <c r="Z1005" i="1" s="1"/>
  <c r="AA1005" i="1"/>
  <c r="AB1005" i="1"/>
  <c r="AC1005" i="1"/>
  <c r="Y1006" i="1"/>
  <c r="Z1006" i="1" a="1"/>
  <c r="Z1006" i="1" s="1"/>
  <c r="AA1006" i="1"/>
  <c r="AB1006" i="1"/>
  <c r="AC1006" i="1" s="1"/>
  <c r="Y1007" i="1"/>
  <c r="Z1007" i="1" a="1"/>
  <c r="Z1007" i="1" s="1"/>
  <c r="AA1007" i="1"/>
  <c r="AB1007" i="1"/>
  <c r="AC1007" i="1" s="1"/>
  <c r="Y1008" i="1"/>
  <c r="Z1008" i="1" a="1"/>
  <c r="Z1008" i="1" s="1"/>
  <c r="AA1008" i="1"/>
  <c r="AB1008" i="1"/>
  <c r="AC1008" i="1"/>
  <c r="Y1009" i="1"/>
  <c r="Z1009" i="1" a="1"/>
  <c r="Z1009" i="1" s="1"/>
  <c r="AA1009" i="1"/>
  <c r="AB1009" i="1"/>
  <c r="AC1009" i="1"/>
  <c r="Y1010" i="1"/>
  <c r="Z1010" i="1" a="1"/>
  <c r="Z1010" i="1" s="1"/>
  <c r="AA1010" i="1"/>
  <c r="AB1010" i="1"/>
  <c r="AC1010" i="1"/>
  <c r="Y1011" i="1"/>
  <c r="Z1011" i="1" a="1"/>
  <c r="Z1011" i="1" s="1"/>
  <c r="AA1011" i="1"/>
  <c r="AB1011" i="1"/>
  <c r="AC1011" i="1"/>
  <c r="Y1012" i="1"/>
  <c r="Z1012" i="1" a="1"/>
  <c r="Z1012" i="1" s="1"/>
  <c r="AA1012" i="1"/>
  <c r="AB1012" i="1"/>
  <c r="AC1012" i="1"/>
  <c r="Y1013" i="1"/>
  <c r="Z1013" i="1" a="1"/>
  <c r="Z1013" i="1" s="1"/>
  <c r="AA1013" i="1"/>
  <c r="AB1013" i="1"/>
  <c r="AC1013" i="1" s="1"/>
  <c r="Y1014" i="1"/>
  <c r="Z1014" i="1" a="1"/>
  <c r="Z1014" i="1" s="1"/>
  <c r="AA1014" i="1"/>
  <c r="AB1014" i="1"/>
  <c r="AC1014" i="1" s="1"/>
  <c r="Y1015" i="1"/>
  <c r="Z1015" i="1" a="1"/>
  <c r="Z1015" i="1"/>
  <c r="AA1015" i="1"/>
  <c r="AB1015" i="1"/>
  <c r="AC1015" i="1" s="1"/>
  <c r="Y1016" i="1"/>
  <c r="Z1016" i="1" a="1"/>
  <c r="Z1016" i="1" s="1"/>
  <c r="AA1016" i="1"/>
  <c r="AB1016" i="1"/>
  <c r="AC1016" i="1"/>
  <c r="Y1017" i="1"/>
  <c r="Z1017" i="1" a="1"/>
  <c r="Z1017" i="1" s="1"/>
  <c r="AA1017" i="1"/>
  <c r="AB1017" i="1"/>
  <c r="AC1017" i="1"/>
  <c r="Y1018" i="1"/>
  <c r="Z1018" i="1" a="1"/>
  <c r="Z1018" i="1" s="1"/>
  <c r="AA1018" i="1"/>
  <c r="AB1018" i="1"/>
  <c r="AC1018" i="1"/>
  <c r="Y1019" i="1"/>
  <c r="Z1019" i="1" a="1"/>
  <c r="Z1019" i="1" s="1"/>
  <c r="AA1019" i="1"/>
  <c r="AB1019" i="1"/>
  <c r="AC1019" i="1"/>
  <c r="Y1020" i="1"/>
  <c r="Z1020" i="1" a="1"/>
  <c r="Z1020" i="1" s="1"/>
  <c r="AA1020" i="1"/>
  <c r="AB1020" i="1"/>
  <c r="AC1020" i="1"/>
  <c r="Y1021" i="1"/>
  <c r="Z1021" i="1" a="1"/>
  <c r="Z1021" i="1" s="1"/>
  <c r="AA1021" i="1"/>
  <c r="AB1021" i="1"/>
  <c r="AC1021" i="1" s="1"/>
  <c r="Y1022" i="1"/>
  <c r="Z1022" i="1" a="1"/>
  <c r="Z1022" i="1" s="1"/>
  <c r="AA1022" i="1"/>
  <c r="AB1022" i="1"/>
  <c r="AC1022" i="1" s="1"/>
  <c r="Y1023" i="1"/>
  <c r="Z1023" i="1" a="1"/>
  <c r="Z1023" i="1" s="1"/>
  <c r="AA1023" i="1"/>
  <c r="AB1023" i="1"/>
  <c r="AC1023" i="1" s="1"/>
  <c r="Y1024" i="1"/>
  <c r="Z1024" i="1" a="1"/>
  <c r="Z1024" i="1" s="1"/>
  <c r="AA1024" i="1"/>
  <c r="AB1024" i="1"/>
  <c r="AC1024" i="1"/>
  <c r="Y1025" i="1"/>
  <c r="Z1025" i="1" a="1"/>
  <c r="Z1025" i="1" s="1"/>
  <c r="AA1025" i="1"/>
  <c r="AB1025" i="1"/>
  <c r="AC1025" i="1"/>
  <c r="Y1026" i="1"/>
  <c r="Z1026" i="1" a="1"/>
  <c r="Z1026" i="1" s="1"/>
  <c r="AA1026" i="1"/>
  <c r="AB1026" i="1"/>
  <c r="AC1026" i="1"/>
  <c r="Y1027" i="1"/>
  <c r="Z1027" i="1" a="1"/>
  <c r="Z1027" i="1" s="1"/>
  <c r="AA1027" i="1"/>
  <c r="AB1027" i="1"/>
  <c r="AC1027" i="1"/>
  <c r="Y1028" i="1"/>
  <c r="Z1028" i="1" a="1"/>
  <c r="Z1028" i="1" s="1"/>
  <c r="AA1028" i="1"/>
  <c r="AB1028" i="1"/>
  <c r="AC1028" i="1"/>
  <c r="Y1029" i="1"/>
  <c r="Z1029" i="1" a="1"/>
  <c r="Z1029" i="1" s="1"/>
  <c r="AA1029" i="1"/>
  <c r="AB1029" i="1"/>
  <c r="AC1029" i="1" s="1"/>
  <c r="Y1030" i="1"/>
  <c r="Z1030" i="1" a="1"/>
  <c r="Z1030" i="1" s="1"/>
  <c r="AA1030" i="1"/>
  <c r="AB1030" i="1"/>
  <c r="AC1030" i="1" s="1"/>
  <c r="Y1031" i="1"/>
  <c r="Z1031" i="1" a="1"/>
  <c r="Z1031" i="1" s="1"/>
  <c r="AA1031" i="1"/>
  <c r="AB1031" i="1"/>
  <c r="AC1031" i="1" s="1"/>
  <c r="Y1032" i="1"/>
  <c r="Z1032" i="1" a="1"/>
  <c r="Z1032" i="1" s="1"/>
  <c r="AA1032" i="1"/>
  <c r="AB1032" i="1"/>
  <c r="AC1032" i="1"/>
  <c r="Y1033" i="1"/>
  <c r="Z1033" i="1" a="1"/>
  <c r="Z1033" i="1" s="1"/>
  <c r="AA1033" i="1"/>
  <c r="AB1033" i="1"/>
  <c r="AC1033" i="1"/>
  <c r="Y1034" i="1"/>
  <c r="Z1034" i="1" a="1"/>
  <c r="Z1034" i="1" s="1"/>
  <c r="AA1034" i="1"/>
  <c r="AB1034" i="1"/>
  <c r="AC1034" i="1"/>
  <c r="Y1035" i="1"/>
  <c r="Z1035" i="1" a="1"/>
  <c r="Z1035" i="1" s="1"/>
  <c r="AA1035" i="1"/>
  <c r="AB1035" i="1"/>
  <c r="AC1035" i="1"/>
  <c r="Y1036" i="1"/>
  <c r="Z1036" i="1" a="1"/>
  <c r="Z1036" i="1" s="1"/>
  <c r="AA1036" i="1"/>
  <c r="AB1036" i="1"/>
  <c r="AC1036" i="1"/>
  <c r="Y1037" i="1"/>
  <c r="Z1037" i="1" a="1"/>
  <c r="Z1037" i="1" s="1"/>
  <c r="AA1037" i="1"/>
  <c r="AB1037" i="1"/>
  <c r="AC1037" i="1" s="1"/>
  <c r="Y1038" i="1"/>
  <c r="Z1038" i="1" a="1"/>
  <c r="Z1038" i="1" s="1"/>
  <c r="AA1038" i="1"/>
  <c r="AB1038" i="1"/>
  <c r="AC1038" i="1" s="1"/>
  <c r="Y1039" i="1"/>
  <c r="Z1039" i="1" a="1"/>
  <c r="Z1039" i="1"/>
  <c r="AA1039" i="1"/>
  <c r="AB1039" i="1"/>
  <c r="AC1039" i="1" s="1"/>
  <c r="Y1040" i="1"/>
  <c r="Z1040" i="1" a="1"/>
  <c r="Z1040" i="1" s="1"/>
  <c r="AA1040" i="1"/>
  <c r="AB1040" i="1"/>
  <c r="AC1040" i="1"/>
  <c r="Y1041" i="1"/>
  <c r="Z1041" i="1" a="1"/>
  <c r="Z1041" i="1" s="1"/>
  <c r="AA1041" i="1"/>
  <c r="AB1041" i="1"/>
  <c r="AC1041" i="1"/>
  <c r="Y1042" i="1"/>
  <c r="Z1042" i="1" a="1"/>
  <c r="Z1042" i="1" s="1"/>
  <c r="AA1042" i="1"/>
  <c r="AB1042" i="1"/>
  <c r="AC1042" i="1"/>
  <c r="Y1043" i="1"/>
  <c r="Z1043" i="1" a="1"/>
  <c r="Z1043" i="1" s="1"/>
  <c r="AA1043" i="1"/>
  <c r="AB1043" i="1"/>
  <c r="AC1043" i="1"/>
  <c r="Y1044" i="1"/>
  <c r="Z1044" i="1" a="1"/>
  <c r="Z1044" i="1" s="1"/>
  <c r="AA1044" i="1"/>
  <c r="AB1044" i="1"/>
  <c r="AC1044" i="1"/>
  <c r="Y1045" i="1"/>
  <c r="Z1045" i="1" a="1"/>
  <c r="Z1045" i="1" s="1"/>
  <c r="AA1045" i="1"/>
  <c r="AB1045" i="1"/>
  <c r="AC1045" i="1" s="1"/>
  <c r="Y1046" i="1"/>
  <c r="Z1046" i="1" a="1"/>
  <c r="Z1046" i="1" s="1"/>
  <c r="AA1046" i="1"/>
  <c r="AB1046" i="1"/>
  <c r="AC1046" i="1" s="1"/>
  <c r="Y1047" i="1"/>
  <c r="Z1047" i="1" a="1"/>
  <c r="Z1047" i="1" s="1"/>
  <c r="AA1047" i="1"/>
  <c r="AB1047" i="1"/>
  <c r="AC1047" i="1" s="1"/>
  <c r="Y1048" i="1"/>
  <c r="Z1048" i="1" a="1"/>
  <c r="Z1048" i="1" s="1"/>
  <c r="AA1048" i="1"/>
  <c r="AB1048" i="1"/>
  <c r="AC1048" i="1"/>
  <c r="Y1049" i="1"/>
  <c r="Z1049" i="1" a="1"/>
  <c r="Z1049" i="1" s="1"/>
  <c r="AA1049" i="1"/>
  <c r="AB1049" i="1"/>
  <c r="AC1049" i="1"/>
  <c r="Y1050" i="1"/>
  <c r="Z1050" i="1" a="1"/>
  <c r="Z1050" i="1" s="1"/>
  <c r="AA1050" i="1"/>
  <c r="AB1050" i="1"/>
  <c r="AC1050" i="1"/>
  <c r="Y1051" i="1"/>
  <c r="Z1051" i="1" a="1"/>
  <c r="Z1051" i="1" s="1"/>
  <c r="AA1051" i="1"/>
  <c r="AB1051" i="1"/>
  <c r="AC1051" i="1"/>
  <c r="Y1052" i="1"/>
  <c r="Z1052" i="1" a="1"/>
  <c r="Z1052" i="1" s="1"/>
  <c r="AA1052" i="1"/>
  <c r="AB1052" i="1"/>
  <c r="AC1052" i="1"/>
  <c r="Y1053" i="1"/>
  <c r="Z1053" i="1" a="1"/>
  <c r="Z1053" i="1" s="1"/>
  <c r="AA1053" i="1"/>
  <c r="AB1053" i="1"/>
  <c r="AC1053" i="1" s="1"/>
  <c r="Y1054" i="1"/>
  <c r="Z1054" i="1" a="1"/>
  <c r="Z1054" i="1" s="1"/>
  <c r="AA1054" i="1"/>
  <c r="AB1054" i="1"/>
  <c r="AC1054" i="1" s="1"/>
  <c r="Y1055" i="1"/>
  <c r="Z1055" i="1" a="1"/>
  <c r="Z1055" i="1" s="1"/>
  <c r="AA1055" i="1"/>
  <c r="AB1055" i="1"/>
  <c r="AC1055" i="1" s="1"/>
  <c r="Y1056" i="1"/>
  <c r="Z1056" i="1" a="1"/>
  <c r="Z1056" i="1" s="1"/>
  <c r="AA1056" i="1"/>
  <c r="AB1056" i="1"/>
  <c r="AC1056" i="1"/>
  <c r="Y1057" i="1"/>
  <c r="Z1057" i="1" a="1"/>
  <c r="Z1057" i="1" s="1"/>
  <c r="AA1057" i="1"/>
  <c r="AB1057" i="1"/>
  <c r="AC1057" i="1"/>
  <c r="Y1058" i="1"/>
  <c r="Z1058" i="1" a="1"/>
  <c r="Z1058" i="1" s="1"/>
  <c r="AA1058" i="1"/>
  <c r="AB1058" i="1"/>
  <c r="AC1058" i="1"/>
  <c r="Y1059" i="1"/>
  <c r="Z1059" i="1" a="1"/>
  <c r="Z1059" i="1" s="1"/>
  <c r="AA1059" i="1"/>
  <c r="AB1059" i="1"/>
  <c r="AC1059" i="1"/>
  <c r="Y1060" i="1"/>
  <c r="Z1060" i="1" a="1"/>
  <c r="Z1060" i="1" s="1"/>
  <c r="AA1060" i="1"/>
  <c r="AB1060" i="1"/>
  <c r="AC1060" i="1"/>
  <c r="Y1061" i="1"/>
  <c r="Z1061" i="1" a="1"/>
  <c r="Z1061" i="1" s="1"/>
  <c r="AA1061" i="1"/>
  <c r="AB1061" i="1"/>
  <c r="AC1061" i="1" s="1"/>
  <c r="Y1062" i="1"/>
  <c r="Z1062" i="1" a="1"/>
  <c r="Z1062" i="1" s="1"/>
  <c r="AA1062" i="1"/>
  <c r="AB1062" i="1"/>
  <c r="AC1062" i="1" s="1"/>
  <c r="Y1063" i="1"/>
  <c r="Z1063" i="1" a="1"/>
  <c r="Z1063" i="1" s="1"/>
  <c r="AA1063" i="1"/>
  <c r="AB1063" i="1"/>
  <c r="AC1063" i="1" s="1"/>
  <c r="Y1064" i="1"/>
  <c r="Z1064" i="1" a="1"/>
  <c r="Z1064" i="1" s="1"/>
  <c r="AA1064" i="1"/>
  <c r="AB1064" i="1"/>
  <c r="AC1064" i="1"/>
  <c r="Y1065" i="1"/>
  <c r="Z1065" i="1" a="1"/>
  <c r="Z1065" i="1" s="1"/>
  <c r="AA1065" i="1"/>
  <c r="AB1065" i="1"/>
  <c r="AC1065" i="1"/>
  <c r="Y1066" i="1"/>
  <c r="Z1066" i="1" a="1"/>
  <c r="Z1066" i="1" s="1"/>
  <c r="AA1066" i="1"/>
  <c r="AB1066" i="1"/>
  <c r="AC1066" i="1"/>
  <c r="Y1067" i="1"/>
  <c r="Z1067" i="1" a="1"/>
  <c r="Z1067" i="1" s="1"/>
  <c r="AA1067" i="1"/>
  <c r="AB1067" i="1"/>
  <c r="AC1067" i="1"/>
  <c r="Y1068" i="1"/>
  <c r="Z1068" i="1" a="1"/>
  <c r="Z1068" i="1" s="1"/>
  <c r="AA1068" i="1"/>
  <c r="AB1068" i="1"/>
  <c r="AC1068" i="1"/>
  <c r="Y1069" i="1"/>
  <c r="Z1069" i="1" a="1"/>
  <c r="Z1069" i="1" s="1"/>
  <c r="AA1069" i="1"/>
  <c r="AB1069" i="1"/>
  <c r="AC1069" i="1" s="1"/>
  <c r="Y1070" i="1"/>
  <c r="Z1070" i="1" a="1"/>
  <c r="Z1070" i="1" s="1"/>
  <c r="AA1070" i="1"/>
  <c r="AB1070" i="1"/>
  <c r="AC1070" i="1" s="1"/>
  <c r="Y1071" i="1"/>
  <c r="Z1071" i="1" a="1"/>
  <c r="Z1071" i="1" s="1"/>
  <c r="AA1071" i="1"/>
  <c r="AB1071" i="1"/>
  <c r="AC1071" i="1" s="1"/>
  <c r="Y1072" i="1"/>
  <c r="Z1072" i="1" a="1"/>
  <c r="Z1072" i="1" s="1"/>
  <c r="AA1072" i="1"/>
  <c r="AB1072" i="1"/>
  <c r="AC1072" i="1"/>
  <c r="Y1073" i="1"/>
  <c r="Z1073" i="1" a="1"/>
  <c r="Z1073" i="1" s="1"/>
  <c r="AA1073" i="1"/>
  <c r="AB1073" i="1"/>
  <c r="AC1073" i="1"/>
  <c r="Y1074" i="1"/>
  <c r="Z1074" i="1" a="1"/>
  <c r="Z1074" i="1" s="1"/>
  <c r="AA1074" i="1"/>
  <c r="AB1074" i="1"/>
  <c r="AC1074" i="1"/>
  <c r="Y1075" i="1"/>
  <c r="Z1075" i="1" a="1"/>
  <c r="Z1075" i="1" s="1"/>
  <c r="AA1075" i="1"/>
  <c r="AB1075" i="1"/>
  <c r="AC1075" i="1"/>
  <c r="Y1076" i="1"/>
  <c r="Z1076" i="1" a="1"/>
  <c r="Z1076" i="1" s="1"/>
  <c r="AA1076" i="1"/>
  <c r="AB1076" i="1"/>
  <c r="AC1076" i="1"/>
  <c r="Y1077" i="1"/>
  <c r="Z1077" i="1" a="1"/>
  <c r="Z1077" i="1" s="1"/>
  <c r="AA1077" i="1"/>
  <c r="AB1077" i="1"/>
  <c r="AC1077" i="1" s="1"/>
  <c r="Y1078" i="1"/>
  <c r="Z1078" i="1" a="1"/>
  <c r="Z1078" i="1" s="1"/>
  <c r="AA1078" i="1"/>
  <c r="AB1078" i="1"/>
  <c r="AC1078" i="1" s="1"/>
  <c r="Y1079" i="1"/>
  <c r="Z1079" i="1" a="1"/>
  <c r="Z1079" i="1" s="1"/>
  <c r="AA1079" i="1"/>
  <c r="AB1079" i="1"/>
  <c r="AC1079" i="1" s="1"/>
  <c r="Y1080" i="1"/>
  <c r="Z1080" i="1" a="1"/>
  <c r="Z1080" i="1" s="1"/>
  <c r="AA1080" i="1"/>
  <c r="AB1080" i="1"/>
  <c r="AC1080" i="1"/>
  <c r="Y1081" i="1"/>
  <c r="Z1081" i="1" a="1"/>
  <c r="Z1081" i="1" s="1"/>
  <c r="AA1081" i="1"/>
  <c r="AB1081" i="1"/>
  <c r="AC1081" i="1"/>
  <c r="Y1082" i="1"/>
  <c r="Z1082" i="1" a="1"/>
  <c r="Z1082" i="1" s="1"/>
  <c r="AA1082" i="1"/>
  <c r="AB1082" i="1"/>
  <c r="AC1082" i="1"/>
  <c r="Y1083" i="1"/>
  <c r="Z1083" i="1" a="1"/>
  <c r="Z1083" i="1" s="1"/>
  <c r="AA1083" i="1"/>
  <c r="AB1083" i="1"/>
  <c r="AC1083" i="1"/>
  <c r="Y1084" i="1"/>
  <c r="Z1084" i="1" a="1"/>
  <c r="Z1084" i="1" s="1"/>
  <c r="AA1084" i="1"/>
  <c r="AB1084" i="1"/>
  <c r="AC1084" i="1"/>
  <c r="Y1085" i="1"/>
  <c r="Z1085" i="1" a="1"/>
  <c r="Z1085" i="1" s="1"/>
  <c r="AA1085" i="1"/>
  <c r="AB1085" i="1"/>
  <c r="AC1085" i="1" s="1"/>
  <c r="Y1086" i="1"/>
  <c r="Z1086" i="1" a="1"/>
  <c r="Z1086" i="1" s="1"/>
  <c r="AA1086" i="1"/>
  <c r="AB1086" i="1"/>
  <c r="AC1086" i="1" s="1"/>
  <c r="Y1087" i="1"/>
  <c r="Z1087" i="1" a="1"/>
  <c r="Z1087" i="1" s="1"/>
  <c r="AA1087" i="1"/>
  <c r="AB1087" i="1"/>
  <c r="AC1087" i="1" s="1"/>
  <c r="Y1088" i="1"/>
  <c r="Z1088" i="1" a="1"/>
  <c r="Z1088" i="1" s="1"/>
  <c r="AA1088" i="1"/>
  <c r="AB1088" i="1"/>
  <c r="AC1088" i="1"/>
  <c r="Y1089" i="1"/>
  <c r="Z1089" i="1" a="1"/>
  <c r="Z1089" i="1" s="1"/>
  <c r="AA1089" i="1"/>
  <c r="AB1089" i="1"/>
  <c r="AC1089" i="1"/>
  <c r="Y1090" i="1"/>
  <c r="Z1090" i="1" a="1"/>
  <c r="Z1090" i="1" s="1"/>
  <c r="AA1090" i="1"/>
  <c r="AB1090" i="1"/>
  <c r="AC1090" i="1"/>
  <c r="Y1091" i="1"/>
  <c r="Z1091" i="1" a="1"/>
  <c r="Z1091" i="1" s="1"/>
  <c r="AA1091" i="1"/>
  <c r="AB1091" i="1"/>
  <c r="AC1091" i="1"/>
  <c r="Y1092" i="1"/>
  <c r="Z1092" i="1" a="1"/>
  <c r="Z1092" i="1" s="1"/>
  <c r="AA1092" i="1"/>
  <c r="AB1092" i="1"/>
  <c r="AC1092" i="1"/>
  <c r="Y1093" i="1"/>
  <c r="Z1093" i="1" a="1"/>
  <c r="Z1093" i="1" s="1"/>
  <c r="AA1093" i="1"/>
  <c r="AB1093" i="1"/>
  <c r="AC1093" i="1" s="1"/>
  <c r="Y1094" i="1"/>
  <c r="Z1094" i="1" a="1"/>
  <c r="Z1094" i="1" s="1"/>
  <c r="AA1094" i="1"/>
  <c r="AB1094" i="1"/>
  <c r="AC1094" i="1" s="1"/>
  <c r="Y1095" i="1"/>
  <c r="Z1095" i="1" a="1"/>
  <c r="Z1095" i="1" s="1"/>
  <c r="AA1095" i="1"/>
  <c r="AB1095" i="1"/>
  <c r="AC1095" i="1" s="1"/>
  <c r="Y1096" i="1"/>
  <c r="Z1096" i="1" a="1"/>
  <c r="Z1096" i="1" s="1"/>
  <c r="AA1096" i="1"/>
  <c r="AB1096" i="1"/>
  <c r="AC1096" i="1"/>
  <c r="Y1097" i="1"/>
  <c r="Z1097" i="1" a="1"/>
  <c r="Z1097" i="1" s="1"/>
  <c r="AA1097" i="1"/>
  <c r="AB1097" i="1"/>
  <c r="AC1097" i="1"/>
  <c r="Y1098" i="1"/>
  <c r="Z1098" i="1" a="1"/>
  <c r="Z1098" i="1" s="1"/>
  <c r="AA1098" i="1"/>
  <c r="AB1098" i="1"/>
  <c r="AC1098" i="1"/>
  <c r="Y1099" i="1"/>
  <c r="Z1099" i="1" a="1"/>
  <c r="Z1099" i="1" s="1"/>
  <c r="AA1099" i="1"/>
  <c r="AB1099" i="1"/>
  <c r="AC1099" i="1"/>
  <c r="Y1100" i="1"/>
  <c r="Z1100" i="1" a="1"/>
  <c r="Z1100" i="1" s="1"/>
  <c r="AA1100" i="1"/>
  <c r="AB1100" i="1"/>
  <c r="AC1100" i="1"/>
  <c r="Y1101" i="1"/>
  <c r="Z1101" i="1" a="1"/>
  <c r="Z1101" i="1" s="1"/>
  <c r="AA1101" i="1"/>
  <c r="AB1101" i="1"/>
  <c r="AC1101" i="1" s="1"/>
  <c r="Y1102" i="1"/>
  <c r="Z1102" i="1" a="1"/>
  <c r="Z1102" i="1" s="1"/>
  <c r="AA1102" i="1"/>
  <c r="AB1102" i="1"/>
  <c r="AC1102" i="1" s="1"/>
  <c r="Y1103" i="1"/>
  <c r="Z1103" i="1" a="1"/>
  <c r="Z1103" i="1" s="1"/>
  <c r="AA1103" i="1"/>
  <c r="AB1103" i="1"/>
  <c r="AC1103" i="1" s="1"/>
  <c r="Y1104" i="1"/>
  <c r="Z1104" i="1" a="1"/>
  <c r="Z1104" i="1" s="1"/>
  <c r="AA1104" i="1"/>
  <c r="AB1104" i="1"/>
  <c r="AC1104" i="1"/>
  <c r="Y1105" i="1"/>
  <c r="Z1105" i="1" a="1"/>
  <c r="Z1105" i="1" s="1"/>
  <c r="AA1105" i="1"/>
  <c r="AB1105" i="1"/>
  <c r="AC1105" i="1"/>
  <c r="Y1106" i="1"/>
  <c r="Z1106" i="1" a="1"/>
  <c r="Z1106" i="1" s="1"/>
  <c r="AA1106" i="1"/>
  <c r="AB1106" i="1"/>
  <c r="AC1106" i="1"/>
  <c r="Y1107" i="1"/>
  <c r="Z1107" i="1" a="1"/>
  <c r="Z1107" i="1" s="1"/>
  <c r="AA1107" i="1"/>
  <c r="AB1107" i="1"/>
  <c r="AC1107" i="1"/>
  <c r="Y1108" i="1"/>
  <c r="Z1108" i="1" a="1"/>
  <c r="Z1108" i="1" s="1"/>
  <c r="AA1108" i="1"/>
  <c r="AB1108" i="1"/>
  <c r="AC1108" i="1"/>
  <c r="Y1109" i="1"/>
  <c r="Z1109" i="1" a="1"/>
  <c r="Z1109" i="1" s="1"/>
  <c r="AA1109" i="1"/>
  <c r="AB1109" i="1"/>
  <c r="AC1109" i="1" s="1"/>
  <c r="Y1110" i="1"/>
  <c r="Z1110" i="1" a="1"/>
  <c r="Z1110" i="1" s="1"/>
  <c r="AA1110" i="1"/>
  <c r="AB1110" i="1"/>
  <c r="AC1110" i="1" s="1"/>
  <c r="Y1111" i="1"/>
  <c r="Z1111" i="1" a="1"/>
  <c r="Z1111" i="1" s="1"/>
  <c r="AA1111" i="1"/>
  <c r="AB1111" i="1"/>
  <c r="AC1111" i="1" s="1"/>
  <c r="Y1112" i="1"/>
  <c r="Z1112" i="1" a="1"/>
  <c r="Z1112" i="1" s="1"/>
  <c r="AA1112" i="1"/>
  <c r="AB1112" i="1"/>
  <c r="AC1112" i="1"/>
  <c r="Y1113" i="1"/>
  <c r="Z1113" i="1" a="1"/>
  <c r="Z1113" i="1" s="1"/>
  <c r="AA1113" i="1"/>
  <c r="AB1113" i="1"/>
  <c r="AC1113" i="1"/>
  <c r="Y1114" i="1"/>
  <c r="Z1114" i="1" a="1"/>
  <c r="Z1114" i="1" s="1"/>
  <c r="AA1114" i="1"/>
  <c r="AB1114" i="1"/>
  <c r="AC1114" i="1"/>
  <c r="Y1115" i="1"/>
  <c r="Z1115" i="1" a="1"/>
  <c r="Z1115" i="1" s="1"/>
  <c r="AA1115" i="1"/>
  <c r="AB1115" i="1"/>
  <c r="AC1115" i="1"/>
  <c r="Y1116" i="1"/>
  <c r="Z1116" i="1" a="1"/>
  <c r="Z1116" i="1" s="1"/>
  <c r="AA1116" i="1"/>
  <c r="AB1116" i="1"/>
  <c r="AC1116" i="1"/>
  <c r="Y1117" i="1"/>
  <c r="Z1117" i="1" a="1"/>
  <c r="Z1117" i="1" s="1"/>
  <c r="AA1117" i="1"/>
  <c r="AB1117" i="1"/>
  <c r="AC1117" i="1" s="1"/>
  <c r="Y1118" i="1"/>
  <c r="Z1118" i="1" a="1"/>
  <c r="Z1118" i="1"/>
  <c r="AA1118" i="1"/>
  <c r="AB1118" i="1"/>
  <c r="AC1118" i="1" s="1"/>
  <c r="Y1119" i="1"/>
  <c r="Z1119" i="1" a="1"/>
  <c r="Z1119" i="1" s="1"/>
  <c r="AA1119" i="1"/>
  <c r="AB1119" i="1"/>
  <c r="AC1119" i="1" s="1"/>
  <c r="Y1120" i="1"/>
  <c r="Z1120" i="1" a="1"/>
  <c r="Z1120" i="1" s="1"/>
  <c r="AA1120" i="1"/>
  <c r="AB1120" i="1"/>
  <c r="AC1120" i="1"/>
  <c r="Y1121" i="1"/>
  <c r="Z1121" i="1" a="1"/>
  <c r="Z1121" i="1" s="1"/>
  <c r="AA1121" i="1"/>
  <c r="AB1121" i="1"/>
  <c r="AC1121" i="1"/>
  <c r="Y1122" i="1"/>
  <c r="Z1122" i="1" a="1"/>
  <c r="Z1122" i="1" s="1"/>
  <c r="AA1122" i="1"/>
  <c r="AB1122" i="1"/>
  <c r="AC1122" i="1"/>
  <c r="Y1123" i="1"/>
  <c r="Z1123" i="1" a="1"/>
  <c r="Z1123" i="1" s="1"/>
  <c r="AA1123" i="1"/>
  <c r="AB1123" i="1"/>
  <c r="AC1123" i="1"/>
  <c r="Y1124" i="1"/>
  <c r="Z1124" i="1" a="1"/>
  <c r="Z1124" i="1" s="1"/>
  <c r="AA1124" i="1"/>
  <c r="AB1124" i="1"/>
  <c r="AC1124" i="1"/>
  <c r="Y1125" i="1"/>
  <c r="Z1125" i="1" a="1"/>
  <c r="Z1125" i="1" s="1"/>
  <c r="AA1125" i="1"/>
  <c r="AB1125" i="1"/>
  <c r="AC1125" i="1" s="1"/>
  <c r="Y1126" i="1"/>
  <c r="Z1126" i="1" a="1"/>
  <c r="Z1126" i="1" s="1"/>
  <c r="AA1126" i="1"/>
  <c r="AB1126" i="1"/>
  <c r="AC1126" i="1" s="1"/>
  <c r="Y1127" i="1"/>
  <c r="Z1127" i="1" a="1"/>
  <c r="Z1127" i="1" s="1"/>
  <c r="AA1127" i="1"/>
  <c r="AB1127" i="1"/>
  <c r="AC1127" i="1" s="1"/>
  <c r="Y1128" i="1"/>
  <c r="Z1128" i="1" a="1"/>
  <c r="Z1128" i="1" s="1"/>
  <c r="AA1128" i="1"/>
  <c r="AB1128" i="1"/>
  <c r="AC1128" i="1"/>
  <c r="Y1129" i="1"/>
  <c r="Z1129" i="1" a="1"/>
  <c r="Z1129" i="1" s="1"/>
  <c r="AA1129" i="1"/>
  <c r="AB1129" i="1"/>
  <c r="AC1129" i="1"/>
  <c r="Y1130" i="1"/>
  <c r="Z1130" i="1" a="1"/>
  <c r="Z1130" i="1" s="1"/>
  <c r="AA1130" i="1"/>
  <c r="AB1130" i="1"/>
  <c r="AC1130" i="1"/>
  <c r="Y1131" i="1"/>
  <c r="Z1131" i="1" a="1"/>
  <c r="Z1131" i="1" s="1"/>
  <c r="AA1131" i="1"/>
  <c r="AB1131" i="1"/>
  <c r="AC1131" i="1"/>
  <c r="Y1132" i="1"/>
  <c r="Z1132" i="1" a="1"/>
  <c r="Z1132" i="1" s="1"/>
  <c r="AA1132" i="1"/>
  <c r="AB1132" i="1"/>
  <c r="AC1132" i="1"/>
  <c r="Y1133" i="1"/>
  <c r="Z1133" i="1" a="1"/>
  <c r="Z1133" i="1" s="1"/>
  <c r="AA1133" i="1"/>
  <c r="AB1133" i="1"/>
  <c r="AC1133" i="1" s="1"/>
  <c r="Y1134" i="1"/>
  <c r="Z1134" i="1" a="1"/>
  <c r="Z1134" i="1" s="1"/>
  <c r="AA1134" i="1"/>
  <c r="AB1134" i="1"/>
  <c r="AC1134" i="1" s="1"/>
  <c r="Y1135" i="1"/>
  <c r="Z1135" i="1" a="1"/>
  <c r="Z1135" i="1" s="1"/>
  <c r="AA1135" i="1"/>
  <c r="AB1135" i="1"/>
  <c r="AC1135" i="1" s="1"/>
  <c r="Y1136" i="1"/>
  <c r="Z1136" i="1" a="1"/>
  <c r="Z1136" i="1" s="1"/>
  <c r="AA1136" i="1"/>
  <c r="AB1136" i="1"/>
  <c r="AC1136" i="1"/>
  <c r="Y1137" i="1"/>
  <c r="Z1137" i="1" a="1"/>
  <c r="Z1137" i="1" s="1"/>
  <c r="AA1137" i="1"/>
  <c r="AB1137" i="1"/>
  <c r="AC1137" i="1"/>
  <c r="Y1138" i="1"/>
  <c r="Z1138" i="1" a="1"/>
  <c r="Z1138" i="1" s="1"/>
  <c r="AA1138" i="1"/>
  <c r="AB1138" i="1"/>
  <c r="AC1138" i="1"/>
  <c r="Y1139" i="1"/>
  <c r="Z1139" i="1" a="1"/>
  <c r="Z1139" i="1" s="1"/>
  <c r="AA1139" i="1"/>
  <c r="AB1139" i="1"/>
  <c r="AC1139" i="1"/>
  <c r="Y1140" i="1"/>
  <c r="Z1140" i="1" a="1"/>
  <c r="Z1140" i="1" s="1"/>
  <c r="AA1140" i="1"/>
  <c r="AB1140" i="1"/>
  <c r="AC1140" i="1"/>
  <c r="Y1141" i="1"/>
  <c r="Z1141" i="1" a="1"/>
  <c r="Z1141" i="1" s="1"/>
  <c r="AA1141" i="1"/>
  <c r="AB1141" i="1"/>
  <c r="AC1141" i="1" s="1"/>
  <c r="Y1142" i="1"/>
  <c r="Z1142" i="1" a="1"/>
  <c r="Z1142" i="1" s="1"/>
  <c r="AA1142" i="1"/>
  <c r="AB1142" i="1"/>
  <c r="AC1142" i="1" s="1"/>
  <c r="Y1143" i="1"/>
  <c r="Z1143" i="1" a="1"/>
  <c r="Z1143" i="1" s="1"/>
  <c r="AA1143" i="1"/>
  <c r="AB1143" i="1"/>
  <c r="AC1143" i="1" s="1"/>
  <c r="Y1144" i="1"/>
  <c r="Z1144" i="1" a="1"/>
  <c r="Z1144" i="1" s="1"/>
  <c r="AA1144" i="1"/>
  <c r="AB1144" i="1"/>
  <c r="AC1144" i="1"/>
  <c r="Y1145" i="1"/>
  <c r="Z1145" i="1" a="1"/>
  <c r="Z1145" i="1" s="1"/>
  <c r="AA1145" i="1"/>
  <c r="AB1145" i="1"/>
  <c r="AC1145" i="1"/>
  <c r="Y1146" i="1"/>
  <c r="Z1146" i="1" a="1"/>
  <c r="Z1146" i="1" s="1"/>
  <c r="AA1146" i="1"/>
  <c r="AB1146" i="1"/>
  <c r="AC1146" i="1"/>
  <c r="Y1147" i="1"/>
  <c r="Z1147" i="1" a="1"/>
  <c r="Z1147" i="1" s="1"/>
  <c r="AA1147" i="1"/>
  <c r="AB1147" i="1"/>
  <c r="AC1147" i="1"/>
  <c r="Y1148" i="1"/>
  <c r="Z1148" i="1" a="1"/>
  <c r="Z1148" i="1" s="1"/>
  <c r="AA1148" i="1"/>
  <c r="AB1148" i="1"/>
  <c r="AC1148" i="1"/>
  <c r="Y1149" i="1"/>
  <c r="Z1149" i="1" a="1"/>
  <c r="Z1149" i="1" s="1"/>
  <c r="AA1149" i="1"/>
  <c r="AB1149" i="1"/>
  <c r="AC1149" i="1" s="1"/>
  <c r="Y1150" i="1"/>
  <c r="Z1150" i="1" a="1"/>
  <c r="Z1150" i="1" s="1"/>
  <c r="AA1150" i="1"/>
  <c r="AB1150" i="1"/>
  <c r="AC1150" i="1" s="1"/>
  <c r="Y1151" i="1"/>
  <c r="Z1151" i="1" a="1"/>
  <c r="Z1151" i="1" s="1"/>
  <c r="AA1151" i="1"/>
  <c r="AB1151" i="1"/>
  <c r="AC1151" i="1" s="1"/>
  <c r="Y1152" i="1"/>
  <c r="Z1152" i="1" a="1"/>
  <c r="Z1152" i="1" s="1"/>
  <c r="AA1152" i="1"/>
  <c r="AB1152" i="1"/>
  <c r="AC1152" i="1"/>
  <c r="Y1153" i="1"/>
  <c r="Z1153" i="1" a="1"/>
  <c r="Z1153" i="1" s="1"/>
  <c r="AA1153" i="1"/>
  <c r="AB1153" i="1"/>
  <c r="AC1153" i="1"/>
  <c r="Y1154" i="1"/>
  <c r="Z1154" i="1" a="1"/>
  <c r="Z1154" i="1" s="1"/>
  <c r="AA1154" i="1"/>
  <c r="AB1154" i="1"/>
  <c r="AC1154" i="1"/>
  <c r="Y1155" i="1"/>
  <c r="Z1155" i="1" a="1"/>
  <c r="Z1155" i="1" s="1"/>
  <c r="AA1155" i="1"/>
  <c r="AB1155" i="1"/>
  <c r="AC1155" i="1"/>
  <c r="Y1156" i="1"/>
  <c r="Z1156" i="1" a="1"/>
  <c r="Z1156" i="1" s="1"/>
  <c r="AA1156" i="1"/>
  <c r="AB1156" i="1"/>
  <c r="AC1156" i="1"/>
  <c r="Y1157" i="1"/>
  <c r="Z1157" i="1" a="1"/>
  <c r="Z1157" i="1" s="1"/>
  <c r="AA1157" i="1"/>
  <c r="AB1157" i="1"/>
  <c r="AC1157" i="1" s="1"/>
  <c r="Y1158" i="1"/>
  <c r="Z1158" i="1" a="1"/>
  <c r="Z1158" i="1" s="1"/>
  <c r="AA1158" i="1"/>
  <c r="AB1158" i="1"/>
  <c r="AC1158" i="1" s="1"/>
  <c r="Y1159" i="1"/>
  <c r="Z1159" i="1" a="1"/>
  <c r="Z1159" i="1" s="1"/>
  <c r="AA1159" i="1"/>
  <c r="AB1159" i="1"/>
  <c r="AC1159" i="1" s="1"/>
  <c r="Y1160" i="1"/>
  <c r="Z1160" i="1" a="1"/>
  <c r="Z1160" i="1" s="1"/>
  <c r="AA1160" i="1"/>
  <c r="AB1160" i="1"/>
  <c r="AC1160" i="1"/>
  <c r="Y1161" i="1"/>
  <c r="Z1161" i="1" a="1"/>
  <c r="Z1161" i="1" s="1"/>
  <c r="AA1161" i="1"/>
  <c r="AB1161" i="1"/>
  <c r="AC1161" i="1"/>
  <c r="Y1162" i="1"/>
  <c r="Z1162" i="1" a="1"/>
  <c r="Z1162" i="1" s="1"/>
  <c r="AA1162" i="1"/>
  <c r="AB1162" i="1"/>
  <c r="AC1162" i="1"/>
  <c r="Y1163" i="1"/>
  <c r="Z1163" i="1" a="1"/>
  <c r="Z1163" i="1" s="1"/>
  <c r="AA1163" i="1"/>
  <c r="AB1163" i="1"/>
  <c r="AC1163" i="1"/>
  <c r="Y1164" i="1"/>
  <c r="Z1164" i="1" a="1"/>
  <c r="Z1164" i="1" s="1"/>
  <c r="AA1164" i="1"/>
  <c r="AB1164" i="1"/>
  <c r="AC1164" i="1"/>
  <c r="Y1165" i="1"/>
  <c r="Z1165" i="1" a="1"/>
  <c r="Z1165" i="1" s="1"/>
  <c r="AA1165" i="1"/>
  <c r="AB1165" i="1"/>
  <c r="AC1165" i="1" s="1"/>
  <c r="Y1166" i="1"/>
  <c r="Z1166" i="1" a="1"/>
  <c r="Z1166" i="1" s="1"/>
  <c r="AA1166" i="1"/>
  <c r="AB1166" i="1"/>
  <c r="AC1166" i="1" s="1"/>
  <c r="Y1167" i="1"/>
  <c r="Z1167" i="1" a="1"/>
  <c r="Z1167" i="1" s="1"/>
  <c r="AA1167" i="1"/>
  <c r="AB1167" i="1"/>
  <c r="AC1167" i="1" s="1"/>
  <c r="Y1168" i="1"/>
  <c r="Z1168" i="1" a="1"/>
  <c r="Z1168" i="1" s="1"/>
  <c r="AA1168" i="1"/>
  <c r="AB1168" i="1"/>
  <c r="AC1168" i="1"/>
  <c r="Y1169" i="1"/>
  <c r="Z1169" i="1" a="1"/>
  <c r="Z1169" i="1" s="1"/>
  <c r="AA1169" i="1"/>
  <c r="AB1169" i="1"/>
  <c r="AC1169" i="1"/>
  <c r="Y1170" i="1"/>
  <c r="Z1170" i="1" a="1"/>
  <c r="Z1170" i="1" s="1"/>
  <c r="AA1170" i="1"/>
  <c r="AB1170" i="1"/>
  <c r="AC1170" i="1"/>
  <c r="Y1171" i="1"/>
  <c r="Z1171" i="1" a="1"/>
  <c r="Z1171" i="1" s="1"/>
  <c r="AA1171" i="1"/>
  <c r="AB1171" i="1"/>
  <c r="AC1171" i="1"/>
  <c r="Y1172" i="1"/>
  <c r="Z1172" i="1" a="1"/>
  <c r="Z1172" i="1" s="1"/>
  <c r="AA1172" i="1"/>
  <c r="AB1172" i="1"/>
  <c r="AC1172" i="1"/>
  <c r="Y1173" i="1"/>
  <c r="Z1173" i="1" a="1"/>
  <c r="Z1173" i="1" s="1"/>
  <c r="AA1173" i="1"/>
  <c r="AB1173" i="1"/>
  <c r="AC1173" i="1" s="1"/>
  <c r="Y1174" i="1"/>
  <c r="Z1174" i="1" a="1"/>
  <c r="Z1174" i="1" s="1"/>
  <c r="AA1174" i="1"/>
  <c r="AB1174" i="1"/>
  <c r="AC1174" i="1" s="1"/>
  <c r="Y1175" i="1"/>
  <c r="Z1175" i="1" a="1"/>
  <c r="Z1175" i="1" s="1"/>
  <c r="AA1175" i="1"/>
  <c r="AB1175" i="1"/>
  <c r="AC1175" i="1" s="1"/>
  <c r="Y1176" i="1"/>
  <c r="Z1176" i="1" a="1"/>
  <c r="Z1176" i="1" s="1"/>
  <c r="AA1176" i="1"/>
  <c r="AB1176" i="1"/>
  <c r="AC1176" i="1"/>
  <c r="Y1177" i="1"/>
  <c r="Z1177" i="1" a="1"/>
  <c r="Z1177" i="1" s="1"/>
  <c r="AA1177" i="1"/>
  <c r="AB1177" i="1"/>
  <c r="AC1177" i="1"/>
  <c r="Y1178" i="1"/>
  <c r="Z1178" i="1" a="1"/>
  <c r="Z1178" i="1" s="1"/>
  <c r="AA1178" i="1"/>
  <c r="AB1178" i="1"/>
  <c r="AC1178" i="1"/>
  <c r="Y1179" i="1"/>
  <c r="Z1179" i="1" a="1"/>
  <c r="Z1179" i="1" s="1"/>
  <c r="AA1179" i="1"/>
  <c r="AB1179" i="1"/>
  <c r="AC1179" i="1"/>
  <c r="Y1180" i="1"/>
  <c r="Z1180" i="1" a="1"/>
  <c r="Z1180" i="1" s="1"/>
  <c r="AA1180" i="1"/>
  <c r="AB1180" i="1"/>
  <c r="AC1180" i="1"/>
  <c r="Y1181" i="1"/>
  <c r="Z1181" i="1" a="1"/>
  <c r="Z1181" i="1" s="1"/>
  <c r="AA1181" i="1"/>
  <c r="AB1181" i="1"/>
  <c r="AC1181" i="1" s="1"/>
  <c r="Y1182" i="1"/>
  <c r="Z1182" i="1" a="1"/>
  <c r="Z1182" i="1" s="1"/>
  <c r="AA1182" i="1"/>
  <c r="AB1182" i="1"/>
  <c r="AC1182" i="1" s="1"/>
  <c r="Y1183" i="1"/>
  <c r="Z1183" i="1" a="1"/>
  <c r="Z1183" i="1" s="1"/>
  <c r="AA1183" i="1"/>
  <c r="AB1183" i="1"/>
  <c r="AC1183" i="1" s="1"/>
  <c r="Y1184" i="1"/>
  <c r="Z1184" i="1" a="1"/>
  <c r="Z1184" i="1" s="1"/>
  <c r="AA1184" i="1"/>
  <c r="AB1184" i="1"/>
  <c r="AC1184" i="1"/>
  <c r="Y1185" i="1"/>
  <c r="Z1185" i="1" a="1"/>
  <c r="Z1185" i="1" s="1"/>
  <c r="AA1185" i="1"/>
  <c r="AB1185" i="1"/>
  <c r="AC1185" i="1"/>
  <c r="Y1186" i="1"/>
  <c r="Z1186" i="1" a="1"/>
  <c r="Z1186" i="1" s="1"/>
  <c r="AA1186" i="1"/>
  <c r="AB1186" i="1"/>
  <c r="AC1186" i="1"/>
  <c r="Y1187" i="1"/>
  <c r="Z1187" i="1" a="1"/>
  <c r="Z1187" i="1" s="1"/>
  <c r="AA1187" i="1"/>
  <c r="AB1187" i="1"/>
  <c r="AC1187" i="1"/>
  <c r="Y1188" i="1"/>
  <c r="Z1188" i="1" a="1"/>
  <c r="Z1188" i="1" s="1"/>
  <c r="AA1188" i="1"/>
  <c r="AB1188" i="1"/>
  <c r="AC1188" i="1"/>
  <c r="Y1189" i="1"/>
  <c r="Z1189" i="1" a="1"/>
  <c r="Z1189" i="1" s="1"/>
  <c r="AA1189" i="1"/>
  <c r="AB1189" i="1"/>
  <c r="AC1189" i="1" s="1"/>
  <c r="Y1190" i="1"/>
  <c r="Z1190" i="1" a="1"/>
  <c r="Z1190" i="1" s="1"/>
  <c r="AA1190" i="1"/>
  <c r="AB1190" i="1"/>
  <c r="AC1190" i="1" s="1"/>
  <c r="Y1191" i="1"/>
  <c r="Z1191" i="1" a="1"/>
  <c r="Z1191" i="1" s="1"/>
  <c r="AA1191" i="1"/>
  <c r="AB1191" i="1"/>
  <c r="AC1191" i="1" s="1"/>
  <c r="Y1192" i="1"/>
  <c r="Z1192" i="1" a="1"/>
  <c r="Z1192" i="1" s="1"/>
  <c r="AA1192" i="1"/>
  <c r="AB1192" i="1"/>
  <c r="AC1192" i="1"/>
  <c r="Y1193" i="1"/>
  <c r="Z1193" i="1" a="1"/>
  <c r="Z1193" i="1" s="1"/>
  <c r="AA1193" i="1"/>
  <c r="AB1193" i="1"/>
  <c r="AC1193" i="1"/>
  <c r="Y1194" i="1"/>
  <c r="Z1194" i="1" a="1"/>
  <c r="Z1194" i="1" s="1"/>
  <c r="AA1194" i="1"/>
  <c r="AB1194" i="1"/>
  <c r="AC1194" i="1"/>
  <c r="Y1195" i="1"/>
  <c r="Z1195" i="1" a="1"/>
  <c r="Z1195" i="1" s="1"/>
  <c r="AA1195" i="1"/>
  <c r="AB1195" i="1"/>
  <c r="AC1195" i="1"/>
  <c r="Y1196" i="1"/>
  <c r="Z1196" i="1" a="1"/>
  <c r="Z1196" i="1" s="1"/>
  <c r="AA1196" i="1"/>
  <c r="AB1196" i="1"/>
  <c r="AC1196" i="1"/>
  <c r="Y1197" i="1"/>
  <c r="Z1197" i="1" a="1"/>
  <c r="Z1197" i="1" s="1"/>
  <c r="AA1197" i="1"/>
  <c r="AB1197" i="1"/>
  <c r="AC1197" i="1" s="1"/>
  <c r="Y1198" i="1"/>
  <c r="Z1198" i="1" a="1"/>
  <c r="Z1198" i="1" s="1"/>
  <c r="AA1198" i="1"/>
  <c r="AB1198" i="1"/>
  <c r="AC1198" i="1" s="1"/>
  <c r="Y1199" i="1"/>
  <c r="Z1199" i="1" a="1"/>
  <c r="Z1199" i="1" s="1"/>
  <c r="AA1199" i="1"/>
  <c r="AB1199" i="1"/>
  <c r="AC1199" i="1" s="1"/>
  <c r="Y1200" i="1"/>
  <c r="Z1200" i="1" a="1"/>
  <c r="Z1200" i="1" s="1"/>
  <c r="AA1200" i="1"/>
  <c r="AB1200" i="1"/>
  <c r="AC1200" i="1"/>
  <c r="Y1201" i="1"/>
  <c r="Z1201" i="1" a="1"/>
  <c r="Z1201" i="1" s="1"/>
  <c r="AA1201" i="1"/>
  <c r="AB1201" i="1"/>
  <c r="AC1201" i="1"/>
  <c r="Y1202" i="1"/>
  <c r="Z1202" i="1" a="1"/>
  <c r="Z1202" i="1" s="1"/>
  <c r="AA1202" i="1"/>
  <c r="AB1202" i="1"/>
  <c r="AC1202" i="1"/>
  <c r="Y1203" i="1"/>
  <c r="Z1203" i="1" a="1"/>
  <c r="Z1203" i="1" s="1"/>
  <c r="AA1203" i="1"/>
  <c r="AB1203" i="1"/>
  <c r="AC1203" i="1"/>
  <c r="Y1204" i="1"/>
  <c r="Z1204" i="1" a="1"/>
  <c r="Z1204" i="1" s="1"/>
  <c r="AA1204" i="1"/>
  <c r="AB1204" i="1"/>
  <c r="AC1204" i="1"/>
  <c r="Y1205" i="1"/>
  <c r="Z1205" i="1" a="1"/>
  <c r="Z1205" i="1" s="1"/>
  <c r="AA1205" i="1"/>
  <c r="AB1205" i="1"/>
  <c r="AC1205" i="1" s="1"/>
  <c r="Y1206" i="1"/>
  <c r="Z1206" i="1" a="1"/>
  <c r="Z1206" i="1" s="1"/>
  <c r="AA1206" i="1"/>
  <c r="AB1206" i="1"/>
  <c r="AC1206" i="1" s="1"/>
  <c r="Y1207" i="1"/>
  <c r="Z1207" i="1" a="1"/>
  <c r="Z1207" i="1" s="1"/>
  <c r="AA1207" i="1"/>
  <c r="AB1207" i="1"/>
  <c r="AC1207" i="1" s="1"/>
  <c r="Y1208" i="1"/>
  <c r="Z1208" i="1" a="1"/>
  <c r="Z1208" i="1" s="1"/>
  <c r="AA1208" i="1"/>
  <c r="AB1208" i="1"/>
  <c r="AC1208" i="1"/>
  <c r="Y1209" i="1"/>
  <c r="Z1209" i="1" a="1"/>
  <c r="Z1209" i="1" s="1"/>
  <c r="AA1209" i="1"/>
  <c r="AB1209" i="1"/>
  <c r="AC1209" i="1"/>
  <c r="Y1210" i="1"/>
  <c r="Z1210" i="1" a="1"/>
  <c r="Z1210" i="1" s="1"/>
  <c r="AA1210" i="1"/>
  <c r="AB1210" i="1"/>
  <c r="AC1210" i="1"/>
  <c r="Y1211" i="1"/>
  <c r="Z1211" i="1" a="1"/>
  <c r="Z1211" i="1" s="1"/>
  <c r="AA1211" i="1"/>
  <c r="AB1211" i="1"/>
  <c r="AC1211" i="1"/>
  <c r="Y1212" i="1"/>
  <c r="Z1212" i="1" a="1"/>
  <c r="Z1212" i="1" s="1"/>
  <c r="AA1212" i="1"/>
  <c r="AB1212" i="1"/>
  <c r="AC1212" i="1"/>
  <c r="Y1213" i="1"/>
  <c r="Z1213" i="1" a="1"/>
  <c r="Z1213" i="1" s="1"/>
  <c r="AA1213" i="1"/>
  <c r="AB1213" i="1"/>
  <c r="AC1213" i="1" s="1"/>
  <c r="Y1214" i="1"/>
  <c r="Z1214" i="1" a="1"/>
  <c r="Z1214" i="1" s="1"/>
  <c r="AA1214" i="1"/>
  <c r="AB1214" i="1"/>
  <c r="AC1214" i="1" s="1"/>
  <c r="Y1215" i="1"/>
  <c r="Z1215" i="1" a="1"/>
  <c r="Z1215" i="1" s="1"/>
  <c r="AA1215" i="1"/>
  <c r="AB1215" i="1"/>
  <c r="AC1215" i="1" s="1"/>
  <c r="Y1216" i="1"/>
  <c r="Z1216" i="1" a="1"/>
  <c r="Z1216" i="1" s="1"/>
  <c r="AA1216" i="1"/>
  <c r="AB1216" i="1"/>
  <c r="AC1216" i="1"/>
  <c r="Y1217" i="1"/>
  <c r="Z1217" i="1" a="1"/>
  <c r="Z1217" i="1" s="1"/>
  <c r="AA1217" i="1"/>
  <c r="AB1217" i="1"/>
  <c r="AC1217" i="1"/>
  <c r="Y1218" i="1"/>
  <c r="Z1218" i="1" a="1"/>
  <c r="Z1218" i="1" s="1"/>
  <c r="AA1218" i="1"/>
  <c r="AB1218" i="1"/>
  <c r="AC1218" i="1"/>
  <c r="Y1219" i="1"/>
  <c r="Z1219" i="1" a="1"/>
  <c r="Z1219" i="1" s="1"/>
  <c r="AA1219" i="1"/>
  <c r="AB1219" i="1"/>
  <c r="AC1219" i="1"/>
  <c r="Y1220" i="1"/>
  <c r="Z1220" i="1" a="1"/>
  <c r="Z1220" i="1" s="1"/>
  <c r="AA1220" i="1"/>
  <c r="AB1220" i="1"/>
  <c r="AC1220" i="1"/>
  <c r="Y1221" i="1"/>
  <c r="Z1221" i="1" a="1"/>
  <c r="Z1221" i="1" s="1"/>
  <c r="AA1221" i="1"/>
  <c r="AB1221" i="1"/>
  <c r="AC1221" i="1" s="1"/>
  <c r="Y1222" i="1"/>
  <c r="Z1222" i="1" a="1"/>
  <c r="Z1222" i="1" s="1"/>
  <c r="AA1222" i="1"/>
  <c r="AB1222" i="1"/>
  <c r="AC1222" i="1" s="1"/>
  <c r="Y1223" i="1"/>
  <c r="Z1223" i="1" a="1"/>
  <c r="Z1223" i="1" s="1"/>
  <c r="AA1223" i="1"/>
  <c r="AB1223" i="1"/>
  <c r="AC1223" i="1" s="1"/>
  <c r="Y1224" i="1"/>
  <c r="Z1224" i="1" a="1"/>
  <c r="Z1224" i="1" s="1"/>
  <c r="AA1224" i="1"/>
  <c r="AB1224" i="1"/>
  <c r="AC1224" i="1"/>
  <c r="Y1225" i="1"/>
  <c r="Z1225" i="1" a="1"/>
  <c r="Z1225" i="1" s="1"/>
  <c r="AA1225" i="1"/>
  <c r="AB1225" i="1"/>
  <c r="AC1225" i="1"/>
  <c r="Y1226" i="1"/>
  <c r="Z1226" i="1" a="1"/>
  <c r="Z1226" i="1" s="1"/>
  <c r="AA1226" i="1"/>
  <c r="AB1226" i="1"/>
  <c r="AC1226" i="1"/>
  <c r="Y1227" i="1"/>
  <c r="Z1227" i="1" a="1"/>
  <c r="Z1227" i="1" s="1"/>
  <c r="AA1227" i="1"/>
  <c r="AB1227" i="1"/>
  <c r="AC1227" i="1"/>
  <c r="Y1228" i="1"/>
  <c r="Z1228" i="1" a="1"/>
  <c r="Z1228" i="1" s="1"/>
  <c r="AA1228" i="1"/>
  <c r="AB1228" i="1"/>
  <c r="AC1228" i="1"/>
  <c r="Y1229" i="1"/>
  <c r="Z1229" i="1" a="1"/>
  <c r="Z1229" i="1" s="1"/>
  <c r="AA1229" i="1"/>
  <c r="AB1229" i="1"/>
  <c r="AC1229" i="1" s="1"/>
  <c r="Y1230" i="1"/>
  <c r="Z1230" i="1" a="1"/>
  <c r="Z1230" i="1" s="1"/>
  <c r="AA1230" i="1"/>
  <c r="AB1230" i="1"/>
  <c r="AC1230" i="1" s="1"/>
  <c r="Y1231" i="1"/>
  <c r="Z1231" i="1" a="1"/>
  <c r="Z1231" i="1" s="1"/>
  <c r="AA1231" i="1"/>
  <c r="AB1231" i="1"/>
  <c r="AC1231" i="1" s="1"/>
  <c r="Y1232" i="1"/>
  <c r="Z1232" i="1" a="1"/>
  <c r="Z1232" i="1" s="1"/>
  <c r="AA1232" i="1"/>
  <c r="AB1232" i="1"/>
  <c r="AC1232" i="1"/>
  <c r="Y1233" i="1"/>
  <c r="Z1233" i="1" a="1"/>
  <c r="Z1233" i="1" s="1"/>
  <c r="AA1233" i="1"/>
  <c r="AB1233" i="1"/>
  <c r="AC1233" i="1"/>
  <c r="Y1234" i="1"/>
  <c r="Z1234" i="1" a="1"/>
  <c r="Z1234" i="1" s="1"/>
  <c r="AA1234" i="1"/>
  <c r="AB1234" i="1"/>
  <c r="AC1234" i="1"/>
  <c r="Y1235" i="1"/>
  <c r="Z1235" i="1" a="1"/>
  <c r="Z1235" i="1" s="1"/>
  <c r="AA1235" i="1"/>
  <c r="AB1235" i="1"/>
  <c r="AC1235" i="1"/>
  <c r="Y1236" i="1"/>
  <c r="Z1236" i="1" a="1"/>
  <c r="Z1236" i="1" s="1"/>
  <c r="AA1236" i="1"/>
  <c r="AB1236" i="1"/>
  <c r="AC1236" i="1"/>
  <c r="Y1237" i="1"/>
  <c r="Z1237" i="1" a="1"/>
  <c r="Z1237" i="1" s="1"/>
  <c r="AA1237" i="1"/>
  <c r="AB1237" i="1"/>
  <c r="AC1237" i="1" s="1"/>
  <c r="Y1238" i="1"/>
  <c r="Z1238" i="1" a="1"/>
  <c r="Z1238" i="1" s="1"/>
  <c r="AA1238" i="1"/>
  <c r="AB1238" i="1"/>
  <c r="AC1238" i="1" s="1"/>
  <c r="Y1239" i="1"/>
  <c r="Z1239" i="1" a="1"/>
  <c r="Z1239" i="1" s="1"/>
  <c r="AA1239" i="1"/>
  <c r="AB1239" i="1"/>
  <c r="AC1239" i="1" s="1"/>
  <c r="Y1240" i="1"/>
  <c r="Z1240" i="1" a="1"/>
  <c r="Z1240" i="1" s="1"/>
  <c r="AA1240" i="1"/>
  <c r="AB1240" i="1"/>
  <c r="AC1240" i="1"/>
  <c r="Y1241" i="1"/>
  <c r="Z1241" i="1" a="1"/>
  <c r="Z1241" i="1" s="1"/>
  <c r="AA1241" i="1"/>
  <c r="AB1241" i="1"/>
  <c r="AC1241" i="1"/>
  <c r="Y1242" i="1"/>
  <c r="Z1242" i="1" a="1"/>
  <c r="Z1242" i="1" s="1"/>
  <c r="AA1242" i="1"/>
  <c r="AB1242" i="1"/>
  <c r="AC1242" i="1"/>
  <c r="Y1243" i="1"/>
  <c r="Z1243" i="1" a="1"/>
  <c r="Z1243" i="1" s="1"/>
  <c r="AA1243" i="1"/>
  <c r="AB1243" i="1"/>
  <c r="AC1243" i="1"/>
  <c r="Y1244" i="1"/>
  <c r="Z1244" i="1" a="1"/>
  <c r="Z1244" i="1" s="1"/>
  <c r="AA1244" i="1"/>
  <c r="AB1244" i="1"/>
  <c r="AC1244" i="1"/>
  <c r="Y1245" i="1"/>
  <c r="Z1245" i="1" a="1"/>
  <c r="Z1245" i="1" s="1"/>
  <c r="AA1245" i="1"/>
  <c r="AB1245" i="1"/>
  <c r="AC1245" i="1" s="1"/>
  <c r="Y1246" i="1"/>
  <c r="Z1246" i="1" a="1"/>
  <c r="Z1246" i="1" s="1"/>
  <c r="AA1246" i="1"/>
  <c r="AB1246" i="1"/>
  <c r="AC1246" i="1" s="1"/>
  <c r="Y1247" i="1"/>
  <c r="Z1247" i="1" a="1"/>
  <c r="Z1247" i="1" s="1"/>
  <c r="AA1247" i="1"/>
  <c r="AB1247" i="1"/>
  <c r="AC1247" i="1" s="1"/>
  <c r="Y1248" i="1"/>
  <c r="Z1248" i="1" a="1"/>
  <c r="Z1248" i="1" s="1"/>
  <c r="AA1248" i="1"/>
  <c r="AB1248" i="1"/>
  <c r="AC1248" i="1"/>
  <c r="Y1249" i="1"/>
  <c r="Z1249" i="1" a="1"/>
  <c r="Z1249" i="1" s="1"/>
  <c r="AA1249" i="1"/>
  <c r="AB1249" i="1"/>
  <c r="AC1249" i="1"/>
  <c r="Y1250" i="1"/>
  <c r="Z1250" i="1" a="1"/>
  <c r="Z1250" i="1" s="1"/>
  <c r="AA1250" i="1"/>
  <c r="AB1250" i="1"/>
  <c r="AC1250" i="1"/>
  <c r="Y1251" i="1"/>
  <c r="Z1251" i="1" a="1"/>
  <c r="Z1251" i="1" s="1"/>
  <c r="AA1251" i="1"/>
  <c r="AB1251" i="1"/>
  <c r="AC1251" i="1"/>
  <c r="Y1252" i="1"/>
  <c r="Z1252" i="1" a="1"/>
  <c r="Z1252" i="1" s="1"/>
  <c r="AA1252" i="1"/>
  <c r="AB1252" i="1"/>
  <c r="AC1252" i="1"/>
  <c r="Y1253" i="1"/>
  <c r="Z1253" i="1" a="1"/>
  <c r="Z1253" i="1" s="1"/>
  <c r="AA1253" i="1"/>
  <c r="AB1253" i="1"/>
  <c r="AC1253" i="1" s="1"/>
  <c r="Y1254" i="1"/>
  <c r="Z1254" i="1" a="1"/>
  <c r="Z1254" i="1" s="1"/>
  <c r="AA1254" i="1"/>
  <c r="AB1254" i="1"/>
  <c r="AC1254" i="1" s="1"/>
  <c r="Y1255" i="1"/>
  <c r="Z1255" i="1" a="1"/>
  <c r="Z1255" i="1" s="1"/>
  <c r="AA1255" i="1"/>
  <c r="AB1255" i="1"/>
  <c r="AC1255" i="1" s="1"/>
  <c r="Y1256" i="1"/>
  <c r="Z1256" i="1" a="1"/>
  <c r="Z1256" i="1" s="1"/>
  <c r="AA1256" i="1"/>
  <c r="AB1256" i="1"/>
  <c r="AC1256" i="1"/>
  <c r="Y1257" i="1"/>
  <c r="Z1257" i="1" a="1"/>
  <c r="Z1257" i="1" s="1"/>
  <c r="AA1257" i="1"/>
  <c r="AB1257" i="1"/>
  <c r="AC1257" i="1"/>
  <c r="Y1258" i="1"/>
  <c r="Z1258" i="1" a="1"/>
  <c r="Z1258" i="1" s="1"/>
  <c r="AA1258" i="1"/>
  <c r="AB1258" i="1"/>
  <c r="AC1258" i="1"/>
  <c r="Y1259" i="1"/>
  <c r="Z1259" i="1" a="1"/>
  <c r="Z1259" i="1" s="1"/>
  <c r="AA1259" i="1"/>
  <c r="AB1259" i="1"/>
  <c r="AC1259" i="1"/>
  <c r="Y1260" i="1"/>
  <c r="Z1260" i="1" a="1"/>
  <c r="Z1260" i="1" s="1"/>
  <c r="AA1260" i="1"/>
  <c r="AB1260" i="1"/>
  <c r="AC1260" i="1"/>
  <c r="Y1261" i="1"/>
  <c r="Z1261" i="1" a="1"/>
  <c r="Z1261" i="1" s="1"/>
  <c r="AA1261" i="1"/>
  <c r="AB1261" i="1"/>
  <c r="AC1261" i="1" s="1"/>
  <c r="Y1262" i="1"/>
  <c r="Z1262" i="1" a="1"/>
  <c r="Z1262" i="1" s="1"/>
  <c r="AA1262" i="1"/>
  <c r="AB1262" i="1"/>
  <c r="AC1262" i="1" s="1"/>
  <c r="Y1263" i="1"/>
  <c r="Z1263" i="1" a="1"/>
  <c r="Z1263" i="1" s="1"/>
  <c r="AA1263" i="1"/>
  <c r="AB1263" i="1"/>
  <c r="AC1263" i="1" s="1"/>
  <c r="Y1264" i="1"/>
  <c r="Z1264" i="1" a="1"/>
  <c r="Z1264" i="1" s="1"/>
  <c r="AA1264" i="1"/>
  <c r="AB1264" i="1"/>
  <c r="AC1264" i="1"/>
  <c r="Y1265" i="1"/>
  <c r="Z1265" i="1" a="1"/>
  <c r="Z1265" i="1" s="1"/>
  <c r="AA1265" i="1"/>
  <c r="AB1265" i="1"/>
  <c r="AC1265" i="1"/>
  <c r="Y1266" i="1"/>
  <c r="Z1266" i="1" a="1"/>
  <c r="Z1266" i="1" s="1"/>
  <c r="AA1266" i="1"/>
  <c r="AB1266" i="1"/>
  <c r="AC1266" i="1"/>
  <c r="Y1267" i="1"/>
  <c r="Z1267" i="1" a="1"/>
  <c r="Z1267" i="1" s="1"/>
  <c r="AA1267" i="1"/>
  <c r="AB1267" i="1"/>
  <c r="AC1267" i="1"/>
  <c r="Y1268" i="1"/>
  <c r="Z1268" i="1" a="1"/>
  <c r="Z1268" i="1" s="1"/>
  <c r="AA1268" i="1"/>
  <c r="AB1268" i="1"/>
  <c r="AC1268" i="1"/>
  <c r="Y1269" i="1"/>
  <c r="Z1269" i="1" a="1"/>
  <c r="Z1269" i="1" s="1"/>
  <c r="AA1269" i="1"/>
  <c r="AB1269" i="1"/>
  <c r="AC1269" i="1" s="1"/>
  <c r="Y1270" i="1"/>
  <c r="Z1270" i="1" a="1"/>
  <c r="Z1270" i="1" s="1"/>
  <c r="AA1270" i="1"/>
  <c r="AB1270" i="1"/>
  <c r="AC1270" i="1" s="1"/>
  <c r="Y1271" i="1"/>
  <c r="Z1271" i="1" a="1"/>
  <c r="Z1271" i="1" s="1"/>
  <c r="AA1271" i="1"/>
  <c r="AB1271" i="1"/>
  <c r="AC1271" i="1" s="1"/>
  <c r="Y1272" i="1"/>
  <c r="Z1272" i="1" a="1"/>
  <c r="Z1272" i="1" s="1"/>
  <c r="AA1272" i="1"/>
  <c r="AB1272" i="1"/>
  <c r="AC1272" i="1"/>
  <c r="Y1273" i="1"/>
  <c r="Z1273" i="1" a="1"/>
  <c r="Z1273" i="1" s="1"/>
  <c r="AA1273" i="1"/>
  <c r="AB1273" i="1"/>
  <c r="AC1273" i="1"/>
  <c r="Y1274" i="1"/>
  <c r="Z1274" i="1" a="1"/>
  <c r="Z1274" i="1" s="1"/>
  <c r="AA1274" i="1"/>
  <c r="AB1274" i="1"/>
  <c r="AC1274" i="1"/>
  <c r="Y1275" i="1"/>
  <c r="Z1275" i="1" a="1"/>
  <c r="Z1275" i="1" s="1"/>
  <c r="AA1275" i="1"/>
  <c r="AB1275" i="1"/>
  <c r="AC1275" i="1"/>
  <c r="Y1276" i="1"/>
  <c r="Z1276" i="1" a="1"/>
  <c r="Z1276" i="1" s="1"/>
  <c r="AA1276" i="1"/>
  <c r="AB1276" i="1"/>
  <c r="AC1276" i="1"/>
  <c r="Y1277" i="1"/>
  <c r="Z1277" i="1" a="1"/>
  <c r="Z1277" i="1" s="1"/>
  <c r="AA1277" i="1"/>
  <c r="AB1277" i="1"/>
  <c r="AC1277" i="1" s="1"/>
  <c r="Y1278" i="1"/>
  <c r="Z1278" i="1" a="1"/>
  <c r="Z1278" i="1" s="1"/>
  <c r="AA1278" i="1"/>
  <c r="AB1278" i="1"/>
  <c r="AC1278" i="1" s="1"/>
  <c r="Y1279" i="1"/>
  <c r="Z1279" i="1" a="1"/>
  <c r="Z1279" i="1"/>
  <c r="AA1279" i="1"/>
  <c r="AB1279" i="1"/>
  <c r="AC1279" i="1" s="1"/>
  <c r="Y1280" i="1"/>
  <c r="Z1280" i="1" a="1"/>
  <c r="Z1280" i="1" s="1"/>
  <c r="AA1280" i="1"/>
  <c r="AB1280" i="1"/>
  <c r="AC1280" i="1"/>
  <c r="Y1281" i="1"/>
  <c r="Z1281" i="1" a="1"/>
  <c r="Z1281" i="1" s="1"/>
  <c r="AA1281" i="1"/>
  <c r="AB1281" i="1"/>
  <c r="AC1281" i="1"/>
  <c r="Y1282" i="1"/>
  <c r="Z1282" i="1" a="1"/>
  <c r="Z1282" i="1" s="1"/>
  <c r="AA1282" i="1"/>
  <c r="AB1282" i="1"/>
  <c r="AC1282" i="1"/>
  <c r="Y1283" i="1"/>
  <c r="Z1283" i="1" a="1"/>
  <c r="Z1283" i="1" s="1"/>
  <c r="AA1283" i="1"/>
  <c r="AB1283" i="1"/>
  <c r="AC1283" i="1"/>
  <c r="Y1284" i="1"/>
  <c r="Z1284" i="1" a="1"/>
  <c r="Z1284" i="1" s="1"/>
  <c r="AA1284" i="1"/>
  <c r="AB1284" i="1"/>
  <c r="AC1284" i="1"/>
  <c r="Y1285" i="1"/>
  <c r="Z1285" i="1" a="1"/>
  <c r="Z1285" i="1" s="1"/>
  <c r="AA1285" i="1"/>
  <c r="AB1285" i="1"/>
  <c r="AC1285" i="1" s="1"/>
  <c r="Y1286" i="1"/>
  <c r="Z1286" i="1" a="1"/>
  <c r="Z1286" i="1"/>
  <c r="AA1286" i="1"/>
  <c r="AB1286" i="1"/>
  <c r="AC1286" i="1" s="1"/>
  <c r="Y1287" i="1"/>
  <c r="Z1287" i="1" a="1"/>
  <c r="Z1287" i="1" s="1"/>
  <c r="AA1287" i="1"/>
  <c r="AB1287" i="1"/>
  <c r="AC1287" i="1" s="1"/>
  <c r="Y1288" i="1"/>
  <c r="Z1288" i="1" a="1"/>
  <c r="Z1288" i="1" s="1"/>
  <c r="AA1288" i="1"/>
  <c r="AB1288" i="1"/>
  <c r="AC1288" i="1"/>
  <c r="Y1289" i="1"/>
  <c r="Z1289" i="1" a="1"/>
  <c r="Z1289" i="1" s="1"/>
  <c r="AA1289" i="1"/>
  <c r="AB1289" i="1"/>
  <c r="AC1289" i="1"/>
  <c r="Y1290" i="1"/>
  <c r="Z1290" i="1" a="1"/>
  <c r="Z1290" i="1" s="1"/>
  <c r="AA1290" i="1"/>
  <c r="AB1290" i="1"/>
  <c r="AC1290" i="1"/>
  <c r="Y1291" i="1"/>
  <c r="Z1291" i="1" a="1"/>
  <c r="Z1291" i="1" s="1"/>
  <c r="AA1291" i="1"/>
  <c r="AB1291" i="1"/>
  <c r="AC1291" i="1"/>
  <c r="Y1292" i="1"/>
  <c r="Z1292" i="1" a="1"/>
  <c r="Z1292" i="1" s="1"/>
  <c r="AA1292" i="1"/>
  <c r="AB1292" i="1"/>
  <c r="AC1292" i="1"/>
  <c r="Y1293" i="1"/>
  <c r="Z1293" i="1" a="1"/>
  <c r="Z1293" i="1" s="1"/>
  <c r="AA1293" i="1"/>
  <c r="AB1293" i="1"/>
  <c r="AC1293" i="1" s="1"/>
  <c r="Y1294" i="1"/>
  <c r="Z1294" i="1" a="1"/>
  <c r="Z1294" i="1" s="1"/>
  <c r="AA1294" i="1"/>
  <c r="AB1294" i="1"/>
  <c r="AC1294" i="1" s="1"/>
  <c r="Y1295" i="1"/>
  <c r="Z1295" i="1" a="1"/>
  <c r="Z1295" i="1" s="1"/>
  <c r="AA1295" i="1"/>
  <c r="AB1295" i="1"/>
  <c r="AC1295" i="1" s="1"/>
  <c r="Y1296" i="1"/>
  <c r="Z1296" i="1" a="1"/>
  <c r="Z1296" i="1" s="1"/>
  <c r="AA1296" i="1"/>
  <c r="AB1296" i="1"/>
  <c r="AC1296" i="1"/>
  <c r="Y1297" i="1"/>
  <c r="Z1297" i="1" a="1"/>
  <c r="Z1297" i="1" s="1"/>
  <c r="AA1297" i="1"/>
  <c r="AB1297" i="1"/>
  <c r="AC1297" i="1"/>
  <c r="Y1298" i="1"/>
  <c r="Z1298" i="1" a="1"/>
  <c r="Z1298" i="1" s="1"/>
  <c r="AA1298" i="1"/>
  <c r="AB1298" i="1"/>
  <c r="AC1298" i="1"/>
  <c r="Y1299" i="1"/>
  <c r="Z1299" i="1" a="1"/>
  <c r="Z1299" i="1" s="1"/>
  <c r="AA1299" i="1"/>
  <c r="AB1299" i="1"/>
  <c r="AC1299" i="1"/>
  <c r="Y1300" i="1"/>
  <c r="Z1300" i="1" a="1"/>
  <c r="Z1300" i="1" s="1"/>
  <c r="AA1300" i="1"/>
  <c r="AB1300" i="1"/>
  <c r="AC1300" i="1"/>
  <c r="Y1301" i="1"/>
  <c r="Z1301" i="1" a="1"/>
  <c r="Z1301" i="1" s="1"/>
  <c r="AA1301" i="1"/>
  <c r="AB1301" i="1"/>
  <c r="AC1301" i="1" s="1"/>
  <c r="Y1302" i="1"/>
  <c r="Z1302" i="1" a="1"/>
  <c r="Z1302" i="1" s="1"/>
  <c r="AA1302" i="1"/>
  <c r="AB1302" i="1"/>
  <c r="AC1302" i="1" s="1"/>
  <c r="Y1303" i="1"/>
  <c r="Z1303" i="1" a="1"/>
  <c r="Z1303" i="1" s="1"/>
  <c r="AA1303" i="1"/>
  <c r="AB1303" i="1"/>
  <c r="AC1303" i="1" s="1"/>
  <c r="Y1304" i="1"/>
  <c r="Z1304" i="1" a="1"/>
  <c r="Z1304" i="1" s="1"/>
  <c r="AA1304" i="1"/>
  <c r="AB1304" i="1"/>
  <c r="AC1304" i="1"/>
  <c r="Y1305" i="1"/>
  <c r="Z1305" i="1" a="1"/>
  <c r="Z1305" i="1" s="1"/>
  <c r="AA1305" i="1"/>
  <c r="AB1305" i="1"/>
  <c r="AC1305" i="1"/>
  <c r="Y1306" i="1"/>
  <c r="Z1306" i="1" a="1"/>
  <c r="Z1306" i="1" s="1"/>
  <c r="AA1306" i="1"/>
  <c r="AB1306" i="1"/>
  <c r="AC1306" i="1"/>
  <c r="Y1307" i="1"/>
  <c r="Z1307" i="1" a="1"/>
  <c r="Z1307" i="1" s="1"/>
  <c r="AA1307" i="1"/>
  <c r="AB1307" i="1"/>
  <c r="AC1307" i="1"/>
  <c r="Y1308" i="1"/>
  <c r="Z1308" i="1" a="1"/>
  <c r="Z1308" i="1" s="1"/>
  <c r="AA1308" i="1"/>
  <c r="AB1308" i="1"/>
  <c r="AC1308" i="1"/>
  <c r="Y1309" i="1"/>
  <c r="Z1309" i="1" a="1"/>
  <c r="Z1309" i="1" s="1"/>
  <c r="AA1309" i="1"/>
  <c r="AB1309" i="1"/>
  <c r="AC1309" i="1" s="1"/>
  <c r="Y1310" i="1"/>
  <c r="Z1310" i="1" a="1"/>
  <c r="Z1310" i="1" s="1"/>
  <c r="AA1310" i="1"/>
  <c r="AB1310" i="1"/>
  <c r="AC1310" i="1" s="1"/>
  <c r="Y1311" i="1"/>
  <c r="Z1311" i="1" a="1"/>
  <c r="Z1311" i="1" s="1"/>
  <c r="AA1311" i="1"/>
  <c r="AB1311" i="1"/>
  <c r="AC1311" i="1" s="1"/>
  <c r="Y1312" i="1"/>
  <c r="Z1312" i="1" a="1"/>
  <c r="Z1312" i="1" s="1"/>
  <c r="AA1312" i="1"/>
  <c r="AB1312" i="1"/>
  <c r="AC1312" i="1"/>
  <c r="Y1313" i="1"/>
  <c r="Z1313" i="1" a="1"/>
  <c r="Z1313" i="1" s="1"/>
  <c r="AA1313" i="1"/>
  <c r="AB1313" i="1"/>
  <c r="AC1313" i="1"/>
  <c r="Y1314" i="1"/>
  <c r="Z1314" i="1" a="1"/>
  <c r="Z1314" i="1" s="1"/>
  <c r="AA1314" i="1"/>
  <c r="AB1314" i="1"/>
  <c r="AC1314" i="1"/>
  <c r="Y1315" i="1"/>
  <c r="Z1315" i="1" a="1"/>
  <c r="Z1315" i="1" s="1"/>
  <c r="AA1315" i="1"/>
  <c r="AB1315" i="1"/>
  <c r="AC1315" i="1"/>
  <c r="Y1316" i="1"/>
  <c r="Z1316" i="1" a="1"/>
  <c r="Z1316" i="1" s="1"/>
  <c r="AA1316" i="1"/>
  <c r="AB1316" i="1"/>
  <c r="AC1316" i="1"/>
  <c r="Y1317" i="1"/>
  <c r="Z1317" i="1" a="1"/>
  <c r="Z1317" i="1" s="1"/>
  <c r="AA1317" i="1"/>
  <c r="AB1317" i="1"/>
  <c r="AC1317" i="1" s="1"/>
  <c r="Y1318" i="1"/>
  <c r="Z1318" i="1" a="1"/>
  <c r="Z1318" i="1" s="1"/>
  <c r="AA1318" i="1"/>
  <c r="AB1318" i="1"/>
  <c r="AC1318" i="1" s="1"/>
  <c r="Y1319" i="1"/>
  <c r="Z1319" i="1" a="1"/>
  <c r="Z1319" i="1" s="1"/>
  <c r="AA1319" i="1"/>
  <c r="AB1319" i="1"/>
  <c r="AC1319" i="1" s="1"/>
  <c r="Y1320" i="1"/>
  <c r="Z1320" i="1" a="1"/>
  <c r="Z1320" i="1" s="1"/>
  <c r="AA1320" i="1"/>
  <c r="AB1320" i="1"/>
  <c r="AC1320" i="1"/>
  <c r="Y1321" i="1"/>
  <c r="Z1321" i="1" a="1"/>
  <c r="Z1321" i="1" s="1"/>
  <c r="AA1321" i="1"/>
  <c r="AB1321" i="1"/>
  <c r="AC1321" i="1"/>
  <c r="Y1322" i="1"/>
  <c r="Z1322" i="1" a="1"/>
  <c r="Z1322" i="1" s="1"/>
  <c r="AA1322" i="1"/>
  <c r="AB1322" i="1"/>
  <c r="AC1322" i="1"/>
  <c r="Y1323" i="1"/>
  <c r="Z1323" i="1" a="1"/>
  <c r="Z1323" i="1" s="1"/>
  <c r="AA1323" i="1"/>
  <c r="AB1323" i="1"/>
  <c r="AC1323" i="1"/>
  <c r="Y1324" i="1"/>
  <c r="Z1324" i="1" a="1"/>
  <c r="Z1324" i="1" s="1"/>
  <c r="AA1324" i="1"/>
  <c r="AB1324" i="1"/>
  <c r="AC1324" i="1"/>
  <c r="Y1325" i="1"/>
  <c r="Z1325" i="1" a="1"/>
  <c r="Z1325" i="1" s="1"/>
  <c r="AA1325" i="1"/>
  <c r="AB1325" i="1"/>
  <c r="AC1325" i="1" s="1"/>
  <c r="Y1326" i="1"/>
  <c r="Z1326" i="1" a="1"/>
  <c r="Z1326" i="1" s="1"/>
  <c r="AA1326" i="1"/>
  <c r="AB1326" i="1"/>
  <c r="AC1326" i="1" s="1"/>
  <c r="Y1327" i="1"/>
  <c r="Z1327" i="1" a="1"/>
  <c r="Z1327" i="1" s="1"/>
  <c r="AA1327" i="1"/>
  <c r="AB1327" i="1"/>
  <c r="AC1327" i="1" s="1"/>
  <c r="Y1328" i="1"/>
  <c r="Z1328" i="1" a="1"/>
  <c r="Z1328" i="1" s="1"/>
  <c r="AA1328" i="1"/>
  <c r="AB1328" i="1"/>
  <c r="AC1328" i="1"/>
  <c r="Y1329" i="1"/>
  <c r="Z1329" i="1" a="1"/>
  <c r="Z1329" i="1" s="1"/>
  <c r="AA1329" i="1"/>
  <c r="AB1329" i="1"/>
  <c r="AC1329" i="1"/>
  <c r="Y1330" i="1"/>
  <c r="Z1330" i="1" a="1"/>
  <c r="Z1330" i="1" s="1"/>
  <c r="AA1330" i="1"/>
  <c r="AB1330" i="1"/>
  <c r="AC1330" i="1"/>
  <c r="Y1331" i="1"/>
  <c r="Z1331" i="1" a="1"/>
  <c r="Z1331" i="1" s="1"/>
  <c r="AA1331" i="1"/>
  <c r="AB1331" i="1"/>
  <c r="AC1331" i="1"/>
  <c r="Y1332" i="1"/>
  <c r="Z1332" i="1" a="1"/>
  <c r="Z1332" i="1" s="1"/>
  <c r="AA1332" i="1"/>
  <c r="AB1332" i="1"/>
  <c r="AC1332" i="1"/>
  <c r="Y1333" i="1"/>
  <c r="Z1333" i="1" a="1"/>
  <c r="Z1333" i="1" s="1"/>
  <c r="AA1333" i="1"/>
  <c r="AB1333" i="1"/>
  <c r="AC1333" i="1" s="1"/>
  <c r="Y1334" i="1"/>
  <c r="Z1334" i="1" a="1"/>
  <c r="Z1334" i="1" s="1"/>
  <c r="AA1334" i="1"/>
  <c r="AB1334" i="1"/>
  <c r="AC1334" i="1" s="1"/>
  <c r="Y1335" i="1"/>
  <c r="Z1335" i="1" a="1"/>
  <c r="Z1335" i="1" s="1"/>
  <c r="AA1335" i="1"/>
  <c r="AB1335" i="1"/>
  <c r="AC1335" i="1" s="1"/>
  <c r="Y1336" i="1"/>
  <c r="Z1336" i="1" a="1"/>
  <c r="Z1336" i="1" s="1"/>
  <c r="AA1336" i="1"/>
  <c r="AB1336" i="1"/>
  <c r="AC1336" i="1"/>
  <c r="Y1337" i="1"/>
  <c r="Z1337" i="1" a="1"/>
  <c r="Z1337" i="1" s="1"/>
  <c r="AA1337" i="1"/>
  <c r="AB1337" i="1"/>
  <c r="AC1337" i="1"/>
  <c r="Y1338" i="1"/>
  <c r="Z1338" i="1" a="1"/>
  <c r="Z1338" i="1" s="1"/>
  <c r="AA1338" i="1"/>
  <c r="AB1338" i="1"/>
  <c r="AC1338" i="1"/>
  <c r="Y1339" i="1"/>
  <c r="Z1339" i="1" a="1"/>
  <c r="Z1339" i="1" s="1"/>
  <c r="AA1339" i="1"/>
  <c r="AB1339" i="1"/>
  <c r="AC1339" i="1"/>
  <c r="Y1340" i="1"/>
  <c r="Z1340" i="1" a="1"/>
  <c r="Z1340" i="1" s="1"/>
  <c r="AA1340" i="1"/>
  <c r="AB1340" i="1"/>
  <c r="AC1340" i="1"/>
  <c r="Y1341" i="1"/>
  <c r="Z1341" i="1" a="1"/>
  <c r="Z1341" i="1" s="1"/>
  <c r="AA1341" i="1"/>
  <c r="AB1341" i="1"/>
  <c r="AC1341" i="1" s="1"/>
  <c r="Y1342" i="1"/>
  <c r="Z1342" i="1" a="1"/>
  <c r="Z1342" i="1"/>
  <c r="AA1342" i="1"/>
  <c r="AB1342" i="1"/>
  <c r="AC1342" i="1" s="1"/>
  <c r="Y1343" i="1"/>
  <c r="Z1343" i="1" a="1"/>
  <c r="Z1343" i="1" s="1"/>
  <c r="AA1343" i="1"/>
  <c r="AB1343" i="1"/>
  <c r="AC1343" i="1" s="1"/>
  <c r="Y1344" i="1"/>
  <c r="Z1344" i="1" a="1"/>
  <c r="Z1344" i="1" s="1"/>
  <c r="AA1344" i="1"/>
  <c r="AB1344" i="1"/>
  <c r="AC1344" i="1"/>
  <c r="Y1345" i="1"/>
  <c r="Z1345" i="1" a="1"/>
  <c r="Z1345" i="1" s="1"/>
  <c r="AA1345" i="1"/>
  <c r="AB1345" i="1"/>
  <c r="AC1345" i="1"/>
  <c r="Y1346" i="1"/>
  <c r="Z1346" i="1" a="1"/>
  <c r="Z1346" i="1" s="1"/>
  <c r="AA1346" i="1"/>
  <c r="AB1346" i="1"/>
  <c r="AC1346" i="1"/>
  <c r="Y1347" i="1"/>
  <c r="Z1347" i="1" a="1"/>
  <c r="Z1347" i="1" s="1"/>
  <c r="AA1347" i="1"/>
  <c r="AB1347" i="1"/>
  <c r="AC1347" i="1"/>
  <c r="Y1348" i="1"/>
  <c r="Z1348" i="1" a="1"/>
  <c r="Z1348" i="1" s="1"/>
  <c r="AA1348" i="1"/>
  <c r="AB1348" i="1"/>
  <c r="AC1348" i="1"/>
  <c r="Y1349" i="1"/>
  <c r="Z1349" i="1" a="1"/>
  <c r="Z1349" i="1" s="1"/>
  <c r="AA1349" i="1"/>
  <c r="AB1349" i="1"/>
  <c r="AC1349" i="1" s="1"/>
  <c r="Y1350" i="1"/>
  <c r="Z1350" i="1" a="1"/>
  <c r="Z1350" i="1" s="1"/>
  <c r="AA1350" i="1"/>
  <c r="AB1350" i="1"/>
  <c r="AC1350" i="1" s="1"/>
  <c r="Y1351" i="1"/>
  <c r="Z1351" i="1" a="1"/>
  <c r="Z1351" i="1" s="1"/>
  <c r="AA1351" i="1"/>
  <c r="AB1351" i="1"/>
  <c r="AC1351" i="1" s="1"/>
  <c r="Y1352" i="1"/>
  <c r="Z1352" i="1" a="1"/>
  <c r="Z1352" i="1" s="1"/>
  <c r="AA1352" i="1"/>
  <c r="AB1352" i="1"/>
  <c r="AC1352" i="1"/>
  <c r="Y1353" i="1"/>
  <c r="Z1353" i="1" a="1"/>
  <c r="Z1353" i="1" s="1"/>
  <c r="AA1353" i="1"/>
  <c r="AB1353" i="1"/>
  <c r="AC1353" i="1"/>
  <c r="Y1354" i="1"/>
  <c r="Z1354" i="1" a="1"/>
  <c r="Z1354" i="1" s="1"/>
  <c r="AA1354" i="1"/>
  <c r="AB1354" i="1"/>
  <c r="AC1354" i="1"/>
  <c r="Y1355" i="1"/>
  <c r="Z1355" i="1" a="1"/>
  <c r="Z1355" i="1" s="1"/>
  <c r="AA1355" i="1"/>
  <c r="AB1355" i="1"/>
  <c r="AC1355" i="1"/>
  <c r="Y1356" i="1"/>
  <c r="Z1356" i="1" a="1"/>
  <c r="Z1356" i="1" s="1"/>
  <c r="AA1356" i="1"/>
  <c r="AB1356" i="1"/>
  <c r="AC1356" i="1"/>
  <c r="Y1357" i="1"/>
  <c r="Z1357" i="1" a="1"/>
  <c r="Z1357" i="1" s="1"/>
  <c r="AA1357" i="1"/>
  <c r="AB1357" i="1"/>
  <c r="AC1357" i="1" s="1"/>
  <c r="Y1358" i="1"/>
  <c r="Z1358" i="1" a="1"/>
  <c r="Z1358" i="1" s="1"/>
  <c r="AA1358" i="1"/>
  <c r="AB1358" i="1"/>
  <c r="AC1358" i="1" s="1"/>
  <c r="Y1359" i="1"/>
  <c r="Z1359" i="1" a="1"/>
  <c r="Z1359" i="1"/>
  <c r="AA1359" i="1"/>
  <c r="AB1359" i="1"/>
  <c r="AC1359" i="1" s="1"/>
  <c r="Y1360" i="1"/>
  <c r="Z1360" i="1" a="1"/>
  <c r="Z1360" i="1" s="1"/>
  <c r="AA1360" i="1"/>
  <c r="AB1360" i="1"/>
  <c r="AC1360" i="1"/>
  <c r="Y1361" i="1"/>
  <c r="Z1361" i="1" a="1"/>
  <c r="Z1361" i="1" s="1"/>
  <c r="AA1361" i="1"/>
  <c r="AB1361" i="1"/>
  <c r="AC1361" i="1"/>
  <c r="Y1362" i="1"/>
  <c r="Z1362" i="1" a="1"/>
  <c r="Z1362" i="1" s="1"/>
  <c r="AA1362" i="1"/>
  <c r="AB1362" i="1"/>
  <c r="AC1362" i="1"/>
  <c r="Y1363" i="1"/>
  <c r="Z1363" i="1" a="1"/>
  <c r="Z1363" i="1" s="1"/>
  <c r="AA1363" i="1"/>
  <c r="AB1363" i="1"/>
  <c r="AC1363" i="1"/>
  <c r="Y1364" i="1"/>
  <c r="Z1364" i="1" a="1"/>
  <c r="Z1364" i="1" s="1"/>
  <c r="AA1364" i="1"/>
  <c r="AB1364" i="1"/>
  <c r="AC1364" i="1"/>
  <c r="Y1365" i="1"/>
  <c r="Z1365" i="1" a="1"/>
  <c r="Z1365" i="1" s="1"/>
  <c r="AA1365" i="1"/>
  <c r="AB1365" i="1"/>
  <c r="AC1365" i="1" s="1"/>
  <c r="Y1366" i="1"/>
  <c r="Z1366" i="1" a="1"/>
  <c r="Z1366" i="1" s="1"/>
  <c r="AA1366" i="1"/>
  <c r="AB1366" i="1"/>
  <c r="AC1366" i="1" s="1"/>
  <c r="Y1367" i="1"/>
  <c r="Z1367" i="1" a="1"/>
  <c r="Z1367" i="1" s="1"/>
  <c r="AA1367" i="1"/>
  <c r="AB1367" i="1"/>
  <c r="AC1367" i="1" s="1"/>
  <c r="Y1368" i="1"/>
  <c r="Z1368" i="1" a="1"/>
  <c r="Z1368" i="1" s="1"/>
  <c r="AA1368" i="1"/>
  <c r="AB1368" i="1"/>
  <c r="AC1368" i="1"/>
  <c r="Y1369" i="1"/>
  <c r="Z1369" i="1" a="1"/>
  <c r="Z1369" i="1" s="1"/>
  <c r="AA1369" i="1"/>
  <c r="AB1369" i="1"/>
  <c r="AC1369" i="1"/>
  <c r="Y1370" i="1"/>
  <c r="Z1370" i="1" a="1"/>
  <c r="Z1370" i="1" s="1"/>
  <c r="AA1370" i="1"/>
  <c r="AB1370" i="1"/>
  <c r="AC1370" i="1"/>
  <c r="Y1371" i="1"/>
  <c r="Z1371" i="1" a="1"/>
  <c r="Z1371" i="1" s="1"/>
  <c r="AA1371" i="1"/>
  <c r="AB1371" i="1"/>
  <c r="AC1371" i="1"/>
  <c r="Y1372" i="1"/>
  <c r="Z1372" i="1" a="1"/>
  <c r="Z1372" i="1" s="1"/>
  <c r="AA1372" i="1"/>
  <c r="AB1372" i="1"/>
  <c r="AC1372" i="1"/>
  <c r="Y1373" i="1"/>
  <c r="Z1373" i="1" a="1"/>
  <c r="Z1373" i="1" s="1"/>
  <c r="AA1373" i="1"/>
  <c r="AB1373" i="1"/>
  <c r="AC1373" i="1" s="1"/>
  <c r="Y1374" i="1"/>
  <c r="Z1374" i="1" a="1"/>
  <c r="Z1374" i="1" s="1"/>
  <c r="AA1374" i="1"/>
  <c r="AB1374" i="1"/>
  <c r="AC1374" i="1" s="1"/>
  <c r="Y1375" i="1"/>
  <c r="Z1375" i="1" a="1"/>
  <c r="Z1375" i="1" s="1"/>
  <c r="AA1375" i="1"/>
  <c r="AB1375" i="1"/>
  <c r="AC1375" i="1" s="1"/>
  <c r="Y1376" i="1"/>
  <c r="Z1376" i="1" a="1"/>
  <c r="Z1376" i="1" s="1"/>
  <c r="AA1376" i="1"/>
  <c r="AB1376" i="1"/>
  <c r="AC1376" i="1"/>
  <c r="Y1377" i="1"/>
  <c r="Z1377" i="1" a="1"/>
  <c r="Z1377" i="1" s="1"/>
  <c r="AA1377" i="1"/>
  <c r="AB1377" i="1"/>
  <c r="AC1377" i="1"/>
  <c r="Y1378" i="1"/>
  <c r="Z1378" i="1" a="1"/>
  <c r="Z1378" i="1" s="1"/>
  <c r="AA1378" i="1"/>
  <c r="AB1378" i="1"/>
  <c r="AC1378" i="1"/>
  <c r="Y1379" i="1"/>
  <c r="Z1379" i="1" a="1"/>
  <c r="Z1379" i="1" s="1"/>
  <c r="AA1379" i="1"/>
  <c r="AB1379" i="1"/>
  <c r="AC1379" i="1"/>
  <c r="Y1380" i="1"/>
  <c r="Z1380" i="1" a="1"/>
  <c r="Z1380" i="1" s="1"/>
  <c r="AA1380" i="1"/>
  <c r="AB1380" i="1"/>
  <c r="AC1380" i="1"/>
  <c r="Y1381" i="1"/>
  <c r="Z1381" i="1" a="1"/>
  <c r="Z1381" i="1" s="1"/>
  <c r="AA1381" i="1"/>
  <c r="AB1381" i="1"/>
  <c r="AC1381" i="1" s="1"/>
  <c r="Y1382" i="1"/>
  <c r="Z1382" i="1" a="1"/>
  <c r="Z1382" i="1" s="1"/>
  <c r="AA1382" i="1"/>
  <c r="AB1382" i="1"/>
  <c r="AC1382" i="1" s="1"/>
  <c r="Y1383" i="1"/>
  <c r="Z1383" i="1" a="1"/>
  <c r="Z1383" i="1" s="1"/>
  <c r="AA1383" i="1"/>
  <c r="AB1383" i="1"/>
  <c r="AC1383" i="1" s="1"/>
  <c r="Y1384" i="1"/>
  <c r="Z1384" i="1" a="1"/>
  <c r="Z1384" i="1" s="1"/>
  <c r="AA1384" i="1"/>
  <c r="AB1384" i="1"/>
  <c r="AC1384" i="1"/>
  <c r="Y1385" i="1"/>
  <c r="Z1385" i="1" a="1"/>
  <c r="Z1385" i="1" s="1"/>
  <c r="AA1385" i="1"/>
  <c r="AB1385" i="1"/>
  <c r="AC1385" i="1"/>
  <c r="Y1386" i="1"/>
  <c r="Z1386" i="1" a="1"/>
  <c r="Z1386" i="1" s="1"/>
  <c r="AA1386" i="1"/>
  <c r="AB1386" i="1"/>
  <c r="AC1386" i="1"/>
  <c r="Y1387" i="1"/>
  <c r="Z1387" i="1" a="1"/>
  <c r="Z1387" i="1" s="1"/>
  <c r="AA1387" i="1"/>
  <c r="AB1387" i="1"/>
  <c r="AC1387" i="1"/>
  <c r="Y1388" i="1"/>
  <c r="Z1388" i="1" a="1"/>
  <c r="Z1388" i="1" s="1"/>
  <c r="AA1388" i="1"/>
  <c r="AB1388" i="1"/>
  <c r="AC1388" i="1"/>
  <c r="Y1389" i="1"/>
  <c r="Z1389" i="1" a="1"/>
  <c r="Z1389" i="1" s="1"/>
  <c r="AA1389" i="1"/>
  <c r="AB1389" i="1"/>
  <c r="AC1389" i="1" s="1"/>
  <c r="Y1390" i="1"/>
  <c r="Z1390" i="1" a="1"/>
  <c r="Z1390" i="1" s="1"/>
  <c r="AA1390" i="1"/>
  <c r="AB1390" i="1"/>
  <c r="AC1390" i="1" s="1"/>
  <c r="Y1391" i="1"/>
  <c r="Z1391" i="1" a="1"/>
  <c r="Z1391" i="1" s="1"/>
  <c r="AA1391" i="1"/>
  <c r="AB1391" i="1"/>
  <c r="AC1391" i="1" s="1"/>
  <c r="Y1392" i="1"/>
  <c r="Z1392" i="1" a="1"/>
  <c r="Z1392" i="1" s="1"/>
  <c r="AA1392" i="1"/>
  <c r="AB1392" i="1"/>
  <c r="AC1392" i="1"/>
  <c r="Y1393" i="1"/>
  <c r="Z1393" i="1" a="1"/>
  <c r="Z1393" i="1" s="1"/>
  <c r="AA1393" i="1"/>
  <c r="AB1393" i="1"/>
  <c r="AC1393" i="1"/>
  <c r="Y1394" i="1"/>
  <c r="Z1394" i="1" a="1"/>
  <c r="Z1394" i="1" s="1"/>
  <c r="AA1394" i="1"/>
  <c r="AB1394" i="1"/>
  <c r="AC1394" i="1"/>
  <c r="Y1395" i="1"/>
  <c r="Z1395" i="1" a="1"/>
  <c r="Z1395" i="1" s="1"/>
  <c r="AA1395" i="1"/>
  <c r="AB1395" i="1"/>
  <c r="AC1395" i="1"/>
  <c r="Y1396" i="1"/>
  <c r="Z1396" i="1" a="1"/>
  <c r="Z1396" i="1" s="1"/>
  <c r="AA1396" i="1"/>
  <c r="AB1396" i="1"/>
  <c r="AC1396" i="1"/>
  <c r="Y1397" i="1"/>
  <c r="Z1397" i="1" a="1"/>
  <c r="Z1397" i="1" s="1"/>
  <c r="AA1397" i="1"/>
  <c r="AB1397" i="1"/>
  <c r="AC1397" i="1" s="1"/>
  <c r="Y1398" i="1"/>
  <c r="Z1398" i="1" a="1"/>
  <c r="Z1398" i="1" s="1"/>
  <c r="AA1398" i="1"/>
  <c r="AB1398" i="1"/>
  <c r="AC1398" i="1" s="1"/>
  <c r="Y1399" i="1"/>
  <c r="Z1399" i="1" a="1"/>
  <c r="Z1399" i="1"/>
  <c r="AA1399" i="1"/>
  <c r="AB1399" i="1"/>
  <c r="AC1399" i="1" s="1"/>
  <c r="Y1400" i="1"/>
  <c r="Z1400" i="1" a="1"/>
  <c r="Z1400" i="1" s="1"/>
  <c r="AA1400" i="1"/>
  <c r="AB1400" i="1"/>
  <c r="AC1400" i="1"/>
  <c r="Y1401" i="1"/>
  <c r="Z1401" i="1" a="1"/>
  <c r="Z1401" i="1" s="1"/>
  <c r="AA1401" i="1"/>
  <c r="AB1401" i="1"/>
  <c r="AC1401" i="1"/>
  <c r="Y1402" i="1"/>
  <c r="Z1402" i="1" a="1"/>
  <c r="Z1402" i="1" s="1"/>
  <c r="AA1402" i="1"/>
  <c r="AB1402" i="1"/>
  <c r="AC1402" i="1"/>
  <c r="Y1403" i="1"/>
  <c r="Z1403" i="1" a="1"/>
  <c r="Z1403" i="1" s="1"/>
  <c r="AA1403" i="1"/>
  <c r="AB1403" i="1"/>
  <c r="AC1403" i="1"/>
  <c r="Y1404" i="1"/>
  <c r="Z1404" i="1" a="1"/>
  <c r="Z1404" i="1" s="1"/>
  <c r="AA1404" i="1"/>
  <c r="AB1404" i="1"/>
  <c r="AC1404" i="1"/>
  <c r="Y1405" i="1"/>
  <c r="Z1405" i="1" a="1"/>
  <c r="Z1405" i="1" s="1"/>
  <c r="AA1405" i="1"/>
  <c r="AB1405" i="1"/>
  <c r="AC1405" i="1" s="1"/>
  <c r="Y1406" i="1"/>
  <c r="Z1406" i="1" a="1"/>
  <c r="Z1406" i="1" s="1"/>
  <c r="AA1406" i="1"/>
  <c r="AB1406" i="1"/>
  <c r="AC1406" i="1" s="1"/>
  <c r="Y1407" i="1"/>
  <c r="Z1407" i="1" a="1"/>
  <c r="Z1407" i="1" s="1"/>
  <c r="AA1407" i="1"/>
  <c r="AB1407" i="1"/>
  <c r="AC1407" i="1" s="1"/>
  <c r="Y1408" i="1"/>
  <c r="Z1408" i="1" a="1"/>
  <c r="Z1408" i="1" s="1"/>
  <c r="AA1408" i="1"/>
  <c r="AB1408" i="1"/>
  <c r="AC1408" i="1"/>
  <c r="Y1409" i="1"/>
  <c r="Z1409" i="1" a="1"/>
  <c r="Z1409" i="1" s="1"/>
  <c r="AA1409" i="1"/>
  <c r="AB1409" i="1"/>
  <c r="AC1409" i="1"/>
  <c r="Y1410" i="1"/>
  <c r="Z1410" i="1" a="1"/>
  <c r="Z1410" i="1" s="1"/>
  <c r="AA1410" i="1"/>
  <c r="AB1410" i="1"/>
  <c r="AC1410" i="1"/>
  <c r="Y1411" i="1"/>
  <c r="Z1411" i="1" a="1"/>
  <c r="Z1411" i="1" s="1"/>
  <c r="AA1411" i="1"/>
  <c r="AB1411" i="1"/>
  <c r="AC1411" i="1"/>
  <c r="Y1412" i="1"/>
  <c r="Z1412" i="1" a="1"/>
  <c r="Z1412" i="1" s="1"/>
  <c r="AA1412" i="1"/>
  <c r="AB1412" i="1"/>
  <c r="AC1412" i="1"/>
  <c r="Y1413" i="1"/>
  <c r="Z1413" i="1" a="1"/>
  <c r="Z1413" i="1" s="1"/>
  <c r="AA1413" i="1"/>
  <c r="AB1413" i="1"/>
  <c r="AC1413" i="1" s="1"/>
  <c r="Y1414" i="1"/>
  <c r="Z1414" i="1" a="1"/>
  <c r="Z1414" i="1" s="1"/>
  <c r="AA1414" i="1"/>
  <c r="AB1414" i="1"/>
  <c r="AC1414" i="1" s="1"/>
  <c r="Y1415" i="1"/>
  <c r="Z1415" i="1" a="1"/>
  <c r="Z1415" i="1" s="1"/>
  <c r="AA1415" i="1"/>
  <c r="AB1415" i="1"/>
  <c r="AC1415" i="1" s="1"/>
  <c r="Y1416" i="1"/>
  <c r="Z1416" i="1" a="1"/>
  <c r="Z1416" i="1" s="1"/>
  <c r="AA1416" i="1"/>
  <c r="AB1416" i="1"/>
  <c r="AC1416" i="1"/>
  <c r="Y1417" i="1"/>
  <c r="Z1417" i="1" a="1"/>
  <c r="Z1417" i="1" s="1"/>
  <c r="AA1417" i="1"/>
  <c r="AB1417" i="1"/>
  <c r="AC1417" i="1"/>
  <c r="Y1418" i="1"/>
  <c r="Z1418" i="1" a="1"/>
  <c r="Z1418" i="1" s="1"/>
  <c r="AA1418" i="1"/>
  <c r="AB1418" i="1"/>
  <c r="AC1418" i="1"/>
  <c r="Y1419" i="1"/>
  <c r="Z1419" i="1" a="1"/>
  <c r="Z1419" i="1" s="1"/>
  <c r="AA1419" i="1"/>
  <c r="AB1419" i="1"/>
  <c r="AC1419" i="1"/>
  <c r="Y1420" i="1"/>
  <c r="Z1420" i="1" a="1"/>
  <c r="Z1420" i="1" s="1"/>
  <c r="AA1420" i="1"/>
  <c r="AB1420" i="1"/>
  <c r="AC1420" i="1"/>
  <c r="Y1421" i="1"/>
  <c r="Z1421" i="1" a="1"/>
  <c r="Z1421" i="1" s="1"/>
  <c r="AA1421" i="1"/>
  <c r="AB1421" i="1"/>
  <c r="AC1421" i="1" s="1"/>
  <c r="Y1422" i="1"/>
  <c r="Z1422" i="1" a="1"/>
  <c r="Z1422" i="1" s="1"/>
  <c r="AA1422" i="1"/>
  <c r="AB1422" i="1"/>
  <c r="AC1422" i="1" s="1"/>
  <c r="Y1423" i="1"/>
  <c r="Z1423" i="1" a="1"/>
  <c r="Z1423" i="1" s="1"/>
  <c r="AA1423" i="1"/>
  <c r="AB1423" i="1"/>
  <c r="AC1423" i="1" s="1"/>
  <c r="Y1424" i="1"/>
  <c r="Z1424" i="1" a="1"/>
  <c r="Z1424" i="1" s="1"/>
  <c r="AA1424" i="1"/>
  <c r="AB1424" i="1"/>
  <c r="AC1424" i="1"/>
  <c r="Y1425" i="1"/>
  <c r="Z1425" i="1" a="1"/>
  <c r="Z1425" i="1" s="1"/>
  <c r="AA1425" i="1"/>
  <c r="AB1425" i="1"/>
  <c r="AC1425" i="1"/>
  <c r="Y1426" i="1"/>
  <c r="Z1426" i="1" a="1"/>
  <c r="Z1426" i="1" s="1"/>
  <c r="AA1426" i="1"/>
  <c r="AB1426" i="1"/>
  <c r="AC1426" i="1"/>
  <c r="Y1427" i="1"/>
  <c r="Z1427" i="1" a="1"/>
  <c r="Z1427" i="1" s="1"/>
  <c r="AA1427" i="1"/>
  <c r="AB1427" i="1"/>
  <c r="AC1427" i="1"/>
  <c r="Y1428" i="1"/>
  <c r="Z1428" i="1" a="1"/>
  <c r="Z1428" i="1" s="1"/>
  <c r="AA1428" i="1"/>
  <c r="AB1428" i="1"/>
  <c r="AC1428" i="1"/>
  <c r="Y1429" i="1"/>
  <c r="Z1429" i="1" a="1"/>
  <c r="Z1429" i="1" s="1"/>
  <c r="AA1429" i="1"/>
  <c r="AB1429" i="1"/>
  <c r="AC1429" i="1" s="1"/>
  <c r="Y1430" i="1"/>
  <c r="Z1430" i="1" a="1"/>
  <c r="Z1430" i="1"/>
  <c r="AA1430" i="1"/>
  <c r="AB1430" i="1"/>
  <c r="AC1430" i="1" s="1"/>
  <c r="Y1431" i="1"/>
  <c r="Z1431" i="1" a="1"/>
  <c r="Z1431" i="1" s="1"/>
  <c r="AA1431" i="1"/>
  <c r="AB1431" i="1"/>
  <c r="AC1431" i="1" s="1"/>
  <c r="Y1432" i="1"/>
  <c r="Z1432" i="1" a="1"/>
  <c r="Z1432" i="1" s="1"/>
  <c r="AA1432" i="1"/>
  <c r="AB1432" i="1"/>
  <c r="AC1432" i="1"/>
  <c r="Y1433" i="1"/>
  <c r="Z1433" i="1" a="1"/>
  <c r="Z1433" i="1" s="1"/>
  <c r="AA1433" i="1"/>
  <c r="AB1433" i="1"/>
  <c r="AC1433" i="1"/>
  <c r="Y1434" i="1"/>
  <c r="Z1434" i="1" a="1"/>
  <c r="Z1434" i="1" s="1"/>
  <c r="AA1434" i="1"/>
  <c r="AB1434" i="1"/>
  <c r="AC1434" i="1"/>
  <c r="Y1435" i="1"/>
  <c r="Z1435" i="1" a="1"/>
  <c r="Z1435" i="1" s="1"/>
  <c r="AA1435" i="1"/>
  <c r="AB1435" i="1"/>
  <c r="AC1435" i="1"/>
  <c r="Y1436" i="1"/>
  <c r="Z1436" i="1" a="1"/>
  <c r="Z1436" i="1" s="1"/>
  <c r="AA1436" i="1"/>
  <c r="AB1436" i="1"/>
  <c r="AC1436" i="1"/>
  <c r="Y1437" i="1"/>
  <c r="Z1437" i="1" a="1"/>
  <c r="Z1437" i="1" s="1"/>
  <c r="AA1437" i="1"/>
  <c r="AB1437" i="1"/>
  <c r="AC1437" i="1" s="1"/>
  <c r="Y1438" i="1"/>
  <c r="Z1438" i="1" a="1"/>
  <c r="Z1438" i="1" s="1"/>
  <c r="AA1438" i="1"/>
  <c r="AB1438" i="1"/>
  <c r="AC1438" i="1" s="1"/>
  <c r="Y1439" i="1"/>
  <c r="Z1439" i="1" a="1"/>
  <c r="Z1439" i="1" s="1"/>
  <c r="AA1439" i="1"/>
  <c r="AB1439" i="1"/>
  <c r="AC1439" i="1" s="1"/>
  <c r="Y1440" i="1"/>
  <c r="Z1440" i="1" a="1"/>
  <c r="Z1440" i="1" s="1"/>
  <c r="AA1440" i="1"/>
  <c r="AB1440" i="1"/>
  <c r="AC1440" i="1"/>
  <c r="Y1441" i="1"/>
  <c r="Z1441" i="1" a="1"/>
  <c r="Z1441" i="1" s="1"/>
  <c r="AA1441" i="1"/>
  <c r="AB1441" i="1"/>
  <c r="AC1441" i="1"/>
  <c r="Y1442" i="1"/>
  <c r="Z1442" i="1" a="1"/>
  <c r="Z1442" i="1" s="1"/>
  <c r="AA1442" i="1"/>
  <c r="AB1442" i="1"/>
  <c r="AC1442" i="1"/>
  <c r="Y1443" i="1"/>
  <c r="Z1443" i="1" a="1"/>
  <c r="Z1443" i="1" s="1"/>
  <c r="AA1443" i="1"/>
  <c r="AB1443" i="1"/>
  <c r="AC1443" i="1"/>
  <c r="Y1444" i="1"/>
  <c r="Z1444" i="1" a="1"/>
  <c r="Z1444" i="1" s="1"/>
  <c r="AA1444" i="1"/>
  <c r="AB1444" i="1"/>
  <c r="AC1444" i="1"/>
  <c r="Y1445" i="1"/>
  <c r="Z1445" i="1" a="1"/>
  <c r="Z1445" i="1" s="1"/>
  <c r="AA1445" i="1"/>
  <c r="AB1445" i="1"/>
  <c r="AC1445" i="1" s="1"/>
  <c r="Y1446" i="1"/>
  <c r="Z1446" i="1" a="1"/>
  <c r="Z1446" i="1" s="1"/>
  <c r="AA1446" i="1"/>
  <c r="AB1446" i="1"/>
  <c r="AC1446" i="1" s="1"/>
  <c r="Y1447" i="1"/>
  <c r="Z1447" i="1" a="1"/>
  <c r="Z1447" i="1" s="1"/>
  <c r="AA1447" i="1"/>
  <c r="AB1447" i="1"/>
  <c r="AC1447" i="1" s="1"/>
  <c r="Y1448" i="1"/>
  <c r="Z1448" i="1" a="1"/>
  <c r="Z1448" i="1" s="1"/>
  <c r="AA1448" i="1"/>
  <c r="AB1448" i="1"/>
  <c r="AC1448" i="1"/>
  <c r="Y1449" i="1"/>
  <c r="Z1449" i="1" a="1"/>
  <c r="Z1449" i="1" s="1"/>
  <c r="AA1449" i="1"/>
  <c r="AB1449" i="1"/>
  <c r="AC1449" i="1"/>
  <c r="Y1450" i="1"/>
  <c r="Z1450" i="1" a="1"/>
  <c r="Z1450" i="1" s="1"/>
  <c r="AA1450" i="1"/>
  <c r="AB1450" i="1"/>
  <c r="AC1450" i="1"/>
  <c r="Y1451" i="1"/>
  <c r="Z1451" i="1" a="1"/>
  <c r="Z1451" i="1" s="1"/>
  <c r="AA1451" i="1"/>
  <c r="AB1451" i="1"/>
  <c r="AC1451" i="1"/>
  <c r="Y1452" i="1"/>
  <c r="Z1452" i="1" a="1"/>
  <c r="Z1452" i="1" s="1"/>
  <c r="AA1452" i="1"/>
  <c r="AB1452" i="1"/>
  <c r="AC1452" i="1"/>
  <c r="Y1453" i="1"/>
  <c r="Z1453" i="1" a="1"/>
  <c r="Z1453" i="1" s="1"/>
  <c r="AA1453" i="1"/>
  <c r="AB1453" i="1"/>
  <c r="AC1453" i="1" s="1"/>
  <c r="Y1454" i="1"/>
  <c r="Z1454" i="1" a="1"/>
  <c r="Z1454" i="1" s="1"/>
  <c r="AA1454" i="1"/>
  <c r="AB1454" i="1"/>
  <c r="AC1454" i="1" s="1"/>
  <c r="Y1455" i="1"/>
  <c r="Z1455" i="1" a="1"/>
  <c r="Z1455" i="1" s="1"/>
  <c r="AA1455" i="1"/>
  <c r="AB1455" i="1"/>
  <c r="AC1455" i="1" s="1"/>
  <c r="Y1456" i="1"/>
  <c r="Z1456" i="1" a="1"/>
  <c r="Z1456" i="1" s="1"/>
  <c r="AA1456" i="1"/>
  <c r="AB1456" i="1"/>
  <c r="AC1456" i="1"/>
  <c r="Y1457" i="1"/>
  <c r="Z1457" i="1" a="1"/>
  <c r="Z1457" i="1" s="1"/>
  <c r="AA1457" i="1"/>
  <c r="AB1457" i="1"/>
  <c r="AC1457" i="1"/>
  <c r="Y1458" i="1"/>
  <c r="Z1458" i="1" a="1"/>
  <c r="Z1458" i="1" s="1"/>
  <c r="AA1458" i="1"/>
  <c r="AB1458" i="1"/>
  <c r="AC1458" i="1"/>
  <c r="Y1459" i="1"/>
  <c r="Z1459" i="1" a="1"/>
  <c r="Z1459" i="1" s="1"/>
  <c r="AA1459" i="1"/>
  <c r="AB1459" i="1"/>
  <c r="AC1459" i="1"/>
  <c r="Y1460" i="1"/>
  <c r="Z1460" i="1" a="1"/>
  <c r="Z1460" i="1" s="1"/>
  <c r="AA1460" i="1"/>
  <c r="AB1460" i="1"/>
  <c r="AC1460" i="1"/>
  <c r="Y1461" i="1"/>
  <c r="Z1461" i="1" a="1"/>
  <c r="Z1461" i="1" s="1"/>
  <c r="AA1461" i="1"/>
  <c r="AB1461" i="1"/>
  <c r="AC1461" i="1" s="1"/>
  <c r="Y1462" i="1"/>
  <c r="Z1462" i="1" a="1"/>
  <c r="Z1462" i="1" s="1"/>
  <c r="AA1462" i="1"/>
  <c r="AB1462" i="1"/>
  <c r="AC1462" i="1" s="1"/>
  <c r="Y1463" i="1"/>
  <c r="Z1463" i="1" a="1"/>
  <c r="Z1463" i="1" s="1"/>
  <c r="AA1463" i="1"/>
  <c r="AB1463" i="1"/>
  <c r="AC1463" i="1" s="1"/>
  <c r="Y1464" i="1"/>
  <c r="Z1464" i="1" a="1"/>
  <c r="Z1464" i="1" s="1"/>
  <c r="AA1464" i="1"/>
  <c r="AB1464" i="1"/>
  <c r="AC1464" i="1"/>
  <c r="Y1465" i="1"/>
  <c r="Z1465" i="1" a="1"/>
  <c r="Z1465" i="1" s="1"/>
  <c r="AA1465" i="1"/>
  <c r="AB1465" i="1"/>
  <c r="AC1465" i="1"/>
  <c r="Y1466" i="1"/>
  <c r="Z1466" i="1" a="1"/>
  <c r="Z1466" i="1" s="1"/>
  <c r="AA1466" i="1"/>
  <c r="AB1466" i="1"/>
  <c r="AC1466" i="1"/>
  <c r="Y1467" i="1"/>
  <c r="Z1467" i="1" a="1"/>
  <c r="Z1467" i="1" s="1"/>
  <c r="AA1467" i="1"/>
  <c r="AB1467" i="1"/>
  <c r="AC1467" i="1"/>
  <c r="Y1468" i="1"/>
  <c r="Z1468" i="1" a="1"/>
  <c r="Z1468" i="1" s="1"/>
  <c r="AA1468" i="1"/>
  <c r="AB1468" i="1"/>
  <c r="AC1468" i="1"/>
  <c r="Y1469" i="1"/>
  <c r="Z1469" i="1" a="1"/>
  <c r="Z1469" i="1" s="1"/>
  <c r="AA1469" i="1"/>
  <c r="AB1469" i="1"/>
  <c r="AC1469" i="1" s="1"/>
  <c r="Y1470" i="1"/>
  <c r="Z1470" i="1" a="1"/>
  <c r="Z1470" i="1"/>
  <c r="AA1470" i="1"/>
  <c r="AB1470" i="1"/>
  <c r="AC1470" i="1" s="1"/>
  <c r="Y1471" i="1"/>
  <c r="Z1471" i="1" a="1"/>
  <c r="Z1471" i="1" s="1"/>
  <c r="AA1471" i="1"/>
  <c r="AB1471" i="1"/>
  <c r="AC1471" i="1" s="1"/>
  <c r="Y1472" i="1"/>
  <c r="Z1472" i="1" a="1"/>
  <c r="Z1472" i="1" s="1"/>
  <c r="AA1472" i="1"/>
  <c r="AB1472" i="1"/>
  <c r="AC1472" i="1"/>
  <c r="Y1473" i="1"/>
  <c r="Z1473" i="1" a="1"/>
  <c r="Z1473" i="1" s="1"/>
  <c r="AA1473" i="1"/>
  <c r="AB1473" i="1"/>
  <c r="AC1473" i="1"/>
  <c r="Y1474" i="1"/>
  <c r="Z1474" i="1" a="1"/>
  <c r="Z1474" i="1" s="1"/>
  <c r="AA1474" i="1"/>
  <c r="AB1474" i="1"/>
  <c r="AC1474" i="1"/>
  <c r="Y1475" i="1"/>
  <c r="Z1475" i="1" a="1"/>
  <c r="Z1475" i="1" s="1"/>
  <c r="AA1475" i="1"/>
  <c r="AB1475" i="1"/>
  <c r="AC1475" i="1"/>
  <c r="Y1476" i="1"/>
  <c r="Z1476" i="1" a="1"/>
  <c r="Z1476" i="1" s="1"/>
  <c r="AA1476" i="1"/>
  <c r="AB1476" i="1"/>
  <c r="AC1476" i="1"/>
  <c r="Y1477" i="1"/>
  <c r="Z1477" i="1" a="1"/>
  <c r="Z1477" i="1" s="1"/>
  <c r="AA1477" i="1"/>
  <c r="AB1477" i="1"/>
  <c r="AC1477" i="1" s="1"/>
  <c r="Y1478" i="1"/>
  <c r="Z1478" i="1" a="1"/>
  <c r="Z1478" i="1" s="1"/>
  <c r="AA1478" i="1"/>
  <c r="AB1478" i="1"/>
  <c r="AC1478" i="1" s="1"/>
  <c r="Y1479" i="1"/>
  <c r="Z1479" i="1" a="1"/>
  <c r="Z1479" i="1" s="1"/>
  <c r="AA1479" i="1"/>
  <c r="AB1479" i="1"/>
  <c r="AC1479" i="1" s="1"/>
  <c r="Y1480" i="1"/>
  <c r="Z1480" i="1" a="1"/>
  <c r="Z1480" i="1" s="1"/>
  <c r="AA1480" i="1"/>
  <c r="AB1480" i="1"/>
  <c r="AC1480" i="1" s="1"/>
  <c r="Y1481" i="1"/>
  <c r="Z1481" i="1" a="1"/>
  <c r="Z1481" i="1" s="1"/>
  <c r="AA1481" i="1"/>
  <c r="AB1481" i="1"/>
  <c r="AC1481" i="1" s="1"/>
  <c r="Y1482" i="1"/>
  <c r="Z1482" i="1" a="1"/>
  <c r="Z1482" i="1" s="1"/>
  <c r="AA1482" i="1"/>
  <c r="AB1482" i="1"/>
  <c r="AC1482" i="1" s="1"/>
  <c r="Y1483" i="1"/>
  <c r="Z1483" i="1" a="1"/>
  <c r="Z1483" i="1" s="1"/>
  <c r="AA1483" i="1"/>
  <c r="AB1483" i="1"/>
  <c r="AC1483" i="1" s="1"/>
  <c r="Y1484" i="1"/>
  <c r="Z1484" i="1" a="1"/>
  <c r="Z1484" i="1" s="1"/>
  <c r="AA1484" i="1"/>
  <c r="AB1484" i="1"/>
  <c r="AC1484" i="1" s="1"/>
  <c r="Y1485" i="1"/>
  <c r="Z1485" i="1" a="1"/>
  <c r="Z1485" i="1" s="1"/>
  <c r="AA1485" i="1"/>
  <c r="AB1485" i="1"/>
  <c r="AC1485" i="1"/>
  <c r="Y1486" i="1"/>
  <c r="Z1486" i="1" a="1"/>
  <c r="Z1486" i="1" s="1"/>
  <c r="AA1486" i="1"/>
  <c r="AB1486" i="1"/>
  <c r="AC1486" i="1"/>
  <c r="Y1487" i="1"/>
  <c r="Z1487" i="1" a="1"/>
  <c r="Z1487" i="1" s="1"/>
  <c r="AA1487" i="1"/>
  <c r="AB1487" i="1"/>
  <c r="AC1487" i="1"/>
  <c r="Y1488" i="1"/>
  <c r="Z1488" i="1" a="1"/>
  <c r="Z1488" i="1" s="1"/>
  <c r="AA1488" i="1"/>
  <c r="AB1488" i="1"/>
  <c r="AC1488" i="1"/>
  <c r="Y1489" i="1"/>
  <c r="Z1489" i="1" a="1"/>
  <c r="Z1489" i="1" s="1"/>
  <c r="AA1489" i="1"/>
  <c r="AB1489" i="1"/>
  <c r="AC1489" i="1"/>
  <c r="Y1490" i="1"/>
  <c r="Z1490" i="1" a="1"/>
  <c r="Z1490" i="1" s="1"/>
  <c r="AA1490" i="1"/>
  <c r="AB1490" i="1"/>
  <c r="AC1490" i="1"/>
  <c r="Y1491" i="1"/>
  <c r="Z1491" i="1" a="1"/>
  <c r="Z1491" i="1" s="1"/>
  <c r="AA1491" i="1"/>
  <c r="AB1491" i="1"/>
  <c r="AC1491" i="1"/>
  <c r="Y1492" i="1"/>
  <c r="Z1492" i="1" a="1"/>
  <c r="Z1492" i="1" s="1"/>
  <c r="AA1492" i="1"/>
  <c r="AB1492" i="1"/>
  <c r="AC1492" i="1"/>
  <c r="Y1493" i="1"/>
  <c r="Z1493" i="1" a="1"/>
  <c r="Z1493" i="1" s="1"/>
  <c r="AA1493" i="1"/>
  <c r="AB1493" i="1"/>
  <c r="AC1493" i="1" s="1"/>
  <c r="Y1494" i="1"/>
  <c r="Z1494" i="1" a="1"/>
  <c r="Z1494" i="1" s="1"/>
  <c r="AA1494" i="1"/>
  <c r="AB1494" i="1"/>
  <c r="AC1494" i="1" s="1"/>
  <c r="Y1495" i="1"/>
  <c r="Z1495" i="1" a="1"/>
  <c r="Z1495" i="1" s="1"/>
  <c r="AA1495" i="1"/>
  <c r="AB1495" i="1"/>
  <c r="AC1495" i="1" s="1"/>
  <c r="Y1496" i="1"/>
  <c r="Z1496" i="1" a="1"/>
  <c r="Z1496" i="1" s="1"/>
  <c r="AA1496" i="1"/>
  <c r="AB1496" i="1"/>
  <c r="AC1496" i="1"/>
  <c r="Y1497" i="1"/>
  <c r="Z1497" i="1" a="1"/>
  <c r="Z1497" i="1" s="1"/>
  <c r="AA1497" i="1"/>
  <c r="AB1497" i="1"/>
  <c r="AC1497" i="1" s="1"/>
  <c r="Y1498" i="1"/>
  <c r="Z1498" i="1" a="1"/>
  <c r="Z1498" i="1" s="1"/>
  <c r="AA1498" i="1"/>
  <c r="AB1498" i="1"/>
  <c r="AC1498" i="1" s="1"/>
  <c r="Y1499" i="1"/>
  <c r="Z1499" i="1" a="1"/>
  <c r="Z1499" i="1" s="1"/>
  <c r="AA1499" i="1"/>
  <c r="AB1499" i="1"/>
  <c r="AC1499" i="1" s="1"/>
  <c r="Y1500" i="1"/>
  <c r="Z1500" i="1" a="1"/>
  <c r="Z1500" i="1" s="1"/>
  <c r="AA1500" i="1"/>
  <c r="AB1500" i="1"/>
  <c r="AC1500" i="1" s="1"/>
  <c r="Y1501" i="1"/>
  <c r="Z1501" i="1" a="1"/>
  <c r="Z1501" i="1" s="1"/>
  <c r="AA1501" i="1"/>
  <c r="AB1501" i="1"/>
  <c r="AC1501" i="1"/>
  <c r="Y1502" i="1"/>
  <c r="Z1502" i="1" a="1"/>
  <c r="Z1502" i="1" s="1"/>
  <c r="AA1502" i="1"/>
  <c r="AB1502" i="1"/>
  <c r="AC1502" i="1"/>
  <c r="Y1503" i="1"/>
  <c r="Z1503" i="1" a="1"/>
  <c r="Z1503" i="1" s="1"/>
  <c r="AA1503" i="1"/>
  <c r="AB1503" i="1"/>
  <c r="AC1503" i="1"/>
  <c r="Y1504" i="1"/>
  <c r="Z1504" i="1" a="1"/>
  <c r="Z1504" i="1" s="1"/>
  <c r="AA1504" i="1"/>
  <c r="AB1504" i="1"/>
  <c r="AC1504" i="1"/>
  <c r="Y1505" i="1"/>
  <c r="Z1505" i="1" a="1"/>
  <c r="Z1505" i="1" s="1"/>
  <c r="AA1505" i="1"/>
  <c r="AB1505" i="1"/>
  <c r="AC1505" i="1"/>
  <c r="Y1506" i="1"/>
  <c r="Z1506" i="1" a="1"/>
  <c r="Z1506" i="1" s="1"/>
  <c r="AA1506" i="1"/>
  <c r="AB1506" i="1"/>
  <c r="AC1506" i="1"/>
  <c r="Y1507" i="1"/>
  <c r="Z1507" i="1" a="1"/>
  <c r="Z1507" i="1" s="1"/>
  <c r="AA1507" i="1"/>
  <c r="AB1507" i="1"/>
  <c r="AC1507" i="1"/>
  <c r="Y1508" i="1"/>
  <c r="Z1508" i="1" a="1"/>
  <c r="Z1508" i="1" s="1"/>
  <c r="AA1508" i="1"/>
  <c r="AB1508" i="1"/>
  <c r="AC1508" i="1"/>
  <c r="Y1509" i="1"/>
  <c r="Z1509" i="1" a="1"/>
  <c r="Z1509" i="1" s="1"/>
  <c r="AA1509" i="1"/>
  <c r="AB1509" i="1"/>
  <c r="AC1509" i="1" s="1"/>
  <c r="Y1510" i="1"/>
  <c r="Z1510" i="1" a="1"/>
  <c r="Z1510" i="1"/>
  <c r="AA1510" i="1"/>
  <c r="AB1510" i="1"/>
  <c r="AC1510" i="1" s="1"/>
  <c r="Y1511" i="1"/>
  <c r="Z1511" i="1" a="1"/>
  <c r="Z1511" i="1" s="1"/>
  <c r="AA1511" i="1"/>
  <c r="AB1511" i="1"/>
  <c r="AC1511" i="1" s="1"/>
  <c r="Y1512" i="1"/>
  <c r="Z1512" i="1" a="1"/>
  <c r="Z1512" i="1"/>
  <c r="AA1512" i="1"/>
  <c r="AB1512" i="1"/>
  <c r="AC1512" i="1"/>
  <c r="Y1513" i="1"/>
  <c r="Z1513" i="1" a="1"/>
  <c r="Z1513" i="1" s="1"/>
  <c r="AA1513" i="1"/>
  <c r="AB1513" i="1"/>
  <c r="AC1513" i="1"/>
  <c r="Y1514" i="1"/>
  <c r="Z1514" i="1" a="1"/>
  <c r="Z1514" i="1" s="1"/>
  <c r="AA1514" i="1"/>
  <c r="AB1514" i="1"/>
  <c r="AC1514" i="1"/>
  <c r="Y1515" i="1"/>
  <c r="Z1515" i="1" a="1"/>
  <c r="Z1515" i="1" s="1"/>
  <c r="AA1515" i="1"/>
  <c r="AB1515" i="1"/>
  <c r="AC1515" i="1"/>
  <c r="Y1516" i="1"/>
  <c r="Z1516" i="1" a="1"/>
  <c r="Z1516" i="1" s="1"/>
  <c r="AA1516" i="1"/>
  <c r="AB1516" i="1"/>
  <c r="AC1516" i="1" s="1"/>
  <c r="Y1517" i="1"/>
  <c r="Z1517" i="1" a="1"/>
  <c r="Z1517" i="1" s="1"/>
  <c r="AA1517" i="1"/>
  <c r="AB1517" i="1"/>
  <c r="AC1517" i="1"/>
  <c r="Y1518" i="1"/>
  <c r="Z1518" i="1" a="1"/>
  <c r="Z1518" i="1" s="1"/>
  <c r="AA1518" i="1"/>
  <c r="AB1518" i="1"/>
  <c r="AC1518" i="1"/>
  <c r="Y1519" i="1"/>
  <c r="Z1519" i="1" a="1"/>
  <c r="Z1519" i="1" s="1"/>
  <c r="AA1519" i="1"/>
  <c r="AB1519" i="1"/>
  <c r="AC1519" i="1"/>
  <c r="Y1520" i="1"/>
  <c r="Z1520" i="1" a="1"/>
  <c r="Z1520" i="1" s="1"/>
  <c r="AA1520" i="1"/>
  <c r="AB1520" i="1"/>
  <c r="AC1520" i="1"/>
  <c r="Y1521" i="1"/>
  <c r="Z1521" i="1" a="1"/>
  <c r="Z1521" i="1" s="1"/>
  <c r="AA1521" i="1"/>
  <c r="AB1521" i="1"/>
  <c r="AC1521" i="1"/>
  <c r="Y1522" i="1"/>
  <c r="Z1522" i="1" a="1"/>
  <c r="Z1522" i="1" s="1"/>
  <c r="AA1522" i="1"/>
  <c r="AB1522" i="1"/>
  <c r="AC1522" i="1"/>
  <c r="Y1523" i="1"/>
  <c r="Z1523" i="1" a="1"/>
  <c r="Z1523" i="1" s="1"/>
  <c r="AA1523" i="1"/>
  <c r="AB1523" i="1"/>
  <c r="AC1523" i="1" s="1"/>
  <c r="Y1524" i="1"/>
  <c r="Z1524" i="1" a="1"/>
  <c r="Z1524" i="1" s="1"/>
  <c r="AA1524" i="1"/>
  <c r="AB1524" i="1"/>
  <c r="AC1524" i="1" s="1"/>
  <c r="Y1525" i="1"/>
  <c r="Z1525" i="1" a="1"/>
  <c r="Z1525" i="1" s="1"/>
  <c r="AA1525" i="1"/>
  <c r="AB1525" i="1"/>
  <c r="AC1525" i="1" s="1"/>
  <c r="Y1526" i="1"/>
  <c r="Z1526" i="1" a="1"/>
  <c r="Z1526" i="1" s="1"/>
  <c r="AA1526" i="1"/>
  <c r="AB1526" i="1"/>
  <c r="AC1526" i="1" s="1"/>
  <c r="Y1527" i="1"/>
  <c r="Z1527" i="1" a="1"/>
  <c r="Z1527" i="1" s="1"/>
  <c r="AA1527" i="1"/>
  <c r="AB1527" i="1"/>
  <c r="AC1527" i="1" s="1"/>
  <c r="Y1528" i="1"/>
  <c r="Z1528" i="1" a="1"/>
  <c r="Z1528" i="1" s="1"/>
  <c r="AA1528" i="1"/>
  <c r="AB1528" i="1"/>
  <c r="AC1528" i="1" s="1"/>
  <c r="Y1529" i="1"/>
  <c r="Z1529" i="1" a="1"/>
  <c r="Z1529" i="1" s="1"/>
  <c r="AA1529" i="1"/>
  <c r="AB1529" i="1"/>
  <c r="AC1529" i="1"/>
  <c r="Y1530" i="1"/>
  <c r="Z1530" i="1" a="1"/>
  <c r="Z1530" i="1" s="1"/>
  <c r="AA1530" i="1"/>
  <c r="AB1530" i="1"/>
  <c r="AC1530" i="1" s="1"/>
  <c r="Y1531" i="1"/>
  <c r="Z1531" i="1" a="1"/>
  <c r="Z1531" i="1" s="1"/>
  <c r="AA1531" i="1"/>
  <c r="AB1531" i="1"/>
  <c r="AC1531" i="1"/>
  <c r="Y1532" i="1"/>
  <c r="Z1532" i="1" a="1"/>
  <c r="Z1532" i="1" s="1"/>
  <c r="AA1532" i="1"/>
  <c r="AB1532" i="1"/>
  <c r="AC1532" i="1"/>
  <c r="Y1533" i="1"/>
  <c r="Z1533" i="1" a="1"/>
  <c r="Z1533" i="1" s="1"/>
  <c r="AA1533" i="1"/>
  <c r="AB1533" i="1"/>
  <c r="AC1533" i="1"/>
  <c r="Y1534" i="1"/>
  <c r="Z1534" i="1" a="1"/>
  <c r="Z1534" i="1" s="1"/>
  <c r="AA1534" i="1"/>
  <c r="AB1534" i="1"/>
  <c r="AC1534" i="1"/>
  <c r="Y1535" i="1"/>
  <c r="Z1535" i="1" a="1"/>
  <c r="Z1535" i="1" s="1"/>
  <c r="AA1535" i="1"/>
  <c r="AB1535" i="1"/>
  <c r="AC1535" i="1" s="1"/>
  <c r="Y1536" i="1"/>
  <c r="Z1536" i="1" a="1"/>
  <c r="Z1536" i="1" s="1"/>
  <c r="AA1536" i="1"/>
  <c r="AB1536" i="1"/>
  <c r="AC1536" i="1"/>
  <c r="Y1537" i="1"/>
  <c r="Z1537" i="1" a="1"/>
  <c r="Z1537" i="1" s="1"/>
  <c r="AA1537" i="1"/>
  <c r="AB1537" i="1"/>
  <c r="AC1537" i="1" s="1"/>
  <c r="Y1538" i="1"/>
  <c r="Z1538" i="1" a="1"/>
  <c r="Z1538" i="1"/>
  <c r="AA1538" i="1"/>
  <c r="AB1538" i="1"/>
  <c r="AC1538" i="1" s="1"/>
  <c r="Y1539" i="1"/>
  <c r="Z1539" i="1" a="1"/>
  <c r="Z1539" i="1" s="1"/>
  <c r="AA1539" i="1"/>
  <c r="AB1539" i="1"/>
  <c r="AC1539" i="1"/>
  <c r="Y1540" i="1"/>
  <c r="Z1540" i="1" a="1"/>
  <c r="Z1540" i="1" s="1"/>
  <c r="AA1540" i="1"/>
  <c r="AB1540" i="1"/>
  <c r="AC1540" i="1"/>
  <c r="Y1541" i="1"/>
  <c r="Z1541" i="1" a="1"/>
  <c r="Z1541" i="1" s="1"/>
  <c r="AA1541" i="1"/>
  <c r="AB1541" i="1"/>
  <c r="AC1541" i="1"/>
  <c r="Y1542" i="1"/>
  <c r="Z1542" i="1" a="1"/>
  <c r="Z1542" i="1" s="1"/>
  <c r="AA1542" i="1"/>
  <c r="AB1542" i="1"/>
  <c r="AC1542" i="1"/>
  <c r="Y1543" i="1"/>
  <c r="Z1543" i="1" a="1"/>
  <c r="Z1543" i="1" s="1"/>
  <c r="AA1543" i="1"/>
  <c r="AB1543" i="1"/>
  <c r="AC1543" i="1" s="1"/>
  <c r="Y1544" i="1"/>
  <c r="Z1544" i="1" a="1"/>
  <c r="Z1544" i="1" s="1"/>
  <c r="AA1544" i="1"/>
  <c r="AB1544" i="1"/>
  <c r="AC1544" i="1" s="1"/>
  <c r="Y1545" i="1"/>
  <c r="Z1545" i="1" a="1"/>
  <c r="Z1545" i="1" s="1"/>
  <c r="AA1545" i="1"/>
  <c r="AB1545" i="1"/>
  <c r="AC1545" i="1"/>
  <c r="Y1546" i="1"/>
  <c r="Z1546" i="1" a="1"/>
  <c r="Z1546" i="1" s="1"/>
  <c r="AA1546" i="1"/>
  <c r="AB1546" i="1"/>
  <c r="AC1546" i="1" s="1"/>
  <c r="Y1547" i="1"/>
  <c r="Z1547" i="1" a="1"/>
  <c r="Z1547" i="1" s="1"/>
  <c r="AA1547" i="1"/>
  <c r="AB1547" i="1"/>
  <c r="AC1547" i="1" s="1"/>
  <c r="Y1548" i="1"/>
  <c r="Z1548" i="1" a="1"/>
  <c r="Z1548" i="1" s="1"/>
  <c r="AA1548" i="1"/>
  <c r="AB1548" i="1"/>
  <c r="AC1548" i="1" s="1"/>
  <c r="Y1549" i="1"/>
  <c r="Z1549" i="1" a="1"/>
  <c r="Z1549" i="1" s="1"/>
  <c r="AA1549" i="1"/>
  <c r="AB1549" i="1"/>
  <c r="AC1549" i="1"/>
  <c r="Y1550" i="1"/>
  <c r="Z1550" i="1" a="1"/>
  <c r="Z1550" i="1" s="1"/>
  <c r="AA1550" i="1"/>
  <c r="AB1550" i="1"/>
  <c r="AC1550" i="1" s="1"/>
  <c r="Y1551" i="1"/>
  <c r="Z1551" i="1" a="1"/>
  <c r="Z1551" i="1" s="1"/>
  <c r="AA1551" i="1"/>
  <c r="AB1551" i="1"/>
  <c r="AC1551" i="1"/>
  <c r="Y1552" i="1"/>
  <c r="Z1552" i="1" a="1"/>
  <c r="Z1552" i="1" s="1"/>
  <c r="AA1552" i="1"/>
  <c r="AB1552" i="1"/>
  <c r="AC1552" i="1"/>
  <c r="Y1553" i="1"/>
  <c r="Z1553" i="1" a="1"/>
  <c r="Z1553" i="1" s="1"/>
  <c r="AA1553" i="1"/>
  <c r="AB1553" i="1"/>
  <c r="AC1553" i="1"/>
  <c r="Y1554" i="1"/>
  <c r="Z1554" i="1" a="1"/>
  <c r="Z1554" i="1" s="1"/>
  <c r="AA1554" i="1"/>
  <c r="AB1554" i="1"/>
  <c r="AC1554" i="1" s="1"/>
  <c r="Y1555" i="1"/>
  <c r="Z1555" i="1" a="1"/>
  <c r="Z1555" i="1" s="1"/>
  <c r="AA1555" i="1"/>
  <c r="AB1555" i="1"/>
  <c r="AC1555" i="1"/>
  <c r="Y1556" i="1"/>
  <c r="Z1556" i="1" a="1"/>
  <c r="Z1556" i="1" s="1"/>
  <c r="AA1556" i="1"/>
  <c r="AB1556" i="1"/>
  <c r="AC1556" i="1" s="1"/>
  <c r="Y1557" i="1"/>
  <c r="Z1557" i="1" a="1"/>
  <c r="Z1557" i="1" s="1"/>
  <c r="AA1557" i="1"/>
  <c r="AB1557" i="1"/>
  <c r="AC1557" i="1"/>
  <c r="Y1558" i="1"/>
  <c r="Z1558" i="1" a="1"/>
  <c r="Z1558" i="1" s="1"/>
  <c r="AA1558" i="1"/>
  <c r="AB1558" i="1"/>
  <c r="AC1558" i="1"/>
  <c r="Y1559" i="1"/>
  <c r="Z1559" i="1" a="1"/>
  <c r="Z1559" i="1" s="1"/>
  <c r="AA1559" i="1"/>
  <c r="AB1559" i="1"/>
  <c r="AC1559" i="1"/>
  <c r="Y1560" i="1"/>
  <c r="Z1560" i="1" a="1"/>
  <c r="Z1560" i="1" s="1"/>
  <c r="AA1560" i="1"/>
  <c r="AB1560" i="1"/>
  <c r="AC1560" i="1" s="1"/>
  <c r="Y1561" i="1"/>
  <c r="Z1561" i="1" a="1"/>
  <c r="Z1561" i="1" s="1"/>
  <c r="AA1561" i="1"/>
  <c r="AB1561" i="1"/>
  <c r="AC1561" i="1" s="1"/>
  <c r="Y1562" i="1"/>
  <c r="Z1562" i="1" a="1"/>
  <c r="Z1562" i="1" s="1"/>
  <c r="AA1562" i="1"/>
  <c r="AB1562" i="1"/>
  <c r="AC1562" i="1"/>
  <c r="Y1563" i="1"/>
  <c r="Z1563" i="1" a="1"/>
  <c r="Z1563" i="1" s="1"/>
  <c r="AA1563" i="1"/>
  <c r="AB1563" i="1"/>
  <c r="AC1563" i="1" s="1"/>
  <c r="Y1564" i="1"/>
  <c r="Z1564" i="1" a="1"/>
  <c r="Z1564" i="1" s="1"/>
  <c r="AA1564" i="1"/>
  <c r="AB1564" i="1"/>
  <c r="AC1564" i="1"/>
  <c r="Y1565" i="1"/>
  <c r="Z1565" i="1" a="1"/>
  <c r="Z1565" i="1" s="1"/>
  <c r="AA1565" i="1"/>
  <c r="AB1565" i="1"/>
  <c r="AC1565" i="1"/>
  <c r="Y1566" i="1"/>
  <c r="Z1566" i="1" a="1"/>
  <c r="Z1566" i="1" s="1"/>
  <c r="AA1566" i="1"/>
  <c r="AB1566" i="1"/>
  <c r="AC1566" i="1" s="1"/>
  <c r="Y1567" i="1"/>
  <c r="Z1567" i="1" a="1"/>
  <c r="Z1567" i="1" s="1"/>
  <c r="AA1567" i="1"/>
  <c r="AB1567" i="1"/>
  <c r="AC1567" i="1" s="1"/>
  <c r="Y1568" i="1"/>
  <c r="Z1568" i="1" a="1"/>
  <c r="Z1568" i="1" s="1"/>
  <c r="AA1568" i="1"/>
  <c r="AB1568" i="1"/>
  <c r="AC1568" i="1" s="1"/>
  <c r="Y1569" i="1"/>
  <c r="Z1569" i="1" a="1"/>
  <c r="Z1569" i="1" s="1"/>
  <c r="AA1569" i="1"/>
  <c r="AB1569" i="1"/>
  <c r="AC1569" i="1" s="1"/>
  <c r="Y1570" i="1"/>
  <c r="Z1570" i="1" a="1"/>
  <c r="Z1570" i="1" s="1"/>
  <c r="AA1570" i="1"/>
  <c r="AB1570" i="1"/>
  <c r="AC1570" i="1" s="1"/>
  <c r="Y1571" i="1"/>
  <c r="Z1571" i="1" a="1"/>
  <c r="Z1571" i="1" s="1"/>
  <c r="AA1571" i="1"/>
  <c r="AB1571" i="1"/>
  <c r="AC1571" i="1"/>
  <c r="Y1572" i="1"/>
  <c r="Z1572" i="1" a="1"/>
  <c r="Z1572" i="1" s="1"/>
  <c r="AA1572" i="1"/>
  <c r="AB1572" i="1"/>
  <c r="AC1572" i="1"/>
  <c r="Y1573" i="1"/>
  <c r="Z1573" i="1" a="1"/>
  <c r="Z1573" i="1" s="1"/>
  <c r="AA1573" i="1"/>
  <c r="AB1573" i="1"/>
  <c r="AC1573" i="1"/>
  <c r="Y1574" i="1"/>
  <c r="Z1574" i="1" a="1"/>
  <c r="Z1574" i="1" s="1"/>
  <c r="AA1574" i="1"/>
  <c r="AB1574" i="1"/>
  <c r="AC1574" i="1"/>
  <c r="Y1575" i="1"/>
  <c r="Z1575" i="1" a="1"/>
  <c r="Z1575" i="1" s="1"/>
  <c r="AA1575" i="1"/>
  <c r="AB1575" i="1"/>
  <c r="AC1575" i="1" s="1"/>
  <c r="Y1576" i="1"/>
  <c r="Z1576" i="1" a="1"/>
  <c r="Z1576" i="1" s="1"/>
  <c r="AA1576" i="1"/>
  <c r="AB1576" i="1"/>
  <c r="AC1576" i="1" s="1"/>
  <c r="Y1577" i="1"/>
  <c r="Z1577" i="1" a="1"/>
  <c r="Z1577" i="1"/>
  <c r="AA1577" i="1"/>
  <c r="AB1577" i="1"/>
  <c r="AC1577" i="1" s="1"/>
  <c r="Y1578" i="1"/>
  <c r="Z1578" i="1" a="1"/>
  <c r="Z1578" i="1" s="1"/>
  <c r="AA1578" i="1"/>
  <c r="AB1578" i="1"/>
  <c r="AC1578" i="1" s="1"/>
  <c r="Y1579" i="1"/>
  <c r="Z1579" i="1" a="1"/>
  <c r="Z1579" i="1" s="1"/>
  <c r="AA1579" i="1"/>
  <c r="AB1579" i="1"/>
  <c r="AC1579" i="1"/>
  <c r="Y1580" i="1"/>
  <c r="Z1580" i="1" a="1"/>
  <c r="Z1580" i="1" s="1"/>
  <c r="AA1580" i="1"/>
  <c r="AB1580" i="1"/>
  <c r="AC1580" i="1" s="1"/>
  <c r="Y1581" i="1"/>
  <c r="Z1581" i="1" a="1"/>
  <c r="Z1581" i="1" s="1"/>
  <c r="AA1581" i="1"/>
  <c r="AB1581" i="1"/>
  <c r="AC1581" i="1"/>
  <c r="Y1582" i="1"/>
  <c r="Z1582" i="1" a="1"/>
  <c r="Z1582" i="1" s="1"/>
  <c r="AA1582" i="1"/>
  <c r="AB1582" i="1"/>
  <c r="AC1582" i="1" s="1"/>
  <c r="Y1583" i="1"/>
  <c r="Z1583" i="1" a="1"/>
  <c r="Z1583" i="1" s="1"/>
  <c r="AA1583" i="1"/>
  <c r="AB1583" i="1"/>
  <c r="AC1583" i="1"/>
  <c r="Y1584" i="1"/>
  <c r="Z1584" i="1" a="1"/>
  <c r="Z1584" i="1" s="1"/>
  <c r="AA1584" i="1"/>
  <c r="AB1584" i="1"/>
  <c r="AC1584" i="1"/>
  <c r="Y1585" i="1"/>
  <c r="Z1585" i="1" a="1"/>
  <c r="Z1585" i="1" s="1"/>
  <c r="AA1585" i="1"/>
  <c r="AB1585" i="1"/>
  <c r="AC1585" i="1" s="1"/>
  <c r="Y1586" i="1"/>
  <c r="Z1586" i="1" a="1"/>
  <c r="Z1586" i="1" s="1"/>
  <c r="AA1586" i="1"/>
  <c r="AB1586" i="1"/>
  <c r="AC1586" i="1" s="1"/>
  <c r="Y1587" i="1"/>
  <c r="Z1587" i="1" a="1"/>
  <c r="Z1587" i="1" s="1"/>
  <c r="AA1587" i="1"/>
  <c r="AB1587" i="1"/>
  <c r="AC1587" i="1"/>
  <c r="Y1588" i="1"/>
  <c r="Z1588" i="1" a="1"/>
  <c r="Z1588" i="1" s="1"/>
  <c r="AA1588" i="1"/>
  <c r="AB1588" i="1"/>
  <c r="AC1588" i="1"/>
  <c r="Y1589" i="1"/>
  <c r="Z1589" i="1" a="1"/>
  <c r="Z1589" i="1" s="1"/>
  <c r="AA1589" i="1"/>
  <c r="AB1589" i="1"/>
  <c r="AC1589" i="1"/>
  <c r="Y1590" i="1"/>
  <c r="Z1590" i="1" a="1"/>
  <c r="Z1590" i="1" s="1"/>
  <c r="AA1590" i="1"/>
  <c r="AB1590" i="1"/>
  <c r="AC1590" i="1"/>
  <c r="Y1591" i="1"/>
  <c r="Z1591" i="1" a="1"/>
  <c r="Z1591" i="1" s="1"/>
  <c r="AA1591" i="1"/>
  <c r="AB1591" i="1"/>
  <c r="AC1591" i="1"/>
  <c r="Y1592" i="1"/>
  <c r="Z1592" i="1" a="1"/>
  <c r="Z1592" i="1" s="1"/>
  <c r="AA1592" i="1"/>
  <c r="AB1592" i="1"/>
  <c r="AC1592" i="1"/>
  <c r="Y1593" i="1"/>
  <c r="Z1593" i="1" a="1"/>
  <c r="Z1593" i="1" s="1"/>
  <c r="AA1593" i="1"/>
  <c r="AB1593" i="1"/>
  <c r="AC1593" i="1" s="1"/>
  <c r="Y1594" i="1"/>
  <c r="Z1594" i="1" a="1"/>
  <c r="Z1594" i="1" s="1"/>
  <c r="AA1594" i="1"/>
  <c r="AB1594" i="1"/>
  <c r="AC1594" i="1" s="1"/>
  <c r="Y1595" i="1"/>
  <c r="Z1595" i="1" a="1"/>
  <c r="Z1595" i="1" s="1"/>
  <c r="AA1595" i="1"/>
  <c r="AB1595" i="1"/>
  <c r="AC1595" i="1" s="1"/>
  <c r="Y1596" i="1"/>
  <c r="Z1596" i="1" a="1"/>
  <c r="Z1596" i="1" s="1"/>
  <c r="AA1596" i="1"/>
  <c r="AB1596" i="1"/>
  <c r="AC1596" i="1"/>
  <c r="Y1597" i="1"/>
  <c r="Z1597" i="1" a="1"/>
  <c r="Z1597" i="1" s="1"/>
  <c r="AA1597" i="1"/>
  <c r="AB1597" i="1"/>
  <c r="AC1597" i="1"/>
  <c r="Y1598" i="1"/>
  <c r="Z1598" i="1" a="1"/>
  <c r="Z1598" i="1" s="1"/>
  <c r="AA1598" i="1"/>
  <c r="AB1598" i="1"/>
  <c r="AC1598" i="1"/>
  <c r="Y1599" i="1"/>
  <c r="Z1599" i="1" a="1"/>
  <c r="Z1599" i="1" s="1"/>
  <c r="AA1599" i="1"/>
  <c r="AB1599" i="1"/>
  <c r="AC1599" i="1" s="1"/>
  <c r="Y1600" i="1"/>
  <c r="Z1600" i="1" a="1"/>
  <c r="Z1600" i="1" s="1"/>
  <c r="AA1600" i="1"/>
  <c r="AB1600" i="1"/>
  <c r="AC1600" i="1" s="1"/>
  <c r="Y1601" i="1"/>
  <c r="Z1601" i="1" a="1"/>
  <c r="Z1601" i="1" s="1"/>
  <c r="AA1601" i="1"/>
  <c r="AB1601" i="1"/>
  <c r="AC1601" i="1"/>
  <c r="Y1602" i="1"/>
  <c r="Z1602" i="1" a="1"/>
  <c r="Z1602" i="1" s="1"/>
  <c r="AA1602" i="1"/>
  <c r="AB1602" i="1"/>
  <c r="AC1602" i="1"/>
  <c r="Y1603" i="1"/>
  <c r="Z1603" i="1" a="1"/>
  <c r="Z1603" i="1" s="1"/>
  <c r="AA1603" i="1"/>
  <c r="AB1603" i="1"/>
  <c r="AC1603" i="1"/>
  <c r="Y1604" i="1"/>
  <c r="Z1604" i="1" a="1"/>
  <c r="Z1604" i="1" s="1"/>
  <c r="AA1604" i="1"/>
  <c r="AB1604" i="1"/>
  <c r="AC1604" i="1"/>
  <c r="Y1605" i="1"/>
  <c r="Z1605" i="1" a="1"/>
  <c r="Z1605" i="1" s="1"/>
  <c r="AA1605" i="1"/>
  <c r="AB1605" i="1"/>
  <c r="AC1605" i="1"/>
  <c r="Y1606" i="1"/>
  <c r="Z1606" i="1" a="1"/>
  <c r="Z1606" i="1"/>
  <c r="AA1606" i="1"/>
  <c r="AB1606" i="1"/>
  <c r="AC1606" i="1" s="1"/>
  <c r="Y1607" i="1"/>
  <c r="Z1607" i="1" a="1"/>
  <c r="Z1607" i="1" s="1"/>
  <c r="AA1607" i="1"/>
  <c r="AB1607" i="1"/>
  <c r="AC1607" i="1" s="1"/>
  <c r="Y1608" i="1"/>
  <c r="Z1608" i="1" a="1"/>
  <c r="Z1608" i="1" s="1"/>
  <c r="AA1608" i="1"/>
  <c r="AB1608" i="1"/>
  <c r="AC1608" i="1" s="1"/>
  <c r="Y1609" i="1"/>
  <c r="Z1609" i="1" a="1"/>
  <c r="Z1609" i="1" s="1"/>
  <c r="AA1609" i="1"/>
  <c r="AB1609" i="1"/>
  <c r="AC1609" i="1"/>
  <c r="Y1610" i="1"/>
  <c r="Z1610" i="1" a="1"/>
  <c r="Z1610" i="1" s="1"/>
  <c r="AA1610" i="1"/>
  <c r="AB1610" i="1"/>
  <c r="AC1610" i="1"/>
  <c r="Y1611" i="1"/>
  <c r="Z1611" i="1" a="1"/>
  <c r="Z1611" i="1" s="1"/>
  <c r="AA1611" i="1"/>
  <c r="AB1611" i="1"/>
  <c r="AC1611" i="1"/>
  <c r="Y1612" i="1"/>
  <c r="Z1612" i="1" a="1"/>
  <c r="Z1612" i="1" s="1"/>
  <c r="AA1612" i="1"/>
  <c r="AB1612" i="1"/>
  <c r="AC1612" i="1"/>
  <c r="Y1613" i="1"/>
  <c r="Z1613" i="1" a="1"/>
  <c r="Z1613" i="1" s="1"/>
  <c r="AA1613" i="1"/>
  <c r="AB1613" i="1"/>
  <c r="AC1613" i="1" s="1"/>
  <c r="Y1614" i="1"/>
  <c r="Z1614" i="1" a="1"/>
  <c r="Z1614" i="1" s="1"/>
  <c r="AA1614" i="1"/>
  <c r="AB1614" i="1"/>
  <c r="AC1614" i="1"/>
  <c r="Y1615" i="1"/>
  <c r="Z1615" i="1" a="1"/>
  <c r="Z1615" i="1" s="1"/>
  <c r="AA1615" i="1"/>
  <c r="AB1615" i="1"/>
  <c r="AC1615" i="1"/>
  <c r="Y1616" i="1"/>
  <c r="Z1616" i="1" a="1"/>
  <c r="Z1616" i="1" s="1"/>
  <c r="AA1616" i="1"/>
  <c r="AB1616" i="1"/>
  <c r="AC1616" i="1" s="1"/>
  <c r="Y1617" i="1"/>
  <c r="Z1617" i="1" a="1"/>
  <c r="Z1617" i="1" s="1"/>
  <c r="AA1617" i="1"/>
  <c r="AB1617" i="1"/>
  <c r="AC1617" i="1" s="1"/>
  <c r="Y1618" i="1"/>
  <c r="Z1618" i="1" a="1"/>
  <c r="Z1618" i="1" s="1"/>
  <c r="AA1618" i="1"/>
  <c r="AB1618" i="1"/>
  <c r="AC1618" i="1"/>
  <c r="Y1619" i="1"/>
  <c r="Z1619" i="1" a="1"/>
  <c r="Z1619" i="1" s="1"/>
  <c r="AA1619" i="1"/>
  <c r="AB1619" i="1"/>
  <c r="AC1619" i="1"/>
  <c r="Y1620" i="1"/>
  <c r="Z1620" i="1" a="1"/>
  <c r="Z1620" i="1" s="1"/>
  <c r="AA1620" i="1"/>
  <c r="AB1620" i="1"/>
  <c r="AC1620" i="1"/>
  <c r="Y1621" i="1"/>
  <c r="Z1621" i="1" a="1"/>
  <c r="Z1621" i="1" s="1"/>
  <c r="AA1621" i="1"/>
  <c r="AB1621" i="1"/>
  <c r="AC1621" i="1"/>
  <c r="Y1622" i="1"/>
  <c r="Z1622" i="1" a="1"/>
  <c r="Z1622" i="1" s="1"/>
  <c r="AA1622" i="1"/>
  <c r="AB1622" i="1"/>
  <c r="AC1622" i="1" s="1"/>
  <c r="Y1623" i="1"/>
  <c r="Z1623" i="1" a="1"/>
  <c r="Z1623" i="1" s="1"/>
  <c r="AA1623" i="1"/>
  <c r="AB1623" i="1"/>
  <c r="AC1623" i="1" s="1"/>
  <c r="Y1624" i="1"/>
  <c r="Z1624" i="1" a="1"/>
  <c r="Z1624" i="1" s="1"/>
  <c r="AA1624" i="1"/>
  <c r="AB1624" i="1"/>
  <c r="AC1624" i="1"/>
  <c r="Y1625" i="1"/>
  <c r="Z1625" i="1" a="1"/>
  <c r="Z1625" i="1" s="1"/>
  <c r="AA1625" i="1"/>
  <c r="AB1625" i="1"/>
  <c r="AC1625" i="1" s="1"/>
  <c r="Y1626" i="1"/>
  <c r="Z1626" i="1" a="1"/>
  <c r="Z1626" i="1" s="1"/>
  <c r="AA1626" i="1"/>
  <c r="AB1626" i="1"/>
  <c r="AC1626" i="1"/>
  <c r="Y1627" i="1"/>
  <c r="Z1627" i="1" a="1"/>
  <c r="Z1627" i="1" s="1"/>
  <c r="AA1627" i="1"/>
  <c r="AB1627" i="1"/>
  <c r="AC1627" i="1" s="1"/>
  <c r="Y1628" i="1"/>
  <c r="Z1628" i="1" a="1"/>
  <c r="Z1628" i="1" s="1"/>
  <c r="AA1628" i="1"/>
  <c r="AB1628" i="1"/>
  <c r="AC1628" i="1"/>
  <c r="Y1629" i="1"/>
  <c r="Z1629" i="1" a="1"/>
  <c r="Z1629" i="1" s="1"/>
  <c r="AA1629" i="1"/>
  <c r="AB1629" i="1"/>
  <c r="AC1629" i="1" s="1"/>
  <c r="Y1630" i="1"/>
  <c r="Z1630" i="1" a="1"/>
  <c r="Z1630" i="1" s="1"/>
  <c r="AA1630" i="1"/>
  <c r="AB1630" i="1"/>
  <c r="AC1630" i="1" s="1"/>
  <c r="Y1631" i="1"/>
  <c r="Z1631" i="1" a="1"/>
  <c r="Z1631" i="1" s="1"/>
  <c r="AA1631" i="1"/>
  <c r="AB1631" i="1"/>
  <c r="AC1631" i="1" s="1"/>
  <c r="Y1632" i="1"/>
  <c r="Z1632" i="1" a="1"/>
  <c r="Z1632" i="1" s="1"/>
  <c r="AA1632" i="1"/>
  <c r="AB1632" i="1"/>
  <c r="AC1632" i="1" s="1"/>
  <c r="Y1633" i="1"/>
  <c r="Z1633" i="1" a="1"/>
  <c r="Z1633" i="1" s="1"/>
  <c r="AA1633" i="1"/>
  <c r="AB1633" i="1"/>
  <c r="AC1633" i="1"/>
  <c r="Y1634" i="1"/>
  <c r="Z1634" i="1" a="1"/>
  <c r="Z1634" i="1" s="1"/>
  <c r="AA1634" i="1"/>
  <c r="AB1634" i="1"/>
  <c r="AC1634" i="1"/>
  <c r="Y1635" i="1"/>
  <c r="Z1635" i="1" a="1"/>
  <c r="Z1635" i="1" s="1"/>
  <c r="AA1635" i="1"/>
  <c r="AB1635" i="1"/>
  <c r="AC1635" i="1" s="1"/>
  <c r="Y1636" i="1"/>
  <c r="Z1636" i="1" a="1"/>
  <c r="Z1636" i="1" s="1"/>
  <c r="AA1636" i="1"/>
  <c r="AB1636" i="1"/>
  <c r="AC1636" i="1" s="1"/>
  <c r="Y1637" i="1"/>
  <c r="Z1637" i="1" a="1"/>
  <c r="Z1637" i="1" s="1"/>
  <c r="AA1637" i="1"/>
  <c r="AB1637" i="1"/>
  <c r="AC1637" i="1" s="1"/>
  <c r="Y1638" i="1"/>
  <c r="Z1638" i="1" a="1"/>
  <c r="Z1638" i="1" s="1"/>
  <c r="AA1638" i="1"/>
  <c r="AB1638" i="1"/>
  <c r="AC1638" i="1" s="1"/>
  <c r="Y1639" i="1"/>
  <c r="Z1639" i="1" a="1"/>
  <c r="Z1639" i="1" s="1"/>
  <c r="AA1639" i="1"/>
  <c r="AB1639" i="1"/>
  <c r="AC1639" i="1"/>
  <c r="Y1640" i="1"/>
  <c r="Z1640" i="1" a="1"/>
  <c r="Z1640" i="1" s="1"/>
  <c r="AA1640" i="1"/>
  <c r="AB1640" i="1"/>
  <c r="AC1640" i="1"/>
  <c r="Y1641" i="1"/>
  <c r="Z1641" i="1" a="1"/>
  <c r="Z1641" i="1" s="1"/>
  <c r="AA1641" i="1"/>
  <c r="AB1641" i="1"/>
  <c r="AC1641" i="1"/>
  <c r="Y1642" i="1"/>
  <c r="Z1642" i="1" a="1"/>
  <c r="Z1642" i="1" s="1"/>
  <c r="AA1642" i="1"/>
  <c r="AB1642" i="1"/>
  <c r="AC1642" i="1"/>
  <c r="Y1643" i="1"/>
  <c r="Z1643" i="1" a="1"/>
  <c r="Z1643" i="1" s="1"/>
  <c r="AA1643" i="1"/>
  <c r="AB1643" i="1"/>
  <c r="AC1643" i="1"/>
  <c r="Y1644" i="1"/>
  <c r="Z1644" i="1" a="1"/>
  <c r="Z1644" i="1" s="1"/>
  <c r="AA1644" i="1"/>
  <c r="AB1644" i="1"/>
  <c r="AC1644" i="1" s="1"/>
  <c r="Y1645" i="1"/>
  <c r="Z1645" i="1" a="1"/>
  <c r="Z1645" i="1" s="1"/>
  <c r="AA1645" i="1"/>
  <c r="AB1645" i="1"/>
  <c r="AC1645" i="1"/>
  <c r="Y1646" i="1"/>
  <c r="Z1646" i="1" a="1"/>
  <c r="Z1646" i="1" s="1"/>
  <c r="AA1646" i="1"/>
  <c r="AB1646" i="1"/>
  <c r="AC1646" i="1" s="1"/>
  <c r="Y1647" i="1"/>
  <c r="Z1647" i="1" a="1"/>
  <c r="Z1647" i="1" s="1"/>
  <c r="AA1647" i="1"/>
  <c r="AB1647" i="1"/>
  <c r="AC1647" i="1" s="1"/>
  <c r="Y1648" i="1"/>
  <c r="Z1648" i="1" a="1"/>
  <c r="Z1648" i="1" s="1"/>
  <c r="AA1648" i="1"/>
  <c r="AB1648" i="1"/>
  <c r="AC1648" i="1" s="1"/>
  <c r="Y1649" i="1"/>
  <c r="Z1649" i="1" a="1"/>
  <c r="Z1649" i="1" s="1"/>
  <c r="AA1649" i="1"/>
  <c r="AB1649" i="1"/>
  <c r="AC1649" i="1"/>
  <c r="Y1650" i="1"/>
  <c r="Z1650" i="1" a="1"/>
  <c r="Z1650" i="1" s="1"/>
  <c r="AA1650" i="1"/>
  <c r="AB1650" i="1"/>
  <c r="AC1650" i="1"/>
  <c r="Y1651" i="1"/>
  <c r="Z1651" i="1" a="1"/>
  <c r="Z1651" i="1" s="1"/>
  <c r="AA1651" i="1"/>
  <c r="AB1651" i="1"/>
  <c r="AC1651" i="1" s="1"/>
  <c r="Y1652" i="1"/>
  <c r="Z1652" i="1" a="1"/>
  <c r="Z1652" i="1" s="1"/>
  <c r="AA1652" i="1"/>
  <c r="AB1652" i="1"/>
  <c r="AC1652" i="1"/>
  <c r="Y1653" i="1"/>
  <c r="Z1653" i="1" a="1"/>
  <c r="Z1653" i="1" s="1"/>
  <c r="AA1653" i="1"/>
  <c r="AB1653" i="1"/>
  <c r="AC1653" i="1" s="1"/>
  <c r="Y1654" i="1"/>
  <c r="Z1654" i="1" a="1"/>
  <c r="Z1654" i="1" s="1"/>
  <c r="AA1654" i="1"/>
  <c r="AB1654" i="1"/>
  <c r="AC1654" i="1"/>
  <c r="Y1655" i="1"/>
  <c r="Z1655" i="1" a="1"/>
  <c r="Z1655" i="1" s="1"/>
  <c r="AA1655" i="1"/>
  <c r="AB1655" i="1"/>
  <c r="AC1655" i="1" s="1"/>
  <c r="Y1656" i="1"/>
  <c r="Z1656" i="1" a="1"/>
  <c r="Z1656" i="1" s="1"/>
  <c r="AA1656" i="1"/>
  <c r="AB1656" i="1"/>
  <c r="AC1656" i="1" s="1"/>
  <c r="Y1657" i="1"/>
  <c r="Z1657" i="1" a="1"/>
  <c r="Z1657" i="1" s="1"/>
  <c r="AA1657" i="1"/>
  <c r="AB1657" i="1"/>
  <c r="AC1657" i="1" s="1"/>
  <c r="Y1658" i="1"/>
  <c r="Z1658" i="1" a="1"/>
  <c r="Z1658" i="1" s="1"/>
  <c r="AA1658" i="1"/>
  <c r="AB1658" i="1"/>
  <c r="AC1658" i="1"/>
  <c r="Y1659" i="1"/>
  <c r="Z1659" i="1" a="1"/>
  <c r="Z1659" i="1" s="1"/>
  <c r="AA1659" i="1"/>
  <c r="AB1659" i="1"/>
  <c r="AC1659" i="1"/>
  <c r="Y1660" i="1"/>
  <c r="Z1660" i="1" a="1"/>
  <c r="Z1660" i="1" s="1"/>
  <c r="AA1660" i="1"/>
  <c r="AB1660" i="1"/>
  <c r="AC1660" i="1" s="1"/>
  <c r="Y1661" i="1"/>
  <c r="Z1661" i="1" a="1"/>
  <c r="Z1661" i="1" s="1"/>
  <c r="AA1661" i="1"/>
  <c r="AB1661" i="1"/>
  <c r="AC1661" i="1" s="1"/>
  <c r="Y1662" i="1"/>
  <c r="Z1662" i="1" a="1"/>
  <c r="Z1662" i="1" s="1"/>
  <c r="AA1662" i="1"/>
  <c r="AB1662" i="1"/>
  <c r="AC1662" i="1" s="1"/>
  <c r="Y1663" i="1"/>
  <c r="Z1663" i="1" a="1"/>
  <c r="Z1663" i="1" s="1"/>
  <c r="AA1663" i="1"/>
  <c r="AB1663" i="1"/>
  <c r="AC1663" i="1"/>
  <c r="Y1664" i="1"/>
  <c r="Z1664" i="1" a="1"/>
  <c r="Z1664" i="1" s="1"/>
  <c r="AA1664" i="1"/>
  <c r="AB1664" i="1"/>
  <c r="AC1664" i="1"/>
  <c r="Y1665" i="1"/>
  <c r="Z1665" i="1" a="1"/>
  <c r="Z1665" i="1" s="1"/>
  <c r="AA1665" i="1"/>
  <c r="AB1665" i="1"/>
  <c r="AC1665" i="1" s="1"/>
  <c r="Y1666" i="1"/>
  <c r="Z1666" i="1" a="1"/>
  <c r="Z1666" i="1" s="1"/>
  <c r="AA1666" i="1"/>
  <c r="AB1666" i="1"/>
  <c r="AC1666" i="1"/>
  <c r="Y1667" i="1"/>
  <c r="Z1667" i="1" a="1"/>
  <c r="Z1667" i="1" s="1"/>
  <c r="AA1667" i="1"/>
  <c r="AB1667" i="1"/>
  <c r="AC1667" i="1" s="1"/>
  <c r="Y1668" i="1"/>
  <c r="Z1668" i="1" a="1"/>
  <c r="Z1668" i="1" s="1"/>
  <c r="AA1668" i="1"/>
  <c r="AB1668" i="1"/>
  <c r="AC1668" i="1"/>
  <c r="Y1669" i="1"/>
  <c r="Z1669" i="1" a="1"/>
  <c r="Z1669" i="1" s="1"/>
  <c r="AA1669" i="1"/>
  <c r="AB1669" i="1"/>
  <c r="AC1669" i="1"/>
  <c r="Y1670" i="1"/>
  <c r="Z1670" i="1" a="1"/>
  <c r="Z1670" i="1" s="1"/>
  <c r="AA1670" i="1"/>
  <c r="AB1670" i="1"/>
  <c r="AC1670" i="1"/>
  <c r="Y1671" i="1"/>
  <c r="Z1671" i="1" a="1"/>
  <c r="Z1671" i="1" s="1"/>
  <c r="AA1671" i="1"/>
  <c r="AB1671" i="1"/>
  <c r="AC1671" i="1" s="1"/>
  <c r="Y1672" i="1"/>
  <c r="Z1672" i="1" a="1"/>
  <c r="Z1672" i="1" s="1"/>
  <c r="AA1672" i="1"/>
  <c r="AB1672" i="1"/>
  <c r="AC1672" i="1"/>
  <c r="Y1673" i="1"/>
  <c r="Z1673" i="1" a="1"/>
  <c r="Z1673" i="1" s="1"/>
  <c r="AA1673" i="1"/>
  <c r="AB1673" i="1"/>
  <c r="AC1673" i="1"/>
  <c r="Y1674" i="1"/>
  <c r="Z1674" i="1" a="1"/>
  <c r="Z1674" i="1" s="1"/>
  <c r="AA1674" i="1"/>
  <c r="AB1674" i="1"/>
  <c r="AC1674" i="1"/>
  <c r="Y1675" i="1"/>
  <c r="Z1675" i="1" a="1"/>
  <c r="Z1675" i="1" s="1"/>
  <c r="AA1675" i="1"/>
  <c r="AB1675" i="1"/>
  <c r="AC1675" i="1" s="1"/>
  <c r="Y1676" i="1"/>
  <c r="Z1676" i="1" a="1"/>
  <c r="Z1676" i="1" s="1"/>
  <c r="AA1676" i="1"/>
  <c r="AB1676" i="1"/>
  <c r="AC1676" i="1" s="1"/>
  <c r="Y1677" i="1"/>
  <c r="Z1677" i="1" a="1"/>
  <c r="Z1677" i="1" s="1"/>
  <c r="AA1677" i="1"/>
  <c r="AB1677" i="1"/>
  <c r="AC1677" i="1" s="1"/>
  <c r="Y1678" i="1"/>
  <c r="Z1678" i="1" a="1"/>
  <c r="Z1678" i="1" s="1"/>
  <c r="AA1678" i="1"/>
  <c r="AB1678" i="1"/>
  <c r="AC1678" i="1" s="1"/>
  <c r="Y1679" i="1"/>
  <c r="Z1679" i="1" a="1"/>
  <c r="Z1679" i="1" s="1"/>
  <c r="AA1679" i="1"/>
  <c r="AB1679" i="1"/>
  <c r="AC1679" i="1" s="1"/>
  <c r="Y1680" i="1"/>
  <c r="Z1680" i="1" a="1"/>
  <c r="Z1680" i="1" s="1"/>
  <c r="AA1680" i="1"/>
  <c r="AB1680" i="1"/>
  <c r="AC1680" i="1"/>
  <c r="Y1681" i="1"/>
  <c r="Z1681" i="1" a="1"/>
  <c r="Z1681" i="1" s="1"/>
  <c r="AA1681" i="1"/>
  <c r="AB1681" i="1"/>
  <c r="AC1681" i="1" s="1"/>
  <c r="Y1682" i="1"/>
  <c r="Z1682" i="1" a="1"/>
  <c r="Z1682" i="1" s="1"/>
  <c r="AA1682" i="1"/>
  <c r="AB1682" i="1"/>
  <c r="AC1682" i="1"/>
  <c r="Y1683" i="1"/>
  <c r="Z1683" i="1" a="1"/>
  <c r="Z1683" i="1" s="1"/>
  <c r="AA1683" i="1"/>
  <c r="AB1683" i="1"/>
  <c r="AC1683" i="1"/>
  <c r="Y1684" i="1"/>
  <c r="Z1684" i="1" a="1"/>
  <c r="Z1684" i="1" s="1"/>
  <c r="AA1684" i="1"/>
  <c r="AB1684" i="1"/>
  <c r="AC1684" i="1" s="1"/>
  <c r="Y1685" i="1"/>
  <c r="Z1685" i="1" a="1"/>
  <c r="Z1685" i="1" s="1"/>
  <c r="AA1685" i="1"/>
  <c r="AB1685" i="1"/>
  <c r="AC1685" i="1" s="1"/>
  <c r="Y1686" i="1"/>
  <c r="Z1686" i="1" a="1"/>
  <c r="Z1686" i="1" s="1"/>
  <c r="AA1686" i="1"/>
  <c r="AB1686" i="1"/>
  <c r="AC1686" i="1" s="1"/>
  <c r="Y1687" i="1"/>
  <c r="Z1687" i="1" a="1"/>
  <c r="Z1687" i="1" s="1"/>
  <c r="AA1687" i="1"/>
  <c r="AB1687" i="1"/>
  <c r="AC1687" i="1" s="1"/>
  <c r="Y1688" i="1"/>
  <c r="Z1688" i="1" a="1"/>
  <c r="Z1688" i="1" s="1"/>
  <c r="AA1688" i="1"/>
  <c r="AB1688" i="1"/>
  <c r="AC1688" i="1"/>
  <c r="Y1689" i="1"/>
  <c r="Z1689" i="1" a="1"/>
  <c r="Z1689" i="1" s="1"/>
  <c r="AA1689" i="1"/>
  <c r="AB1689" i="1"/>
  <c r="AC1689" i="1"/>
  <c r="Y1690" i="1"/>
  <c r="Z1690" i="1" a="1"/>
  <c r="Z1690" i="1" s="1"/>
  <c r="AA1690" i="1"/>
  <c r="AB1690" i="1"/>
  <c r="AC1690" i="1"/>
  <c r="Y1691" i="1"/>
  <c r="Z1691" i="1" a="1"/>
  <c r="Z1691" i="1" s="1"/>
  <c r="AA1691" i="1"/>
  <c r="AB1691" i="1"/>
  <c r="AC1691" i="1"/>
  <c r="Y1692" i="1"/>
  <c r="Z1692" i="1" a="1"/>
  <c r="Z1692" i="1" s="1"/>
  <c r="AA1692" i="1"/>
  <c r="AB1692" i="1"/>
  <c r="AC1692" i="1"/>
  <c r="Y1693" i="1"/>
  <c r="Z1693" i="1" a="1"/>
  <c r="Z1693" i="1" s="1"/>
  <c r="AA1693" i="1"/>
  <c r="AB1693" i="1"/>
  <c r="AC1693" i="1"/>
  <c r="Y1694" i="1"/>
  <c r="Z1694" i="1" a="1"/>
  <c r="Z1694" i="1" s="1"/>
  <c r="AA1694" i="1"/>
  <c r="AB1694" i="1"/>
  <c r="AC1694" i="1"/>
  <c r="Y1695" i="1"/>
  <c r="Z1695" i="1" a="1"/>
  <c r="Z1695" i="1" s="1"/>
  <c r="AA1695" i="1"/>
  <c r="AB1695" i="1"/>
  <c r="AC1695" i="1" s="1"/>
  <c r="Y1696" i="1"/>
  <c r="Z1696" i="1" a="1"/>
  <c r="Z1696" i="1" s="1"/>
  <c r="AA1696" i="1"/>
  <c r="AB1696" i="1"/>
  <c r="AC1696" i="1" s="1"/>
  <c r="Y1697" i="1"/>
  <c r="Z1697" i="1" a="1"/>
  <c r="Z1697" i="1" s="1"/>
  <c r="AA1697" i="1"/>
  <c r="AB1697" i="1"/>
  <c r="AC1697" i="1" s="1"/>
  <c r="Y1698" i="1"/>
  <c r="Z1698" i="1" a="1"/>
  <c r="Z1698" i="1" s="1"/>
  <c r="AA1698" i="1"/>
  <c r="AB1698" i="1"/>
  <c r="AC1698" i="1"/>
  <c r="Y1699" i="1"/>
  <c r="Z1699" i="1" a="1"/>
  <c r="Z1699" i="1" s="1"/>
  <c r="AA1699" i="1"/>
  <c r="AB1699" i="1"/>
  <c r="AC1699" i="1" s="1"/>
  <c r="Y1700" i="1"/>
  <c r="Z1700" i="1" a="1"/>
  <c r="Z1700" i="1" s="1"/>
  <c r="AA1700" i="1"/>
  <c r="AB1700" i="1"/>
  <c r="AC1700" i="1" s="1"/>
  <c r="Y1701" i="1"/>
  <c r="Z1701" i="1" a="1"/>
  <c r="Z1701" i="1" s="1"/>
  <c r="AA1701" i="1"/>
  <c r="AB1701" i="1"/>
  <c r="AC1701" i="1" s="1"/>
  <c r="Y1702" i="1"/>
  <c r="Z1702" i="1" a="1"/>
  <c r="Z1702" i="1" s="1"/>
  <c r="AA1702" i="1"/>
  <c r="AB1702" i="1"/>
  <c r="AC1702" i="1" s="1"/>
  <c r="Y1703" i="1"/>
  <c r="Z1703" i="1" a="1"/>
  <c r="Z1703" i="1" s="1"/>
  <c r="AA1703" i="1"/>
  <c r="AB1703" i="1"/>
  <c r="AC1703" i="1"/>
  <c r="Y1704" i="1"/>
  <c r="Z1704" i="1" a="1"/>
  <c r="Z1704" i="1" s="1"/>
  <c r="AA1704" i="1"/>
  <c r="AB1704" i="1"/>
  <c r="AC1704" i="1" s="1"/>
  <c r="Y1705" i="1"/>
  <c r="Z1705" i="1" a="1"/>
  <c r="Z1705" i="1" s="1"/>
  <c r="AA1705" i="1"/>
  <c r="AB1705" i="1"/>
  <c r="AC1705" i="1" s="1"/>
  <c r="Y1706" i="1"/>
  <c r="Z1706" i="1" a="1"/>
  <c r="Z1706" i="1" s="1"/>
  <c r="AA1706" i="1"/>
  <c r="AB1706" i="1"/>
  <c r="AC1706" i="1"/>
  <c r="Y1707" i="1"/>
  <c r="Z1707" i="1" a="1"/>
  <c r="Z1707" i="1" s="1"/>
  <c r="AA1707" i="1"/>
  <c r="AB1707" i="1"/>
  <c r="AC1707" i="1"/>
  <c r="Y1708" i="1"/>
  <c r="Z1708" i="1" a="1"/>
  <c r="Z1708" i="1" s="1"/>
  <c r="AA1708" i="1"/>
  <c r="AB1708" i="1"/>
  <c r="AC1708" i="1"/>
  <c r="Y1709" i="1"/>
  <c r="Z1709" i="1" a="1"/>
  <c r="Z1709" i="1" s="1"/>
  <c r="AA1709" i="1"/>
  <c r="AB1709" i="1"/>
  <c r="AC1709" i="1"/>
  <c r="Y1710" i="1"/>
  <c r="Z1710" i="1" a="1"/>
  <c r="Z1710" i="1" s="1"/>
  <c r="AA1710" i="1"/>
  <c r="AB1710" i="1"/>
  <c r="AC1710" i="1" s="1"/>
  <c r="Y1711" i="1"/>
  <c r="Z1711" i="1" a="1"/>
  <c r="Z1711" i="1" s="1"/>
  <c r="AA1711" i="1"/>
  <c r="AB1711" i="1"/>
  <c r="AC1711" i="1" s="1"/>
  <c r="Y1712" i="1"/>
  <c r="Z1712" i="1" a="1"/>
  <c r="Z1712" i="1" s="1"/>
  <c r="AA1712" i="1"/>
  <c r="AB1712" i="1"/>
  <c r="AC1712" i="1"/>
  <c r="Y1713" i="1"/>
  <c r="Z1713" i="1" a="1"/>
  <c r="Z1713" i="1" s="1"/>
  <c r="AA1713" i="1"/>
  <c r="AB1713" i="1"/>
  <c r="AC1713" i="1"/>
  <c r="Y1714" i="1"/>
  <c r="Z1714" i="1" a="1"/>
  <c r="Z1714" i="1" s="1"/>
  <c r="AA1714" i="1"/>
  <c r="AB1714" i="1"/>
  <c r="AC1714" i="1"/>
  <c r="Y1715" i="1"/>
  <c r="Z1715" i="1" a="1"/>
  <c r="Z1715" i="1" s="1"/>
  <c r="AA1715" i="1"/>
  <c r="AB1715" i="1"/>
  <c r="AC1715" i="1" s="1"/>
  <c r="Y1716" i="1"/>
  <c r="Z1716" i="1" a="1"/>
  <c r="Z1716" i="1" s="1"/>
  <c r="AA1716" i="1"/>
  <c r="AB1716" i="1"/>
  <c r="AC1716" i="1" s="1"/>
  <c r="Y1717" i="1"/>
  <c r="Z1717" i="1" a="1"/>
  <c r="Z1717" i="1" s="1"/>
  <c r="AA1717" i="1"/>
  <c r="AB1717" i="1"/>
  <c r="AC1717" i="1" s="1"/>
  <c r="Y1718" i="1"/>
  <c r="Z1718" i="1" a="1"/>
  <c r="Z1718" i="1" s="1"/>
  <c r="AA1718" i="1"/>
  <c r="AB1718" i="1"/>
  <c r="AC1718" i="1"/>
  <c r="Y1719" i="1"/>
  <c r="Z1719" i="1" a="1"/>
  <c r="Z1719" i="1" s="1"/>
  <c r="AA1719" i="1"/>
  <c r="AB1719" i="1"/>
  <c r="AC1719" i="1"/>
  <c r="Y1720" i="1"/>
  <c r="Z1720" i="1" a="1"/>
  <c r="Z1720" i="1" s="1"/>
  <c r="AA1720" i="1"/>
  <c r="AB1720" i="1"/>
  <c r="AC1720" i="1"/>
  <c r="Y1721" i="1"/>
  <c r="Z1721" i="1" a="1"/>
  <c r="Z1721" i="1" s="1"/>
  <c r="AA1721" i="1"/>
  <c r="AB1721" i="1"/>
  <c r="AC1721" i="1"/>
  <c r="Y1722" i="1"/>
  <c r="Z1722" i="1" a="1"/>
  <c r="Z1722" i="1" s="1"/>
  <c r="AA1722" i="1"/>
  <c r="AB1722" i="1"/>
  <c r="AC1722" i="1"/>
  <c r="Y1723" i="1"/>
  <c r="Z1723" i="1" a="1"/>
  <c r="Z1723" i="1" s="1"/>
  <c r="AA1723" i="1"/>
  <c r="AB1723" i="1"/>
  <c r="AC1723" i="1" s="1"/>
  <c r="Y1724" i="1"/>
  <c r="Z1724" i="1" a="1"/>
  <c r="Z1724" i="1" s="1"/>
  <c r="AA1724" i="1"/>
  <c r="AB1724" i="1"/>
  <c r="AC1724" i="1" s="1"/>
  <c r="Y1725" i="1"/>
  <c r="Z1725" i="1" a="1"/>
  <c r="Z1725" i="1" s="1"/>
  <c r="AA1725" i="1"/>
  <c r="AB1725" i="1"/>
  <c r="AC1725" i="1" s="1"/>
  <c r="Y1726" i="1"/>
  <c r="Z1726" i="1" a="1"/>
  <c r="Z1726" i="1" s="1"/>
  <c r="AA1726" i="1"/>
  <c r="AB1726" i="1"/>
  <c r="AC1726" i="1" s="1"/>
  <c r="Y1727" i="1"/>
  <c r="Z1727" i="1" a="1"/>
  <c r="Z1727" i="1" s="1"/>
  <c r="AA1727" i="1"/>
  <c r="AB1727" i="1"/>
  <c r="AC1727" i="1" s="1"/>
  <c r="Y1728" i="1"/>
  <c r="Z1728" i="1" a="1"/>
  <c r="Z1728" i="1" s="1"/>
  <c r="AA1728" i="1"/>
  <c r="AB1728" i="1"/>
  <c r="AC1728" i="1"/>
  <c r="Y1729" i="1"/>
  <c r="Z1729" i="1" a="1"/>
  <c r="Z1729" i="1" s="1"/>
  <c r="AA1729" i="1"/>
  <c r="AB1729" i="1"/>
  <c r="AC1729" i="1" s="1"/>
  <c r="Y1730" i="1"/>
  <c r="Z1730" i="1" a="1"/>
  <c r="Z1730" i="1" s="1"/>
  <c r="AA1730" i="1"/>
  <c r="AB1730" i="1"/>
  <c r="AC1730" i="1"/>
  <c r="Y1731" i="1"/>
  <c r="Z1731" i="1" a="1"/>
  <c r="Z1731" i="1" s="1"/>
  <c r="AA1731" i="1"/>
  <c r="AB1731" i="1"/>
  <c r="AC1731" i="1"/>
  <c r="Y1732" i="1"/>
  <c r="Z1732" i="1" a="1"/>
  <c r="Z1732" i="1" s="1"/>
  <c r="AA1732" i="1"/>
  <c r="AB1732" i="1"/>
  <c r="AC1732" i="1"/>
  <c r="Y1733" i="1"/>
  <c r="Z1733" i="1" a="1"/>
  <c r="Z1733" i="1" s="1"/>
  <c r="AA1733" i="1"/>
  <c r="AB1733" i="1"/>
  <c r="AC1733" i="1"/>
  <c r="Y1734" i="1"/>
  <c r="Z1734" i="1" a="1"/>
  <c r="Z1734" i="1" s="1"/>
  <c r="AA1734" i="1"/>
  <c r="AB1734" i="1"/>
  <c r="AC1734" i="1" s="1"/>
  <c r="Y1735" i="1"/>
  <c r="Z1735" i="1" a="1"/>
  <c r="Z1735" i="1" s="1"/>
  <c r="AA1735" i="1"/>
  <c r="AB1735" i="1"/>
  <c r="AC1735" i="1" s="1"/>
  <c r="Y1736" i="1"/>
  <c r="Z1736" i="1" a="1"/>
  <c r="Z1736" i="1" s="1"/>
  <c r="AA1736" i="1"/>
  <c r="AB1736" i="1"/>
  <c r="AC1736" i="1" s="1"/>
  <c r="Y1737" i="1"/>
  <c r="Z1737" i="1" a="1"/>
  <c r="Z1737" i="1" s="1"/>
  <c r="AA1737" i="1"/>
  <c r="AB1737" i="1"/>
  <c r="AC1737" i="1"/>
  <c r="Y1738" i="1"/>
  <c r="Z1738" i="1" a="1"/>
  <c r="Z1738" i="1" s="1"/>
  <c r="AA1738" i="1"/>
  <c r="AB1738" i="1"/>
  <c r="AC1738" i="1"/>
  <c r="Y1739" i="1"/>
  <c r="Z1739" i="1" a="1"/>
  <c r="Z1739" i="1" s="1"/>
  <c r="AA1739" i="1"/>
  <c r="AB1739" i="1"/>
  <c r="AC1739" i="1"/>
  <c r="Y1740" i="1"/>
  <c r="Z1740" i="1" a="1"/>
  <c r="Z1740" i="1" s="1"/>
  <c r="AA1740" i="1"/>
  <c r="AB1740" i="1"/>
  <c r="AC1740" i="1"/>
  <c r="Y1741" i="1"/>
  <c r="Z1741" i="1" a="1"/>
  <c r="Z1741" i="1" s="1"/>
  <c r="AA1741" i="1"/>
  <c r="AB1741" i="1"/>
  <c r="AC1741" i="1" s="1"/>
  <c r="Y1742" i="1"/>
  <c r="Z1742" i="1" a="1"/>
  <c r="Z1742" i="1" s="1"/>
  <c r="AA1742" i="1"/>
  <c r="AB1742" i="1"/>
  <c r="AC1742" i="1"/>
  <c r="Y1743" i="1"/>
  <c r="Z1743" i="1" a="1"/>
  <c r="Z1743" i="1" s="1"/>
  <c r="AA1743" i="1"/>
  <c r="AB1743" i="1"/>
  <c r="AC1743" i="1"/>
  <c r="Y1744" i="1"/>
  <c r="Z1744" i="1" a="1"/>
  <c r="Z1744" i="1" s="1"/>
  <c r="AA1744" i="1"/>
  <c r="AB1744" i="1"/>
  <c r="AC1744" i="1" s="1"/>
  <c r="Y1745" i="1"/>
  <c r="Z1745" i="1" a="1"/>
  <c r="Z1745" i="1" s="1"/>
  <c r="AA1745" i="1"/>
  <c r="AB1745" i="1"/>
  <c r="AC1745" i="1" s="1"/>
  <c r="Y1746" i="1"/>
  <c r="Z1746" i="1" a="1"/>
  <c r="Z1746" i="1" s="1"/>
  <c r="AA1746" i="1"/>
  <c r="AB1746" i="1"/>
  <c r="AC1746" i="1"/>
  <c r="Y1747" i="1"/>
  <c r="Z1747" i="1" a="1"/>
  <c r="Z1747" i="1" s="1"/>
  <c r="AA1747" i="1"/>
  <c r="AB1747" i="1"/>
  <c r="AC1747" i="1"/>
  <c r="Y1748" i="1"/>
  <c r="Z1748" i="1" a="1"/>
  <c r="Z1748" i="1" s="1"/>
  <c r="AA1748" i="1"/>
  <c r="AB1748" i="1"/>
  <c r="AC1748" i="1" s="1"/>
  <c r="Y1749" i="1"/>
  <c r="Z1749" i="1" a="1"/>
  <c r="Z1749" i="1" s="1"/>
  <c r="AA1749" i="1"/>
  <c r="AB1749" i="1"/>
  <c r="AC1749" i="1"/>
  <c r="Y1750" i="1"/>
  <c r="Z1750" i="1" a="1"/>
  <c r="Z1750" i="1" s="1"/>
  <c r="AA1750" i="1"/>
  <c r="AB1750" i="1"/>
  <c r="AC1750" i="1" s="1"/>
  <c r="Y1751" i="1"/>
  <c r="Z1751" i="1" a="1"/>
  <c r="Z1751" i="1" s="1"/>
  <c r="AA1751" i="1"/>
  <c r="AB1751" i="1"/>
  <c r="AC1751" i="1" s="1"/>
  <c r="Y1752" i="1"/>
  <c r="Z1752" i="1" a="1"/>
  <c r="Z1752" i="1" s="1"/>
  <c r="AA1752" i="1"/>
  <c r="AB1752" i="1"/>
  <c r="AC1752" i="1"/>
  <c r="Y1753" i="1"/>
  <c r="Z1753" i="1" a="1"/>
  <c r="Z1753" i="1" s="1"/>
  <c r="AA1753" i="1"/>
  <c r="AB1753" i="1"/>
  <c r="AC1753" i="1" s="1"/>
  <c r="Y1754" i="1"/>
  <c r="Z1754" i="1" a="1"/>
  <c r="Z1754" i="1" s="1"/>
  <c r="AA1754" i="1"/>
  <c r="AB1754" i="1"/>
  <c r="AC1754" i="1"/>
  <c r="Y1755" i="1"/>
  <c r="Z1755" i="1" a="1"/>
  <c r="Z1755" i="1" s="1"/>
  <c r="AA1755" i="1"/>
  <c r="AB1755" i="1"/>
  <c r="AC1755" i="1" s="1"/>
  <c r="Y1756" i="1"/>
  <c r="Z1756" i="1" a="1"/>
  <c r="Z1756" i="1" s="1"/>
  <c r="AA1756" i="1"/>
  <c r="AB1756" i="1"/>
  <c r="AC1756" i="1"/>
  <c r="Y1757" i="1"/>
  <c r="Z1757" i="1" a="1"/>
  <c r="Z1757" i="1" s="1"/>
  <c r="AA1757" i="1"/>
  <c r="AB1757" i="1"/>
  <c r="AC1757" i="1" s="1"/>
  <c r="Y1758" i="1"/>
  <c r="Z1758" i="1" a="1"/>
  <c r="Z1758" i="1" s="1"/>
  <c r="AA1758" i="1"/>
  <c r="AB1758" i="1"/>
  <c r="AC1758" i="1"/>
  <c r="Y1759" i="1"/>
  <c r="Z1759" i="1" a="1"/>
  <c r="Z1759" i="1" s="1"/>
  <c r="AA1759" i="1"/>
  <c r="AB1759" i="1"/>
  <c r="AC1759" i="1" s="1"/>
  <c r="Y1760" i="1"/>
  <c r="Z1760" i="1" a="1"/>
  <c r="Z1760" i="1" s="1"/>
  <c r="AA1760" i="1"/>
  <c r="AB1760" i="1"/>
  <c r="AC1760" i="1" s="1"/>
  <c r="Y1761" i="1"/>
  <c r="Z1761" i="1" a="1"/>
  <c r="Z1761" i="1" s="1"/>
  <c r="AA1761" i="1"/>
  <c r="AB1761" i="1"/>
  <c r="AC1761" i="1"/>
  <c r="Y1762" i="1"/>
  <c r="Z1762" i="1" a="1"/>
  <c r="Z1762" i="1" s="1"/>
  <c r="AA1762" i="1"/>
  <c r="AB1762" i="1"/>
  <c r="AC1762" i="1"/>
  <c r="Y1763" i="1"/>
  <c r="Z1763" i="1" a="1"/>
  <c r="Z1763" i="1" s="1"/>
  <c r="AA1763" i="1"/>
  <c r="AB1763" i="1"/>
  <c r="AC1763" i="1" s="1"/>
  <c r="Y1764" i="1"/>
  <c r="Z1764" i="1" a="1"/>
  <c r="Z1764" i="1" s="1"/>
  <c r="AA1764" i="1"/>
  <c r="AB1764" i="1"/>
  <c r="AC1764" i="1" s="1"/>
  <c r="Y1765" i="1"/>
  <c r="Z1765" i="1" a="1"/>
  <c r="Z1765" i="1" s="1"/>
  <c r="AA1765" i="1"/>
  <c r="AB1765" i="1"/>
  <c r="AC1765" i="1" s="1"/>
  <c r="Y1766" i="1"/>
  <c r="Z1766" i="1" a="1"/>
  <c r="Z1766" i="1" s="1"/>
  <c r="AA1766" i="1"/>
  <c r="AB1766" i="1"/>
  <c r="AC1766" i="1" s="1"/>
  <c r="Y1767" i="1"/>
  <c r="Z1767" i="1" a="1"/>
  <c r="Z1767" i="1" s="1"/>
  <c r="AA1767" i="1"/>
  <c r="AB1767" i="1"/>
  <c r="AC1767" i="1"/>
  <c r="Y1768" i="1"/>
  <c r="Z1768" i="1" a="1"/>
  <c r="Z1768" i="1" s="1"/>
  <c r="AA1768" i="1"/>
  <c r="AB1768" i="1"/>
  <c r="AC1768" i="1"/>
  <c r="Y1769" i="1"/>
  <c r="Z1769" i="1" a="1"/>
  <c r="Z1769" i="1" s="1"/>
  <c r="AA1769" i="1"/>
  <c r="AB1769" i="1"/>
  <c r="AC1769" i="1" s="1"/>
  <c r="Y1770" i="1"/>
  <c r="Z1770" i="1" a="1"/>
  <c r="Z1770" i="1" s="1"/>
  <c r="AA1770" i="1"/>
  <c r="AB1770" i="1"/>
  <c r="AC1770" i="1"/>
  <c r="Y1771" i="1"/>
  <c r="Z1771" i="1" a="1"/>
  <c r="Z1771" i="1" s="1"/>
  <c r="AA1771" i="1"/>
  <c r="AB1771" i="1"/>
  <c r="AC1771" i="1"/>
  <c r="Y1772" i="1"/>
  <c r="Z1772" i="1" a="1"/>
  <c r="Z1772" i="1" s="1"/>
  <c r="AA1772" i="1"/>
  <c r="AB1772" i="1"/>
  <c r="AC1772" i="1" s="1"/>
  <c r="Y1773" i="1"/>
  <c r="Z1773" i="1" a="1"/>
  <c r="Z1773" i="1" s="1"/>
  <c r="AA1773" i="1"/>
  <c r="AB1773" i="1"/>
  <c r="AC1773" i="1"/>
  <c r="Y1774" i="1"/>
  <c r="Z1774" i="1" a="1"/>
  <c r="Z1774" i="1" s="1"/>
  <c r="AA1774" i="1"/>
  <c r="AB1774" i="1"/>
  <c r="AC1774" i="1" s="1"/>
  <c r="Y1775" i="1"/>
  <c r="Z1775" i="1" a="1"/>
  <c r="Z1775" i="1" s="1"/>
  <c r="AA1775" i="1"/>
  <c r="AB1775" i="1"/>
  <c r="AC1775" i="1" s="1"/>
  <c r="Y1776" i="1"/>
  <c r="Z1776" i="1" a="1"/>
  <c r="Z1776" i="1" s="1"/>
  <c r="AA1776" i="1"/>
  <c r="AB1776" i="1"/>
  <c r="AC1776" i="1" s="1"/>
  <c r="Y1777" i="1"/>
  <c r="Z1777" i="1" a="1"/>
  <c r="Z1777" i="1" s="1"/>
  <c r="AA1777" i="1"/>
  <c r="AB1777" i="1"/>
  <c r="AC1777" i="1"/>
  <c r="Y1778" i="1"/>
  <c r="Z1778" i="1" a="1"/>
  <c r="Z1778" i="1" s="1"/>
  <c r="AA1778" i="1"/>
  <c r="AB1778" i="1"/>
  <c r="AC1778" i="1"/>
  <c r="Y1779" i="1"/>
  <c r="Z1779" i="1" a="1"/>
  <c r="Z1779" i="1" s="1"/>
  <c r="AA1779" i="1"/>
  <c r="AB1779" i="1"/>
  <c r="AC1779" i="1" s="1"/>
  <c r="Y1780" i="1"/>
  <c r="Z1780" i="1" a="1"/>
  <c r="Z1780" i="1" s="1"/>
  <c r="AA1780" i="1"/>
  <c r="AB1780" i="1"/>
  <c r="AC1780" i="1"/>
  <c r="Y1781" i="1"/>
  <c r="Z1781" i="1" a="1"/>
  <c r="Z1781" i="1" s="1"/>
  <c r="AA1781" i="1"/>
  <c r="AB1781" i="1"/>
  <c r="AC1781" i="1" s="1"/>
  <c r="Y1782" i="1"/>
  <c r="Z1782" i="1" a="1"/>
  <c r="Z1782" i="1" s="1"/>
  <c r="AA1782" i="1"/>
  <c r="AB1782" i="1"/>
  <c r="AC1782" i="1"/>
  <c r="Y1783" i="1"/>
  <c r="Z1783" i="1" a="1"/>
  <c r="Z1783" i="1" s="1"/>
  <c r="AA1783" i="1"/>
  <c r="AB1783" i="1"/>
  <c r="AC1783" i="1" s="1"/>
  <c r="Y1784" i="1"/>
  <c r="Z1784" i="1" a="1"/>
  <c r="Z1784" i="1" s="1"/>
  <c r="AA1784" i="1"/>
  <c r="AB1784" i="1"/>
  <c r="AC1784" i="1" s="1"/>
  <c r="Y1785" i="1"/>
  <c r="Z1785" i="1" a="1"/>
  <c r="Z1785" i="1" s="1"/>
  <c r="AA1785" i="1"/>
  <c r="AB1785" i="1"/>
  <c r="AC1785" i="1" s="1"/>
  <c r="Y1786" i="1"/>
  <c r="Z1786" i="1" a="1"/>
  <c r="Z1786" i="1" s="1"/>
  <c r="AA1786" i="1"/>
  <c r="AB1786" i="1"/>
  <c r="AC1786" i="1"/>
  <c r="Y1787" i="1"/>
  <c r="Z1787" i="1" a="1"/>
  <c r="Z1787" i="1" s="1"/>
  <c r="AA1787" i="1"/>
  <c r="AB1787" i="1"/>
  <c r="AC1787" i="1"/>
  <c r="Y1788" i="1"/>
  <c r="Z1788" i="1" a="1"/>
  <c r="Z1788" i="1" s="1"/>
  <c r="AA1788" i="1"/>
  <c r="AB1788" i="1"/>
  <c r="AC1788" i="1" s="1"/>
  <c r="Y1789" i="1"/>
  <c r="Z1789" i="1" a="1"/>
  <c r="Z1789" i="1" s="1"/>
  <c r="AA1789" i="1"/>
  <c r="AB1789" i="1"/>
  <c r="AC1789" i="1" s="1"/>
  <c r="Y1790" i="1"/>
  <c r="Z1790" i="1" a="1"/>
  <c r="Z1790" i="1" s="1"/>
  <c r="AA1790" i="1"/>
  <c r="AB1790" i="1"/>
  <c r="AC1790" i="1" s="1"/>
  <c r="Y1791" i="1"/>
  <c r="Z1791" i="1" a="1"/>
  <c r="Z1791" i="1" s="1"/>
  <c r="AA1791" i="1"/>
  <c r="AB1791" i="1"/>
  <c r="AC1791" i="1"/>
  <c r="Y1792" i="1"/>
  <c r="Z1792" i="1" a="1"/>
  <c r="Z1792" i="1" s="1"/>
  <c r="AA1792" i="1"/>
  <c r="AB1792" i="1"/>
  <c r="AC1792" i="1"/>
  <c r="Y1793" i="1"/>
  <c r="Z1793" i="1" a="1"/>
  <c r="Z1793" i="1" s="1"/>
  <c r="AA1793" i="1"/>
  <c r="AB1793" i="1"/>
  <c r="AC1793" i="1" s="1"/>
  <c r="Y1794" i="1"/>
  <c r="Z1794" i="1" a="1"/>
  <c r="Z1794" i="1" s="1"/>
  <c r="AA1794" i="1"/>
  <c r="AB1794" i="1"/>
  <c r="AC1794" i="1"/>
  <c r="Y1795" i="1"/>
  <c r="Z1795" i="1" a="1"/>
  <c r="Z1795" i="1" s="1"/>
  <c r="AA1795" i="1"/>
  <c r="AB1795" i="1"/>
  <c r="AC1795" i="1" s="1"/>
  <c r="Y1796" i="1"/>
  <c r="Z1796" i="1" a="1"/>
  <c r="Z1796" i="1" s="1"/>
  <c r="AA1796" i="1"/>
  <c r="AB1796" i="1"/>
  <c r="AC1796" i="1"/>
  <c r="Y1797" i="1"/>
  <c r="Z1797" i="1" a="1"/>
  <c r="Z1797" i="1" s="1"/>
  <c r="AA1797" i="1"/>
  <c r="AB1797" i="1"/>
  <c r="AC1797" i="1"/>
  <c r="Y1798" i="1"/>
  <c r="Z1798" i="1" a="1"/>
  <c r="Z1798" i="1" s="1"/>
  <c r="AA1798" i="1"/>
  <c r="AB1798" i="1"/>
  <c r="AC1798" i="1"/>
  <c r="Y1799" i="1"/>
  <c r="Z1799" i="1" a="1"/>
  <c r="Z1799" i="1" s="1"/>
  <c r="AA1799" i="1"/>
  <c r="AB1799" i="1"/>
  <c r="AC1799" i="1" s="1"/>
  <c r="Y1800" i="1"/>
  <c r="Z1800" i="1" a="1"/>
  <c r="Z1800" i="1" s="1"/>
  <c r="AA1800" i="1"/>
  <c r="AB1800" i="1"/>
  <c r="AC1800" i="1"/>
  <c r="Y1801" i="1"/>
  <c r="Z1801" i="1" a="1"/>
  <c r="Z1801" i="1" s="1"/>
  <c r="AA1801" i="1"/>
  <c r="AB1801" i="1"/>
  <c r="AC1801" i="1"/>
  <c r="Y1802" i="1"/>
  <c r="Z1802" i="1" a="1"/>
  <c r="Z1802" i="1" s="1"/>
  <c r="AA1802" i="1"/>
  <c r="AB1802" i="1"/>
  <c r="AC1802" i="1"/>
  <c r="Y1803" i="1"/>
  <c r="Z1803" i="1" a="1"/>
  <c r="Z1803" i="1" s="1"/>
  <c r="AA1803" i="1"/>
  <c r="AB1803" i="1"/>
  <c r="AC1803" i="1" s="1"/>
  <c r="Y1804" i="1"/>
  <c r="Z1804" i="1" a="1"/>
  <c r="Z1804" i="1" s="1"/>
  <c r="AA1804" i="1"/>
  <c r="AB1804" i="1"/>
  <c r="AC1804" i="1" s="1"/>
  <c r="Y1805" i="1"/>
  <c r="Z1805" i="1" a="1"/>
  <c r="Z1805" i="1" s="1"/>
  <c r="AA1805" i="1"/>
  <c r="AB1805" i="1"/>
  <c r="AC1805" i="1" s="1"/>
  <c r="Y1806" i="1"/>
  <c r="Z1806" i="1" a="1"/>
  <c r="Z1806" i="1" s="1"/>
  <c r="AA1806" i="1"/>
  <c r="AB1806" i="1"/>
  <c r="AC1806" i="1" s="1"/>
  <c r="Y1807" i="1"/>
  <c r="Z1807" i="1" a="1"/>
  <c r="Z1807" i="1" s="1"/>
  <c r="AA1807" i="1"/>
  <c r="AB1807" i="1"/>
  <c r="AC1807" i="1"/>
  <c r="Y1808" i="1"/>
  <c r="Z1808" i="1" a="1"/>
  <c r="Z1808" i="1" s="1"/>
  <c r="AA1808" i="1"/>
  <c r="AB1808" i="1"/>
  <c r="AC1808" i="1" s="1"/>
  <c r="Y1809" i="1"/>
  <c r="Z1809" i="1" a="1"/>
  <c r="Z1809" i="1" s="1"/>
  <c r="AA1809" i="1"/>
  <c r="AB1809" i="1"/>
  <c r="AC1809" i="1" s="1"/>
  <c r="Y1810" i="1"/>
  <c r="Z1810" i="1" a="1"/>
  <c r="Z1810" i="1" s="1"/>
  <c r="AA1810" i="1"/>
  <c r="AB1810" i="1"/>
  <c r="AC1810" i="1"/>
  <c r="Y1811" i="1"/>
  <c r="Z1811" i="1" a="1"/>
  <c r="Z1811" i="1" s="1"/>
  <c r="AA1811" i="1"/>
  <c r="AB1811" i="1"/>
  <c r="AC1811" i="1"/>
  <c r="Y1812" i="1"/>
  <c r="Z1812" i="1" a="1"/>
  <c r="Z1812" i="1" s="1"/>
  <c r="AA1812" i="1"/>
  <c r="AB1812" i="1"/>
  <c r="AC1812" i="1" s="1"/>
  <c r="Y1813" i="1"/>
  <c r="Z1813" i="1" a="1"/>
  <c r="Z1813" i="1" s="1"/>
  <c r="AA1813" i="1"/>
  <c r="AB1813" i="1"/>
  <c r="AC1813" i="1" s="1"/>
  <c r="Y1814" i="1"/>
  <c r="Z1814" i="1" a="1"/>
  <c r="Z1814" i="1" s="1"/>
  <c r="AA1814" i="1"/>
  <c r="AB1814" i="1"/>
  <c r="AC1814" i="1" s="1"/>
  <c r="Y1815" i="1"/>
  <c r="Z1815" i="1" a="1"/>
  <c r="Z1815" i="1" s="1"/>
  <c r="AA1815" i="1"/>
  <c r="AB1815" i="1"/>
  <c r="AC1815" i="1" s="1"/>
  <c r="Y1816" i="1"/>
  <c r="Z1816" i="1" a="1"/>
  <c r="Z1816" i="1" s="1"/>
  <c r="AA1816" i="1"/>
  <c r="AB1816" i="1"/>
  <c r="AC1816" i="1"/>
  <c r="Y1817" i="1"/>
  <c r="Z1817" i="1" a="1"/>
  <c r="Z1817" i="1" s="1"/>
  <c r="AA1817" i="1"/>
  <c r="AB1817" i="1"/>
  <c r="AC1817" i="1"/>
  <c r="Y1818" i="1"/>
  <c r="Z1818" i="1" a="1"/>
  <c r="Z1818" i="1" s="1"/>
  <c r="AA1818" i="1"/>
  <c r="AB1818" i="1"/>
  <c r="AC1818" i="1"/>
  <c r="Y1819" i="1"/>
  <c r="Z1819" i="1" a="1"/>
  <c r="Z1819" i="1" s="1"/>
  <c r="AA1819" i="1"/>
  <c r="AB1819" i="1"/>
  <c r="AC1819" i="1"/>
  <c r="Y1820" i="1"/>
  <c r="Z1820" i="1" a="1"/>
  <c r="Z1820" i="1" s="1"/>
  <c r="AA1820" i="1"/>
  <c r="AB1820" i="1"/>
  <c r="AC1820" i="1"/>
  <c r="Y1821" i="1"/>
  <c r="Z1821" i="1" a="1"/>
  <c r="Z1821" i="1" s="1"/>
  <c r="AA1821" i="1"/>
  <c r="AB1821" i="1"/>
  <c r="AC1821" i="1" s="1"/>
  <c r="Y1822" i="1"/>
  <c r="Z1822" i="1" a="1"/>
  <c r="Z1822" i="1" s="1"/>
  <c r="AA1822" i="1"/>
  <c r="AB1822" i="1"/>
  <c r="AC1822" i="1"/>
  <c r="Y1823" i="1"/>
  <c r="Z1823" i="1" a="1"/>
  <c r="Z1823" i="1" s="1"/>
  <c r="AA1823" i="1"/>
  <c r="AB1823" i="1"/>
  <c r="AC1823" i="1" s="1"/>
  <c r="Y1824" i="1"/>
  <c r="Z1824" i="1" a="1"/>
  <c r="Z1824" i="1" s="1"/>
  <c r="AA1824" i="1"/>
  <c r="AB1824" i="1"/>
  <c r="AC1824" i="1" s="1"/>
  <c r="Y1825" i="1"/>
  <c r="Z1825" i="1" a="1"/>
  <c r="Z1825" i="1" s="1"/>
  <c r="AA1825" i="1"/>
  <c r="AB1825" i="1"/>
  <c r="AC1825" i="1" s="1"/>
  <c r="Y1826" i="1"/>
  <c r="Z1826" i="1" a="1"/>
  <c r="Z1826" i="1" s="1"/>
  <c r="AA1826" i="1"/>
  <c r="AB1826" i="1"/>
  <c r="AC1826" i="1"/>
  <c r="Y1827" i="1"/>
  <c r="Z1827" i="1" a="1"/>
  <c r="Z1827" i="1" s="1"/>
  <c r="AA1827" i="1"/>
  <c r="AB1827" i="1"/>
  <c r="AC1827" i="1" s="1"/>
  <c r="Y1828" i="1"/>
  <c r="Z1828" i="1" a="1"/>
  <c r="Z1828" i="1" s="1"/>
  <c r="AA1828" i="1"/>
  <c r="AB1828" i="1"/>
  <c r="AC1828" i="1" s="1"/>
  <c r="Y1829" i="1"/>
  <c r="Z1829" i="1" a="1"/>
  <c r="Z1829" i="1" s="1"/>
  <c r="AA1829" i="1"/>
  <c r="AB1829" i="1"/>
  <c r="AC1829" i="1" s="1"/>
  <c r="Y1830" i="1"/>
  <c r="Z1830" i="1" a="1"/>
  <c r="Z1830" i="1" s="1"/>
  <c r="AA1830" i="1"/>
  <c r="AB1830" i="1"/>
  <c r="AC1830" i="1" s="1"/>
  <c r="Y1831" i="1"/>
  <c r="Z1831" i="1" a="1"/>
  <c r="Z1831" i="1" s="1"/>
  <c r="AA1831" i="1"/>
  <c r="AB1831" i="1"/>
  <c r="AC1831" i="1"/>
  <c r="Y1832" i="1"/>
  <c r="Z1832" i="1" a="1"/>
  <c r="Z1832" i="1" s="1"/>
  <c r="AA1832" i="1"/>
  <c r="AB1832" i="1"/>
  <c r="AC1832" i="1" s="1"/>
  <c r="Y1833" i="1"/>
  <c r="Z1833" i="1" a="1"/>
  <c r="Z1833" i="1" s="1"/>
  <c r="AA1833" i="1"/>
  <c r="AB1833" i="1"/>
  <c r="AC1833" i="1" s="1"/>
  <c r="Y1834" i="1"/>
  <c r="Z1834" i="1" a="1"/>
  <c r="Z1834" i="1" s="1"/>
  <c r="AA1834" i="1"/>
  <c r="AB1834" i="1"/>
  <c r="AC1834" i="1"/>
  <c r="Y1835" i="1"/>
  <c r="Z1835" i="1" a="1"/>
  <c r="Z1835" i="1" s="1"/>
  <c r="AA1835" i="1"/>
  <c r="AB1835" i="1"/>
  <c r="AC1835" i="1"/>
  <c r="Y1836" i="1"/>
  <c r="Z1836" i="1" a="1"/>
  <c r="Z1836" i="1" s="1"/>
  <c r="AA1836" i="1"/>
  <c r="AB1836" i="1"/>
  <c r="AC1836" i="1"/>
  <c r="Y1837" i="1"/>
  <c r="Z1837" i="1" a="1"/>
  <c r="Z1837" i="1" s="1"/>
  <c r="AA1837" i="1"/>
  <c r="AB1837" i="1"/>
  <c r="AC1837" i="1"/>
  <c r="Y1838" i="1"/>
  <c r="Z1838" i="1" a="1"/>
  <c r="Z1838" i="1" s="1"/>
  <c r="AA1838" i="1"/>
  <c r="AB1838" i="1"/>
  <c r="AC1838" i="1" s="1"/>
  <c r="Y1839" i="1"/>
  <c r="Z1839" i="1" a="1"/>
  <c r="Z1839" i="1" s="1"/>
  <c r="AA1839" i="1"/>
  <c r="AB1839" i="1"/>
  <c r="AC1839" i="1" s="1"/>
  <c r="Y1840" i="1"/>
  <c r="Z1840" i="1" a="1"/>
  <c r="Z1840" i="1" s="1"/>
  <c r="AA1840" i="1"/>
  <c r="AB1840" i="1"/>
  <c r="AC1840" i="1"/>
  <c r="Y1841" i="1"/>
  <c r="Z1841" i="1" a="1"/>
  <c r="Z1841" i="1" s="1"/>
  <c r="AA1841" i="1"/>
  <c r="AB1841" i="1"/>
  <c r="AC1841" i="1"/>
  <c r="Y1842" i="1"/>
  <c r="Z1842" i="1" a="1"/>
  <c r="Z1842" i="1" s="1"/>
  <c r="AA1842" i="1"/>
  <c r="AB1842" i="1"/>
  <c r="AC1842" i="1"/>
  <c r="Y1843" i="1"/>
  <c r="Z1843" i="1" a="1"/>
  <c r="Z1843" i="1" s="1"/>
  <c r="AA1843" i="1"/>
  <c r="AB1843" i="1"/>
  <c r="AC1843" i="1" s="1"/>
  <c r="Y1844" i="1"/>
  <c r="Z1844" i="1" a="1"/>
  <c r="Z1844" i="1" s="1"/>
  <c r="AA1844" i="1"/>
  <c r="AB1844" i="1"/>
  <c r="AC1844" i="1" s="1"/>
  <c r="Y1845" i="1"/>
  <c r="Z1845" i="1" a="1"/>
  <c r="Z1845" i="1" s="1"/>
  <c r="AA1845" i="1"/>
  <c r="AB1845" i="1"/>
  <c r="AC1845" i="1" s="1"/>
  <c r="Y1846" i="1"/>
  <c r="Z1846" i="1" a="1"/>
  <c r="Z1846" i="1" s="1"/>
  <c r="AA1846" i="1"/>
  <c r="AB1846" i="1"/>
  <c r="AC1846" i="1"/>
  <c r="Y1847" i="1"/>
  <c r="Z1847" i="1" a="1"/>
  <c r="Z1847" i="1" s="1"/>
  <c r="AA1847" i="1"/>
  <c r="AB1847" i="1"/>
  <c r="AC1847" i="1"/>
  <c r="Y1848" i="1"/>
  <c r="Z1848" i="1" a="1"/>
  <c r="Z1848" i="1" s="1"/>
  <c r="AA1848" i="1"/>
  <c r="AB1848" i="1"/>
  <c r="AC1848" i="1" s="1"/>
  <c r="Y1849" i="1"/>
  <c r="Z1849" i="1" a="1"/>
  <c r="Z1849" i="1" s="1"/>
  <c r="AA1849" i="1"/>
  <c r="AB1849" i="1"/>
  <c r="AC1849" i="1"/>
  <c r="Y1850" i="1"/>
  <c r="Z1850" i="1" a="1"/>
  <c r="Z1850" i="1" s="1"/>
  <c r="AA1850" i="1"/>
  <c r="AB1850" i="1"/>
  <c r="AC1850" i="1"/>
  <c r="Y1851" i="1"/>
  <c r="Z1851" i="1" a="1"/>
  <c r="Z1851" i="1" s="1"/>
  <c r="AA1851" i="1"/>
  <c r="AB1851" i="1"/>
  <c r="AC1851" i="1" s="1"/>
  <c r="Y1852" i="1"/>
  <c r="Z1852" i="1" a="1"/>
  <c r="Z1852" i="1" s="1"/>
  <c r="AA1852" i="1"/>
  <c r="AB1852" i="1"/>
  <c r="AC1852" i="1" s="1"/>
  <c r="Y1853" i="1"/>
  <c r="Z1853" i="1" a="1"/>
  <c r="Z1853" i="1" s="1"/>
  <c r="AA1853" i="1"/>
  <c r="AB1853" i="1"/>
  <c r="AC1853" i="1" s="1"/>
  <c r="Y1854" i="1"/>
  <c r="Z1854" i="1" a="1"/>
  <c r="Z1854" i="1" s="1"/>
  <c r="AA1854" i="1"/>
  <c r="AB1854" i="1"/>
  <c r="AC1854" i="1" s="1"/>
  <c r="Y1855" i="1"/>
  <c r="Z1855" i="1" a="1"/>
  <c r="Z1855" i="1" s="1"/>
  <c r="AA1855" i="1"/>
  <c r="AB1855" i="1"/>
  <c r="AC1855" i="1" s="1"/>
  <c r="Y1856" i="1"/>
  <c r="Z1856" i="1" a="1"/>
  <c r="Z1856" i="1" s="1"/>
  <c r="AA1856" i="1"/>
  <c r="AB1856" i="1"/>
  <c r="AC1856" i="1"/>
  <c r="Y1857" i="1"/>
  <c r="Z1857" i="1" a="1"/>
  <c r="Z1857" i="1" s="1"/>
  <c r="AA1857" i="1"/>
  <c r="AB1857" i="1"/>
  <c r="AC1857" i="1" s="1"/>
  <c r="Y1858" i="1"/>
  <c r="Z1858" i="1" a="1"/>
  <c r="Z1858" i="1" s="1"/>
  <c r="AA1858" i="1"/>
  <c r="AB1858" i="1"/>
  <c r="AC1858" i="1"/>
  <c r="Y1859" i="1"/>
  <c r="Z1859" i="1" a="1"/>
  <c r="Z1859" i="1" s="1"/>
  <c r="AA1859" i="1"/>
  <c r="AB1859" i="1"/>
  <c r="AC1859" i="1"/>
  <c r="Y1860" i="1"/>
  <c r="Z1860" i="1" a="1"/>
  <c r="Z1860" i="1" s="1"/>
  <c r="AA1860" i="1"/>
  <c r="AB1860" i="1"/>
  <c r="AC1860" i="1"/>
  <c r="Y1861" i="1"/>
  <c r="Z1861" i="1" a="1"/>
  <c r="Z1861" i="1" s="1"/>
  <c r="AA1861" i="1"/>
  <c r="AB1861" i="1"/>
  <c r="AC1861" i="1"/>
  <c r="Y1862" i="1"/>
  <c r="Z1862" i="1" a="1"/>
  <c r="Z1862" i="1" s="1"/>
  <c r="AA1862" i="1"/>
  <c r="AB1862" i="1"/>
  <c r="AC1862" i="1" s="1"/>
  <c r="Y1863" i="1"/>
  <c r="Z1863" i="1" a="1"/>
  <c r="Z1863" i="1" s="1"/>
  <c r="AA1863" i="1"/>
  <c r="AB1863" i="1"/>
  <c r="AC1863" i="1" s="1"/>
  <c r="Y1864" i="1"/>
  <c r="Z1864" i="1" a="1"/>
  <c r="Z1864" i="1" s="1"/>
  <c r="AA1864" i="1"/>
  <c r="AB1864" i="1"/>
  <c r="AC1864" i="1" s="1"/>
  <c r="Y1865" i="1"/>
  <c r="Z1865" i="1" a="1"/>
  <c r="Z1865" i="1" s="1"/>
  <c r="AA1865" i="1"/>
  <c r="AB1865" i="1"/>
  <c r="AC1865" i="1"/>
  <c r="Y1866" i="1"/>
  <c r="Z1866" i="1" a="1"/>
  <c r="Z1866" i="1" s="1"/>
  <c r="AA1866" i="1"/>
  <c r="AB1866" i="1"/>
  <c r="AC1866" i="1"/>
  <c r="Y1867" i="1"/>
  <c r="Z1867" i="1" a="1"/>
  <c r="Z1867" i="1" s="1"/>
  <c r="AA1867" i="1"/>
  <c r="AB1867" i="1"/>
  <c r="AC1867" i="1" s="1"/>
  <c r="Y1868" i="1"/>
  <c r="Z1868" i="1" a="1"/>
  <c r="Z1868" i="1" s="1"/>
  <c r="AA1868" i="1"/>
  <c r="AB1868" i="1"/>
  <c r="AC1868" i="1"/>
  <c r="Y1869" i="1"/>
  <c r="Z1869" i="1" a="1"/>
  <c r="Z1869" i="1" s="1"/>
  <c r="AA1869" i="1"/>
  <c r="AB1869" i="1"/>
  <c r="AC1869" i="1" s="1"/>
  <c r="Y1870" i="1"/>
  <c r="Z1870" i="1" a="1"/>
  <c r="Z1870" i="1" s="1"/>
  <c r="AA1870" i="1"/>
  <c r="AB1870" i="1"/>
  <c r="AC1870" i="1" s="1"/>
  <c r="Y1871" i="1"/>
  <c r="Z1871" i="1" a="1"/>
  <c r="Z1871" i="1" s="1"/>
  <c r="AA1871" i="1"/>
  <c r="AB1871" i="1"/>
  <c r="AC1871" i="1"/>
  <c r="Y1872" i="1"/>
  <c r="Z1872" i="1" a="1"/>
  <c r="Z1872" i="1" s="1"/>
  <c r="AA1872" i="1"/>
  <c r="AB1872" i="1"/>
  <c r="AC1872" i="1" s="1"/>
  <c r="Y1873" i="1"/>
  <c r="Z1873" i="1" a="1"/>
  <c r="Z1873" i="1" s="1"/>
  <c r="AA1873" i="1"/>
  <c r="AB1873" i="1"/>
  <c r="AC1873" i="1" s="1"/>
  <c r="Y1874" i="1"/>
  <c r="Z1874" i="1" a="1"/>
  <c r="Z1874" i="1" s="1"/>
  <c r="AA1874" i="1"/>
  <c r="AB1874" i="1"/>
  <c r="AC1874" i="1"/>
  <c r="Y1875" i="1"/>
  <c r="Z1875" i="1" a="1"/>
  <c r="Z1875" i="1" s="1"/>
  <c r="AA1875" i="1"/>
  <c r="AB1875" i="1"/>
  <c r="AC1875" i="1"/>
  <c r="Y1876" i="1"/>
  <c r="Z1876" i="1" a="1"/>
  <c r="Z1876" i="1" s="1"/>
  <c r="AA1876" i="1"/>
  <c r="AB1876" i="1"/>
  <c r="AC1876" i="1" s="1"/>
  <c r="Y1877" i="1"/>
  <c r="Z1877" i="1" a="1"/>
  <c r="Z1877" i="1" s="1"/>
  <c r="AA1877" i="1"/>
  <c r="AB1877" i="1"/>
  <c r="AC1877" i="1"/>
  <c r="Y1878" i="1"/>
  <c r="Z1878" i="1" a="1"/>
  <c r="Z1878" i="1" s="1"/>
  <c r="AA1878" i="1"/>
  <c r="AB1878" i="1"/>
  <c r="AC1878" i="1" s="1"/>
  <c r="Y1879" i="1"/>
  <c r="Z1879" i="1" a="1"/>
  <c r="Z1879" i="1" s="1"/>
  <c r="AA1879" i="1"/>
  <c r="AB1879" i="1"/>
  <c r="AC1879" i="1" s="1"/>
  <c r="Y1880" i="1"/>
  <c r="Z1880" i="1" a="1"/>
  <c r="Z1880" i="1" s="1"/>
  <c r="AA1880" i="1"/>
  <c r="AB1880" i="1"/>
  <c r="AC1880" i="1"/>
  <c r="Y1881" i="1"/>
  <c r="Z1881" i="1" a="1"/>
  <c r="Z1881" i="1" s="1"/>
  <c r="AA1881" i="1"/>
  <c r="AB1881" i="1"/>
  <c r="AC1881" i="1" s="1"/>
  <c r="Y1882" i="1"/>
  <c r="Z1882" i="1" a="1"/>
  <c r="Z1882" i="1" s="1"/>
  <c r="AA1882" i="1"/>
  <c r="AB1882" i="1"/>
  <c r="AC1882" i="1"/>
  <c r="Y1883" i="1"/>
  <c r="Z1883" i="1" a="1"/>
  <c r="Z1883" i="1" s="1"/>
  <c r="AA1883" i="1"/>
  <c r="AB1883" i="1"/>
  <c r="AC1883" i="1" s="1"/>
  <c r="Y1884" i="1"/>
  <c r="Z1884" i="1" a="1"/>
  <c r="Z1884" i="1" s="1"/>
  <c r="AA1884" i="1"/>
  <c r="AB1884" i="1"/>
  <c r="AC1884" i="1"/>
  <c r="Y1885" i="1"/>
  <c r="Z1885" i="1" a="1"/>
  <c r="Z1885" i="1" s="1"/>
  <c r="AA1885" i="1"/>
  <c r="AB1885" i="1"/>
  <c r="AC1885" i="1" s="1"/>
  <c r="Y1886" i="1"/>
  <c r="Z1886" i="1" a="1"/>
  <c r="Z1886" i="1" s="1"/>
  <c r="AA1886" i="1"/>
  <c r="AB1886" i="1"/>
  <c r="AC1886" i="1"/>
  <c r="Y1887" i="1"/>
  <c r="Z1887" i="1" a="1"/>
  <c r="Z1887" i="1" s="1"/>
  <c r="AA1887" i="1"/>
  <c r="AB1887" i="1"/>
  <c r="AC1887" i="1" s="1"/>
  <c r="Y1888" i="1"/>
  <c r="Z1888" i="1" a="1"/>
  <c r="Z1888" i="1" s="1"/>
  <c r="AA1888" i="1"/>
  <c r="AB1888" i="1"/>
  <c r="AC1888" i="1" s="1"/>
  <c r="Y1889" i="1"/>
  <c r="Z1889" i="1" a="1"/>
  <c r="Z1889" i="1" s="1"/>
  <c r="AA1889" i="1"/>
  <c r="AB1889" i="1"/>
  <c r="AC1889" i="1" s="1"/>
  <c r="Y1890" i="1"/>
  <c r="Z1890" i="1" a="1"/>
  <c r="Z1890" i="1" s="1"/>
  <c r="AA1890" i="1"/>
  <c r="AB1890" i="1"/>
  <c r="AC1890" i="1"/>
  <c r="Y1891" i="1"/>
  <c r="Z1891" i="1" a="1"/>
  <c r="Z1891" i="1" s="1"/>
  <c r="AA1891" i="1"/>
  <c r="AB1891" i="1"/>
  <c r="AC1891" i="1" s="1"/>
  <c r="Y1892" i="1"/>
  <c r="Z1892" i="1" a="1"/>
  <c r="Z1892" i="1" s="1"/>
  <c r="AA1892" i="1"/>
  <c r="AB1892" i="1"/>
  <c r="AC1892" i="1" s="1"/>
  <c r="Y1893" i="1"/>
  <c r="Z1893" i="1" a="1"/>
  <c r="Z1893" i="1" s="1"/>
  <c r="AA1893" i="1"/>
  <c r="AB1893" i="1"/>
  <c r="AC1893" i="1" s="1"/>
  <c r="Y1894" i="1"/>
  <c r="Z1894" i="1" a="1"/>
  <c r="Z1894" i="1" s="1"/>
  <c r="AA1894" i="1"/>
  <c r="AB1894" i="1"/>
  <c r="AC1894" i="1" s="1"/>
  <c r="Y1895" i="1"/>
  <c r="Z1895" i="1" a="1"/>
  <c r="Z1895" i="1" s="1"/>
  <c r="AA1895" i="1"/>
  <c r="AB1895" i="1"/>
  <c r="AC1895" i="1"/>
  <c r="Y1896" i="1"/>
  <c r="Z1896" i="1" a="1"/>
  <c r="Z1896" i="1" s="1"/>
  <c r="AA1896" i="1"/>
  <c r="AB1896" i="1"/>
  <c r="AC1896" i="1"/>
  <c r="Y1897" i="1"/>
  <c r="Z1897" i="1" a="1"/>
  <c r="Z1897" i="1" s="1"/>
  <c r="AA1897" i="1"/>
  <c r="AB1897" i="1"/>
  <c r="AC1897" i="1" s="1"/>
  <c r="Y1898" i="1"/>
  <c r="Z1898" i="1" a="1"/>
  <c r="Z1898" i="1" s="1"/>
  <c r="AA1898" i="1"/>
  <c r="AB1898" i="1"/>
  <c r="AC1898" i="1"/>
  <c r="Y1899" i="1"/>
  <c r="Z1899" i="1" a="1"/>
  <c r="Z1899" i="1" s="1"/>
  <c r="AA1899" i="1"/>
  <c r="AB1899" i="1"/>
  <c r="AC1899" i="1"/>
  <c r="Y1900" i="1"/>
  <c r="Z1900" i="1" a="1"/>
  <c r="Z1900" i="1" s="1"/>
  <c r="AA1900" i="1"/>
  <c r="AB1900" i="1"/>
  <c r="AC1900" i="1" s="1"/>
  <c r="Y1901" i="1"/>
  <c r="Z1901" i="1" a="1"/>
  <c r="Z1901" i="1" s="1"/>
  <c r="AA1901" i="1"/>
  <c r="AB1901" i="1"/>
  <c r="AC1901" i="1"/>
  <c r="Y1902" i="1"/>
  <c r="Z1902" i="1" a="1"/>
  <c r="Z1902" i="1" s="1"/>
  <c r="AA1902" i="1"/>
  <c r="AB1902" i="1"/>
  <c r="AC1902" i="1" s="1"/>
  <c r="Y1903" i="1"/>
  <c r="Z1903" i="1" a="1"/>
  <c r="Z1903" i="1" s="1"/>
  <c r="AA1903" i="1"/>
  <c r="AB1903" i="1"/>
  <c r="AC1903" i="1" s="1"/>
  <c r="Y1904" i="1"/>
  <c r="Z1904" i="1" a="1"/>
  <c r="Z1904" i="1" s="1"/>
  <c r="AA1904" i="1"/>
  <c r="AB1904" i="1"/>
  <c r="AC1904" i="1" s="1"/>
  <c r="Y1905" i="1"/>
  <c r="Z1905" i="1" a="1"/>
  <c r="Z1905" i="1" s="1"/>
  <c r="AA1905" i="1"/>
  <c r="AB1905" i="1"/>
  <c r="AC1905" i="1"/>
  <c r="Y1906" i="1"/>
  <c r="Z1906" i="1" a="1"/>
  <c r="Z1906" i="1" s="1"/>
  <c r="AA1906" i="1"/>
  <c r="AB1906" i="1"/>
  <c r="AC1906" i="1"/>
  <c r="Y1907" i="1"/>
  <c r="Z1907" i="1" a="1"/>
  <c r="Z1907" i="1" s="1"/>
  <c r="AA1907" i="1"/>
  <c r="AB1907" i="1"/>
  <c r="AC1907" i="1" s="1"/>
  <c r="Y1908" i="1"/>
  <c r="Z1908" i="1" a="1"/>
  <c r="Z1908" i="1" s="1"/>
  <c r="AA1908" i="1"/>
  <c r="AB1908" i="1"/>
  <c r="AC1908" i="1" s="1"/>
  <c r="Y1909" i="1"/>
  <c r="Z1909" i="1" a="1"/>
  <c r="Z1909" i="1" s="1"/>
  <c r="AA1909" i="1"/>
  <c r="AB1909" i="1"/>
  <c r="AC1909" i="1" s="1"/>
  <c r="Y1910" i="1"/>
  <c r="Z1910" i="1" a="1"/>
  <c r="Z1910" i="1" s="1"/>
  <c r="AA1910" i="1"/>
  <c r="AB1910" i="1"/>
  <c r="AC1910" i="1"/>
  <c r="Y1911" i="1"/>
  <c r="Z1911" i="1" a="1"/>
  <c r="Z1911" i="1" s="1"/>
  <c r="AA1911" i="1"/>
  <c r="AB1911" i="1"/>
  <c r="AC1911" i="1" s="1"/>
  <c r="Y1912" i="1"/>
  <c r="Z1912" i="1" a="1"/>
  <c r="Z1912" i="1" s="1"/>
  <c r="AA1912" i="1"/>
  <c r="AB1912" i="1"/>
  <c r="AC1912" i="1" s="1"/>
  <c r="Y1913" i="1"/>
  <c r="Z1913" i="1" a="1"/>
  <c r="Z1913" i="1" s="1"/>
  <c r="AA1913" i="1"/>
  <c r="AB1913" i="1"/>
  <c r="AC1913" i="1" s="1"/>
  <c r="Y1914" i="1"/>
  <c r="Z1914" i="1" a="1"/>
  <c r="Z1914" i="1" s="1"/>
  <c r="AA1914" i="1"/>
  <c r="AB1914" i="1"/>
  <c r="AC1914" i="1"/>
  <c r="Y1915" i="1"/>
  <c r="Z1915" i="1" a="1"/>
  <c r="Z1915" i="1" s="1"/>
  <c r="AA1915" i="1"/>
  <c r="AB1915" i="1"/>
  <c r="AC1915" i="1"/>
  <c r="Y1916" i="1"/>
  <c r="Z1916" i="1" a="1"/>
  <c r="Z1916" i="1" s="1"/>
  <c r="AA1916" i="1"/>
  <c r="AB1916" i="1"/>
  <c r="AC1916" i="1" s="1"/>
  <c r="Y1917" i="1"/>
  <c r="Z1917" i="1" a="1"/>
  <c r="Z1917" i="1" s="1"/>
  <c r="AA1917" i="1"/>
  <c r="AB1917" i="1"/>
  <c r="AC1917" i="1" s="1"/>
  <c r="Y1918" i="1"/>
  <c r="Z1918" i="1" a="1"/>
  <c r="Z1918" i="1" s="1"/>
  <c r="AA1918" i="1"/>
  <c r="AB1918" i="1"/>
  <c r="AC1918" i="1" s="1"/>
  <c r="Y1919" i="1"/>
  <c r="Z1919" i="1" a="1"/>
  <c r="Z1919" i="1" s="1"/>
  <c r="AA1919" i="1"/>
  <c r="AB1919" i="1"/>
  <c r="AC1919" i="1" s="1"/>
  <c r="Y1920" i="1"/>
  <c r="Z1920" i="1" a="1"/>
  <c r="Z1920" i="1" s="1"/>
  <c r="AA1920" i="1"/>
  <c r="AB1920" i="1"/>
  <c r="AC1920" i="1"/>
  <c r="Y1921" i="1"/>
  <c r="Z1921" i="1" a="1"/>
  <c r="Z1921" i="1" s="1"/>
  <c r="AA1921" i="1"/>
  <c r="AB1921" i="1"/>
  <c r="AC1921" i="1" s="1"/>
  <c r="Y1922" i="1"/>
  <c r="Z1922" i="1" a="1"/>
  <c r="Z1922" i="1" s="1"/>
  <c r="AA1922" i="1"/>
  <c r="AB1922" i="1"/>
  <c r="AC1922" i="1"/>
  <c r="Y1923" i="1"/>
  <c r="Z1923" i="1" a="1"/>
  <c r="Z1923" i="1" s="1"/>
  <c r="AA1923" i="1"/>
  <c r="AB1923" i="1"/>
  <c r="AC1923" i="1" s="1"/>
  <c r="Y1924" i="1"/>
  <c r="Z1924" i="1" a="1"/>
  <c r="Z1924" i="1" s="1"/>
  <c r="AA1924" i="1"/>
  <c r="AB1924" i="1"/>
  <c r="AC1924" i="1"/>
  <c r="Y1925" i="1"/>
  <c r="Z1925" i="1" a="1"/>
  <c r="Z1925" i="1" s="1"/>
  <c r="AA1925" i="1"/>
  <c r="AB1925" i="1"/>
  <c r="AC1925" i="1"/>
  <c r="Y1926" i="1"/>
  <c r="Z1926" i="1" a="1"/>
  <c r="Z1926" i="1" s="1"/>
  <c r="AA1926" i="1"/>
  <c r="AB1926" i="1"/>
  <c r="AC1926" i="1"/>
  <c r="Y1927" i="1"/>
  <c r="Z1927" i="1" a="1"/>
  <c r="Z1927" i="1" s="1"/>
  <c r="AA1927" i="1"/>
  <c r="AB1927" i="1"/>
  <c r="AC1927" i="1" s="1"/>
  <c r="Y1928" i="1"/>
  <c r="Z1928" i="1" a="1"/>
  <c r="Z1928" i="1" s="1"/>
  <c r="AA1928" i="1"/>
  <c r="AB1928" i="1"/>
  <c r="AC1928" i="1"/>
  <c r="Y1929" i="1"/>
  <c r="Z1929" i="1" a="1"/>
  <c r="Z1929" i="1" s="1"/>
  <c r="AA1929" i="1"/>
  <c r="AB1929" i="1"/>
  <c r="AC1929" i="1"/>
  <c r="Y1930" i="1"/>
  <c r="Z1930" i="1" a="1"/>
  <c r="Z1930" i="1" s="1"/>
  <c r="AA1930" i="1"/>
  <c r="AB1930" i="1"/>
  <c r="AC1930" i="1"/>
  <c r="Y1931" i="1"/>
  <c r="Z1931" i="1" a="1"/>
  <c r="Z1931" i="1" s="1"/>
  <c r="AA1931" i="1"/>
  <c r="AB1931" i="1"/>
  <c r="AC1931" i="1" s="1"/>
  <c r="Y1932" i="1"/>
  <c r="Z1932" i="1" a="1"/>
  <c r="Z1932" i="1" s="1"/>
  <c r="AA1932" i="1"/>
  <c r="AB1932" i="1"/>
  <c r="AC1932" i="1" s="1"/>
  <c r="Y1933" i="1"/>
  <c r="Z1933" i="1" a="1"/>
  <c r="Z1933" i="1" s="1"/>
  <c r="AA1933" i="1"/>
  <c r="AB1933" i="1"/>
  <c r="AC1933" i="1" s="1"/>
  <c r="Y1934" i="1"/>
  <c r="Z1934" i="1" a="1"/>
  <c r="Z1934" i="1" s="1"/>
  <c r="AA1934" i="1"/>
  <c r="AB1934" i="1"/>
  <c r="AC1934" i="1" s="1"/>
  <c r="Y1935" i="1"/>
  <c r="Z1935" i="1" a="1"/>
  <c r="Z1935" i="1" s="1"/>
  <c r="AA1935" i="1"/>
  <c r="AB1935" i="1"/>
  <c r="AC1935" i="1"/>
  <c r="Y1936" i="1"/>
  <c r="Z1936" i="1" a="1"/>
  <c r="Z1936" i="1" s="1"/>
  <c r="AA1936" i="1"/>
  <c r="AB1936" i="1"/>
  <c r="AC1936" i="1" s="1"/>
  <c r="Y1937" i="1"/>
  <c r="Z1937" i="1" a="1"/>
  <c r="Z1937" i="1" s="1"/>
  <c r="AA1937" i="1"/>
  <c r="AB1937" i="1"/>
  <c r="AC1937" i="1" s="1"/>
  <c r="Y1938" i="1"/>
  <c r="Z1938" i="1" a="1"/>
  <c r="Z1938" i="1" s="1"/>
  <c r="AA1938" i="1"/>
  <c r="AB1938" i="1"/>
  <c r="AC1938" i="1"/>
  <c r="Y1939" i="1"/>
  <c r="Z1939" i="1" a="1"/>
  <c r="Z1939" i="1" s="1"/>
  <c r="AA1939" i="1"/>
  <c r="AB1939" i="1"/>
  <c r="AC1939" i="1"/>
  <c r="Y1940" i="1"/>
  <c r="Z1940" i="1" a="1"/>
  <c r="Z1940" i="1" s="1"/>
  <c r="AA1940" i="1"/>
  <c r="AB1940" i="1"/>
  <c r="AC1940" i="1" s="1"/>
  <c r="Y1941" i="1"/>
  <c r="Z1941" i="1" a="1"/>
  <c r="Z1941" i="1" s="1"/>
  <c r="AA1941" i="1"/>
  <c r="AB1941" i="1"/>
  <c r="AC1941" i="1" s="1"/>
  <c r="Y1942" i="1"/>
  <c r="Z1942" i="1" a="1"/>
  <c r="Z1942" i="1" s="1"/>
  <c r="AA1942" i="1"/>
  <c r="AB1942" i="1"/>
  <c r="AC1942" i="1" s="1"/>
  <c r="Y1943" i="1"/>
  <c r="Z1943" i="1" a="1"/>
  <c r="Z1943" i="1" s="1"/>
  <c r="AA1943" i="1"/>
  <c r="AB1943" i="1"/>
  <c r="AC1943" i="1" s="1"/>
  <c r="Y1944" i="1"/>
  <c r="Z1944" i="1" a="1"/>
  <c r="Z1944" i="1" s="1"/>
  <c r="AA1944" i="1"/>
  <c r="AB1944" i="1"/>
  <c r="AC1944" i="1"/>
  <c r="Y1945" i="1"/>
  <c r="Z1945" i="1" a="1"/>
  <c r="Z1945" i="1" s="1"/>
  <c r="AA1945" i="1"/>
  <c r="AB1945" i="1"/>
  <c r="AC1945" i="1"/>
  <c r="Y1946" i="1"/>
  <c r="Z1946" i="1" a="1"/>
  <c r="Z1946" i="1" s="1"/>
  <c r="AA1946" i="1"/>
  <c r="AB1946" i="1"/>
  <c r="AC1946" i="1"/>
  <c r="Y1947" i="1"/>
  <c r="Z1947" i="1" a="1"/>
  <c r="Z1947" i="1" s="1"/>
  <c r="AA1947" i="1"/>
  <c r="AB1947" i="1"/>
  <c r="AC1947" i="1"/>
  <c r="Y1948" i="1"/>
  <c r="Z1948" i="1" a="1"/>
  <c r="Z1948" i="1" s="1"/>
  <c r="AA1948" i="1"/>
  <c r="AB1948" i="1"/>
  <c r="AC1948" i="1"/>
  <c r="Y1949" i="1"/>
  <c r="Z1949" i="1" a="1"/>
  <c r="Z1949" i="1" s="1"/>
  <c r="AA1949" i="1"/>
  <c r="AB1949" i="1"/>
  <c r="AC1949" i="1" s="1"/>
  <c r="Y1950" i="1"/>
  <c r="Z1950" i="1" a="1"/>
  <c r="Z1950" i="1" s="1"/>
  <c r="AA1950" i="1"/>
  <c r="AB1950" i="1"/>
  <c r="AC1950" i="1"/>
  <c r="Y1951" i="1"/>
  <c r="Z1951" i="1" a="1"/>
  <c r="Z1951" i="1" s="1"/>
  <c r="AA1951" i="1"/>
  <c r="AB1951" i="1"/>
  <c r="AC1951" i="1" s="1"/>
  <c r="Y1952" i="1"/>
  <c r="Z1952" i="1" a="1"/>
  <c r="Z1952" i="1" s="1"/>
  <c r="AA1952" i="1"/>
  <c r="AB1952" i="1"/>
  <c r="AC1952" i="1" s="1"/>
  <c r="Y1953" i="1"/>
  <c r="Z1953" i="1" a="1"/>
  <c r="Z1953" i="1" s="1"/>
  <c r="AA1953" i="1"/>
  <c r="AB1953" i="1"/>
  <c r="AC1953" i="1" s="1"/>
  <c r="Y1954" i="1"/>
  <c r="Z1954" i="1" a="1"/>
  <c r="Z1954" i="1" s="1"/>
  <c r="AA1954" i="1"/>
  <c r="AB1954" i="1"/>
  <c r="AC1954" i="1"/>
  <c r="Y1955" i="1"/>
  <c r="Z1955" i="1" a="1"/>
  <c r="Z1955" i="1" s="1"/>
  <c r="AA1955" i="1"/>
  <c r="AB1955" i="1"/>
  <c r="AC1955" i="1" s="1"/>
  <c r="Y1956" i="1"/>
  <c r="Z1956" i="1" a="1"/>
  <c r="Z1956" i="1" s="1"/>
  <c r="AA1956" i="1"/>
  <c r="AB1956" i="1"/>
  <c r="AC1956" i="1" s="1"/>
  <c r="Y1957" i="1"/>
  <c r="Z1957" i="1" a="1"/>
  <c r="Z1957" i="1" s="1"/>
  <c r="AA1957" i="1"/>
  <c r="AB1957" i="1"/>
  <c r="AC1957" i="1" s="1"/>
  <c r="Y1958" i="1"/>
  <c r="Z1958" i="1" a="1"/>
  <c r="Z1958" i="1" s="1"/>
  <c r="AA1958" i="1"/>
  <c r="AB1958" i="1"/>
  <c r="AC1958" i="1" s="1"/>
  <c r="Y1959" i="1"/>
  <c r="Z1959" i="1" a="1"/>
  <c r="Z1959" i="1" s="1"/>
  <c r="AA1959" i="1"/>
  <c r="AB1959" i="1"/>
  <c r="AC1959" i="1"/>
  <c r="Y1960" i="1"/>
  <c r="Z1960" i="1" a="1"/>
  <c r="Z1960" i="1" s="1"/>
  <c r="AA1960" i="1"/>
  <c r="AB1960" i="1"/>
  <c r="AC1960" i="1" s="1"/>
  <c r="Y1961" i="1"/>
  <c r="Z1961" i="1" a="1"/>
  <c r="Z1961" i="1" s="1"/>
  <c r="AA1961" i="1"/>
  <c r="AB1961" i="1"/>
  <c r="AC1961" i="1" s="1"/>
  <c r="Y1962" i="1"/>
  <c r="Z1962" i="1" a="1"/>
  <c r="Z1962" i="1" s="1"/>
  <c r="AA1962" i="1"/>
  <c r="AB1962" i="1"/>
  <c r="AC1962" i="1"/>
  <c r="Y1963" i="1"/>
  <c r="Z1963" i="1" a="1"/>
  <c r="Z1963" i="1" s="1"/>
  <c r="AA1963" i="1"/>
  <c r="AB1963" i="1"/>
  <c r="AC1963" i="1"/>
  <c r="Y1964" i="1"/>
  <c r="Z1964" i="1" a="1"/>
  <c r="Z1964" i="1" s="1"/>
  <c r="AA1964" i="1"/>
  <c r="AB1964" i="1"/>
  <c r="AC1964" i="1"/>
  <c r="Y1965" i="1"/>
  <c r="Z1965" i="1" a="1"/>
  <c r="Z1965" i="1" s="1"/>
  <c r="AA1965" i="1"/>
  <c r="AB1965" i="1"/>
  <c r="AC1965" i="1"/>
  <c r="Y1966" i="1"/>
  <c r="Z1966" i="1" a="1"/>
  <c r="Z1966" i="1" s="1"/>
  <c r="AA1966" i="1"/>
  <c r="AB1966" i="1"/>
  <c r="AC1966" i="1" s="1"/>
  <c r="Y1967" i="1"/>
  <c r="Z1967" i="1" a="1"/>
  <c r="Z1967" i="1" s="1"/>
  <c r="AA1967" i="1"/>
  <c r="AB1967" i="1"/>
  <c r="AC1967" i="1" s="1"/>
  <c r="Y1968" i="1"/>
  <c r="Z1968" i="1" a="1"/>
  <c r="Z1968" i="1" s="1"/>
  <c r="AA1968" i="1"/>
  <c r="AB1968" i="1"/>
  <c r="AC1968" i="1" s="1"/>
  <c r="Y1969" i="1"/>
  <c r="Z1969" i="1" a="1"/>
  <c r="Z1969" i="1" s="1"/>
  <c r="AA1969" i="1"/>
  <c r="AB1969" i="1"/>
  <c r="AC1969" i="1"/>
  <c r="Y1970" i="1"/>
  <c r="Z1970" i="1" a="1"/>
  <c r="Z1970" i="1" s="1"/>
  <c r="AA1970" i="1"/>
  <c r="AB1970" i="1"/>
  <c r="AC1970" i="1"/>
  <c r="Y1971" i="1"/>
  <c r="Z1971" i="1" a="1"/>
  <c r="Z1971" i="1" s="1"/>
  <c r="AA1971" i="1"/>
  <c r="AB1971" i="1"/>
  <c r="AC1971" i="1" s="1"/>
  <c r="Y1972" i="1"/>
  <c r="Z1972" i="1" a="1"/>
  <c r="Z1972" i="1" s="1"/>
  <c r="AA1972" i="1"/>
  <c r="AB1972" i="1"/>
  <c r="AC1972" i="1" s="1"/>
  <c r="Y1973" i="1"/>
  <c r="Z1973" i="1" a="1"/>
  <c r="Z1973" i="1" s="1"/>
  <c r="AA1973" i="1"/>
  <c r="AB1973" i="1"/>
  <c r="AC1973" i="1" s="1"/>
  <c r="Y1974" i="1"/>
  <c r="Z1974" i="1" a="1"/>
  <c r="Z1974" i="1" s="1"/>
  <c r="AA1974" i="1"/>
  <c r="AB1974" i="1"/>
  <c r="AC1974" i="1"/>
  <c r="Y1975" i="1"/>
  <c r="Z1975" i="1" a="1"/>
  <c r="Z1975" i="1" s="1"/>
  <c r="AA1975" i="1"/>
  <c r="AB1975" i="1"/>
  <c r="AC1975" i="1"/>
  <c r="Y1976" i="1"/>
  <c r="Z1976" i="1" a="1"/>
  <c r="Z1976" i="1" s="1"/>
  <c r="AA1976" i="1"/>
  <c r="AB1976" i="1"/>
  <c r="AC1976" i="1" s="1"/>
  <c r="Y1977" i="1"/>
  <c r="Z1977" i="1" a="1"/>
  <c r="Z1977" i="1" s="1"/>
  <c r="AA1977" i="1"/>
  <c r="AB1977" i="1"/>
  <c r="AC1977" i="1"/>
  <c r="Y1978" i="1"/>
  <c r="Z1978" i="1" a="1"/>
  <c r="Z1978" i="1" s="1"/>
  <c r="AA1978" i="1"/>
  <c r="AB1978" i="1"/>
  <c r="AC1978" i="1"/>
  <c r="Y1979" i="1"/>
  <c r="Z1979" i="1" a="1"/>
  <c r="Z1979" i="1" s="1"/>
  <c r="AA1979" i="1"/>
  <c r="AB1979" i="1"/>
  <c r="AC1979" i="1" s="1"/>
  <c r="Y1980" i="1"/>
  <c r="Z1980" i="1" a="1"/>
  <c r="Z1980" i="1" s="1"/>
  <c r="AA1980" i="1"/>
  <c r="AB1980" i="1"/>
  <c r="AC1980" i="1" s="1"/>
  <c r="Y1981" i="1"/>
  <c r="Z1981" i="1" a="1"/>
  <c r="Z1981" i="1" s="1"/>
  <c r="AA1981" i="1"/>
  <c r="AB1981" i="1"/>
  <c r="AC1981" i="1" s="1"/>
  <c r="Y1982" i="1"/>
  <c r="Z1982" i="1" a="1"/>
  <c r="Z1982" i="1" s="1"/>
  <c r="AA1982" i="1"/>
  <c r="AB1982" i="1"/>
  <c r="AC1982" i="1" s="1"/>
  <c r="Y1983" i="1"/>
  <c r="Z1983" i="1" a="1"/>
  <c r="Z1983" i="1" s="1"/>
  <c r="AA1983" i="1"/>
  <c r="AB1983" i="1"/>
  <c r="AC1983" i="1" s="1"/>
  <c r="Y1984" i="1"/>
  <c r="Z1984" i="1" a="1"/>
  <c r="Z1984" i="1" s="1"/>
  <c r="AA1984" i="1"/>
  <c r="AB1984" i="1"/>
  <c r="AC1984" i="1"/>
  <c r="Y1985" i="1"/>
  <c r="Z1985" i="1" a="1"/>
  <c r="Z1985" i="1" s="1"/>
  <c r="AA1985" i="1"/>
  <c r="AB1985" i="1"/>
  <c r="AC1985" i="1" s="1"/>
  <c r="Y1986" i="1"/>
  <c r="Z1986" i="1" a="1"/>
  <c r="Z1986" i="1" s="1"/>
  <c r="AA1986" i="1"/>
  <c r="AB1986" i="1"/>
  <c r="AC1986" i="1"/>
  <c r="Y1987" i="1"/>
  <c r="Z1987" i="1" a="1"/>
  <c r="Z1987" i="1" s="1"/>
  <c r="AA1987" i="1"/>
  <c r="AB1987" i="1"/>
  <c r="AC1987" i="1" s="1"/>
  <c r="Y1988" i="1"/>
  <c r="Z1988" i="1" a="1"/>
  <c r="Z1988" i="1" s="1"/>
  <c r="AA1988" i="1"/>
  <c r="AB1988" i="1"/>
  <c r="AC1988" i="1"/>
  <c r="Y1989" i="1"/>
  <c r="Z1989" i="1" a="1"/>
  <c r="Z1989" i="1" s="1"/>
  <c r="AA1989" i="1"/>
  <c r="AB1989" i="1"/>
  <c r="AC1989" i="1"/>
  <c r="Y1990" i="1"/>
  <c r="Z1990" i="1" a="1"/>
  <c r="Z1990" i="1" s="1"/>
  <c r="AA1990" i="1"/>
  <c r="AB1990" i="1"/>
  <c r="AC1990" i="1" s="1"/>
  <c r="Y1991" i="1"/>
  <c r="Z1991" i="1" a="1"/>
  <c r="Z1991" i="1" s="1"/>
  <c r="AA1991" i="1"/>
  <c r="AB1991" i="1"/>
  <c r="AC1991" i="1" s="1"/>
  <c r="Y1992" i="1"/>
  <c r="Z1992" i="1" a="1"/>
  <c r="Z1992" i="1" s="1"/>
  <c r="AA1992" i="1"/>
  <c r="AB1992" i="1"/>
  <c r="AC1992" i="1" s="1"/>
  <c r="Y1993" i="1"/>
  <c r="Z1993" i="1" a="1"/>
  <c r="Z1993" i="1" s="1"/>
  <c r="AA1993" i="1"/>
  <c r="AB1993" i="1"/>
  <c r="AC1993" i="1"/>
  <c r="Y1994" i="1"/>
  <c r="Z1994" i="1" a="1"/>
  <c r="Z1994" i="1" s="1"/>
  <c r="AA1994" i="1"/>
  <c r="AB1994" i="1"/>
  <c r="AC1994" i="1"/>
  <c r="Y1995" i="1"/>
  <c r="Z1995" i="1" a="1"/>
  <c r="Z1995" i="1" s="1"/>
  <c r="AA1995" i="1"/>
  <c r="AB1995" i="1"/>
  <c r="AC1995" i="1" s="1"/>
  <c r="Y1996" i="1"/>
  <c r="Z1996" i="1" a="1"/>
  <c r="Z1996" i="1" s="1"/>
  <c r="AA1996" i="1"/>
  <c r="AB1996" i="1"/>
  <c r="AC1996" i="1"/>
  <c r="Y1997" i="1"/>
  <c r="Z1997" i="1" a="1"/>
  <c r="Z1997" i="1" s="1"/>
  <c r="AA1997" i="1"/>
  <c r="AB1997" i="1"/>
  <c r="AC1997" i="1" s="1"/>
  <c r="Y1998" i="1"/>
  <c r="Z1998" i="1" a="1"/>
  <c r="Z1998" i="1" s="1"/>
  <c r="AA1998" i="1"/>
  <c r="AB1998" i="1"/>
  <c r="AC1998" i="1" s="1"/>
  <c r="Y1999" i="1"/>
  <c r="Z1999" i="1" a="1"/>
  <c r="Z1999" i="1" s="1"/>
  <c r="AA1999" i="1"/>
  <c r="AB1999" i="1"/>
  <c r="AC1999" i="1"/>
  <c r="Y2000" i="1"/>
  <c r="Z2000" i="1" a="1"/>
  <c r="Z2000" i="1" s="1"/>
  <c r="AA2000" i="1"/>
  <c r="AB2000" i="1"/>
  <c r="AC2000" i="1" s="1"/>
  <c r="Y2001" i="1"/>
  <c r="Z2001" i="1" a="1"/>
  <c r="Z2001" i="1" s="1"/>
  <c r="AA2001" i="1"/>
  <c r="AB2001" i="1"/>
  <c r="AC2001" i="1" s="1"/>
  <c r="Y2002" i="1"/>
  <c r="Z2002" i="1" a="1"/>
  <c r="Z2002" i="1" s="1"/>
  <c r="AA2002" i="1"/>
  <c r="AB2002" i="1"/>
  <c r="AC2002" i="1"/>
  <c r="Y2003" i="1"/>
  <c r="Z2003" i="1" a="1"/>
  <c r="Z2003" i="1" s="1"/>
  <c r="AA2003" i="1"/>
  <c r="AB2003" i="1"/>
  <c r="AC2003" i="1"/>
  <c r="Y2004" i="1"/>
  <c r="Z2004" i="1" a="1"/>
  <c r="Z2004" i="1" s="1"/>
  <c r="AA2004" i="1"/>
  <c r="AB2004" i="1"/>
  <c r="AC2004" i="1" s="1"/>
  <c r="Y2005" i="1"/>
  <c r="Z2005" i="1" a="1"/>
  <c r="Z2005" i="1" s="1"/>
  <c r="AA2005" i="1"/>
  <c r="AB2005" i="1"/>
  <c r="AC2005" i="1"/>
  <c r="Y2006" i="1"/>
  <c r="Z2006" i="1" a="1"/>
  <c r="Z2006" i="1" s="1"/>
  <c r="AA2006" i="1"/>
  <c r="AB2006" i="1"/>
  <c r="AC2006" i="1" s="1"/>
  <c r="Y2007" i="1"/>
  <c r="Z2007" i="1" a="1"/>
  <c r="Z2007" i="1" s="1"/>
  <c r="AA2007" i="1"/>
  <c r="AB2007" i="1"/>
  <c r="AC2007" i="1" s="1"/>
  <c r="Y2008" i="1"/>
  <c r="Z2008" i="1" a="1"/>
  <c r="Z2008" i="1" s="1"/>
  <c r="AA2008" i="1"/>
  <c r="AB2008" i="1"/>
  <c r="AC2008" i="1"/>
  <c r="Y2009" i="1"/>
  <c r="Z2009" i="1" a="1"/>
  <c r="Z2009" i="1" s="1"/>
  <c r="AA2009" i="1"/>
  <c r="AB2009" i="1"/>
  <c r="AC2009" i="1" s="1"/>
  <c r="Y2010" i="1"/>
  <c r="Z2010" i="1" a="1"/>
  <c r="Z2010" i="1" s="1"/>
  <c r="AA2010" i="1"/>
  <c r="AB2010" i="1"/>
  <c r="AC2010" i="1"/>
  <c r="Y2011" i="1"/>
  <c r="Z2011" i="1" a="1"/>
  <c r="Z2011" i="1" s="1"/>
  <c r="AA2011" i="1"/>
  <c r="AB2011" i="1"/>
  <c r="AC2011" i="1" s="1"/>
  <c r="Y2012" i="1"/>
  <c r="Z2012" i="1" a="1"/>
  <c r="Z2012" i="1" s="1"/>
  <c r="AA2012" i="1"/>
  <c r="AB2012" i="1"/>
  <c r="AC2012" i="1"/>
  <c r="Y2013" i="1"/>
  <c r="Z2013" i="1" a="1"/>
  <c r="Z2013" i="1" s="1"/>
  <c r="AA2013" i="1"/>
  <c r="AB2013" i="1"/>
  <c r="AC2013" i="1" s="1"/>
  <c r="Y2014" i="1"/>
  <c r="Z2014" i="1" a="1"/>
  <c r="Z2014" i="1" s="1"/>
  <c r="AA2014" i="1"/>
  <c r="AB2014" i="1"/>
  <c r="AC2014" i="1"/>
  <c r="Y2015" i="1"/>
  <c r="Z2015" i="1" a="1"/>
  <c r="Z2015" i="1" s="1"/>
  <c r="AA2015" i="1"/>
  <c r="AB2015" i="1"/>
  <c r="AC2015" i="1" s="1"/>
  <c r="Y2016" i="1"/>
  <c r="Z2016" i="1" a="1"/>
  <c r="Z2016" i="1" s="1"/>
  <c r="AA2016" i="1"/>
  <c r="AB2016" i="1"/>
  <c r="AC2016" i="1" s="1"/>
  <c r="Y2017" i="1"/>
  <c r="Z2017" i="1" a="1"/>
  <c r="Z2017" i="1" s="1"/>
  <c r="AA2017" i="1"/>
  <c r="AB2017" i="1"/>
  <c r="AC2017" i="1" s="1"/>
  <c r="Y2018" i="1"/>
  <c r="Z2018" i="1" a="1"/>
  <c r="Z2018" i="1" s="1"/>
  <c r="AA2018" i="1"/>
  <c r="AB2018" i="1"/>
  <c r="AC2018" i="1"/>
  <c r="Y2019" i="1"/>
  <c r="Z2019" i="1" a="1"/>
  <c r="Z2019" i="1" s="1"/>
  <c r="AA2019" i="1"/>
  <c r="AB2019" i="1"/>
  <c r="AC2019" i="1" s="1"/>
  <c r="Y2020" i="1"/>
  <c r="Z2020" i="1" a="1"/>
  <c r="Z2020" i="1" s="1"/>
  <c r="AA2020" i="1"/>
  <c r="AB2020" i="1"/>
  <c r="AC2020" i="1" s="1"/>
  <c r="Y2021" i="1"/>
  <c r="Z2021" i="1" a="1"/>
  <c r="Z2021" i="1" s="1"/>
  <c r="AA2021" i="1"/>
  <c r="AB2021" i="1"/>
  <c r="AC2021" i="1" s="1"/>
  <c r="Y2022" i="1"/>
  <c r="Z2022" i="1" a="1"/>
  <c r="Z2022" i="1" s="1"/>
  <c r="AA2022" i="1"/>
  <c r="AB2022" i="1"/>
  <c r="AC2022" i="1" s="1"/>
  <c r="Y2023" i="1"/>
  <c r="Z2023" i="1" a="1"/>
  <c r="Z2023" i="1" s="1"/>
  <c r="AA2023" i="1"/>
  <c r="AB2023" i="1"/>
  <c r="AC2023" i="1"/>
  <c r="Y2024" i="1"/>
  <c r="Z2024" i="1" a="1"/>
  <c r="Z2024" i="1" s="1"/>
  <c r="AA2024" i="1"/>
  <c r="AB2024" i="1"/>
  <c r="AC2024" i="1"/>
  <c r="Y2025" i="1"/>
  <c r="Z2025" i="1" a="1"/>
  <c r="Z2025" i="1" s="1"/>
  <c r="AA2025" i="1"/>
  <c r="AB2025" i="1"/>
  <c r="AC2025" i="1" s="1"/>
  <c r="Y2026" i="1"/>
  <c r="Z2026" i="1" a="1"/>
  <c r="Z2026" i="1" s="1"/>
  <c r="AA2026" i="1"/>
  <c r="AB2026" i="1"/>
  <c r="AC2026" i="1"/>
  <c r="Y2027" i="1"/>
  <c r="Z2027" i="1" a="1"/>
  <c r="Z2027" i="1" s="1"/>
  <c r="AA2027" i="1"/>
  <c r="AB2027" i="1"/>
  <c r="AC2027" i="1"/>
  <c r="Y2028" i="1"/>
  <c r="Z2028" i="1" a="1"/>
  <c r="Z2028" i="1" s="1"/>
  <c r="AA2028" i="1"/>
  <c r="AB2028" i="1"/>
  <c r="AC2028" i="1" s="1"/>
  <c r="Y2029" i="1"/>
  <c r="Z2029" i="1" a="1"/>
  <c r="Z2029" i="1" s="1"/>
  <c r="AA2029" i="1"/>
  <c r="AB2029" i="1"/>
  <c r="AC2029" i="1"/>
  <c r="Y2030" i="1"/>
  <c r="Z2030" i="1" a="1"/>
  <c r="Z2030" i="1" s="1"/>
  <c r="AA2030" i="1"/>
  <c r="AB2030" i="1"/>
  <c r="AC2030" i="1" s="1"/>
  <c r="Y2031" i="1"/>
  <c r="Z2031" i="1" a="1"/>
  <c r="Z2031" i="1" s="1"/>
  <c r="AA2031" i="1"/>
  <c r="AB2031" i="1"/>
  <c r="AC2031" i="1" s="1"/>
  <c r="Y2032" i="1"/>
  <c r="Z2032" i="1" a="1"/>
  <c r="Z2032" i="1" s="1"/>
  <c r="AA2032" i="1"/>
  <c r="AB2032" i="1"/>
  <c r="AC2032" i="1" s="1"/>
  <c r="Y2033" i="1"/>
  <c r="Z2033" i="1" a="1"/>
  <c r="Z2033" i="1" s="1"/>
  <c r="AA2033" i="1"/>
  <c r="AB2033" i="1"/>
  <c r="AC2033" i="1"/>
  <c r="Y2034" i="1"/>
  <c r="Z2034" i="1" a="1"/>
  <c r="Z2034" i="1" s="1"/>
  <c r="AA2034" i="1"/>
  <c r="AB2034" i="1"/>
  <c r="AC2034" i="1"/>
  <c r="Y2035" i="1"/>
  <c r="Z2035" i="1" a="1"/>
  <c r="Z2035" i="1" s="1"/>
  <c r="AA2035" i="1"/>
  <c r="AB2035" i="1"/>
  <c r="AC2035" i="1" s="1"/>
  <c r="Y2036" i="1"/>
  <c r="Z2036" i="1" a="1"/>
  <c r="Z2036" i="1" s="1"/>
  <c r="AA2036" i="1"/>
  <c r="AB2036" i="1"/>
  <c r="AC2036" i="1" s="1"/>
  <c r="Y2037" i="1"/>
  <c r="Z2037" i="1" a="1"/>
  <c r="Z2037" i="1" s="1"/>
  <c r="AA2037" i="1"/>
  <c r="AB2037" i="1"/>
  <c r="AC2037" i="1" s="1"/>
  <c r="Y2038" i="1"/>
  <c r="Z2038" i="1" a="1"/>
  <c r="Z2038" i="1" s="1"/>
  <c r="AA2038" i="1"/>
  <c r="AB2038" i="1"/>
  <c r="AC2038" i="1"/>
  <c r="Y2039" i="1"/>
  <c r="Z2039" i="1" a="1"/>
  <c r="Z2039" i="1" s="1"/>
  <c r="AA2039" i="1"/>
  <c r="AB2039" i="1"/>
  <c r="AC2039" i="1" s="1"/>
  <c r="Y2040" i="1"/>
  <c r="Z2040" i="1" a="1"/>
  <c r="Z2040" i="1" s="1"/>
  <c r="AA2040" i="1"/>
  <c r="AB2040" i="1"/>
  <c r="AC2040" i="1" s="1"/>
  <c r="Y2041" i="1"/>
  <c r="Z2041" i="1" a="1"/>
  <c r="Z2041" i="1" s="1"/>
  <c r="AA2041" i="1"/>
  <c r="AB2041" i="1"/>
  <c r="AC2041" i="1" s="1"/>
  <c r="Y2042" i="1"/>
  <c r="Z2042" i="1" a="1"/>
  <c r="Z2042" i="1" s="1"/>
  <c r="AA2042" i="1"/>
  <c r="AB2042" i="1"/>
  <c r="AC2042" i="1"/>
  <c r="Y2043" i="1"/>
  <c r="Z2043" i="1" a="1"/>
  <c r="Z2043" i="1" s="1"/>
  <c r="AA2043" i="1"/>
  <c r="AB2043" i="1"/>
  <c r="AC2043" i="1"/>
  <c r="Y2044" i="1"/>
  <c r="Z2044" i="1" a="1"/>
  <c r="Z2044" i="1" s="1"/>
  <c r="AA2044" i="1"/>
  <c r="AB2044" i="1"/>
  <c r="AC2044" i="1" s="1"/>
  <c r="Y2045" i="1"/>
  <c r="Z2045" i="1" a="1"/>
  <c r="Z2045" i="1" s="1"/>
  <c r="AA2045" i="1"/>
  <c r="AB2045" i="1"/>
  <c r="AC2045" i="1" s="1"/>
  <c r="Y2046" i="1"/>
  <c r="Z2046" i="1" a="1"/>
  <c r="Z2046" i="1" s="1"/>
  <c r="AA2046" i="1"/>
  <c r="AB2046" i="1"/>
  <c r="AC2046" i="1" s="1"/>
  <c r="Y2047" i="1"/>
  <c r="Z2047" i="1" a="1"/>
  <c r="Z2047" i="1" s="1"/>
  <c r="AA2047" i="1"/>
  <c r="AB2047" i="1"/>
  <c r="AC2047" i="1" s="1"/>
  <c r="Y2048" i="1"/>
  <c r="Z2048" i="1" a="1"/>
  <c r="Z2048" i="1" s="1"/>
  <c r="AA2048" i="1"/>
  <c r="AB2048" i="1"/>
  <c r="AC2048" i="1"/>
  <c r="Y2049" i="1"/>
  <c r="Z2049" i="1" a="1"/>
  <c r="Z2049" i="1" s="1"/>
  <c r="AA2049" i="1"/>
  <c r="AB2049" i="1"/>
  <c r="AC2049" i="1" s="1"/>
  <c r="Y2050" i="1"/>
  <c r="Z2050" i="1" a="1"/>
  <c r="Z2050" i="1" s="1"/>
  <c r="AA2050" i="1"/>
  <c r="AB2050" i="1"/>
  <c r="AC2050" i="1"/>
  <c r="Y2051" i="1"/>
  <c r="Z2051" i="1" a="1"/>
  <c r="Z2051" i="1" s="1"/>
  <c r="AA2051" i="1"/>
  <c r="AB2051" i="1"/>
  <c r="AC2051" i="1" s="1"/>
  <c r="Y2052" i="1"/>
  <c r="Z2052" i="1" a="1"/>
  <c r="Z2052" i="1" s="1"/>
  <c r="AA2052" i="1"/>
  <c r="AB2052" i="1"/>
  <c r="AC2052" i="1"/>
  <c r="Y2053" i="1"/>
  <c r="Z2053" i="1" a="1"/>
  <c r="Z2053" i="1" s="1"/>
  <c r="AA2053" i="1"/>
  <c r="AB2053" i="1"/>
  <c r="AC2053" i="1"/>
  <c r="Y2054" i="1"/>
  <c r="Z2054" i="1" a="1"/>
  <c r="Z2054" i="1" s="1"/>
  <c r="AA2054" i="1"/>
  <c r="AB2054" i="1"/>
  <c r="AC2054" i="1"/>
  <c r="Y2055" i="1"/>
  <c r="Z2055" i="1" a="1"/>
  <c r="Z2055" i="1" s="1"/>
  <c r="AA2055" i="1"/>
  <c r="AB2055" i="1"/>
  <c r="AC2055" i="1" s="1"/>
  <c r="Y2056" i="1"/>
  <c r="Z2056" i="1" a="1"/>
  <c r="Z2056" i="1" s="1"/>
  <c r="AA2056" i="1"/>
  <c r="AB2056" i="1"/>
  <c r="AC2056" i="1"/>
  <c r="Y2057" i="1"/>
  <c r="Z2057" i="1" a="1"/>
  <c r="Z2057" i="1" s="1"/>
  <c r="AA2057" i="1"/>
  <c r="AB2057" i="1"/>
  <c r="AC2057" i="1"/>
  <c r="Y2058" i="1"/>
  <c r="Z2058" i="1" a="1"/>
  <c r="Z2058" i="1" s="1"/>
  <c r="AA2058" i="1"/>
  <c r="AB2058" i="1"/>
  <c r="AC2058" i="1"/>
  <c r="Y2059" i="1"/>
  <c r="Z2059" i="1" a="1"/>
  <c r="Z2059" i="1" s="1"/>
  <c r="AA2059" i="1"/>
  <c r="AB2059" i="1"/>
  <c r="AC2059" i="1" s="1"/>
  <c r="Y2060" i="1"/>
  <c r="Z2060" i="1" a="1"/>
  <c r="Z2060" i="1" s="1"/>
  <c r="AA2060" i="1"/>
  <c r="AB2060" i="1"/>
  <c r="AC2060" i="1" s="1"/>
  <c r="Y2061" i="1"/>
  <c r="Z2061" i="1" a="1"/>
  <c r="Z2061" i="1" s="1"/>
  <c r="AA2061" i="1"/>
  <c r="AB2061" i="1"/>
  <c r="AC2061" i="1" s="1"/>
  <c r="Y2062" i="1"/>
  <c r="Z2062" i="1" a="1"/>
  <c r="Z2062" i="1" s="1"/>
  <c r="AA2062" i="1"/>
  <c r="AB2062" i="1"/>
  <c r="AC2062" i="1" s="1"/>
  <c r="Y2063" i="1"/>
  <c r="Z2063" i="1" a="1"/>
  <c r="Z2063" i="1" s="1"/>
  <c r="AA2063" i="1"/>
  <c r="AB2063" i="1"/>
  <c r="AC2063" i="1"/>
  <c r="Y2064" i="1"/>
  <c r="Z2064" i="1" a="1"/>
  <c r="Z2064" i="1" s="1"/>
  <c r="AA2064" i="1"/>
  <c r="AB2064" i="1"/>
  <c r="AC2064" i="1" s="1"/>
  <c r="Y2065" i="1"/>
  <c r="Z2065" i="1" a="1"/>
  <c r="Z2065" i="1" s="1"/>
  <c r="AA2065" i="1"/>
  <c r="AB2065" i="1"/>
  <c r="AC2065" i="1" s="1"/>
  <c r="Y2066" i="1"/>
  <c r="Z2066" i="1" a="1"/>
  <c r="Z2066" i="1" s="1"/>
  <c r="AA2066" i="1"/>
  <c r="AB2066" i="1"/>
  <c r="AC2066" i="1"/>
  <c r="Y2067" i="1"/>
  <c r="Z2067" i="1" a="1"/>
  <c r="Z2067" i="1" s="1"/>
  <c r="AA2067" i="1"/>
  <c r="AB2067" i="1"/>
  <c r="AC2067" i="1"/>
  <c r="Y2068" i="1"/>
  <c r="Z2068" i="1" a="1"/>
  <c r="Z2068" i="1" s="1"/>
  <c r="AA2068" i="1"/>
  <c r="AB2068" i="1"/>
  <c r="AC2068" i="1" s="1"/>
  <c r="Y2069" i="1"/>
  <c r="Z2069" i="1" a="1"/>
  <c r="Z2069" i="1" s="1"/>
  <c r="AA2069" i="1"/>
  <c r="AB2069" i="1"/>
  <c r="AC2069" i="1" s="1"/>
  <c r="Y2070" i="1"/>
  <c r="Z2070" i="1" a="1"/>
  <c r="Z2070" i="1" s="1"/>
  <c r="AA2070" i="1"/>
  <c r="AB2070" i="1"/>
  <c r="AC2070" i="1" s="1"/>
  <c r="Y2071" i="1"/>
  <c r="Z2071" i="1" a="1"/>
  <c r="Z2071" i="1" s="1"/>
  <c r="AA2071" i="1"/>
  <c r="AB2071" i="1"/>
  <c r="AC2071" i="1" s="1"/>
  <c r="Y2072" i="1"/>
  <c r="Z2072" i="1" a="1"/>
  <c r="Z2072" i="1" s="1"/>
  <c r="AA2072" i="1"/>
  <c r="AB2072" i="1"/>
  <c r="AC2072" i="1"/>
  <c r="Y2073" i="1"/>
  <c r="Z2073" i="1" a="1"/>
  <c r="Z2073" i="1" s="1"/>
  <c r="AA2073" i="1"/>
  <c r="AB2073" i="1"/>
  <c r="AC2073" i="1"/>
  <c r="Y2074" i="1"/>
  <c r="Z2074" i="1" a="1"/>
  <c r="Z2074" i="1" s="1"/>
  <c r="AA2074" i="1"/>
  <c r="AB2074" i="1"/>
  <c r="AC2074" i="1"/>
  <c r="Y2075" i="1"/>
  <c r="Z2075" i="1" a="1"/>
  <c r="Z2075" i="1" s="1"/>
  <c r="AA2075" i="1"/>
  <c r="AB2075" i="1"/>
  <c r="AC2075" i="1"/>
  <c r="Y2076" i="1"/>
  <c r="Z2076" i="1" a="1"/>
  <c r="Z2076" i="1" s="1"/>
  <c r="AA2076" i="1"/>
  <c r="AB2076" i="1"/>
  <c r="AC2076" i="1"/>
  <c r="Y2077" i="1"/>
  <c r="Z2077" i="1" a="1"/>
  <c r="Z2077" i="1" s="1"/>
  <c r="AA2077" i="1"/>
  <c r="AB2077" i="1"/>
  <c r="AC2077" i="1" s="1"/>
  <c r="Y2078" i="1"/>
  <c r="Z2078" i="1" a="1"/>
  <c r="Z2078" i="1"/>
  <c r="AA2078" i="1"/>
  <c r="AB2078" i="1"/>
  <c r="AC2078" i="1"/>
  <c r="Y2079" i="1"/>
  <c r="Z2079" i="1" a="1"/>
  <c r="Z2079" i="1" s="1"/>
  <c r="AA2079" i="1"/>
  <c r="AB2079" i="1"/>
  <c r="AC2079" i="1" s="1"/>
  <c r="Y2080" i="1"/>
  <c r="Z2080" i="1" a="1"/>
  <c r="Z2080" i="1" s="1"/>
  <c r="AA2080" i="1"/>
  <c r="AB2080" i="1"/>
  <c r="AC2080" i="1" s="1"/>
  <c r="Y2081" i="1"/>
  <c r="Z2081" i="1" a="1"/>
  <c r="Z2081" i="1" s="1"/>
  <c r="AA2081" i="1"/>
  <c r="AB2081" i="1"/>
  <c r="AC2081" i="1" s="1"/>
  <c r="Y2082" i="1"/>
  <c r="Z2082" i="1" a="1"/>
  <c r="Z2082" i="1" s="1"/>
  <c r="AA2082" i="1"/>
  <c r="AB2082" i="1"/>
  <c r="AC2082" i="1"/>
  <c r="Y2083" i="1"/>
  <c r="Z2083" i="1" a="1"/>
  <c r="Z2083" i="1" s="1"/>
  <c r="AA2083" i="1"/>
  <c r="AB2083" i="1"/>
  <c r="AC2083" i="1" s="1"/>
  <c r="Y2084" i="1"/>
  <c r="Z2084" i="1" a="1"/>
  <c r="Z2084" i="1" s="1"/>
  <c r="AA2084" i="1"/>
  <c r="AB2084" i="1"/>
  <c r="AC2084" i="1" s="1"/>
  <c r="Y2085" i="1"/>
  <c r="Z2085" i="1" a="1"/>
  <c r="Z2085" i="1" s="1"/>
  <c r="AA2085" i="1"/>
  <c r="AB2085" i="1"/>
  <c r="AC2085" i="1" s="1"/>
  <c r="Y2086" i="1"/>
  <c r="Z2086" i="1" a="1"/>
  <c r="Z2086" i="1" s="1"/>
  <c r="AA2086" i="1"/>
  <c r="AB2086" i="1"/>
  <c r="AC2086" i="1" s="1"/>
  <c r="Y2087" i="1"/>
  <c r="Z2087" i="1" a="1"/>
  <c r="Z2087" i="1" s="1"/>
  <c r="AA2087" i="1"/>
  <c r="AB2087" i="1"/>
  <c r="AC2087" i="1"/>
  <c r="Y2088" i="1"/>
  <c r="Z2088" i="1" a="1"/>
  <c r="Z2088" i="1" s="1"/>
  <c r="AA2088" i="1"/>
  <c r="AB2088" i="1"/>
  <c r="AC2088" i="1" s="1"/>
  <c r="Y2089" i="1"/>
  <c r="Z2089" i="1" a="1"/>
  <c r="Z2089" i="1" s="1"/>
  <c r="AA2089" i="1"/>
  <c r="AB2089" i="1"/>
  <c r="AC2089" i="1" s="1"/>
  <c r="Y2090" i="1"/>
  <c r="Z2090" i="1" a="1"/>
  <c r="Z2090" i="1" s="1"/>
  <c r="AA2090" i="1"/>
  <c r="AB2090" i="1"/>
  <c r="AC2090" i="1"/>
  <c r="Y2091" i="1"/>
  <c r="Z2091" i="1" a="1"/>
  <c r="Z2091" i="1" s="1"/>
  <c r="AA2091" i="1"/>
  <c r="AB2091" i="1"/>
  <c r="AC2091" i="1"/>
  <c r="Y2092" i="1"/>
  <c r="Z2092" i="1" a="1"/>
  <c r="Z2092" i="1" s="1"/>
  <c r="AA2092" i="1"/>
  <c r="AB2092" i="1"/>
  <c r="AC2092" i="1"/>
  <c r="Y2093" i="1"/>
  <c r="Z2093" i="1" a="1"/>
  <c r="Z2093" i="1" s="1"/>
  <c r="AA2093" i="1"/>
  <c r="AB2093" i="1"/>
  <c r="AC2093" i="1"/>
  <c r="Y2094" i="1"/>
  <c r="Z2094" i="1" a="1"/>
  <c r="Z2094" i="1" s="1"/>
  <c r="AA2094" i="1"/>
  <c r="AB2094" i="1"/>
  <c r="AC2094" i="1" s="1"/>
  <c r="Y2095" i="1"/>
  <c r="Z2095" i="1" a="1"/>
  <c r="Z2095" i="1" s="1"/>
  <c r="AA2095" i="1"/>
  <c r="AB2095" i="1"/>
  <c r="AC2095" i="1" s="1"/>
  <c r="Y2096" i="1"/>
  <c r="Z2096" i="1" a="1"/>
  <c r="Z2096" i="1" s="1"/>
  <c r="AA2096" i="1"/>
  <c r="AB2096" i="1"/>
  <c r="AC2096" i="1" s="1"/>
  <c r="Y2097" i="1"/>
  <c r="Z2097" i="1" a="1"/>
  <c r="Z2097" i="1" s="1"/>
  <c r="AA2097" i="1"/>
  <c r="AB2097" i="1"/>
  <c r="AC2097" i="1"/>
  <c r="Y2098" i="1"/>
  <c r="Z2098" i="1" a="1"/>
  <c r="Z2098" i="1" s="1"/>
  <c r="AA2098" i="1"/>
  <c r="AB2098" i="1"/>
  <c r="AC2098" i="1"/>
  <c r="Y2099" i="1"/>
  <c r="Z2099" i="1" a="1"/>
  <c r="Z2099" i="1" s="1"/>
  <c r="AA2099" i="1"/>
  <c r="AB2099" i="1"/>
  <c r="AC2099" i="1" s="1"/>
  <c r="Y2100" i="1"/>
  <c r="Z2100" i="1" a="1"/>
  <c r="Z2100" i="1" s="1"/>
  <c r="AA2100" i="1"/>
  <c r="AB2100" i="1"/>
  <c r="AC2100" i="1" s="1"/>
  <c r="Y2101" i="1"/>
  <c r="Z2101" i="1" a="1"/>
  <c r="Z2101" i="1" s="1"/>
  <c r="AA2101" i="1"/>
  <c r="AB2101" i="1"/>
  <c r="AC2101" i="1" s="1"/>
  <c r="Y2102" i="1"/>
  <c r="Z2102" i="1" a="1"/>
  <c r="Z2102" i="1" s="1"/>
  <c r="AA2102" i="1"/>
  <c r="AB2102" i="1"/>
  <c r="AC2102" i="1"/>
  <c r="Y2103" i="1"/>
  <c r="Z2103" i="1" a="1"/>
  <c r="Z2103" i="1" s="1"/>
  <c r="AA2103" i="1"/>
  <c r="AB2103" i="1"/>
  <c r="AC2103" i="1"/>
  <c r="Y2104" i="1"/>
  <c r="Z2104" i="1" a="1"/>
  <c r="Z2104" i="1" s="1"/>
  <c r="AA2104" i="1"/>
  <c r="AB2104" i="1"/>
  <c r="AC2104" i="1" s="1"/>
  <c r="Y2105" i="1"/>
  <c r="Z2105" i="1" a="1"/>
  <c r="Z2105" i="1" s="1"/>
  <c r="AA2105" i="1"/>
  <c r="AB2105" i="1"/>
  <c r="AC2105" i="1"/>
  <c r="Y2106" i="1"/>
  <c r="Z2106" i="1" a="1"/>
  <c r="Z2106" i="1" s="1"/>
  <c r="AA2106" i="1"/>
  <c r="AB2106" i="1"/>
  <c r="AC2106" i="1"/>
  <c r="Y2107" i="1"/>
  <c r="Z2107" i="1" a="1"/>
  <c r="Z2107" i="1" s="1"/>
  <c r="AA2107" i="1"/>
  <c r="AB2107" i="1"/>
  <c r="AC2107" i="1" s="1"/>
  <c r="Y2108" i="1"/>
  <c r="Z2108" i="1" a="1"/>
  <c r="Z2108" i="1" s="1"/>
  <c r="AA2108" i="1"/>
  <c r="AB2108" i="1"/>
  <c r="AC2108" i="1" s="1"/>
  <c r="Y2109" i="1"/>
  <c r="Z2109" i="1" a="1"/>
  <c r="Z2109" i="1" s="1"/>
  <c r="AA2109" i="1"/>
  <c r="AB2109" i="1"/>
  <c r="AC2109" i="1" s="1"/>
  <c r="Y2110" i="1"/>
  <c r="Z2110" i="1" a="1"/>
  <c r="Z2110" i="1" s="1"/>
  <c r="AA2110" i="1"/>
  <c r="AB2110" i="1"/>
  <c r="AC2110" i="1" s="1"/>
  <c r="Y2111" i="1"/>
  <c r="Z2111" i="1" a="1"/>
  <c r="Z2111" i="1" s="1"/>
  <c r="AA2111" i="1"/>
  <c r="AB2111" i="1"/>
  <c r="AC2111" i="1" s="1"/>
  <c r="Y2112" i="1"/>
  <c r="Z2112" i="1" a="1"/>
  <c r="Z2112" i="1" s="1"/>
  <c r="AA2112" i="1"/>
  <c r="AB2112" i="1"/>
  <c r="AC2112" i="1"/>
  <c r="Y2113" i="1"/>
  <c r="Z2113" i="1" a="1"/>
  <c r="Z2113" i="1" s="1"/>
  <c r="AA2113" i="1"/>
  <c r="AB2113" i="1"/>
  <c r="AC2113" i="1" s="1"/>
  <c r="Y2114" i="1"/>
  <c r="Z2114" i="1" a="1"/>
  <c r="Z2114" i="1" s="1"/>
  <c r="AA2114" i="1"/>
  <c r="AB2114" i="1"/>
  <c r="AC2114" i="1"/>
  <c r="Y2115" i="1"/>
  <c r="Z2115" i="1" a="1"/>
  <c r="Z2115" i="1" s="1"/>
  <c r="AA2115" i="1"/>
  <c r="AB2115" i="1"/>
  <c r="AC2115" i="1" s="1"/>
  <c r="Y2116" i="1"/>
  <c r="Z2116" i="1" a="1"/>
  <c r="Z2116" i="1" s="1"/>
  <c r="AA2116" i="1"/>
  <c r="AB2116" i="1"/>
  <c r="AC2116" i="1"/>
  <c r="Y2117" i="1"/>
  <c r="Z2117" i="1" a="1"/>
  <c r="Z2117" i="1" s="1"/>
  <c r="AA2117" i="1"/>
  <c r="AB2117" i="1"/>
  <c r="AC2117" i="1"/>
  <c r="Y2118" i="1"/>
  <c r="Z2118" i="1" a="1"/>
  <c r="Z2118" i="1" s="1"/>
  <c r="AA2118" i="1"/>
  <c r="AB2118" i="1"/>
  <c r="AC2118" i="1" s="1"/>
  <c r="Y2119" i="1"/>
  <c r="Z2119" i="1" a="1"/>
  <c r="Z2119" i="1" s="1"/>
  <c r="AA2119" i="1"/>
  <c r="AB2119" i="1"/>
  <c r="AC2119" i="1" s="1"/>
  <c r="Y2120" i="1"/>
  <c r="Z2120" i="1" a="1"/>
  <c r="Z2120" i="1" s="1"/>
  <c r="AA2120" i="1"/>
  <c r="AB2120" i="1"/>
  <c r="AC2120" i="1" s="1"/>
  <c r="Y2121" i="1"/>
  <c r="Z2121" i="1" a="1"/>
  <c r="Z2121" i="1" s="1"/>
  <c r="AA2121" i="1"/>
  <c r="AB2121" i="1"/>
  <c r="AC2121" i="1"/>
  <c r="Y2122" i="1"/>
  <c r="Z2122" i="1" a="1"/>
  <c r="Z2122" i="1" s="1"/>
  <c r="AA2122" i="1"/>
  <c r="AB2122" i="1"/>
  <c r="AC2122" i="1"/>
  <c r="Y2123" i="1"/>
  <c r="Z2123" i="1" a="1"/>
  <c r="Z2123" i="1" s="1"/>
  <c r="AA2123" i="1"/>
  <c r="AB2123" i="1"/>
  <c r="AC2123" i="1"/>
  <c r="Y2124" i="1"/>
  <c r="Z2124" i="1" a="1"/>
  <c r="Z2124" i="1" s="1"/>
  <c r="AA2124" i="1"/>
  <c r="AB2124" i="1"/>
  <c r="AC2124" i="1"/>
  <c r="Y2125" i="1"/>
  <c r="Z2125" i="1" a="1"/>
  <c r="Z2125" i="1" s="1"/>
  <c r="AA2125" i="1"/>
  <c r="AB2125" i="1"/>
  <c r="AC2125" i="1" s="1"/>
  <c r="Y2126" i="1"/>
  <c r="Z2126" i="1" a="1"/>
  <c r="Z2126" i="1" s="1"/>
  <c r="AA2126" i="1"/>
  <c r="AB2126" i="1"/>
  <c r="AC2126" i="1" s="1"/>
  <c r="Y2127" i="1"/>
  <c r="Z2127" i="1" a="1"/>
  <c r="Z2127" i="1" s="1"/>
  <c r="AA2127" i="1"/>
  <c r="AB2127" i="1"/>
  <c r="AC2127" i="1"/>
  <c r="Y2128" i="1"/>
  <c r="Z2128" i="1" a="1"/>
  <c r="Z2128" i="1" s="1"/>
  <c r="AA2128" i="1"/>
  <c r="AB2128" i="1"/>
  <c r="AC2128" i="1" s="1"/>
  <c r="Y2129" i="1"/>
  <c r="Z2129" i="1" a="1"/>
  <c r="Z2129" i="1" s="1"/>
  <c r="AA2129" i="1"/>
  <c r="AB2129" i="1"/>
  <c r="AC2129" i="1" s="1"/>
  <c r="Y2130" i="1"/>
  <c r="Z2130" i="1" a="1"/>
  <c r="Z2130" i="1" s="1"/>
  <c r="AA2130" i="1"/>
  <c r="AB2130" i="1"/>
  <c r="AC2130" i="1"/>
  <c r="Y2131" i="1"/>
  <c r="Z2131" i="1" a="1"/>
  <c r="Z2131" i="1" s="1"/>
  <c r="AA2131" i="1"/>
  <c r="AB2131" i="1"/>
  <c r="AC2131" i="1"/>
  <c r="Y2132" i="1"/>
  <c r="Z2132" i="1" a="1"/>
  <c r="Z2132" i="1" s="1"/>
  <c r="AA2132" i="1"/>
  <c r="AB2132" i="1"/>
  <c r="AC2132" i="1" s="1"/>
  <c r="Y2133" i="1"/>
  <c r="Z2133" i="1" a="1"/>
  <c r="Z2133" i="1" s="1"/>
  <c r="AA2133" i="1"/>
  <c r="AB2133" i="1"/>
  <c r="AC2133" i="1"/>
  <c r="Y2134" i="1"/>
  <c r="Z2134" i="1" a="1"/>
  <c r="Z2134" i="1" s="1"/>
  <c r="AA2134" i="1"/>
  <c r="AB2134" i="1"/>
  <c r="AC2134" i="1" s="1"/>
  <c r="Y2135" i="1"/>
  <c r="Z2135" i="1" a="1"/>
  <c r="Z2135" i="1" s="1"/>
  <c r="AA2135" i="1"/>
  <c r="AB2135" i="1"/>
  <c r="AC2135" i="1" s="1"/>
  <c r="Y2136" i="1"/>
  <c r="Z2136" i="1" a="1"/>
  <c r="Z2136" i="1" s="1"/>
  <c r="AA2136" i="1"/>
  <c r="AB2136" i="1"/>
  <c r="AC2136" i="1"/>
  <c r="Y2137" i="1"/>
  <c r="Z2137" i="1" a="1"/>
  <c r="Z2137" i="1" s="1"/>
  <c r="AA2137" i="1"/>
  <c r="AB2137" i="1"/>
  <c r="AC2137" i="1" s="1"/>
  <c r="Y2138" i="1"/>
  <c r="Z2138" i="1" a="1"/>
  <c r="Z2138" i="1" s="1"/>
  <c r="AA2138" i="1"/>
  <c r="AB2138" i="1"/>
  <c r="AC2138" i="1"/>
  <c r="Y2139" i="1"/>
  <c r="Z2139" i="1" a="1"/>
  <c r="Z2139" i="1" s="1"/>
  <c r="AA2139" i="1"/>
  <c r="AB2139" i="1"/>
  <c r="AC2139" i="1" s="1"/>
  <c r="Y2140" i="1"/>
  <c r="Z2140" i="1" a="1"/>
  <c r="Z2140" i="1" s="1"/>
  <c r="AA2140" i="1"/>
  <c r="AB2140" i="1"/>
  <c r="AC2140" i="1"/>
  <c r="Y2141" i="1"/>
  <c r="Z2141" i="1" a="1"/>
  <c r="Z2141" i="1" s="1"/>
  <c r="AA2141" i="1"/>
  <c r="AB2141" i="1"/>
  <c r="AC2141" i="1" s="1"/>
  <c r="Y2142" i="1"/>
  <c r="Z2142" i="1" a="1"/>
  <c r="Z2142" i="1" s="1"/>
  <c r="AA2142" i="1"/>
  <c r="AB2142" i="1"/>
  <c r="AC2142" i="1"/>
  <c r="Y2143" i="1"/>
  <c r="Z2143" i="1" a="1"/>
  <c r="Z2143" i="1" s="1"/>
  <c r="AA2143" i="1"/>
  <c r="AB2143" i="1"/>
  <c r="AC2143" i="1" s="1"/>
  <c r="Y2144" i="1"/>
  <c r="Z2144" i="1" a="1"/>
  <c r="Z2144" i="1" s="1"/>
  <c r="AA2144" i="1"/>
  <c r="AB2144" i="1"/>
  <c r="AC2144" i="1" s="1"/>
  <c r="Y2145" i="1"/>
  <c r="Z2145" i="1" a="1"/>
  <c r="Z2145" i="1" s="1"/>
  <c r="AA2145" i="1"/>
  <c r="AB2145" i="1"/>
  <c r="AC2145" i="1"/>
  <c r="Y2146" i="1"/>
  <c r="Z2146" i="1" a="1"/>
  <c r="Z2146" i="1"/>
  <c r="AA2146" i="1"/>
  <c r="AB2146" i="1"/>
  <c r="AC2146" i="1"/>
  <c r="Y2147" i="1"/>
  <c r="Z2147" i="1" a="1"/>
  <c r="Z2147" i="1" s="1"/>
  <c r="AA2147" i="1"/>
  <c r="AB2147" i="1"/>
  <c r="AC2147" i="1" s="1"/>
  <c r="Y2148" i="1"/>
  <c r="Z2148" i="1" a="1"/>
  <c r="Z2148" i="1" s="1"/>
  <c r="AA2148" i="1"/>
  <c r="AB2148" i="1"/>
  <c r="AC2148" i="1" s="1"/>
  <c r="Y2149" i="1"/>
  <c r="Z2149" i="1" a="1"/>
  <c r="Z2149" i="1" s="1"/>
  <c r="AA2149" i="1"/>
  <c r="AB2149" i="1"/>
  <c r="AC2149" i="1" s="1"/>
  <c r="Y2150" i="1"/>
  <c r="Z2150" i="1" a="1"/>
  <c r="Z2150" i="1" s="1"/>
  <c r="AA2150" i="1"/>
  <c r="AB2150" i="1"/>
  <c r="AC2150" i="1" s="1"/>
  <c r="Y2151" i="1"/>
  <c r="Z2151" i="1" a="1"/>
  <c r="Z2151" i="1" s="1"/>
  <c r="AA2151" i="1"/>
  <c r="AB2151" i="1"/>
  <c r="AC2151" i="1"/>
  <c r="Y2152" i="1"/>
  <c r="Z2152" i="1" a="1"/>
  <c r="Z2152" i="1" s="1"/>
  <c r="AA2152" i="1"/>
  <c r="AB2152" i="1"/>
  <c r="AC2152" i="1"/>
  <c r="Y2153" i="1"/>
  <c r="Z2153" i="1" a="1"/>
  <c r="Z2153" i="1" s="1"/>
  <c r="AA2153" i="1"/>
  <c r="AB2153" i="1"/>
  <c r="AC2153" i="1" s="1"/>
  <c r="Y2154" i="1"/>
  <c r="Z2154" i="1" a="1"/>
  <c r="Z2154" i="1" s="1"/>
  <c r="AA2154" i="1"/>
  <c r="AB2154" i="1"/>
  <c r="AC2154" i="1"/>
  <c r="Y2155" i="1"/>
  <c r="Z2155" i="1" a="1"/>
  <c r="Z2155" i="1" s="1"/>
  <c r="AA2155" i="1"/>
  <c r="AB2155" i="1"/>
  <c r="AC2155" i="1"/>
  <c r="Y2156" i="1"/>
  <c r="Z2156" i="1" a="1"/>
  <c r="Z2156" i="1" s="1"/>
  <c r="AA2156" i="1"/>
  <c r="AB2156" i="1"/>
  <c r="AC2156" i="1" s="1"/>
  <c r="Y2157" i="1"/>
  <c r="Z2157" i="1" a="1"/>
  <c r="Z2157" i="1" s="1"/>
  <c r="AA2157" i="1"/>
  <c r="AB2157" i="1"/>
  <c r="AC2157" i="1"/>
  <c r="Y2158" i="1"/>
  <c r="Z2158" i="1" a="1"/>
  <c r="Z2158" i="1"/>
  <c r="AA2158" i="1"/>
  <c r="AB2158" i="1"/>
  <c r="AC2158" i="1"/>
  <c r="Y2159" i="1"/>
  <c r="Z2159" i="1" a="1"/>
  <c r="Z2159" i="1" s="1"/>
  <c r="AA2159" i="1"/>
  <c r="AB2159" i="1"/>
  <c r="AC2159" i="1" s="1"/>
  <c r="Y2160" i="1"/>
  <c r="Z2160" i="1" a="1"/>
  <c r="Z2160" i="1" s="1"/>
  <c r="AA2160" i="1"/>
  <c r="AB2160" i="1"/>
  <c r="AC2160" i="1"/>
  <c r="Y2161" i="1"/>
  <c r="Z2161" i="1" a="1"/>
  <c r="Z2161" i="1" s="1"/>
  <c r="AA2161" i="1"/>
  <c r="AB2161" i="1"/>
  <c r="AC2161" i="1"/>
  <c r="Y2162" i="1"/>
  <c r="Z2162" i="1" a="1"/>
  <c r="Z2162" i="1" s="1"/>
  <c r="AA2162" i="1"/>
  <c r="AB2162" i="1"/>
  <c r="AC2162" i="1"/>
  <c r="Y2163" i="1"/>
  <c r="Z2163" i="1" a="1"/>
  <c r="Z2163" i="1" s="1"/>
  <c r="AA2163" i="1"/>
  <c r="AB2163" i="1"/>
  <c r="AC2163" i="1"/>
  <c r="Y2164" i="1"/>
  <c r="Z2164" i="1" a="1"/>
  <c r="Z2164" i="1" s="1"/>
  <c r="AA2164" i="1"/>
  <c r="AB2164" i="1"/>
  <c r="AC2164" i="1" s="1"/>
  <c r="Y2165" i="1"/>
  <c r="Z2165" i="1" a="1"/>
  <c r="Z2165" i="1" s="1"/>
  <c r="AA2165" i="1"/>
  <c r="AB2165" i="1"/>
  <c r="AC2165" i="1" s="1"/>
  <c r="Y2166" i="1"/>
  <c r="Z2166" i="1" a="1"/>
  <c r="Z2166" i="1" s="1"/>
  <c r="AA2166" i="1"/>
  <c r="AB2166" i="1"/>
  <c r="AC2166" i="1"/>
  <c r="Y2167" i="1"/>
  <c r="Z2167" i="1" a="1"/>
  <c r="Z2167" i="1" s="1"/>
  <c r="AA2167" i="1"/>
  <c r="AB2167" i="1"/>
  <c r="AC2167" i="1" s="1"/>
  <c r="Y2168" i="1"/>
  <c r="Z2168" i="1" a="1"/>
  <c r="Z2168" i="1" s="1"/>
  <c r="AA2168" i="1"/>
  <c r="AB2168" i="1"/>
  <c r="AC2168" i="1" s="1"/>
  <c r="Y2169" i="1"/>
  <c r="Z2169" i="1" a="1"/>
  <c r="Z2169" i="1" s="1"/>
  <c r="AA2169" i="1"/>
  <c r="AB2169" i="1"/>
  <c r="AC2169" i="1"/>
  <c r="Y2170" i="1"/>
  <c r="Z2170" i="1" a="1"/>
  <c r="Z2170" i="1" s="1"/>
  <c r="AA2170" i="1"/>
  <c r="AB2170" i="1"/>
  <c r="AC2170" i="1"/>
  <c r="Y2171" i="1"/>
  <c r="Z2171" i="1" a="1"/>
  <c r="Z2171" i="1" s="1"/>
  <c r="AA2171" i="1"/>
  <c r="AB2171" i="1"/>
  <c r="AC2171" i="1"/>
  <c r="Y2172" i="1"/>
  <c r="Z2172" i="1" a="1"/>
  <c r="Z2172" i="1" s="1"/>
  <c r="AA2172" i="1"/>
  <c r="AB2172" i="1"/>
  <c r="AC2172" i="1"/>
  <c r="Y2173" i="1"/>
  <c r="Z2173" i="1" a="1"/>
  <c r="Z2173" i="1" s="1"/>
  <c r="AA2173" i="1"/>
  <c r="AB2173" i="1"/>
  <c r="AC2173" i="1" s="1"/>
  <c r="Y2174" i="1"/>
  <c r="Z2174" i="1" a="1"/>
  <c r="Z2174" i="1" s="1"/>
  <c r="AA2174" i="1"/>
  <c r="AB2174" i="1"/>
  <c r="AC2174" i="1" s="1"/>
  <c r="Y2175" i="1"/>
  <c r="Z2175" i="1" a="1"/>
  <c r="Z2175" i="1" s="1"/>
  <c r="AA2175" i="1"/>
  <c r="AB2175" i="1"/>
  <c r="AC2175" i="1" s="1"/>
  <c r="Y2176" i="1"/>
  <c r="Z2176" i="1" a="1"/>
  <c r="Z2176" i="1" s="1"/>
  <c r="AA2176" i="1"/>
  <c r="AB2176" i="1"/>
  <c r="AC2176" i="1"/>
  <c r="Y2177" i="1"/>
  <c r="Z2177" i="1" a="1"/>
  <c r="Z2177" i="1" s="1"/>
  <c r="AA2177" i="1"/>
  <c r="AB2177" i="1"/>
  <c r="AC2177" i="1"/>
  <c r="Y2178" i="1"/>
  <c r="Z2178" i="1" a="1"/>
  <c r="Z2178" i="1" s="1"/>
  <c r="AA2178" i="1"/>
  <c r="AB2178" i="1"/>
  <c r="AC2178" i="1"/>
  <c r="Y2179" i="1"/>
  <c r="Z2179" i="1" a="1"/>
  <c r="Z2179" i="1" s="1"/>
  <c r="AA2179" i="1"/>
  <c r="AB2179" i="1"/>
  <c r="AC2179" i="1" s="1"/>
  <c r="Y2180" i="1"/>
  <c r="Z2180" i="1" a="1"/>
  <c r="Z2180" i="1" s="1"/>
  <c r="AA2180" i="1"/>
  <c r="AB2180" i="1"/>
  <c r="AC2180" i="1" s="1"/>
  <c r="Y2181" i="1"/>
  <c r="Z2181" i="1" a="1"/>
  <c r="Z2181" i="1" s="1"/>
  <c r="AA2181" i="1"/>
  <c r="AB2181" i="1"/>
  <c r="AC2181" i="1"/>
  <c r="Y2182" i="1"/>
  <c r="Z2182" i="1" a="1"/>
  <c r="Z2182" i="1" s="1"/>
  <c r="AA2182" i="1"/>
  <c r="AB2182" i="1"/>
  <c r="AC2182" i="1"/>
  <c r="Y2183" i="1"/>
  <c r="Z2183" i="1" a="1"/>
  <c r="Z2183" i="1" s="1"/>
  <c r="AA2183" i="1"/>
  <c r="AB2183" i="1"/>
  <c r="AC2183" i="1"/>
  <c r="Y2184" i="1"/>
  <c r="Z2184" i="1" a="1"/>
  <c r="Z2184" i="1" s="1"/>
  <c r="AA2184" i="1"/>
  <c r="AB2184" i="1"/>
  <c r="AC2184" i="1"/>
  <c r="Y2185" i="1"/>
  <c r="Z2185" i="1" a="1"/>
  <c r="Z2185" i="1" s="1"/>
  <c r="AA2185" i="1"/>
  <c r="AB2185" i="1"/>
  <c r="AC2185" i="1"/>
  <c r="Y2186" i="1"/>
  <c r="Z2186" i="1" a="1"/>
  <c r="Z2186" i="1" s="1"/>
  <c r="AA2186" i="1"/>
  <c r="AB2186" i="1"/>
  <c r="AC2186" i="1"/>
  <c r="Y2187" i="1"/>
  <c r="Z2187" i="1" a="1"/>
  <c r="Z2187" i="1" s="1"/>
  <c r="AA2187" i="1"/>
  <c r="AB2187" i="1"/>
  <c r="AC2187" i="1" s="1"/>
  <c r="Y2188" i="1"/>
  <c r="Z2188" i="1" a="1"/>
  <c r="Z2188" i="1" s="1"/>
  <c r="AA2188" i="1"/>
  <c r="AB2188" i="1"/>
  <c r="AC2188" i="1"/>
  <c r="Y2189" i="1"/>
  <c r="Z2189" i="1" a="1"/>
  <c r="Z2189" i="1" s="1"/>
  <c r="AA2189" i="1"/>
  <c r="AB2189" i="1"/>
  <c r="AC2189" i="1" s="1"/>
  <c r="Y2190" i="1"/>
  <c r="Z2190" i="1" a="1"/>
  <c r="Z2190" i="1" s="1"/>
  <c r="AA2190" i="1"/>
  <c r="AB2190" i="1"/>
  <c r="AC2190" i="1" s="1"/>
  <c r="Y2191" i="1"/>
  <c r="Z2191" i="1" a="1"/>
  <c r="Z2191" i="1" s="1"/>
  <c r="AA2191" i="1"/>
  <c r="AB2191" i="1"/>
  <c r="AC2191" i="1" s="1"/>
  <c r="Y2192" i="1"/>
  <c r="Z2192" i="1" a="1"/>
  <c r="Z2192" i="1" s="1"/>
  <c r="AA2192" i="1"/>
  <c r="AB2192" i="1"/>
  <c r="AC2192" i="1" s="1"/>
  <c r="Y2193" i="1"/>
  <c r="Z2193" i="1" a="1"/>
  <c r="Z2193" i="1" s="1"/>
  <c r="AA2193" i="1"/>
  <c r="AB2193" i="1"/>
  <c r="AC2193" i="1" s="1"/>
  <c r="Y2194" i="1"/>
  <c r="Z2194" i="1" a="1"/>
  <c r="Z2194" i="1" s="1"/>
  <c r="AA2194" i="1"/>
  <c r="AB2194" i="1"/>
  <c r="AC2194" i="1"/>
  <c r="Y2195" i="1"/>
  <c r="Z2195" i="1" a="1"/>
  <c r="Z2195" i="1" s="1"/>
  <c r="AA2195" i="1"/>
  <c r="AB2195" i="1"/>
  <c r="AC2195" i="1"/>
  <c r="Y2196" i="1"/>
  <c r="Z2196" i="1" a="1"/>
  <c r="Z2196" i="1" s="1"/>
  <c r="AA2196" i="1"/>
  <c r="AB2196" i="1"/>
  <c r="AC2196" i="1"/>
  <c r="Y2197" i="1"/>
  <c r="Z2197" i="1" a="1"/>
  <c r="Z2197" i="1" s="1"/>
  <c r="AA2197" i="1"/>
  <c r="AB2197" i="1"/>
  <c r="AC2197" i="1"/>
  <c r="Y2198" i="1"/>
  <c r="Z2198" i="1" a="1"/>
  <c r="Z2198" i="1" s="1"/>
  <c r="AA2198" i="1"/>
  <c r="AB2198" i="1"/>
  <c r="AC2198" i="1" s="1"/>
  <c r="Y2199" i="1"/>
  <c r="Z2199" i="1" a="1"/>
  <c r="Z2199" i="1" s="1"/>
  <c r="AA2199" i="1"/>
  <c r="AB2199" i="1"/>
  <c r="AC2199" i="1"/>
  <c r="Y2200" i="1"/>
  <c r="Z2200" i="1" a="1"/>
  <c r="Z2200" i="1" s="1"/>
  <c r="AA2200" i="1"/>
  <c r="AB2200" i="1"/>
  <c r="AC2200" i="1"/>
  <c r="Y2201" i="1"/>
  <c r="Z2201" i="1" a="1"/>
  <c r="Z2201" i="1" s="1"/>
  <c r="AA2201" i="1"/>
  <c r="AB2201" i="1"/>
  <c r="AC2201" i="1"/>
  <c r="Y2202" i="1"/>
  <c r="Z2202" i="1" a="1"/>
  <c r="Z2202" i="1" s="1"/>
  <c r="AA2202" i="1"/>
  <c r="AB2202" i="1"/>
  <c r="AC2202" i="1"/>
  <c r="Y2203" i="1"/>
  <c r="Z2203" i="1" a="1"/>
  <c r="Z2203" i="1" s="1"/>
  <c r="AA2203" i="1"/>
  <c r="AB2203" i="1"/>
  <c r="AC2203" i="1"/>
  <c r="Y2204" i="1"/>
  <c r="Z2204" i="1" a="1"/>
  <c r="Z2204" i="1" s="1"/>
  <c r="AA2204" i="1"/>
  <c r="AB2204" i="1"/>
  <c r="AC2204" i="1"/>
  <c r="Y2205" i="1"/>
  <c r="Z2205" i="1" a="1"/>
  <c r="Z2205" i="1" s="1"/>
  <c r="AA2205" i="1"/>
  <c r="AB2205" i="1"/>
  <c r="AC2205" i="1"/>
  <c r="Y2206" i="1"/>
  <c r="Z2206" i="1" a="1"/>
  <c r="Z2206" i="1" s="1"/>
  <c r="AA2206" i="1"/>
  <c r="AB2206" i="1"/>
  <c r="AC2206" i="1"/>
  <c r="Y2207" i="1"/>
  <c r="Z2207" i="1" a="1"/>
  <c r="Z2207" i="1" s="1"/>
  <c r="AA2207" i="1"/>
  <c r="AB2207" i="1"/>
  <c r="AC2207" i="1"/>
  <c r="Y2208" i="1"/>
  <c r="Z2208" i="1" a="1"/>
  <c r="Z2208" i="1" s="1"/>
  <c r="AA2208" i="1"/>
  <c r="AB2208" i="1"/>
  <c r="AC2208" i="1" s="1"/>
  <c r="Y2209" i="1"/>
  <c r="Z2209" i="1" a="1"/>
  <c r="Z2209" i="1" s="1"/>
  <c r="AA2209" i="1"/>
  <c r="AB2209" i="1"/>
  <c r="AC2209" i="1" s="1"/>
  <c r="Y2210" i="1"/>
  <c r="Z2210" i="1" a="1"/>
  <c r="Z2210" i="1" s="1"/>
  <c r="AA2210" i="1"/>
  <c r="AB2210" i="1"/>
  <c r="AC2210" i="1"/>
  <c r="Y2211" i="1"/>
  <c r="Z2211" i="1" a="1"/>
  <c r="Z2211" i="1" s="1"/>
  <c r="AA2211" i="1"/>
  <c r="AB2211" i="1"/>
  <c r="AC2211" i="1" s="1"/>
  <c r="Y2212" i="1"/>
  <c r="Z2212" i="1" a="1"/>
  <c r="Z2212" i="1" s="1"/>
  <c r="AA2212" i="1"/>
  <c r="AB2212" i="1"/>
  <c r="AC2212" i="1" s="1"/>
  <c r="Y2213" i="1"/>
  <c r="Z2213" i="1" a="1"/>
  <c r="Z2213" i="1" s="1"/>
  <c r="AA2213" i="1"/>
  <c r="AB2213" i="1"/>
  <c r="AC2213" i="1"/>
  <c r="Y2214" i="1"/>
  <c r="Z2214" i="1" a="1"/>
  <c r="Z2214" i="1" s="1"/>
  <c r="AA2214" i="1"/>
  <c r="AB2214" i="1"/>
  <c r="AC2214" i="1"/>
  <c r="Y2215" i="1"/>
  <c r="Z2215" i="1" a="1"/>
  <c r="Z2215" i="1" s="1"/>
  <c r="AA2215" i="1"/>
  <c r="AB2215" i="1"/>
  <c r="AC2215" i="1"/>
  <c r="Y2216" i="1"/>
  <c r="Z2216" i="1" a="1"/>
  <c r="Z2216" i="1" s="1"/>
  <c r="AA2216" i="1"/>
  <c r="AB2216" i="1"/>
  <c r="AC2216" i="1" s="1"/>
  <c r="Y2217" i="1"/>
  <c r="Z2217" i="1" a="1"/>
  <c r="Z2217" i="1" s="1"/>
  <c r="AA2217" i="1"/>
  <c r="AB2217" i="1"/>
  <c r="AC2217" i="1"/>
  <c r="Y2218" i="1"/>
  <c r="Z2218" i="1" a="1"/>
  <c r="Z2218" i="1" s="1"/>
  <c r="AA2218" i="1"/>
  <c r="AB2218" i="1"/>
  <c r="AC2218" i="1"/>
  <c r="Y2219" i="1"/>
  <c r="Z2219" i="1" a="1"/>
  <c r="Z2219" i="1" s="1"/>
  <c r="AA2219" i="1"/>
  <c r="AB2219" i="1"/>
  <c r="AC2219" i="1"/>
  <c r="Y2220" i="1"/>
  <c r="Z2220" i="1" a="1"/>
  <c r="Z2220" i="1" s="1"/>
  <c r="AA2220" i="1"/>
  <c r="AB2220" i="1"/>
  <c r="AC2220" i="1"/>
  <c r="Y2221" i="1"/>
  <c r="Z2221" i="1" a="1"/>
  <c r="Z2221" i="1" s="1"/>
  <c r="AA2221" i="1"/>
  <c r="AB2221" i="1"/>
  <c r="AC2221" i="1" s="1"/>
  <c r="Y2222" i="1"/>
  <c r="Z2222" i="1" a="1"/>
  <c r="Z2222" i="1" s="1"/>
  <c r="AA2222" i="1"/>
  <c r="AB2222" i="1"/>
  <c r="AC2222" i="1" s="1"/>
  <c r="Y2223" i="1"/>
  <c r="Z2223" i="1" a="1"/>
  <c r="Z2223" i="1" s="1"/>
  <c r="AA2223" i="1"/>
  <c r="AB2223" i="1"/>
  <c r="AC2223" i="1" s="1"/>
  <c r="Y2224" i="1"/>
  <c r="Z2224" i="1" a="1"/>
  <c r="Z2224" i="1" s="1"/>
  <c r="AA2224" i="1"/>
  <c r="AB2224" i="1"/>
  <c r="AC2224" i="1" s="1"/>
  <c r="Y2225" i="1"/>
  <c r="Z2225" i="1" a="1"/>
  <c r="Z2225" i="1" s="1"/>
  <c r="AA2225" i="1"/>
  <c r="AB2225" i="1"/>
  <c r="AC2225" i="1" s="1"/>
  <c r="Y2226" i="1"/>
  <c r="Z2226" i="1" a="1"/>
  <c r="Z2226" i="1" s="1"/>
  <c r="AA2226" i="1"/>
  <c r="AB2226" i="1"/>
  <c r="AC2226" i="1"/>
  <c r="Y2227" i="1"/>
  <c r="Z2227" i="1" a="1"/>
  <c r="Z2227" i="1" s="1"/>
  <c r="AA2227" i="1"/>
  <c r="AB2227" i="1"/>
  <c r="AC2227" i="1"/>
  <c r="Y2228" i="1"/>
  <c r="Z2228" i="1" a="1"/>
  <c r="Z2228" i="1" s="1"/>
  <c r="AA2228" i="1"/>
  <c r="AB2228" i="1"/>
  <c r="AC2228" i="1"/>
  <c r="Y2229" i="1"/>
  <c r="Z2229" i="1" a="1"/>
  <c r="Z2229" i="1" s="1"/>
  <c r="AA2229" i="1"/>
  <c r="AB2229" i="1"/>
  <c r="AC2229" i="1" s="1"/>
  <c r="Y2230" i="1"/>
  <c r="Z2230" i="1" a="1"/>
  <c r="Z2230" i="1" s="1"/>
  <c r="AA2230" i="1"/>
  <c r="AB2230" i="1"/>
  <c r="AC2230" i="1" s="1"/>
  <c r="Y2231" i="1"/>
  <c r="Z2231" i="1" a="1"/>
  <c r="Z2231" i="1" s="1"/>
  <c r="AA2231" i="1"/>
  <c r="AB2231" i="1"/>
  <c r="AC2231" i="1" s="1"/>
  <c r="Y2232" i="1"/>
  <c r="Z2232" i="1" a="1"/>
  <c r="Z2232" i="1" s="1"/>
  <c r="AA2232" i="1"/>
  <c r="AB2232" i="1"/>
  <c r="AC2232" i="1"/>
  <c r="Y2233" i="1"/>
  <c r="Z2233" i="1" a="1"/>
  <c r="Z2233" i="1" s="1"/>
  <c r="AA2233" i="1"/>
  <c r="AB2233" i="1"/>
  <c r="AC2233" i="1"/>
  <c r="Y2234" i="1"/>
  <c r="Z2234" i="1" a="1"/>
  <c r="Z2234" i="1" s="1"/>
  <c r="AA2234" i="1"/>
  <c r="AB2234" i="1"/>
  <c r="AC2234" i="1"/>
  <c r="Y2235" i="1"/>
  <c r="Z2235" i="1" a="1"/>
  <c r="Z2235" i="1" s="1"/>
  <c r="AA2235" i="1"/>
  <c r="AB2235" i="1"/>
  <c r="AC2235" i="1" s="1"/>
  <c r="Y2236" i="1"/>
  <c r="Z2236" i="1" a="1"/>
  <c r="Z2236" i="1" s="1"/>
  <c r="AA2236" i="1"/>
  <c r="AB2236" i="1"/>
  <c r="AC2236" i="1" s="1"/>
  <c r="Y2237" i="1"/>
  <c r="Z2237" i="1" a="1"/>
  <c r="Z2237" i="1" s="1"/>
  <c r="AA2237" i="1"/>
  <c r="AB2237" i="1"/>
  <c r="AC2237" i="1"/>
  <c r="Y2238" i="1"/>
  <c r="Z2238" i="1" a="1"/>
  <c r="Z2238" i="1" s="1"/>
  <c r="AA2238" i="1"/>
  <c r="AB2238" i="1"/>
  <c r="AC2238" i="1" s="1"/>
  <c r="Y2239" i="1"/>
  <c r="Z2239" i="1" a="1"/>
  <c r="Z2239" i="1" s="1"/>
  <c r="AA2239" i="1"/>
  <c r="AB2239" i="1"/>
  <c r="AC2239" i="1"/>
  <c r="Y2240" i="1"/>
  <c r="Z2240" i="1" a="1"/>
  <c r="Z2240" i="1" s="1"/>
  <c r="AA2240" i="1"/>
  <c r="AB2240" i="1"/>
  <c r="AC2240" i="1" s="1"/>
  <c r="Y2241" i="1"/>
  <c r="Z2241" i="1" a="1"/>
  <c r="Z2241" i="1" s="1"/>
  <c r="AA2241" i="1"/>
  <c r="AB2241" i="1"/>
  <c r="AC2241" i="1"/>
  <c r="Y2242" i="1"/>
  <c r="Z2242" i="1" a="1"/>
  <c r="Z2242" i="1" s="1"/>
  <c r="AA2242" i="1"/>
  <c r="AB2242" i="1"/>
  <c r="AC2242" i="1"/>
  <c r="Y2243" i="1"/>
  <c r="Z2243" i="1" a="1"/>
  <c r="Z2243" i="1" s="1"/>
  <c r="AA2243" i="1"/>
  <c r="AB2243" i="1"/>
  <c r="AC2243" i="1" s="1"/>
  <c r="Y2244" i="1"/>
  <c r="Z2244" i="1" a="1"/>
  <c r="Z2244" i="1" s="1"/>
  <c r="AA2244" i="1"/>
  <c r="AB2244" i="1"/>
  <c r="AC2244" i="1" s="1"/>
  <c r="Y2245" i="1"/>
  <c r="Z2245" i="1" a="1"/>
  <c r="Z2245" i="1" s="1"/>
  <c r="AA2245" i="1"/>
  <c r="AB2245" i="1"/>
  <c r="AC2245" i="1" s="1"/>
  <c r="Y2246" i="1"/>
  <c r="Z2246" i="1" a="1"/>
  <c r="Z2246" i="1" s="1"/>
  <c r="AA2246" i="1"/>
  <c r="AB2246" i="1"/>
  <c r="AC2246" i="1" s="1"/>
  <c r="Y2247" i="1"/>
  <c r="Z2247" i="1" a="1"/>
  <c r="Z2247" i="1" s="1"/>
  <c r="AA2247" i="1"/>
  <c r="AB2247" i="1"/>
  <c r="AC2247" i="1" s="1"/>
  <c r="Y2248" i="1"/>
  <c r="Z2248" i="1" a="1"/>
  <c r="Z2248" i="1" s="1"/>
  <c r="AA2248" i="1"/>
  <c r="AB2248" i="1"/>
  <c r="AC2248" i="1" s="1"/>
  <c r="Y2249" i="1"/>
  <c r="Z2249" i="1" a="1"/>
  <c r="Z2249" i="1" s="1"/>
  <c r="AA2249" i="1"/>
  <c r="AB2249" i="1"/>
  <c r="AC2249" i="1"/>
  <c r="Y2250" i="1"/>
  <c r="Z2250" i="1" a="1"/>
  <c r="Z2250" i="1" s="1"/>
  <c r="AA2250" i="1"/>
  <c r="AB2250" i="1"/>
  <c r="AC2250" i="1"/>
  <c r="Y2251" i="1"/>
  <c r="Z2251" i="1" a="1"/>
  <c r="Z2251" i="1" s="1"/>
  <c r="AA2251" i="1"/>
  <c r="AB2251" i="1"/>
  <c r="AC2251" i="1"/>
  <c r="Y2252" i="1"/>
  <c r="Z2252" i="1" a="1"/>
  <c r="Z2252" i="1" s="1"/>
  <c r="AA2252" i="1"/>
  <c r="AB2252" i="1"/>
  <c r="AC2252" i="1"/>
  <c r="Y2253" i="1"/>
  <c r="Z2253" i="1" a="1"/>
  <c r="Z2253" i="1" s="1"/>
  <c r="AA2253" i="1"/>
  <c r="AB2253" i="1"/>
  <c r="AC2253" i="1"/>
  <c r="Y2254" i="1"/>
  <c r="Z2254" i="1" a="1"/>
  <c r="Z2254" i="1" s="1"/>
  <c r="AA2254" i="1"/>
  <c r="AB2254" i="1"/>
  <c r="AC2254" i="1" s="1"/>
  <c r="Y2255" i="1"/>
  <c r="Z2255" i="1" a="1"/>
  <c r="Z2255" i="1" s="1"/>
  <c r="AA2255" i="1"/>
  <c r="AB2255" i="1"/>
  <c r="AC2255" i="1" s="1"/>
  <c r="Y2256" i="1"/>
  <c r="Z2256" i="1" a="1"/>
  <c r="Z2256" i="1" s="1"/>
  <c r="AA2256" i="1"/>
  <c r="AB2256" i="1"/>
  <c r="AC2256" i="1" s="1"/>
  <c r="Y2257" i="1"/>
  <c r="Z2257" i="1" a="1"/>
  <c r="Z2257" i="1" s="1"/>
  <c r="AA2257" i="1"/>
  <c r="AB2257" i="1"/>
  <c r="AC2257" i="1"/>
  <c r="Y2258" i="1"/>
  <c r="Z2258" i="1" a="1"/>
  <c r="Z2258" i="1" s="1"/>
  <c r="AA2258" i="1"/>
  <c r="AB2258" i="1"/>
  <c r="AC2258" i="1" s="1"/>
  <c r="Y2259" i="1"/>
  <c r="Z2259" i="1" a="1"/>
  <c r="Z2259" i="1" s="1"/>
  <c r="AA2259" i="1"/>
  <c r="AB2259" i="1"/>
  <c r="AC2259" i="1"/>
  <c r="Y2260" i="1"/>
  <c r="Z2260" i="1" a="1"/>
  <c r="Z2260" i="1" s="1"/>
  <c r="AA2260" i="1"/>
  <c r="AB2260" i="1"/>
  <c r="AC2260" i="1" s="1"/>
  <c r="Y2261" i="1"/>
  <c r="Z2261" i="1" a="1"/>
  <c r="Z2261" i="1" s="1"/>
  <c r="AA2261" i="1"/>
  <c r="AB2261" i="1"/>
  <c r="AC2261" i="1"/>
  <c r="Y2262" i="1"/>
  <c r="Z2262" i="1" a="1"/>
  <c r="Z2262" i="1" s="1"/>
  <c r="AA2262" i="1"/>
  <c r="AB2262" i="1"/>
  <c r="AC2262" i="1" s="1"/>
  <c r="Y2263" i="1"/>
  <c r="Z2263" i="1" a="1"/>
  <c r="Z2263" i="1" s="1"/>
  <c r="AA2263" i="1"/>
  <c r="AB2263" i="1"/>
  <c r="AC2263" i="1"/>
  <c r="Y2264" i="1"/>
  <c r="Z2264" i="1" a="1"/>
  <c r="Z2264" i="1" s="1"/>
  <c r="AA2264" i="1"/>
  <c r="AB2264" i="1"/>
  <c r="AC2264" i="1"/>
  <c r="Y2265" i="1"/>
  <c r="Z2265" i="1" a="1"/>
  <c r="Z2265" i="1" s="1"/>
  <c r="AA2265" i="1"/>
  <c r="AB2265" i="1"/>
  <c r="AC2265" i="1"/>
  <c r="Y2266" i="1"/>
  <c r="Z2266" i="1" a="1"/>
  <c r="Z2266" i="1" s="1"/>
  <c r="AA2266" i="1"/>
  <c r="AB2266" i="1"/>
  <c r="AC2266" i="1"/>
  <c r="Y2267" i="1"/>
  <c r="Z2267" i="1" a="1"/>
  <c r="Z2267" i="1" s="1"/>
  <c r="AA2267" i="1"/>
  <c r="AB2267" i="1"/>
  <c r="AC2267" i="1"/>
  <c r="Y2268" i="1"/>
  <c r="Z2268" i="1" a="1"/>
  <c r="Z2268" i="1" s="1"/>
  <c r="AA2268" i="1"/>
  <c r="AB2268" i="1"/>
  <c r="AC2268" i="1"/>
  <c r="Y2269" i="1"/>
  <c r="Z2269" i="1" a="1"/>
  <c r="Z2269" i="1" s="1"/>
  <c r="AA2269" i="1"/>
  <c r="AB2269" i="1"/>
  <c r="AC2269" i="1"/>
  <c r="Y2270" i="1"/>
  <c r="Z2270" i="1" a="1"/>
  <c r="Z2270" i="1" s="1"/>
  <c r="AA2270" i="1"/>
  <c r="AB2270" i="1"/>
  <c r="AC2270" i="1"/>
  <c r="Y2271" i="1"/>
  <c r="Z2271" i="1" a="1"/>
  <c r="Z2271" i="1" s="1"/>
  <c r="AA2271" i="1"/>
  <c r="AB2271" i="1"/>
  <c r="AC2271" i="1" s="1"/>
  <c r="Y2272" i="1"/>
  <c r="Z2272" i="1" a="1"/>
  <c r="Z2272" i="1" s="1"/>
  <c r="AA2272" i="1"/>
  <c r="AB2272" i="1"/>
  <c r="AC2272" i="1"/>
  <c r="Y2273" i="1"/>
  <c r="Z2273" i="1" a="1"/>
  <c r="Z2273" i="1" s="1"/>
  <c r="AA2273" i="1"/>
  <c r="AB2273" i="1"/>
  <c r="AC2273" i="1"/>
  <c r="Y2274" i="1"/>
  <c r="Z2274" i="1" a="1"/>
  <c r="Z2274" i="1" s="1"/>
  <c r="AA2274" i="1"/>
  <c r="AB2274" i="1"/>
  <c r="AC2274" i="1" s="1"/>
  <c r="Y2275" i="1"/>
  <c r="Z2275" i="1" a="1"/>
  <c r="Z2275" i="1" s="1"/>
  <c r="AA2275" i="1"/>
  <c r="AB2275" i="1"/>
  <c r="AC2275" i="1"/>
  <c r="Y2276" i="1"/>
  <c r="Z2276" i="1" a="1"/>
  <c r="Z2276" i="1" s="1"/>
  <c r="AA2276" i="1"/>
  <c r="AB2276" i="1"/>
  <c r="AC2276" i="1"/>
  <c r="Y2277" i="1"/>
  <c r="Z2277" i="1" a="1"/>
  <c r="Z2277" i="1" s="1"/>
  <c r="AA2277" i="1"/>
  <c r="AB2277" i="1"/>
  <c r="AC2277" i="1" s="1"/>
  <c r="Y2278" i="1"/>
  <c r="Z2278" i="1" a="1"/>
  <c r="Z2278" i="1" s="1"/>
  <c r="AA2278" i="1"/>
  <c r="AB2278" i="1"/>
  <c r="AC2278" i="1" s="1"/>
  <c r="Y2279" i="1"/>
  <c r="Z2279" i="1" a="1"/>
  <c r="Z2279" i="1" s="1"/>
  <c r="AA2279" i="1"/>
  <c r="AB2279" i="1"/>
  <c r="AC2279" i="1" s="1"/>
  <c r="Y2280" i="1"/>
  <c r="Z2280" i="1" a="1"/>
  <c r="Z2280" i="1" s="1"/>
  <c r="AA2280" i="1"/>
  <c r="AB2280" i="1"/>
  <c r="AC2280" i="1" s="1"/>
  <c r="Y2281" i="1"/>
  <c r="Z2281" i="1" a="1"/>
  <c r="Z2281" i="1" s="1"/>
  <c r="AA2281" i="1"/>
  <c r="AB2281" i="1"/>
  <c r="AC2281" i="1" s="1"/>
  <c r="Y2282" i="1"/>
  <c r="Z2282" i="1" a="1"/>
  <c r="Z2282" i="1" s="1"/>
  <c r="AA2282" i="1"/>
  <c r="AB2282" i="1"/>
  <c r="AC2282" i="1"/>
  <c r="Y2283" i="1"/>
  <c r="Z2283" i="1" a="1"/>
  <c r="Z2283" i="1" s="1"/>
  <c r="AA2283" i="1"/>
  <c r="AB2283" i="1"/>
  <c r="AC2283" i="1"/>
  <c r="Y2284" i="1"/>
  <c r="Z2284" i="1" a="1"/>
  <c r="Z2284" i="1" s="1"/>
  <c r="AA2284" i="1"/>
  <c r="AB2284" i="1"/>
  <c r="AC2284" i="1"/>
  <c r="Y2285" i="1"/>
  <c r="Z2285" i="1" a="1"/>
  <c r="Z2285" i="1" s="1"/>
  <c r="AA2285" i="1"/>
  <c r="AB2285" i="1"/>
  <c r="AC2285" i="1"/>
  <c r="Y2286" i="1"/>
  <c r="Z2286" i="1" a="1"/>
  <c r="Z2286" i="1" s="1"/>
  <c r="AA2286" i="1"/>
  <c r="AB2286" i="1"/>
  <c r="AC2286" i="1" s="1"/>
  <c r="Y2287" i="1"/>
  <c r="Z2287" i="1" a="1"/>
  <c r="Z2287" i="1" s="1"/>
  <c r="AA2287" i="1"/>
  <c r="AB2287" i="1"/>
  <c r="AC2287" i="1" s="1"/>
  <c r="Y2288" i="1"/>
  <c r="Z2288" i="1" a="1"/>
  <c r="Z2288" i="1" s="1"/>
  <c r="AA2288" i="1"/>
  <c r="AB2288" i="1"/>
  <c r="AC2288" i="1" s="1"/>
  <c r="Y2289" i="1"/>
  <c r="Z2289" i="1" a="1"/>
  <c r="Z2289" i="1" s="1"/>
  <c r="AA2289" i="1"/>
  <c r="AB2289" i="1"/>
  <c r="AC2289" i="1"/>
  <c r="Y2290" i="1"/>
  <c r="Z2290" i="1" a="1"/>
  <c r="Z2290" i="1" s="1"/>
  <c r="AA2290" i="1"/>
  <c r="AB2290" i="1"/>
  <c r="AC2290" i="1" s="1"/>
  <c r="Y2291" i="1"/>
  <c r="Z2291" i="1" a="1"/>
  <c r="Z2291" i="1" s="1"/>
  <c r="AA2291" i="1"/>
  <c r="AB2291" i="1"/>
  <c r="AC2291" i="1"/>
  <c r="Y2292" i="1"/>
  <c r="Z2292" i="1" a="1"/>
  <c r="Z2292" i="1" s="1"/>
  <c r="AA2292" i="1"/>
  <c r="AB2292" i="1"/>
  <c r="AC2292" i="1"/>
  <c r="Y2293" i="1"/>
  <c r="Z2293" i="1" a="1"/>
  <c r="Z2293" i="1" s="1"/>
  <c r="AA2293" i="1"/>
  <c r="AB2293" i="1"/>
  <c r="AC2293" i="1" s="1"/>
  <c r="Y2294" i="1"/>
  <c r="Z2294" i="1" a="1"/>
  <c r="Z2294" i="1" s="1"/>
  <c r="AA2294" i="1"/>
  <c r="AB2294" i="1"/>
  <c r="AC2294" i="1"/>
  <c r="Y2295" i="1"/>
  <c r="Z2295" i="1" a="1"/>
  <c r="Z2295" i="1" s="1"/>
  <c r="AA2295" i="1"/>
  <c r="AB2295" i="1"/>
  <c r="AC2295" i="1" s="1"/>
  <c r="Y2296" i="1"/>
  <c r="Z2296" i="1" a="1"/>
  <c r="Z2296" i="1" s="1"/>
  <c r="AA2296" i="1"/>
  <c r="AB2296" i="1"/>
  <c r="AC2296" i="1"/>
  <c r="Y2297" i="1"/>
  <c r="Z2297" i="1" a="1"/>
  <c r="Z2297" i="1" s="1"/>
  <c r="AA2297" i="1"/>
  <c r="AB2297" i="1"/>
  <c r="AC2297" i="1"/>
  <c r="Y2298" i="1"/>
  <c r="Z2298" i="1" a="1"/>
  <c r="Z2298" i="1" s="1"/>
  <c r="AA2298" i="1"/>
  <c r="AB2298" i="1"/>
  <c r="AC2298" i="1"/>
  <c r="Y2299" i="1"/>
  <c r="Z2299" i="1" a="1"/>
  <c r="Z2299" i="1" s="1"/>
  <c r="AA2299" i="1"/>
  <c r="AB2299" i="1"/>
  <c r="AC2299" i="1"/>
  <c r="Y2300" i="1"/>
  <c r="Z2300" i="1" a="1"/>
  <c r="Z2300" i="1" s="1"/>
  <c r="AA2300" i="1"/>
  <c r="AB2300" i="1"/>
  <c r="AC2300" i="1" s="1"/>
  <c r="Y2301" i="1"/>
  <c r="Z2301" i="1" a="1"/>
  <c r="Z2301" i="1" s="1"/>
  <c r="AA2301" i="1"/>
  <c r="AB2301" i="1"/>
  <c r="AC2301" i="1"/>
  <c r="Y2302" i="1"/>
  <c r="Z2302" i="1" a="1"/>
  <c r="Z2302" i="1" s="1"/>
  <c r="AA2302" i="1"/>
  <c r="AB2302" i="1"/>
  <c r="AC2302" i="1"/>
  <c r="Y2303" i="1"/>
  <c r="Z2303" i="1" a="1"/>
  <c r="Z2303" i="1" s="1"/>
  <c r="AA2303" i="1"/>
  <c r="AB2303" i="1"/>
  <c r="AC2303" i="1"/>
  <c r="Y2304" i="1"/>
  <c r="Z2304" i="1" a="1"/>
  <c r="Z2304" i="1" s="1"/>
  <c r="AA2304" i="1"/>
  <c r="AB2304" i="1"/>
  <c r="AC2304" i="1" s="1"/>
  <c r="Y2305" i="1"/>
  <c r="Z2305" i="1" a="1"/>
  <c r="Z2305" i="1" s="1"/>
  <c r="AA2305" i="1"/>
  <c r="AB2305" i="1"/>
  <c r="AC2305" i="1" s="1"/>
  <c r="Y2306" i="1"/>
  <c r="Z2306" i="1" a="1"/>
  <c r="Z2306" i="1" s="1"/>
  <c r="AA2306" i="1"/>
  <c r="AB2306" i="1"/>
  <c r="AC2306" i="1" s="1"/>
  <c r="Y2307" i="1"/>
  <c r="Z2307" i="1" a="1"/>
  <c r="Z2307" i="1" s="1"/>
  <c r="AA2307" i="1"/>
  <c r="AB2307" i="1"/>
  <c r="AC2307" i="1"/>
  <c r="Y2308" i="1"/>
  <c r="Z2308" i="1" a="1"/>
  <c r="Z2308" i="1" s="1"/>
  <c r="AA2308" i="1"/>
  <c r="AB2308" i="1"/>
  <c r="AC2308" i="1"/>
  <c r="Y2309" i="1"/>
  <c r="Z2309" i="1" a="1"/>
  <c r="Z2309" i="1" s="1"/>
  <c r="AA2309" i="1"/>
  <c r="AB2309" i="1"/>
  <c r="AC2309" i="1" s="1"/>
  <c r="Y2310" i="1"/>
  <c r="Z2310" i="1" a="1"/>
  <c r="Z2310" i="1" s="1"/>
  <c r="AA2310" i="1"/>
  <c r="AB2310" i="1"/>
  <c r="AC2310" i="1" s="1"/>
  <c r="Y2311" i="1"/>
  <c r="Z2311" i="1" a="1"/>
  <c r="Z2311" i="1" s="1"/>
  <c r="AA2311" i="1"/>
  <c r="AB2311" i="1"/>
  <c r="AC2311" i="1" s="1"/>
  <c r="Y2312" i="1"/>
  <c r="Z2312" i="1" a="1"/>
  <c r="Z2312" i="1" s="1"/>
  <c r="AA2312" i="1"/>
  <c r="AB2312" i="1"/>
  <c r="AC2312" i="1"/>
  <c r="Y2313" i="1"/>
  <c r="Z2313" i="1" a="1"/>
  <c r="Z2313" i="1" s="1"/>
  <c r="AA2313" i="1"/>
  <c r="AB2313" i="1"/>
  <c r="AC2313" i="1"/>
  <c r="Y2314" i="1"/>
  <c r="Z2314" i="1" a="1"/>
  <c r="Z2314" i="1" s="1"/>
  <c r="AA2314" i="1"/>
  <c r="AB2314" i="1"/>
  <c r="AC2314" i="1"/>
  <c r="Y2315" i="1"/>
  <c r="Z2315" i="1" a="1"/>
  <c r="Z2315" i="1" s="1"/>
  <c r="AA2315" i="1"/>
  <c r="AB2315" i="1"/>
  <c r="AC2315" i="1"/>
  <c r="Y2316" i="1"/>
  <c r="Z2316" i="1" a="1"/>
  <c r="Z2316" i="1" s="1"/>
  <c r="AA2316" i="1"/>
  <c r="AB2316" i="1"/>
  <c r="AC2316" i="1" s="1"/>
  <c r="Y2317" i="1"/>
  <c r="Z2317" i="1" a="1"/>
  <c r="Z2317" i="1" s="1"/>
  <c r="AA2317" i="1"/>
  <c r="AB2317" i="1"/>
  <c r="AC2317" i="1"/>
  <c r="Y2318" i="1"/>
  <c r="Z2318" i="1" a="1"/>
  <c r="Z2318" i="1" s="1"/>
  <c r="AA2318" i="1"/>
  <c r="AB2318" i="1"/>
  <c r="AC2318" i="1" s="1"/>
  <c r="Y2319" i="1"/>
  <c r="Z2319" i="1" a="1"/>
  <c r="Z2319" i="1" s="1"/>
  <c r="AA2319" i="1"/>
  <c r="AB2319" i="1"/>
  <c r="AC2319" i="1"/>
  <c r="Y2320" i="1"/>
  <c r="Z2320" i="1" a="1"/>
  <c r="Z2320" i="1" s="1"/>
  <c r="AA2320" i="1"/>
  <c r="AB2320" i="1"/>
  <c r="AC2320" i="1" s="1"/>
  <c r="Y2321" i="1"/>
  <c r="Z2321" i="1" a="1"/>
  <c r="Z2321" i="1" s="1"/>
  <c r="AA2321" i="1"/>
  <c r="AB2321" i="1"/>
  <c r="AC2321" i="1"/>
  <c r="Y2322" i="1"/>
  <c r="Z2322" i="1" a="1"/>
  <c r="Z2322" i="1" s="1"/>
  <c r="AA2322" i="1"/>
  <c r="AB2322" i="1"/>
  <c r="AC2322" i="1"/>
  <c r="Y2323" i="1"/>
  <c r="Z2323" i="1" a="1"/>
  <c r="Z2323" i="1" s="1"/>
  <c r="AA2323" i="1"/>
  <c r="AB2323" i="1"/>
  <c r="AC2323" i="1"/>
  <c r="Y2324" i="1"/>
  <c r="Z2324" i="1" a="1"/>
  <c r="Z2324" i="1" s="1"/>
  <c r="AA2324" i="1"/>
  <c r="AB2324" i="1"/>
  <c r="AC2324" i="1" s="1"/>
  <c r="Y2325" i="1"/>
  <c r="Z2325" i="1" a="1"/>
  <c r="Z2325" i="1" s="1"/>
  <c r="AA2325" i="1"/>
  <c r="AB2325" i="1"/>
  <c r="AC2325" i="1" s="1"/>
  <c r="Y2326" i="1"/>
  <c r="Z2326" i="1" a="1"/>
  <c r="Z2326" i="1" s="1"/>
  <c r="AA2326" i="1"/>
  <c r="AB2326" i="1"/>
  <c r="AC2326" i="1"/>
  <c r="Y2327" i="1"/>
  <c r="Z2327" i="1" a="1"/>
  <c r="Z2327" i="1" s="1"/>
  <c r="AA2327" i="1"/>
  <c r="AB2327" i="1"/>
  <c r="AC2327" i="1" s="1"/>
  <c r="Y2328" i="1"/>
  <c r="Z2328" i="1" a="1"/>
  <c r="Z2328" i="1" s="1"/>
  <c r="AA2328" i="1"/>
  <c r="AB2328" i="1"/>
  <c r="AC2328" i="1" s="1"/>
  <c r="Y2329" i="1"/>
  <c r="Z2329" i="1" a="1"/>
  <c r="Z2329" i="1" s="1"/>
  <c r="AA2329" i="1"/>
  <c r="AB2329" i="1"/>
  <c r="AC2329" i="1"/>
  <c r="Y2330" i="1"/>
  <c r="Z2330" i="1" a="1"/>
  <c r="Z2330" i="1" s="1"/>
  <c r="AA2330" i="1"/>
  <c r="AB2330" i="1"/>
  <c r="AC2330" i="1" s="1"/>
  <c r="Y2331" i="1"/>
  <c r="Z2331" i="1" a="1"/>
  <c r="Z2331" i="1" s="1"/>
  <c r="AA2331" i="1"/>
  <c r="AB2331" i="1"/>
  <c r="AC2331" i="1"/>
  <c r="Y2332" i="1"/>
  <c r="Z2332" i="1" a="1"/>
  <c r="Z2332" i="1" s="1"/>
  <c r="AA2332" i="1"/>
  <c r="AB2332" i="1"/>
  <c r="AC2332" i="1"/>
  <c r="Y2333" i="1"/>
  <c r="Z2333" i="1" a="1"/>
  <c r="Z2333" i="1" s="1"/>
  <c r="AA2333" i="1"/>
  <c r="AB2333" i="1"/>
  <c r="AC2333" i="1" s="1"/>
  <c r="Y2334" i="1"/>
  <c r="Z2334" i="1" a="1"/>
  <c r="Z2334" i="1" s="1"/>
  <c r="AA2334" i="1"/>
  <c r="AB2334" i="1"/>
  <c r="AC2334" i="1" s="1"/>
  <c r="Y2335" i="1"/>
  <c r="Z2335" i="1" a="1"/>
  <c r="Z2335" i="1" s="1"/>
  <c r="AA2335" i="1"/>
  <c r="AB2335" i="1"/>
  <c r="AC2335" i="1" s="1"/>
  <c r="Y2336" i="1"/>
  <c r="Z2336" i="1" a="1"/>
  <c r="Z2336" i="1" s="1"/>
  <c r="AA2336" i="1"/>
  <c r="AB2336" i="1"/>
  <c r="AC2336" i="1" s="1"/>
  <c r="Y2337" i="1"/>
  <c r="Z2337" i="1" a="1"/>
  <c r="Z2337" i="1" s="1"/>
  <c r="AA2337" i="1"/>
  <c r="AB2337" i="1"/>
  <c r="AC2337" i="1" s="1"/>
  <c r="Y2338" i="1"/>
  <c r="Z2338" i="1" a="1"/>
  <c r="Z2338" i="1" s="1"/>
  <c r="AA2338" i="1"/>
  <c r="AB2338" i="1"/>
  <c r="AC2338" i="1"/>
  <c r="Y2339" i="1"/>
  <c r="Z2339" i="1" a="1"/>
  <c r="Z2339" i="1" s="1"/>
  <c r="AA2339" i="1"/>
  <c r="AB2339" i="1"/>
  <c r="AC2339" i="1"/>
  <c r="Y2340" i="1"/>
  <c r="Z2340" i="1" a="1"/>
  <c r="Z2340" i="1" s="1"/>
  <c r="AA2340" i="1"/>
  <c r="AB2340" i="1"/>
  <c r="AC2340" i="1"/>
  <c r="Y2341" i="1"/>
  <c r="Z2341" i="1" a="1"/>
  <c r="Z2341" i="1" s="1"/>
  <c r="AA2341" i="1"/>
  <c r="AB2341" i="1"/>
  <c r="AC2341" i="1"/>
  <c r="Y2342" i="1"/>
  <c r="Z2342" i="1" a="1"/>
  <c r="Z2342" i="1" s="1"/>
  <c r="AA2342" i="1"/>
  <c r="AB2342" i="1"/>
  <c r="AC2342" i="1"/>
  <c r="Y2343" i="1"/>
  <c r="Z2343" i="1" a="1"/>
  <c r="Z2343" i="1" s="1"/>
  <c r="AA2343" i="1"/>
  <c r="AB2343" i="1"/>
  <c r="AC2343" i="1"/>
  <c r="Y2344" i="1"/>
  <c r="Z2344" i="1" a="1"/>
  <c r="Z2344" i="1" s="1"/>
  <c r="AA2344" i="1"/>
  <c r="AB2344" i="1"/>
  <c r="AC2344" i="1" s="1"/>
  <c r="Y2345" i="1"/>
  <c r="Z2345" i="1" a="1"/>
  <c r="Z2345" i="1" s="1"/>
  <c r="AA2345" i="1"/>
  <c r="AB2345" i="1"/>
  <c r="AC2345" i="1"/>
  <c r="Y2346" i="1"/>
  <c r="Z2346" i="1" a="1"/>
  <c r="Z2346" i="1" s="1"/>
  <c r="AA2346" i="1"/>
  <c r="AB2346" i="1"/>
  <c r="AC2346" i="1" s="1"/>
  <c r="Y2347" i="1"/>
  <c r="Z2347" i="1" a="1"/>
  <c r="Z2347" i="1" s="1"/>
  <c r="AA2347" i="1"/>
  <c r="AB2347" i="1"/>
  <c r="AC2347" i="1"/>
  <c r="Y2348" i="1"/>
  <c r="Z2348" i="1" a="1"/>
  <c r="Z2348" i="1" s="1"/>
  <c r="AA2348" i="1"/>
  <c r="AB2348" i="1"/>
  <c r="AC2348" i="1"/>
  <c r="Y2349" i="1"/>
  <c r="Z2349" i="1" a="1"/>
  <c r="Z2349" i="1" s="1"/>
  <c r="AA2349" i="1"/>
  <c r="AB2349" i="1"/>
  <c r="AC2349" i="1" s="1"/>
  <c r="Y2350" i="1"/>
  <c r="Z2350" i="1" a="1"/>
  <c r="Z2350" i="1" s="1"/>
  <c r="AA2350" i="1"/>
  <c r="AB2350" i="1"/>
  <c r="AC2350" i="1" s="1"/>
  <c r="Y2351" i="1"/>
  <c r="Z2351" i="1" a="1"/>
  <c r="Z2351" i="1" s="1"/>
  <c r="AA2351" i="1"/>
  <c r="AB2351" i="1"/>
  <c r="AC2351" i="1"/>
  <c r="Y2352" i="1"/>
  <c r="Z2352" i="1" a="1"/>
  <c r="Z2352" i="1" s="1"/>
  <c r="AA2352" i="1"/>
  <c r="AB2352" i="1"/>
  <c r="AC2352" i="1"/>
  <c r="Y2353" i="1"/>
  <c r="Z2353" i="1" a="1"/>
  <c r="Z2353" i="1" s="1"/>
  <c r="AA2353" i="1"/>
  <c r="AB2353" i="1"/>
  <c r="AC2353" i="1" s="1"/>
  <c r="Y2354" i="1"/>
  <c r="Z2354" i="1" a="1"/>
  <c r="Z2354" i="1" s="1"/>
  <c r="AA2354" i="1"/>
  <c r="AB2354" i="1"/>
  <c r="AC2354" i="1" s="1"/>
  <c r="Y2355" i="1"/>
  <c r="Z2355" i="1" a="1"/>
  <c r="Z2355" i="1" s="1"/>
  <c r="AA2355" i="1"/>
  <c r="AB2355" i="1"/>
  <c r="AC2355" i="1"/>
  <c r="Y2356" i="1"/>
  <c r="Z2356" i="1" a="1"/>
  <c r="Z2356" i="1" s="1"/>
  <c r="AA2356" i="1"/>
  <c r="AB2356" i="1"/>
  <c r="AC2356" i="1" s="1"/>
  <c r="Y2357" i="1"/>
  <c r="Z2357" i="1" a="1"/>
  <c r="Z2357" i="1" s="1"/>
  <c r="AA2357" i="1"/>
  <c r="AB2357" i="1"/>
  <c r="AC2357" i="1"/>
  <c r="Y2358" i="1"/>
  <c r="Z2358" i="1" a="1"/>
  <c r="Z2358" i="1" s="1"/>
  <c r="AA2358" i="1"/>
  <c r="AB2358" i="1"/>
  <c r="AC2358" i="1"/>
  <c r="Y2359" i="1"/>
  <c r="Z2359" i="1" a="1"/>
  <c r="Z2359" i="1" s="1"/>
  <c r="AA2359" i="1"/>
  <c r="AB2359" i="1"/>
  <c r="AC2359" i="1"/>
  <c r="Y2360" i="1"/>
  <c r="Z2360" i="1" a="1"/>
  <c r="Z2360" i="1" s="1"/>
  <c r="AA2360" i="1"/>
  <c r="AB2360" i="1"/>
  <c r="AC2360" i="1" s="1"/>
  <c r="Y2361" i="1"/>
  <c r="Z2361" i="1" a="1"/>
  <c r="Z2361" i="1" s="1"/>
  <c r="AA2361" i="1"/>
  <c r="AB2361" i="1"/>
  <c r="AC2361" i="1"/>
  <c r="Y2362" i="1"/>
  <c r="Z2362" i="1" a="1"/>
  <c r="Z2362" i="1" s="1"/>
  <c r="AA2362" i="1"/>
  <c r="AB2362" i="1"/>
  <c r="AC2362" i="1"/>
  <c r="Y2363" i="1"/>
  <c r="Z2363" i="1" a="1"/>
  <c r="Z2363" i="1" s="1"/>
  <c r="AA2363" i="1"/>
  <c r="AB2363" i="1"/>
  <c r="AC2363" i="1"/>
  <c r="Y2364" i="1"/>
  <c r="Z2364" i="1" a="1"/>
  <c r="Z2364" i="1" s="1"/>
  <c r="AA2364" i="1"/>
  <c r="AB2364" i="1"/>
  <c r="AC2364" i="1"/>
  <c r="Y2365" i="1"/>
  <c r="Z2365" i="1" a="1"/>
  <c r="Z2365" i="1" s="1"/>
  <c r="AA2365" i="1"/>
  <c r="AB2365" i="1"/>
  <c r="AC2365" i="1" s="1"/>
  <c r="Y2366" i="1"/>
  <c r="Z2366" i="1" a="1"/>
  <c r="Z2366" i="1" s="1"/>
  <c r="AA2366" i="1"/>
  <c r="AB2366" i="1"/>
  <c r="AC2366" i="1" s="1"/>
  <c r="Y2367" i="1"/>
  <c r="Z2367" i="1" a="1"/>
  <c r="Z2367" i="1" s="1"/>
  <c r="AA2367" i="1"/>
  <c r="AB2367" i="1"/>
  <c r="AC2367" i="1" s="1"/>
  <c r="Y2368" i="1"/>
  <c r="Z2368" i="1" a="1"/>
  <c r="Z2368" i="1" s="1"/>
  <c r="AA2368" i="1"/>
  <c r="AB2368" i="1"/>
  <c r="AC2368" i="1"/>
  <c r="Y2369" i="1"/>
  <c r="Z2369" i="1" a="1"/>
  <c r="Z2369" i="1" s="1"/>
  <c r="AA2369" i="1"/>
  <c r="AB2369" i="1"/>
  <c r="AC2369" i="1" s="1"/>
  <c r="Y2370" i="1"/>
  <c r="Z2370" i="1" a="1"/>
  <c r="Z2370" i="1" s="1"/>
  <c r="AA2370" i="1"/>
  <c r="AB2370" i="1"/>
  <c r="AC2370" i="1"/>
  <c r="Y2371" i="1"/>
  <c r="Z2371" i="1" a="1"/>
  <c r="Z2371" i="1" s="1"/>
  <c r="AA2371" i="1"/>
  <c r="AB2371" i="1"/>
  <c r="AC2371" i="1"/>
  <c r="Y2372" i="1"/>
  <c r="Z2372" i="1" a="1"/>
  <c r="Z2372" i="1" s="1"/>
  <c r="AA2372" i="1"/>
  <c r="AB2372" i="1"/>
  <c r="AC2372" i="1" s="1"/>
  <c r="Y2373" i="1"/>
  <c r="Z2373" i="1" a="1"/>
  <c r="Z2373" i="1" s="1"/>
  <c r="AA2373" i="1"/>
  <c r="AB2373" i="1"/>
  <c r="AC2373" i="1" s="1"/>
  <c r="Y2374" i="1"/>
  <c r="Z2374" i="1" a="1"/>
  <c r="Z2374" i="1" s="1"/>
  <c r="AA2374" i="1"/>
  <c r="AB2374" i="1"/>
  <c r="AC2374" i="1" s="1"/>
  <c r="Y2375" i="1"/>
  <c r="Z2375" i="1" a="1"/>
  <c r="Z2375" i="1" s="1"/>
  <c r="AA2375" i="1"/>
  <c r="AB2375" i="1"/>
  <c r="AC2375" i="1"/>
  <c r="Y2376" i="1"/>
  <c r="Z2376" i="1" a="1"/>
  <c r="Z2376" i="1" s="1"/>
  <c r="AA2376" i="1"/>
  <c r="AB2376" i="1"/>
  <c r="AC2376" i="1" s="1"/>
  <c r="Y2377" i="1"/>
  <c r="Z2377" i="1" a="1"/>
  <c r="Z2377" i="1" s="1"/>
  <c r="AA2377" i="1"/>
  <c r="AB2377" i="1"/>
  <c r="AC2377" i="1"/>
  <c r="Y2378" i="1"/>
  <c r="Z2378" i="1" a="1"/>
  <c r="Z2378" i="1" s="1"/>
  <c r="AA2378" i="1"/>
  <c r="AB2378" i="1"/>
  <c r="AC2378" i="1"/>
  <c r="Y2379" i="1"/>
  <c r="Z2379" i="1" a="1"/>
  <c r="Z2379" i="1" s="1"/>
  <c r="AA2379" i="1"/>
  <c r="AB2379" i="1"/>
  <c r="AC2379" i="1"/>
  <c r="Y2380" i="1"/>
  <c r="Z2380" i="1" a="1"/>
  <c r="Z2380" i="1" s="1"/>
  <c r="AA2380" i="1"/>
  <c r="AB2380" i="1"/>
  <c r="AC2380" i="1"/>
  <c r="Y2381" i="1"/>
  <c r="Z2381" i="1" a="1"/>
  <c r="Z2381" i="1" s="1"/>
  <c r="AA2381" i="1"/>
  <c r="AB2381" i="1"/>
  <c r="AC2381" i="1"/>
  <c r="Y2382" i="1"/>
  <c r="Z2382" i="1" a="1"/>
  <c r="Z2382" i="1" s="1"/>
  <c r="AA2382" i="1"/>
  <c r="AB2382" i="1"/>
  <c r="AC2382" i="1"/>
  <c r="Y2383" i="1"/>
  <c r="Z2383" i="1" a="1"/>
  <c r="Z2383" i="1" s="1"/>
  <c r="AA2383" i="1"/>
  <c r="AB2383" i="1"/>
  <c r="AC2383" i="1" s="1"/>
  <c r="Y2384" i="1"/>
  <c r="Z2384" i="1" a="1"/>
  <c r="Z2384" i="1" s="1"/>
  <c r="AA2384" i="1"/>
  <c r="AB2384" i="1"/>
  <c r="AC2384" i="1" s="1"/>
  <c r="Y2385" i="1"/>
  <c r="Z2385" i="1" a="1"/>
  <c r="Z2385" i="1" s="1"/>
  <c r="AA2385" i="1"/>
  <c r="AB2385" i="1"/>
  <c r="AC2385" i="1" s="1"/>
  <c r="Y2386" i="1"/>
  <c r="Z2386" i="1" a="1"/>
  <c r="Z2386" i="1" s="1"/>
  <c r="AA2386" i="1"/>
  <c r="AB2386" i="1"/>
  <c r="AC2386" i="1" s="1"/>
  <c r="Y2387" i="1"/>
  <c r="Z2387" i="1" a="1"/>
  <c r="Z2387" i="1" s="1"/>
  <c r="AA2387" i="1"/>
  <c r="AB2387" i="1"/>
  <c r="AC2387" i="1"/>
  <c r="Y2388" i="1"/>
  <c r="Z2388" i="1" a="1"/>
  <c r="Z2388" i="1" s="1"/>
  <c r="AA2388" i="1"/>
  <c r="AB2388" i="1"/>
  <c r="AC2388" i="1" s="1"/>
  <c r="Y2389" i="1"/>
  <c r="Z2389" i="1" a="1"/>
  <c r="Z2389" i="1" s="1"/>
  <c r="AA2389" i="1"/>
  <c r="AB2389" i="1"/>
  <c r="AC2389" i="1"/>
  <c r="Y2390" i="1"/>
  <c r="Z2390" i="1" a="1"/>
  <c r="Z2390" i="1" s="1"/>
  <c r="AA2390" i="1"/>
  <c r="AB2390" i="1"/>
  <c r="AC2390" i="1" s="1"/>
  <c r="Y2391" i="1"/>
  <c r="Z2391" i="1" a="1"/>
  <c r="Z2391" i="1" s="1"/>
  <c r="AA2391" i="1"/>
  <c r="AB2391" i="1"/>
  <c r="AC2391" i="1"/>
  <c r="Y2392" i="1"/>
  <c r="Z2392" i="1" a="1"/>
  <c r="Z2392" i="1" s="1"/>
  <c r="AA2392" i="1"/>
  <c r="AB2392" i="1"/>
  <c r="AC2392" i="1"/>
  <c r="Y2393" i="1"/>
  <c r="Z2393" i="1" a="1"/>
  <c r="Z2393" i="1" s="1"/>
  <c r="AA2393" i="1"/>
  <c r="AB2393" i="1"/>
  <c r="AC2393" i="1" s="1"/>
  <c r="Y2394" i="1"/>
  <c r="Z2394" i="1" a="1"/>
  <c r="Z2394" i="1" s="1"/>
  <c r="AA2394" i="1"/>
  <c r="AB2394" i="1"/>
  <c r="AC2394" i="1"/>
  <c r="Y2395" i="1"/>
  <c r="Z2395" i="1" a="1"/>
  <c r="Z2395" i="1" s="1"/>
  <c r="AA2395" i="1"/>
  <c r="AB2395" i="1"/>
  <c r="AC2395" i="1"/>
  <c r="Y2396" i="1"/>
  <c r="Z2396" i="1" a="1"/>
  <c r="Z2396" i="1" s="1"/>
  <c r="AA2396" i="1"/>
  <c r="AB2396" i="1"/>
  <c r="AC2396" i="1"/>
  <c r="Y2397" i="1"/>
  <c r="Z2397" i="1" a="1"/>
  <c r="Z2397" i="1" s="1"/>
  <c r="AA2397" i="1"/>
  <c r="AB2397" i="1"/>
  <c r="AC2397" i="1"/>
  <c r="Y2398" i="1"/>
  <c r="Z2398" i="1" a="1"/>
  <c r="Z2398" i="1" s="1"/>
  <c r="AA2398" i="1"/>
  <c r="AB2398" i="1"/>
  <c r="AC2398" i="1"/>
  <c r="Y2399" i="1"/>
  <c r="Z2399" i="1" a="1"/>
  <c r="Z2399" i="1" s="1"/>
  <c r="AA2399" i="1"/>
  <c r="AB2399" i="1"/>
  <c r="AC2399" i="1" s="1"/>
  <c r="Y2400" i="1"/>
  <c r="Z2400" i="1" a="1"/>
  <c r="Z2400" i="1" s="1"/>
  <c r="AA2400" i="1"/>
  <c r="AB2400" i="1"/>
  <c r="AC2400" i="1" s="1"/>
  <c r="Y2401" i="1"/>
  <c r="Z2401" i="1" a="1"/>
  <c r="Z2401" i="1" s="1"/>
  <c r="AA2401" i="1"/>
  <c r="AB2401" i="1"/>
  <c r="AC2401" i="1"/>
  <c r="Y2402" i="1"/>
  <c r="Z2402" i="1" a="1"/>
  <c r="Z2402" i="1" s="1"/>
  <c r="AA2402" i="1"/>
  <c r="AB2402" i="1"/>
  <c r="AC2402" i="1" s="1"/>
  <c r="Y2403" i="1"/>
  <c r="Z2403" i="1" a="1"/>
  <c r="Z2403" i="1" s="1"/>
  <c r="AA2403" i="1"/>
  <c r="AB2403" i="1"/>
  <c r="AC2403" i="1"/>
  <c r="Y2404" i="1"/>
  <c r="Z2404" i="1" a="1"/>
  <c r="Z2404" i="1" s="1"/>
  <c r="AA2404" i="1"/>
  <c r="AB2404" i="1"/>
  <c r="AC2404" i="1" s="1"/>
  <c r="Y2405" i="1"/>
  <c r="Z2405" i="1" a="1"/>
  <c r="Z2405" i="1" s="1"/>
  <c r="AA2405" i="1"/>
  <c r="AB2405" i="1"/>
  <c r="AC2405" i="1" s="1"/>
  <c r="Y2406" i="1"/>
  <c r="Z2406" i="1" a="1"/>
  <c r="Z2406" i="1" s="1"/>
  <c r="AA2406" i="1"/>
  <c r="AB2406" i="1"/>
  <c r="AC2406" i="1" s="1"/>
  <c r="Y2407" i="1"/>
  <c r="Z2407" i="1" a="1"/>
  <c r="Z2407" i="1" s="1"/>
  <c r="AA2407" i="1"/>
  <c r="AB2407" i="1"/>
  <c r="AC2407" i="1"/>
  <c r="Y2408" i="1"/>
  <c r="Z2408" i="1" a="1"/>
  <c r="Z2408" i="1" s="1"/>
  <c r="AA2408" i="1"/>
  <c r="AB2408" i="1"/>
  <c r="AC2408" i="1" s="1"/>
  <c r="Y2409" i="1"/>
  <c r="Z2409" i="1" a="1"/>
  <c r="Z2409" i="1" s="1"/>
  <c r="AA2409" i="1"/>
  <c r="AB2409" i="1"/>
  <c r="AC2409" i="1"/>
  <c r="Y2410" i="1"/>
  <c r="Z2410" i="1" a="1"/>
  <c r="Z2410" i="1" s="1"/>
  <c r="AA2410" i="1"/>
  <c r="AB2410" i="1"/>
  <c r="AC2410" i="1"/>
  <c r="Y2411" i="1"/>
  <c r="Z2411" i="1" a="1"/>
  <c r="Z2411" i="1" s="1"/>
  <c r="AA2411" i="1"/>
  <c r="AB2411" i="1"/>
  <c r="AC2411" i="1"/>
  <c r="Y2412" i="1"/>
  <c r="Z2412" i="1" a="1"/>
  <c r="Z2412" i="1" s="1"/>
  <c r="AA2412" i="1"/>
  <c r="AB2412" i="1"/>
  <c r="AC2412" i="1" s="1"/>
  <c r="Y2413" i="1"/>
  <c r="Z2413" i="1" a="1"/>
  <c r="Z2413" i="1" s="1"/>
  <c r="AA2413" i="1"/>
  <c r="AB2413" i="1"/>
  <c r="AC2413" i="1"/>
  <c r="Y2414" i="1"/>
  <c r="Z2414" i="1" a="1"/>
  <c r="Z2414" i="1" s="1"/>
  <c r="AA2414" i="1"/>
  <c r="AB2414" i="1"/>
  <c r="AC2414" i="1" s="1"/>
  <c r="Y2415" i="1"/>
  <c r="Z2415" i="1" a="1"/>
  <c r="Z2415" i="1" s="1"/>
  <c r="AA2415" i="1"/>
  <c r="AB2415" i="1"/>
  <c r="AC2415" i="1" s="1"/>
  <c r="Y2416" i="1"/>
  <c r="Z2416" i="1" a="1"/>
  <c r="Z2416" i="1" s="1"/>
  <c r="AA2416" i="1"/>
  <c r="AB2416" i="1"/>
  <c r="AC2416" i="1" s="1"/>
  <c r="Y2417" i="1"/>
  <c r="Z2417" i="1" a="1"/>
  <c r="Z2417" i="1" s="1"/>
  <c r="AA2417" i="1"/>
  <c r="AB2417" i="1"/>
  <c r="AC2417" i="1"/>
  <c r="Y2418" i="1"/>
  <c r="Z2418" i="1" a="1"/>
  <c r="Z2418" i="1" s="1"/>
  <c r="AA2418" i="1"/>
  <c r="AB2418" i="1"/>
  <c r="AC2418" i="1" s="1"/>
  <c r="Y2419" i="1"/>
  <c r="Z2419" i="1" a="1"/>
  <c r="Z2419" i="1" s="1"/>
  <c r="AA2419" i="1"/>
  <c r="AB2419" i="1"/>
  <c r="AC2419" i="1"/>
  <c r="Y2420" i="1"/>
  <c r="Z2420" i="1" a="1"/>
  <c r="Z2420" i="1" s="1"/>
  <c r="AA2420" i="1"/>
  <c r="AB2420" i="1"/>
  <c r="AC2420" i="1"/>
  <c r="Y2421" i="1"/>
  <c r="Z2421" i="1" a="1"/>
  <c r="Z2421" i="1" s="1"/>
  <c r="AA2421" i="1"/>
  <c r="AB2421" i="1"/>
  <c r="AC2421" i="1" s="1"/>
  <c r="Y2422" i="1"/>
  <c r="Z2422" i="1" a="1"/>
  <c r="Z2422" i="1" s="1"/>
  <c r="AA2422" i="1"/>
  <c r="AB2422" i="1"/>
  <c r="AC2422" i="1"/>
  <c r="Y2423" i="1"/>
  <c r="Z2423" i="1" a="1"/>
  <c r="Z2423" i="1" s="1"/>
  <c r="AA2423" i="1"/>
  <c r="AB2423" i="1"/>
  <c r="AC2423" i="1" s="1"/>
  <c r="Y2424" i="1"/>
  <c r="Z2424" i="1" a="1"/>
  <c r="Z2424" i="1" s="1"/>
  <c r="AA2424" i="1"/>
  <c r="AB2424" i="1"/>
  <c r="AC2424" i="1"/>
  <c r="Y2425" i="1"/>
  <c r="Z2425" i="1" a="1"/>
  <c r="Z2425" i="1" s="1"/>
  <c r="AA2425" i="1"/>
  <c r="AB2425" i="1"/>
  <c r="AC2425" i="1" s="1"/>
  <c r="Y2426" i="1"/>
  <c r="Z2426" i="1" a="1"/>
  <c r="Z2426" i="1" s="1"/>
  <c r="AA2426" i="1"/>
  <c r="AB2426" i="1"/>
  <c r="AC2426" i="1"/>
  <c r="Y2427" i="1"/>
  <c r="Z2427" i="1" a="1"/>
  <c r="Z2427" i="1" s="1"/>
  <c r="AA2427" i="1"/>
  <c r="AB2427" i="1"/>
  <c r="AC2427" i="1"/>
  <c r="Y2428" i="1"/>
  <c r="Z2428" i="1" a="1"/>
  <c r="Z2428" i="1" s="1"/>
  <c r="AA2428" i="1"/>
  <c r="AB2428" i="1"/>
  <c r="AC2428" i="1"/>
  <c r="Y2429" i="1"/>
  <c r="Z2429" i="1" a="1"/>
  <c r="Z2429" i="1" s="1"/>
  <c r="AA2429" i="1"/>
  <c r="AB2429" i="1"/>
  <c r="AC2429" i="1"/>
  <c r="Y2430" i="1"/>
  <c r="Z2430" i="1" a="1"/>
  <c r="Z2430" i="1" s="1"/>
  <c r="AA2430" i="1"/>
  <c r="AB2430" i="1"/>
  <c r="AC2430" i="1" s="1"/>
  <c r="Y2431" i="1"/>
  <c r="Z2431" i="1" a="1"/>
  <c r="Z2431" i="1" s="1"/>
  <c r="AA2431" i="1"/>
  <c r="AB2431" i="1"/>
  <c r="AC2431" i="1"/>
  <c r="Y2432" i="1"/>
  <c r="Z2432" i="1" a="1"/>
  <c r="Z2432" i="1" s="1"/>
  <c r="AA2432" i="1"/>
  <c r="AB2432" i="1"/>
  <c r="AC2432" i="1" s="1"/>
  <c r="Y2433" i="1"/>
  <c r="Z2433" i="1" a="1"/>
  <c r="Z2433" i="1" s="1"/>
  <c r="AA2433" i="1"/>
  <c r="AB2433" i="1"/>
  <c r="AC2433" i="1" s="1"/>
  <c r="Y2434" i="1"/>
  <c r="Z2434" i="1" a="1"/>
  <c r="Z2434" i="1" s="1"/>
  <c r="AA2434" i="1"/>
  <c r="AB2434" i="1"/>
  <c r="AC2434" i="1" s="1"/>
  <c r="Y2435" i="1"/>
  <c r="Z2435" i="1" a="1"/>
  <c r="Z2435" i="1" s="1"/>
  <c r="AA2435" i="1"/>
  <c r="AB2435" i="1"/>
  <c r="AC2435" i="1"/>
  <c r="Y2436" i="1"/>
  <c r="Z2436" i="1" a="1"/>
  <c r="Z2436" i="1" s="1"/>
  <c r="AA2436" i="1"/>
  <c r="AB2436" i="1"/>
  <c r="AC2436" i="1"/>
  <c r="Y2437" i="1"/>
  <c r="Z2437" i="1" a="1"/>
  <c r="Z2437" i="1" s="1"/>
  <c r="AA2437" i="1"/>
  <c r="AB2437" i="1"/>
  <c r="AC2437" i="1" s="1"/>
  <c r="Y2438" i="1"/>
  <c r="Z2438" i="1" a="1"/>
  <c r="Z2438" i="1" s="1"/>
  <c r="AA2438" i="1"/>
  <c r="AB2438" i="1"/>
  <c r="AC2438" i="1" s="1"/>
  <c r="Y2439" i="1"/>
  <c r="Z2439" i="1" a="1"/>
  <c r="Z2439" i="1" s="1"/>
  <c r="AA2439" i="1"/>
  <c r="AB2439" i="1"/>
  <c r="AC2439" i="1" s="1"/>
  <c r="Y2440" i="1"/>
  <c r="Z2440" i="1" a="1"/>
  <c r="Z2440" i="1" s="1"/>
  <c r="AA2440" i="1"/>
  <c r="AB2440" i="1"/>
  <c r="AC2440" i="1"/>
  <c r="Y2441" i="1"/>
  <c r="Z2441" i="1" a="1"/>
  <c r="Z2441" i="1" s="1"/>
  <c r="AA2441" i="1"/>
  <c r="AB2441" i="1"/>
  <c r="AC2441" i="1"/>
  <c r="Y2442" i="1"/>
  <c r="Z2442" i="1" a="1"/>
  <c r="Z2442" i="1" s="1"/>
  <c r="AA2442" i="1"/>
  <c r="AB2442" i="1"/>
  <c r="AC2442" i="1" s="1"/>
  <c r="Y2443" i="1"/>
  <c r="Z2443" i="1" a="1"/>
  <c r="Z2443" i="1" s="1"/>
  <c r="AA2443" i="1"/>
  <c r="AB2443" i="1"/>
  <c r="AC2443" i="1"/>
  <c r="Y2444" i="1"/>
  <c r="Z2444" i="1" a="1"/>
  <c r="Z2444" i="1" s="1"/>
  <c r="AA2444" i="1"/>
  <c r="AB2444" i="1"/>
  <c r="AC2444" i="1" s="1"/>
  <c r="Y2445" i="1"/>
  <c r="Z2445" i="1" a="1"/>
  <c r="Z2445" i="1" s="1"/>
  <c r="AA2445" i="1"/>
  <c r="AB2445" i="1"/>
  <c r="AC2445" i="1"/>
  <c r="Y2446" i="1"/>
  <c r="Z2446" i="1" a="1"/>
  <c r="Z2446" i="1" s="1"/>
  <c r="AA2446" i="1"/>
  <c r="AB2446" i="1"/>
  <c r="AC2446" i="1" s="1"/>
  <c r="Y2447" i="1"/>
  <c r="Z2447" i="1" a="1"/>
  <c r="Z2447" i="1" s="1"/>
  <c r="AA2447" i="1"/>
  <c r="AB2447" i="1"/>
  <c r="AC2447" i="1"/>
  <c r="Y2448" i="1"/>
  <c r="Z2448" i="1" a="1"/>
  <c r="Z2448" i="1" s="1"/>
  <c r="AA2448" i="1"/>
  <c r="AB2448" i="1"/>
  <c r="AC2448" i="1" s="1"/>
  <c r="Y2449" i="1"/>
  <c r="Z2449" i="1" a="1"/>
  <c r="Z2449" i="1" s="1"/>
  <c r="AA2449" i="1"/>
  <c r="AB2449" i="1"/>
  <c r="AC2449" i="1"/>
  <c r="Y2450" i="1"/>
  <c r="Z2450" i="1" a="1"/>
  <c r="Z2450" i="1" s="1"/>
  <c r="AA2450" i="1"/>
  <c r="AB2450" i="1"/>
  <c r="AC2450" i="1"/>
  <c r="Y2451" i="1"/>
  <c r="Z2451" i="1" a="1"/>
  <c r="Z2451" i="1" s="1"/>
  <c r="AA2451" i="1"/>
  <c r="AB2451" i="1"/>
  <c r="AC2451" i="1"/>
  <c r="Y2452" i="1"/>
  <c r="Z2452" i="1" a="1"/>
  <c r="Z2452" i="1" s="1"/>
  <c r="AA2452" i="1"/>
  <c r="AB2452" i="1"/>
  <c r="AC2452" i="1" s="1"/>
  <c r="Y2453" i="1"/>
  <c r="Z2453" i="1" a="1"/>
  <c r="Z2453" i="1" s="1"/>
  <c r="AA2453" i="1"/>
  <c r="AB2453" i="1"/>
  <c r="AC2453" i="1" s="1"/>
  <c r="Y2454" i="1"/>
  <c r="Z2454" i="1" a="1"/>
  <c r="Z2454" i="1" s="1"/>
  <c r="AA2454" i="1"/>
  <c r="AB2454" i="1"/>
  <c r="AC2454" i="1"/>
  <c r="Y2455" i="1"/>
  <c r="Z2455" i="1" a="1"/>
  <c r="Z2455" i="1" s="1"/>
  <c r="AA2455" i="1"/>
  <c r="AB2455" i="1"/>
  <c r="AC2455" i="1" s="1"/>
  <c r="Y2456" i="1"/>
  <c r="Z2456" i="1" a="1"/>
  <c r="Z2456" i="1" s="1"/>
  <c r="AA2456" i="1"/>
  <c r="AB2456" i="1"/>
  <c r="AC2456" i="1"/>
  <c r="Y2457" i="1"/>
  <c r="Z2457" i="1" a="1"/>
  <c r="Z2457" i="1" s="1"/>
  <c r="AA2457" i="1"/>
  <c r="AB2457" i="1"/>
  <c r="AC2457" i="1" s="1"/>
  <c r="Y2458" i="1"/>
  <c r="Z2458" i="1" a="1"/>
  <c r="Z2458" i="1" s="1"/>
  <c r="AA2458" i="1"/>
  <c r="AB2458" i="1"/>
  <c r="AC2458" i="1"/>
  <c r="Y2459" i="1"/>
  <c r="Z2459" i="1" a="1"/>
  <c r="Z2459" i="1" s="1"/>
  <c r="AA2459" i="1"/>
  <c r="AB2459" i="1"/>
  <c r="AC2459" i="1"/>
  <c r="Y2460" i="1"/>
  <c r="Z2460" i="1" a="1"/>
  <c r="Z2460" i="1" s="1"/>
  <c r="AA2460" i="1"/>
  <c r="AB2460" i="1"/>
  <c r="AC2460" i="1"/>
  <c r="Y2461" i="1"/>
  <c r="Z2461" i="1" a="1"/>
  <c r="Z2461" i="1" s="1"/>
  <c r="AA2461" i="1"/>
  <c r="AB2461" i="1"/>
  <c r="AC2461" i="1" s="1"/>
  <c r="Y2462" i="1"/>
  <c r="Z2462" i="1" a="1"/>
  <c r="Z2462" i="1" s="1"/>
  <c r="AA2462" i="1"/>
  <c r="AB2462" i="1"/>
  <c r="AC2462" i="1" s="1"/>
  <c r="Y2463" i="1"/>
  <c r="Z2463" i="1" a="1"/>
  <c r="Z2463" i="1" s="1"/>
  <c r="AA2463" i="1"/>
  <c r="AB2463" i="1"/>
  <c r="AC2463" i="1" s="1"/>
  <c r="Y2464" i="1"/>
  <c r="Z2464" i="1" a="1"/>
  <c r="Z2464" i="1" s="1"/>
  <c r="AA2464" i="1"/>
  <c r="AB2464" i="1"/>
  <c r="AC2464" i="1" s="1"/>
  <c r="Y2465" i="1"/>
  <c r="Z2465" i="1" a="1"/>
  <c r="Z2465" i="1" s="1"/>
  <c r="AA2465" i="1"/>
  <c r="AB2465" i="1"/>
  <c r="AC2465" i="1"/>
  <c r="Y2466" i="1"/>
  <c r="Z2466" i="1" a="1"/>
  <c r="Z2466" i="1" s="1"/>
  <c r="AA2466" i="1"/>
  <c r="AB2466" i="1"/>
  <c r="AC2466" i="1"/>
  <c r="Y2467" i="1"/>
  <c r="Z2467" i="1" a="1"/>
  <c r="Z2467" i="1" s="1"/>
  <c r="AA2467" i="1"/>
  <c r="AB2467" i="1"/>
  <c r="AC2467" i="1"/>
  <c r="Y2468" i="1"/>
  <c r="Z2468" i="1" a="1"/>
  <c r="Z2468" i="1" s="1"/>
  <c r="AA2468" i="1"/>
  <c r="AB2468" i="1"/>
  <c r="AC2468" i="1"/>
  <c r="Y2469" i="1"/>
  <c r="Z2469" i="1" a="1"/>
  <c r="Z2469" i="1" s="1"/>
  <c r="AA2469" i="1"/>
  <c r="AB2469" i="1"/>
  <c r="AC2469" i="1"/>
  <c r="Y2470" i="1"/>
  <c r="Z2470" i="1" a="1"/>
  <c r="Z2470" i="1" s="1"/>
  <c r="AA2470" i="1"/>
  <c r="AB2470" i="1"/>
  <c r="AC2470" i="1"/>
  <c r="Y2471" i="1"/>
  <c r="Z2471" i="1" a="1"/>
  <c r="Z2471" i="1" s="1"/>
  <c r="AA2471" i="1"/>
  <c r="AB2471" i="1"/>
  <c r="AC2471" i="1"/>
  <c r="Y2472" i="1"/>
  <c r="Z2472" i="1" a="1"/>
  <c r="Z2472" i="1" s="1"/>
  <c r="AA2472" i="1"/>
  <c r="AB2472" i="1"/>
  <c r="AC2472" i="1" s="1"/>
  <c r="Y2473" i="1"/>
  <c r="Z2473" i="1" a="1"/>
  <c r="Z2473" i="1" s="1"/>
  <c r="AA2473" i="1"/>
  <c r="AB2473" i="1"/>
  <c r="AC2473" i="1"/>
  <c r="Y2474" i="1"/>
  <c r="Z2474" i="1" a="1"/>
  <c r="Z2474" i="1" s="1"/>
  <c r="AA2474" i="1"/>
  <c r="AB2474" i="1"/>
  <c r="AC2474" i="1" s="1"/>
  <c r="Y2475" i="1"/>
  <c r="Z2475" i="1" a="1"/>
  <c r="Z2475" i="1" s="1"/>
  <c r="AA2475" i="1"/>
  <c r="AB2475" i="1"/>
  <c r="AC2475" i="1"/>
  <c r="Y2476" i="1"/>
  <c r="Z2476" i="1" a="1"/>
  <c r="Z2476" i="1" s="1"/>
  <c r="AA2476" i="1"/>
  <c r="AB2476" i="1"/>
  <c r="AC2476" i="1" s="1"/>
  <c r="Y2477" i="1"/>
  <c r="Z2477" i="1" a="1"/>
  <c r="Z2477" i="1" s="1"/>
  <c r="AA2477" i="1"/>
  <c r="AB2477" i="1"/>
  <c r="AC2477" i="1"/>
  <c r="Y2478" i="1"/>
  <c r="Z2478" i="1" a="1"/>
  <c r="Z2478" i="1" s="1"/>
  <c r="AA2478" i="1"/>
  <c r="AB2478" i="1"/>
  <c r="AC2478" i="1" s="1"/>
  <c r="Y2479" i="1"/>
  <c r="Z2479" i="1" a="1"/>
  <c r="Z2479" i="1" s="1"/>
  <c r="AA2479" i="1"/>
  <c r="AB2479" i="1"/>
  <c r="AC2479" i="1" s="1"/>
  <c r="Y2480" i="1"/>
  <c r="Z2480" i="1" a="1"/>
  <c r="Z2480" i="1" s="1"/>
  <c r="AA2480" i="1"/>
  <c r="AB2480" i="1"/>
  <c r="AC2480" i="1"/>
  <c r="Y2481" i="1"/>
  <c r="Z2481" i="1" a="1"/>
  <c r="Z2481" i="1" s="1"/>
  <c r="AA2481" i="1"/>
  <c r="AB2481" i="1"/>
  <c r="AC2481" i="1" s="1"/>
  <c r="Y2482" i="1"/>
  <c r="Z2482" i="1" a="1"/>
  <c r="Z2482" i="1" s="1"/>
  <c r="AA2482" i="1"/>
  <c r="AB2482" i="1"/>
  <c r="AC2482" i="1" s="1"/>
  <c r="Y2483" i="1"/>
  <c r="Z2483" i="1" a="1"/>
  <c r="Z2483" i="1" s="1"/>
  <c r="AA2483" i="1"/>
  <c r="AB2483" i="1"/>
  <c r="AC2483" i="1"/>
  <c r="Y2484" i="1"/>
  <c r="Z2484" i="1" a="1"/>
  <c r="Z2484" i="1" s="1"/>
  <c r="AA2484" i="1"/>
  <c r="AB2484" i="1"/>
  <c r="AC2484" i="1"/>
  <c r="Y2485" i="1"/>
  <c r="Z2485" i="1" a="1"/>
  <c r="Z2485" i="1" s="1"/>
  <c r="AA2485" i="1"/>
  <c r="AB2485" i="1"/>
  <c r="AC2485" i="1"/>
  <c r="Y2486" i="1"/>
  <c r="Z2486" i="1" a="1"/>
  <c r="Z2486" i="1" s="1"/>
  <c r="AA2486" i="1"/>
  <c r="AB2486" i="1"/>
  <c r="AC2486" i="1" s="1"/>
  <c r="Y2487" i="1"/>
  <c r="Z2487" i="1" a="1"/>
  <c r="Z2487" i="1" s="1"/>
  <c r="AA2487" i="1"/>
  <c r="AB2487" i="1"/>
  <c r="AC2487" i="1" s="1"/>
  <c r="Y2488" i="1"/>
  <c r="Z2488" i="1" a="1"/>
  <c r="Z2488" i="1" s="1"/>
  <c r="AA2488" i="1"/>
  <c r="AB2488" i="1"/>
  <c r="AC2488" i="1" s="1"/>
  <c r="Y2489" i="1"/>
  <c r="Z2489" i="1" a="1"/>
  <c r="Z2489" i="1" s="1"/>
  <c r="AA2489" i="1"/>
  <c r="AB2489" i="1"/>
  <c r="AC2489" i="1"/>
  <c r="Y2490" i="1"/>
  <c r="Z2490" i="1" a="1"/>
  <c r="Z2490" i="1" s="1"/>
  <c r="AA2490" i="1"/>
  <c r="AB2490" i="1"/>
  <c r="AC2490" i="1"/>
  <c r="Y2491" i="1"/>
  <c r="Z2491" i="1" a="1"/>
  <c r="Z2491" i="1" s="1"/>
  <c r="AA2491" i="1"/>
  <c r="AB2491" i="1"/>
  <c r="AC2491" i="1"/>
  <c r="Y2492" i="1"/>
  <c r="Z2492" i="1" a="1"/>
  <c r="Z2492" i="1" s="1"/>
  <c r="AA2492" i="1"/>
  <c r="AB2492" i="1"/>
  <c r="AC2492" i="1"/>
  <c r="Y2493" i="1"/>
  <c r="Z2493" i="1" a="1"/>
  <c r="Z2493" i="1" s="1"/>
  <c r="AA2493" i="1"/>
  <c r="AB2493" i="1"/>
  <c r="AC2493" i="1" s="1"/>
  <c r="Y2494" i="1"/>
  <c r="Z2494" i="1" a="1"/>
  <c r="Z2494" i="1" s="1"/>
  <c r="AA2494" i="1"/>
  <c r="AB2494" i="1"/>
  <c r="AC2494" i="1" s="1"/>
  <c r="Y2495" i="1"/>
  <c r="Z2495" i="1" a="1"/>
  <c r="Z2495" i="1" s="1"/>
  <c r="AA2495" i="1"/>
  <c r="AB2495" i="1"/>
  <c r="AC2495" i="1" s="1"/>
  <c r="Y2496" i="1"/>
  <c r="Z2496" i="1" a="1"/>
  <c r="Z2496" i="1" s="1"/>
  <c r="AA2496" i="1"/>
  <c r="AB2496" i="1"/>
  <c r="AC2496" i="1"/>
  <c r="Y2497" i="1"/>
  <c r="Z2497" i="1" a="1"/>
  <c r="Z2497" i="1" s="1"/>
  <c r="AA2497" i="1"/>
  <c r="AB2497" i="1"/>
  <c r="AC2497" i="1" s="1"/>
  <c r="Y2498" i="1"/>
  <c r="Z2498" i="1" a="1"/>
  <c r="Z2498" i="1" s="1"/>
  <c r="AA2498" i="1"/>
  <c r="AB2498" i="1"/>
  <c r="AC2498" i="1"/>
  <c r="Y2499" i="1"/>
  <c r="Z2499" i="1" a="1"/>
  <c r="Z2499" i="1" s="1"/>
  <c r="AA2499" i="1"/>
  <c r="AB2499" i="1"/>
  <c r="AC2499" i="1"/>
  <c r="Y2500" i="1"/>
  <c r="Z2500" i="1" a="1"/>
  <c r="Z2500" i="1" s="1"/>
  <c r="AA2500" i="1"/>
  <c r="AB2500" i="1"/>
  <c r="AC2500" i="1" s="1"/>
  <c r="Y2501" i="1"/>
  <c r="Z2501" i="1" a="1"/>
  <c r="Z2501" i="1" s="1"/>
  <c r="AA2501" i="1"/>
  <c r="AB2501" i="1"/>
  <c r="AC2501" i="1" s="1"/>
  <c r="Y2502" i="1"/>
  <c r="Z2502" i="1" a="1"/>
  <c r="Z2502" i="1" s="1"/>
  <c r="AA2502" i="1"/>
  <c r="AB2502" i="1"/>
  <c r="AC2502" i="1" s="1"/>
  <c r="Y2503" i="1"/>
  <c r="Z2503" i="1" a="1"/>
  <c r="Z2503" i="1" s="1"/>
  <c r="AA2503" i="1"/>
  <c r="AB2503" i="1"/>
  <c r="AC2503" i="1"/>
  <c r="Y2504" i="1"/>
  <c r="Z2504" i="1" a="1"/>
  <c r="Z2504" i="1" s="1"/>
  <c r="AA2504" i="1"/>
  <c r="AB2504" i="1"/>
  <c r="AC2504" i="1" s="1"/>
  <c r="Y2505" i="1"/>
  <c r="Z2505" i="1" a="1"/>
  <c r="Z2505" i="1" s="1"/>
  <c r="AA2505" i="1"/>
  <c r="AB2505" i="1"/>
  <c r="AC2505" i="1"/>
  <c r="Y2506" i="1"/>
  <c r="Z2506" i="1" a="1"/>
  <c r="Z2506" i="1" s="1"/>
  <c r="AA2506" i="1"/>
  <c r="AB2506" i="1"/>
  <c r="AC2506" i="1" s="1"/>
  <c r="Y2507" i="1"/>
  <c r="Z2507" i="1" a="1"/>
  <c r="Z2507" i="1" s="1"/>
  <c r="AA2507" i="1"/>
  <c r="AB2507" i="1"/>
  <c r="AC2507" i="1"/>
  <c r="Y2508" i="1"/>
  <c r="Z2508" i="1" a="1"/>
  <c r="Z2508" i="1" s="1"/>
  <c r="AA2508" i="1"/>
  <c r="AB2508" i="1"/>
  <c r="AC2508" i="1"/>
  <c r="Y2509" i="1"/>
  <c r="Z2509" i="1" a="1"/>
  <c r="Z2509" i="1" s="1"/>
  <c r="AA2509" i="1"/>
  <c r="AB2509" i="1"/>
  <c r="AC2509" i="1"/>
  <c r="Y2510" i="1"/>
  <c r="Z2510" i="1" a="1"/>
  <c r="Z2510" i="1" s="1"/>
  <c r="AA2510" i="1"/>
  <c r="AB2510" i="1"/>
  <c r="AC2510" i="1"/>
  <c r="Y2511" i="1"/>
  <c r="Z2511" i="1" a="1"/>
  <c r="Z2511" i="1" s="1"/>
  <c r="AA2511" i="1"/>
  <c r="AB2511" i="1"/>
  <c r="AC2511" i="1" s="1"/>
  <c r="Y2512" i="1"/>
  <c r="Z2512" i="1" a="1"/>
  <c r="Z2512" i="1" s="1"/>
  <c r="AA2512" i="1"/>
  <c r="AB2512" i="1"/>
  <c r="AC2512" i="1" s="1"/>
  <c r="Y2513" i="1"/>
  <c r="Z2513" i="1" a="1"/>
  <c r="Z2513" i="1" s="1"/>
  <c r="AA2513" i="1"/>
  <c r="AB2513" i="1"/>
  <c r="AC2513" i="1" s="1"/>
  <c r="Y2514" i="1"/>
  <c r="Z2514" i="1" a="1"/>
  <c r="Z2514" i="1" s="1"/>
  <c r="AA2514" i="1"/>
  <c r="AB2514" i="1"/>
  <c r="AC2514" i="1"/>
  <c r="Y2515" i="1"/>
  <c r="Z2515" i="1" a="1"/>
  <c r="Z2515" i="1" s="1"/>
  <c r="AA2515" i="1"/>
  <c r="AB2515" i="1"/>
  <c r="AC2515" i="1"/>
  <c r="Y2516" i="1"/>
  <c r="Z2516" i="1" a="1"/>
  <c r="Z2516" i="1" s="1"/>
  <c r="AA2516" i="1"/>
  <c r="AB2516" i="1"/>
  <c r="AC2516" i="1" s="1"/>
  <c r="Y2517" i="1"/>
  <c r="Z2517" i="1" a="1"/>
  <c r="Z2517" i="1" s="1"/>
  <c r="AA2517" i="1"/>
  <c r="AB2517" i="1"/>
  <c r="AC2517" i="1"/>
  <c r="Y2518" i="1"/>
  <c r="Z2518" i="1" a="1"/>
  <c r="Z2518" i="1" s="1"/>
  <c r="AA2518" i="1"/>
  <c r="AB2518" i="1"/>
  <c r="AC2518" i="1" s="1"/>
  <c r="Y2519" i="1"/>
  <c r="Z2519" i="1" a="1"/>
  <c r="Z2519" i="1" s="1"/>
  <c r="AA2519" i="1"/>
  <c r="AB2519" i="1"/>
  <c r="AC2519" i="1"/>
  <c r="Y2520" i="1"/>
  <c r="Z2520" i="1" a="1"/>
  <c r="Z2520" i="1" s="1"/>
  <c r="AA2520" i="1"/>
  <c r="AB2520" i="1"/>
  <c r="AC2520" i="1"/>
  <c r="Y2521" i="1"/>
  <c r="Z2521" i="1" a="1"/>
  <c r="Z2521" i="1" s="1"/>
  <c r="AA2521" i="1"/>
  <c r="AB2521" i="1"/>
  <c r="AC2521" i="1" s="1"/>
  <c r="Y2522" i="1"/>
  <c r="Z2522" i="1" a="1"/>
  <c r="Z2522" i="1" s="1"/>
  <c r="AA2522" i="1"/>
  <c r="AB2522" i="1"/>
  <c r="AC2522" i="1"/>
  <c r="Y2523" i="1"/>
  <c r="Z2523" i="1" a="1"/>
  <c r="Z2523" i="1" s="1"/>
  <c r="AA2523" i="1"/>
  <c r="AB2523" i="1"/>
  <c r="AC2523" i="1"/>
  <c r="Y2524" i="1"/>
  <c r="Z2524" i="1" a="1"/>
  <c r="Z2524" i="1" s="1"/>
  <c r="AA2524" i="1"/>
  <c r="AB2524" i="1"/>
  <c r="AC2524" i="1"/>
  <c r="Y2525" i="1"/>
  <c r="Z2525" i="1" a="1"/>
  <c r="Z2525" i="1" s="1"/>
  <c r="AA2525" i="1"/>
  <c r="AB2525" i="1"/>
  <c r="AC2525" i="1" s="1"/>
  <c r="Y2526" i="1"/>
  <c r="Z2526" i="1" a="1"/>
  <c r="Z2526" i="1" s="1"/>
  <c r="AA2526" i="1"/>
  <c r="AB2526" i="1"/>
  <c r="AC2526" i="1"/>
  <c r="Y2527" i="1"/>
  <c r="Z2527" i="1" a="1"/>
  <c r="Z2527" i="1" s="1"/>
  <c r="AA2527" i="1"/>
  <c r="AB2527" i="1"/>
  <c r="AC2527" i="1" s="1"/>
  <c r="Y2528" i="1"/>
  <c r="Z2528" i="1" a="1"/>
  <c r="Z2528" i="1" s="1"/>
  <c r="AA2528" i="1"/>
  <c r="AB2528" i="1"/>
  <c r="AC2528" i="1" s="1"/>
  <c r="Y2529" i="1"/>
  <c r="Z2529" i="1" a="1"/>
  <c r="Z2529" i="1" s="1"/>
  <c r="AA2529" i="1"/>
  <c r="AB2529" i="1"/>
  <c r="AC2529" i="1"/>
  <c r="Y2530" i="1"/>
  <c r="Z2530" i="1" a="1"/>
  <c r="Z2530" i="1" s="1"/>
  <c r="AA2530" i="1"/>
  <c r="AB2530" i="1"/>
  <c r="AC2530" i="1" s="1"/>
  <c r="Y2531" i="1"/>
  <c r="Z2531" i="1" a="1"/>
  <c r="Z2531" i="1" s="1"/>
  <c r="AA2531" i="1"/>
  <c r="AB2531" i="1"/>
  <c r="AC2531" i="1"/>
  <c r="Y2532" i="1"/>
  <c r="Z2532" i="1" a="1"/>
  <c r="Z2532" i="1" s="1"/>
  <c r="AA2532" i="1"/>
  <c r="AB2532" i="1"/>
  <c r="AC2532" i="1" s="1"/>
  <c r="Y2533" i="1"/>
  <c r="Z2533" i="1" a="1"/>
  <c r="Z2533" i="1" s="1"/>
  <c r="AA2533" i="1"/>
  <c r="AB2533" i="1"/>
  <c r="AC2533" i="1"/>
  <c r="Y2534" i="1"/>
  <c r="Z2534" i="1" a="1"/>
  <c r="Z2534" i="1" s="1"/>
  <c r="AA2534" i="1"/>
  <c r="AB2534" i="1"/>
  <c r="AC2534" i="1" s="1"/>
  <c r="Y2535" i="1"/>
  <c r="Z2535" i="1" a="1"/>
  <c r="Z2535" i="1" s="1"/>
  <c r="AA2535" i="1"/>
  <c r="AB2535" i="1"/>
  <c r="AC2535" i="1" s="1"/>
  <c r="Y2536" i="1"/>
  <c r="Z2536" i="1" a="1"/>
  <c r="Z2536" i="1" s="1"/>
  <c r="AA2536" i="1"/>
  <c r="AB2536" i="1"/>
  <c r="AC2536" i="1" s="1"/>
  <c r="Y2537" i="1"/>
  <c r="Z2537" i="1" a="1"/>
  <c r="Z2537" i="1" s="1"/>
  <c r="AA2537" i="1"/>
  <c r="AB2537" i="1"/>
  <c r="AC2537" i="1"/>
  <c r="Y2538" i="1"/>
  <c r="Z2538" i="1" a="1"/>
  <c r="Z2538" i="1" s="1"/>
  <c r="AA2538" i="1"/>
  <c r="AB2538" i="1"/>
  <c r="AC2538" i="1"/>
  <c r="Y2539" i="1"/>
  <c r="Z2539" i="1" a="1"/>
  <c r="Z2539" i="1" s="1"/>
  <c r="AA2539" i="1"/>
  <c r="AB2539" i="1"/>
  <c r="AC2539" i="1"/>
  <c r="Y2540" i="1"/>
  <c r="Z2540" i="1" a="1"/>
  <c r="Z2540" i="1" s="1"/>
  <c r="AA2540" i="1"/>
  <c r="AB2540" i="1"/>
  <c r="AC2540" i="1" s="1"/>
  <c r="Y2541" i="1"/>
  <c r="Z2541" i="1" a="1"/>
  <c r="Z2541" i="1" s="1"/>
  <c r="AA2541" i="1"/>
  <c r="AB2541" i="1"/>
  <c r="AC2541" i="1"/>
  <c r="Y2542" i="1"/>
  <c r="Z2542" i="1" a="1"/>
  <c r="Z2542" i="1" s="1"/>
  <c r="AA2542" i="1"/>
  <c r="AB2542" i="1"/>
  <c r="AC2542" i="1" s="1"/>
  <c r="Y2543" i="1"/>
  <c r="Z2543" i="1" a="1"/>
  <c r="Z2543" i="1" s="1"/>
  <c r="AA2543" i="1"/>
  <c r="AB2543" i="1"/>
  <c r="AC2543" i="1" s="1"/>
  <c r="Y2544" i="1"/>
  <c r="Z2544" i="1" a="1"/>
  <c r="Z2544" i="1" s="1"/>
  <c r="AA2544" i="1"/>
  <c r="AB2544" i="1"/>
  <c r="AC2544" i="1"/>
  <c r="Y2545" i="1"/>
  <c r="Z2545" i="1" a="1"/>
  <c r="Z2545" i="1" s="1"/>
  <c r="AA2545" i="1"/>
  <c r="AB2545" i="1"/>
  <c r="AC2545" i="1"/>
  <c r="Y2546" i="1"/>
  <c r="Z2546" i="1" a="1"/>
  <c r="Z2546" i="1" s="1"/>
  <c r="AA2546" i="1"/>
  <c r="AB2546" i="1"/>
  <c r="AC2546" i="1" s="1"/>
  <c r="Y2547" i="1"/>
  <c r="Z2547" i="1" a="1"/>
  <c r="Z2547" i="1" s="1"/>
  <c r="AA2547" i="1"/>
  <c r="AB2547" i="1"/>
  <c r="AC2547" i="1"/>
  <c r="Y2548" i="1"/>
  <c r="Z2548" i="1" a="1"/>
  <c r="Z2548" i="1" s="1"/>
  <c r="AA2548" i="1"/>
  <c r="AB2548" i="1"/>
  <c r="AC2548" i="1"/>
  <c r="Y2549" i="1"/>
  <c r="Z2549" i="1" a="1"/>
  <c r="Z2549" i="1" s="1"/>
  <c r="AA2549" i="1"/>
  <c r="AB2549" i="1"/>
  <c r="AC2549" i="1" s="1"/>
  <c r="Y2550" i="1"/>
  <c r="Z2550" i="1" a="1"/>
  <c r="Z2550" i="1" s="1"/>
  <c r="AA2550" i="1"/>
  <c r="AB2550" i="1"/>
  <c r="AC2550" i="1"/>
  <c r="Y2551" i="1"/>
  <c r="Z2551" i="1" a="1"/>
  <c r="Z2551" i="1" s="1"/>
  <c r="AA2551" i="1"/>
  <c r="AB2551" i="1"/>
  <c r="AC2551" i="1" s="1"/>
  <c r="Y2552" i="1"/>
  <c r="Z2552" i="1" a="1"/>
  <c r="Z2552" i="1" s="1"/>
  <c r="AA2552" i="1"/>
  <c r="AB2552" i="1"/>
  <c r="AC2552" i="1"/>
  <c r="Y2553" i="1"/>
  <c r="Z2553" i="1" a="1"/>
  <c r="Z2553" i="1" s="1"/>
  <c r="AA2553" i="1"/>
  <c r="AB2553" i="1"/>
  <c r="AC2553" i="1" s="1"/>
  <c r="Y2554" i="1"/>
  <c r="Z2554" i="1" a="1"/>
  <c r="Z2554" i="1" s="1"/>
  <c r="AA2554" i="1"/>
  <c r="AB2554" i="1"/>
  <c r="AC2554" i="1"/>
  <c r="Y2555" i="1"/>
  <c r="Z2555" i="1" a="1"/>
  <c r="Z2555" i="1" s="1"/>
  <c r="AA2555" i="1"/>
  <c r="AB2555" i="1"/>
  <c r="AC2555" i="1"/>
  <c r="Y2556" i="1"/>
  <c r="Z2556" i="1" a="1"/>
  <c r="Z2556" i="1" s="1"/>
  <c r="AA2556" i="1"/>
  <c r="AB2556" i="1"/>
  <c r="AC2556" i="1"/>
  <c r="Y2557" i="1"/>
  <c r="Z2557" i="1" a="1"/>
  <c r="Z2557" i="1" s="1"/>
  <c r="AA2557" i="1"/>
  <c r="AB2557" i="1"/>
  <c r="AC2557" i="1"/>
  <c r="Y2558" i="1"/>
  <c r="Z2558" i="1" a="1"/>
  <c r="Z2558" i="1" s="1"/>
  <c r="AA2558" i="1"/>
  <c r="AB2558" i="1"/>
  <c r="AC2558" i="1" s="1"/>
  <c r="Y2559" i="1"/>
  <c r="Z2559" i="1" a="1"/>
  <c r="Z2559" i="1" s="1"/>
  <c r="AA2559" i="1"/>
  <c r="AB2559" i="1"/>
  <c r="AC2559" i="1"/>
  <c r="Y2560" i="1"/>
  <c r="Z2560" i="1" a="1"/>
  <c r="Z2560" i="1" s="1"/>
  <c r="AA2560" i="1"/>
  <c r="AB2560" i="1"/>
  <c r="AC2560" i="1" s="1"/>
  <c r="Y2561" i="1"/>
  <c r="Z2561" i="1" a="1"/>
  <c r="Z2561" i="1" s="1"/>
  <c r="AA2561" i="1"/>
  <c r="AB2561" i="1"/>
  <c r="AC2561" i="1" s="1"/>
  <c r="Y2562" i="1"/>
  <c r="Z2562" i="1" a="1"/>
  <c r="Z2562" i="1" s="1"/>
  <c r="AA2562" i="1"/>
  <c r="AB2562" i="1"/>
  <c r="AC2562" i="1" s="1"/>
  <c r="Y2563" i="1"/>
  <c r="Z2563" i="1" a="1"/>
  <c r="Z2563" i="1" s="1"/>
  <c r="AA2563" i="1"/>
  <c r="AB2563" i="1"/>
  <c r="AC2563" i="1"/>
  <c r="Y2564" i="1"/>
  <c r="Z2564" i="1" a="1"/>
  <c r="Z2564" i="1" s="1"/>
  <c r="AA2564" i="1"/>
  <c r="AB2564" i="1"/>
  <c r="AC2564" i="1"/>
  <c r="Y2565" i="1"/>
  <c r="Z2565" i="1" a="1"/>
  <c r="Z2565" i="1" s="1"/>
  <c r="AA2565" i="1"/>
  <c r="AB2565" i="1"/>
  <c r="AC2565" i="1" s="1"/>
  <c r="Y2566" i="1"/>
  <c r="Z2566" i="1" a="1"/>
  <c r="Z2566" i="1" s="1"/>
  <c r="AA2566" i="1"/>
  <c r="AB2566" i="1"/>
  <c r="AC2566" i="1" s="1"/>
  <c r="Y2567" i="1"/>
  <c r="Z2567" i="1" a="1"/>
  <c r="Z2567" i="1" s="1"/>
  <c r="AA2567" i="1"/>
  <c r="AB2567" i="1"/>
  <c r="AC2567" i="1" s="1"/>
  <c r="Y2568" i="1"/>
  <c r="Z2568" i="1" a="1"/>
  <c r="Z2568" i="1" s="1"/>
  <c r="AA2568" i="1"/>
  <c r="AB2568" i="1"/>
  <c r="AC2568" i="1"/>
  <c r="Y2569" i="1"/>
  <c r="Z2569" i="1" a="1"/>
  <c r="Z2569" i="1" s="1"/>
  <c r="AA2569" i="1"/>
  <c r="AB2569" i="1"/>
  <c r="AC2569" i="1"/>
  <c r="Y2570" i="1"/>
  <c r="Z2570" i="1" a="1"/>
  <c r="Z2570" i="1" s="1"/>
  <c r="AA2570" i="1"/>
  <c r="AB2570" i="1"/>
  <c r="AC2570" i="1" s="1"/>
  <c r="Y2571" i="1"/>
  <c r="Z2571" i="1" a="1"/>
  <c r="Z2571" i="1" s="1"/>
  <c r="AA2571" i="1"/>
  <c r="AB2571" i="1"/>
  <c r="AC2571" i="1"/>
  <c r="Y2572" i="1"/>
  <c r="Z2572" i="1" a="1"/>
  <c r="Z2572" i="1" s="1"/>
  <c r="AA2572" i="1"/>
  <c r="AB2572" i="1"/>
  <c r="AC2572" i="1" s="1"/>
  <c r="Y2573" i="1"/>
  <c r="Z2573" i="1" a="1"/>
  <c r="Z2573" i="1" s="1"/>
  <c r="AA2573" i="1"/>
  <c r="AB2573" i="1"/>
  <c r="AC2573" i="1"/>
  <c r="Y2574" i="1"/>
  <c r="Z2574" i="1" a="1"/>
  <c r="Z2574" i="1" s="1"/>
  <c r="AA2574" i="1"/>
  <c r="AB2574" i="1"/>
  <c r="AC2574" i="1"/>
  <c r="Y2575" i="1"/>
  <c r="Z2575" i="1" a="1"/>
  <c r="Z2575" i="1" s="1"/>
  <c r="AA2575" i="1"/>
  <c r="AB2575" i="1"/>
  <c r="AC2575" i="1"/>
  <c r="Y2576" i="1"/>
  <c r="Z2576" i="1" a="1"/>
  <c r="Z2576" i="1" s="1"/>
  <c r="AA2576" i="1"/>
  <c r="AB2576" i="1"/>
  <c r="AC2576" i="1" s="1"/>
  <c r="Y2577" i="1"/>
  <c r="Z2577" i="1" a="1"/>
  <c r="Z2577" i="1" s="1"/>
  <c r="AA2577" i="1"/>
  <c r="AB2577" i="1"/>
  <c r="AC2577" i="1"/>
  <c r="Y2578" i="1"/>
  <c r="Z2578" i="1" a="1"/>
  <c r="Z2578" i="1" s="1"/>
  <c r="AA2578" i="1"/>
  <c r="AB2578" i="1"/>
  <c r="AC2578" i="1"/>
  <c r="Y2579" i="1"/>
  <c r="Z2579" i="1" a="1"/>
  <c r="Z2579" i="1" s="1"/>
  <c r="AA2579" i="1"/>
  <c r="AB2579" i="1"/>
  <c r="AC2579" i="1"/>
  <c r="Y2580" i="1"/>
  <c r="Z2580" i="1" a="1"/>
  <c r="Z2580" i="1" s="1"/>
  <c r="AA2580" i="1"/>
  <c r="AB2580" i="1"/>
  <c r="AC2580" i="1" s="1"/>
  <c r="Y2581" i="1"/>
  <c r="Z2581" i="1" a="1"/>
  <c r="Z2581" i="1" s="1"/>
  <c r="AA2581" i="1"/>
  <c r="AB2581" i="1"/>
  <c r="AC2581" i="1" s="1"/>
  <c r="Y2582" i="1"/>
  <c r="Z2582" i="1" a="1"/>
  <c r="Z2582" i="1" s="1"/>
  <c r="AA2582" i="1"/>
  <c r="AB2582" i="1"/>
  <c r="AC2582" i="1"/>
  <c r="Y2583" i="1"/>
  <c r="Z2583" i="1" a="1"/>
  <c r="Z2583" i="1" s="1"/>
  <c r="AA2583" i="1"/>
  <c r="AB2583" i="1"/>
  <c r="AC2583" i="1" s="1"/>
  <c r="Y2584" i="1"/>
  <c r="Z2584" i="1" a="1"/>
  <c r="Z2584" i="1" s="1"/>
  <c r="AA2584" i="1"/>
  <c r="AB2584" i="1"/>
  <c r="AC2584" i="1" s="1"/>
  <c r="Y2585" i="1"/>
  <c r="Z2585" i="1" a="1"/>
  <c r="Z2585" i="1" s="1"/>
  <c r="AA2585" i="1"/>
  <c r="AB2585" i="1"/>
  <c r="AC2585" i="1" s="1"/>
  <c r="Y2586" i="1"/>
  <c r="Z2586" i="1" a="1"/>
  <c r="Z2586" i="1" s="1"/>
  <c r="AA2586" i="1"/>
  <c r="AB2586" i="1"/>
  <c r="AC2586" i="1"/>
  <c r="Y2587" i="1"/>
  <c r="Z2587" i="1" a="1"/>
  <c r="Z2587" i="1" s="1"/>
  <c r="AA2587" i="1"/>
  <c r="AB2587" i="1"/>
  <c r="AC2587" i="1"/>
  <c r="Y2588" i="1"/>
  <c r="Z2588" i="1" a="1"/>
  <c r="Z2588" i="1" s="1"/>
  <c r="AA2588" i="1"/>
  <c r="AB2588" i="1"/>
  <c r="AC2588" i="1"/>
  <c r="Y2589" i="1"/>
  <c r="Z2589" i="1" a="1"/>
  <c r="Z2589" i="1" s="1"/>
  <c r="AA2589" i="1"/>
  <c r="AB2589" i="1"/>
  <c r="AC2589" i="1" s="1"/>
  <c r="Y2590" i="1"/>
  <c r="Z2590" i="1" a="1"/>
  <c r="Z2590" i="1" s="1"/>
  <c r="AA2590" i="1"/>
  <c r="AB2590" i="1"/>
  <c r="AC2590" i="1" s="1"/>
  <c r="Y2591" i="1"/>
  <c r="Z2591" i="1" a="1"/>
  <c r="Z2591" i="1" s="1"/>
  <c r="AA2591" i="1"/>
  <c r="AB2591" i="1"/>
  <c r="AC2591" i="1" s="1"/>
  <c r="Y2592" i="1"/>
  <c r="Z2592" i="1" a="1"/>
  <c r="Z2592" i="1" s="1"/>
  <c r="AA2592" i="1"/>
  <c r="AB2592" i="1"/>
  <c r="AC2592" i="1" s="1"/>
  <c r="Y2593" i="1"/>
  <c r="Z2593" i="1" a="1"/>
  <c r="Z2593" i="1" s="1"/>
  <c r="AA2593" i="1"/>
  <c r="AB2593" i="1"/>
  <c r="AC2593" i="1"/>
  <c r="Y2594" i="1"/>
  <c r="Z2594" i="1" a="1"/>
  <c r="Z2594" i="1" s="1"/>
  <c r="AA2594" i="1"/>
  <c r="AB2594" i="1"/>
  <c r="AC2594" i="1"/>
  <c r="Y2595" i="1"/>
  <c r="Z2595" i="1" a="1"/>
  <c r="Z2595" i="1" s="1"/>
  <c r="AA2595" i="1"/>
  <c r="AB2595" i="1"/>
  <c r="AC2595" i="1"/>
  <c r="Y2596" i="1"/>
  <c r="Z2596" i="1" a="1"/>
  <c r="Z2596" i="1" s="1"/>
  <c r="AA2596" i="1"/>
  <c r="AB2596" i="1"/>
  <c r="AC2596" i="1"/>
  <c r="Y2597" i="1"/>
  <c r="Z2597" i="1" a="1"/>
  <c r="Z2597" i="1" s="1"/>
  <c r="AA2597" i="1"/>
  <c r="AB2597" i="1"/>
  <c r="AC2597" i="1"/>
  <c r="Y2598" i="1"/>
  <c r="Z2598" i="1" a="1"/>
  <c r="Z2598" i="1" s="1"/>
  <c r="AA2598" i="1"/>
  <c r="AB2598" i="1"/>
  <c r="AC2598" i="1"/>
  <c r="Y2599" i="1"/>
  <c r="Z2599" i="1" a="1"/>
  <c r="Z2599" i="1" s="1"/>
  <c r="AA2599" i="1"/>
  <c r="AB2599" i="1"/>
  <c r="AC2599" i="1"/>
  <c r="Y2600" i="1"/>
  <c r="Z2600" i="1" a="1"/>
  <c r="Z2600" i="1" s="1"/>
  <c r="AA2600" i="1"/>
  <c r="AB2600" i="1"/>
  <c r="AC2600" i="1" s="1"/>
  <c r="Y2601" i="1"/>
  <c r="Z2601" i="1" a="1"/>
  <c r="Z2601" i="1" s="1"/>
  <c r="AA2601" i="1"/>
  <c r="AB2601" i="1"/>
  <c r="AC2601" i="1"/>
  <c r="Y2602" i="1"/>
  <c r="Z2602" i="1" a="1"/>
  <c r="Z2602" i="1" s="1"/>
  <c r="AA2602" i="1"/>
  <c r="AB2602" i="1"/>
  <c r="AC2602" i="1" s="1"/>
  <c r="Y2603" i="1"/>
  <c r="Z2603" i="1" a="1"/>
  <c r="Z2603" i="1" s="1"/>
  <c r="AA2603" i="1"/>
  <c r="AB2603" i="1"/>
  <c r="AC2603" i="1"/>
  <c r="Y2604" i="1"/>
  <c r="Z2604" i="1" a="1"/>
  <c r="Z2604" i="1" s="1"/>
  <c r="AA2604" i="1"/>
  <c r="AB2604" i="1"/>
  <c r="AC2604" i="1" s="1"/>
  <c r="Y2605" i="1"/>
  <c r="Z2605" i="1" a="1"/>
  <c r="Z2605" i="1" s="1"/>
  <c r="AA2605" i="1"/>
  <c r="AB2605" i="1"/>
  <c r="AC2605" i="1"/>
  <c r="Y2606" i="1"/>
  <c r="Z2606" i="1" a="1"/>
  <c r="Z2606" i="1" s="1"/>
  <c r="AA2606" i="1"/>
  <c r="AB2606" i="1"/>
  <c r="AC2606" i="1" s="1"/>
  <c r="Y2607" i="1"/>
  <c r="Z2607" i="1" a="1"/>
  <c r="Z2607" i="1" s="1"/>
  <c r="AA2607" i="1"/>
  <c r="AB2607" i="1"/>
  <c r="AC2607" i="1" s="1"/>
  <c r="Y2608" i="1"/>
  <c r="Z2608" i="1" a="1"/>
  <c r="Z2608" i="1" s="1"/>
  <c r="AA2608" i="1"/>
  <c r="AB2608" i="1"/>
  <c r="AC2608" i="1"/>
  <c r="Y2609" i="1"/>
  <c r="Z2609" i="1" a="1"/>
  <c r="Z2609" i="1" s="1"/>
  <c r="AA2609" i="1"/>
  <c r="AB2609" i="1"/>
  <c r="AC2609" i="1" s="1"/>
  <c r="Y2610" i="1"/>
  <c r="Z2610" i="1" a="1"/>
  <c r="Z2610" i="1" s="1"/>
  <c r="AA2610" i="1"/>
  <c r="AB2610" i="1"/>
  <c r="AC2610" i="1" s="1"/>
  <c r="Y2611" i="1"/>
  <c r="Z2611" i="1" a="1"/>
  <c r="Z2611" i="1" s="1"/>
  <c r="AA2611" i="1"/>
  <c r="AB2611" i="1"/>
  <c r="AC2611" i="1"/>
  <c r="Y2612" i="1"/>
  <c r="Z2612" i="1" a="1"/>
  <c r="Z2612" i="1" s="1"/>
  <c r="AA2612" i="1"/>
  <c r="AB2612" i="1"/>
  <c r="AC2612" i="1"/>
  <c r="Y2613" i="1"/>
  <c r="Z2613" i="1" a="1"/>
  <c r="Z2613" i="1" s="1"/>
  <c r="AA2613" i="1"/>
  <c r="AB2613" i="1"/>
  <c r="AC2613" i="1"/>
  <c r="Y2614" i="1"/>
  <c r="Z2614" i="1" a="1"/>
  <c r="Z2614" i="1" s="1"/>
  <c r="AA2614" i="1"/>
  <c r="AB2614" i="1"/>
  <c r="AC2614" i="1" s="1"/>
  <c r="Y2615" i="1"/>
  <c r="Z2615" i="1" a="1"/>
  <c r="Z2615" i="1" s="1"/>
  <c r="AA2615" i="1"/>
  <c r="AB2615" i="1"/>
  <c r="AC2615" i="1" s="1"/>
  <c r="Y2616" i="1"/>
  <c r="Z2616" i="1" a="1"/>
  <c r="Z2616" i="1" s="1"/>
  <c r="AA2616" i="1"/>
  <c r="AB2616" i="1"/>
  <c r="AC2616" i="1" s="1"/>
  <c r="Y2617" i="1"/>
  <c r="Z2617" i="1" a="1"/>
  <c r="Z2617" i="1" s="1"/>
  <c r="AA2617" i="1"/>
  <c r="AB2617" i="1"/>
  <c r="AC2617" i="1"/>
  <c r="Y2618" i="1"/>
  <c r="Z2618" i="1" a="1"/>
  <c r="Z2618" i="1" s="1"/>
  <c r="AA2618" i="1"/>
  <c r="AB2618" i="1"/>
  <c r="AC2618" i="1"/>
  <c r="Y2619" i="1"/>
  <c r="Z2619" i="1" a="1"/>
  <c r="Z2619" i="1" s="1"/>
  <c r="AA2619" i="1"/>
  <c r="AB2619" i="1"/>
  <c r="AC2619" i="1"/>
  <c r="Y2620" i="1"/>
  <c r="Z2620" i="1" a="1"/>
  <c r="Z2620" i="1" s="1"/>
  <c r="AA2620" i="1"/>
  <c r="AB2620" i="1"/>
  <c r="AC2620" i="1"/>
  <c r="Y2621" i="1"/>
  <c r="Z2621" i="1" a="1"/>
  <c r="Z2621" i="1" s="1"/>
  <c r="AA2621" i="1"/>
  <c r="AB2621" i="1"/>
  <c r="AC2621" i="1" s="1"/>
  <c r="Y2622" i="1"/>
  <c r="Z2622" i="1" a="1"/>
  <c r="Z2622" i="1" s="1"/>
  <c r="AA2622" i="1"/>
  <c r="AB2622" i="1"/>
  <c r="AC2622" i="1" s="1"/>
  <c r="Y2623" i="1"/>
  <c r="Z2623" i="1" a="1"/>
  <c r="Z2623" i="1" s="1"/>
  <c r="AA2623" i="1"/>
  <c r="AB2623" i="1"/>
  <c r="AC2623" i="1"/>
  <c r="Y2624" i="1"/>
  <c r="Z2624" i="1" a="1"/>
  <c r="Z2624" i="1" s="1"/>
  <c r="AA2624" i="1"/>
  <c r="AB2624" i="1"/>
  <c r="AC2624" i="1"/>
  <c r="Y2625" i="1"/>
  <c r="Z2625" i="1" a="1"/>
  <c r="Z2625" i="1" s="1"/>
  <c r="AA2625" i="1"/>
  <c r="AB2625" i="1"/>
  <c r="AC2625" i="1"/>
  <c r="Y2626" i="1"/>
  <c r="Z2626" i="1" a="1"/>
  <c r="Z2626" i="1" s="1"/>
  <c r="AA2626" i="1"/>
  <c r="AB2626" i="1"/>
  <c r="AC2626" i="1"/>
  <c r="Y2627" i="1"/>
  <c r="Z2627" i="1" a="1"/>
  <c r="Z2627" i="1" s="1"/>
  <c r="AA2627" i="1"/>
  <c r="AB2627" i="1"/>
  <c r="AC2627" i="1"/>
  <c r="Y2628" i="1"/>
  <c r="Z2628" i="1" a="1"/>
  <c r="Z2628" i="1" s="1"/>
  <c r="AA2628" i="1"/>
  <c r="AB2628" i="1"/>
  <c r="AC2628" i="1" s="1"/>
  <c r="Y2629" i="1"/>
  <c r="Z2629" i="1" a="1"/>
  <c r="Z2629" i="1" s="1"/>
  <c r="AA2629" i="1"/>
  <c r="AB2629" i="1"/>
  <c r="AC2629" i="1" s="1"/>
  <c r="Y2630" i="1"/>
  <c r="Z2630" i="1" a="1"/>
  <c r="Z2630" i="1" s="1"/>
  <c r="AA2630" i="1"/>
  <c r="AB2630" i="1"/>
  <c r="AC2630" i="1" s="1"/>
  <c r="Y2631" i="1"/>
  <c r="Z2631" i="1" a="1"/>
  <c r="Z2631" i="1" s="1"/>
  <c r="AA2631" i="1"/>
  <c r="AB2631" i="1"/>
  <c r="AC2631" i="1"/>
  <c r="Y2632" i="1"/>
  <c r="Z2632" i="1" a="1"/>
  <c r="Z2632" i="1" s="1"/>
  <c r="AA2632" i="1"/>
  <c r="AB2632" i="1"/>
  <c r="AC2632" i="1" s="1"/>
  <c r="Y2633" i="1"/>
  <c r="Z2633" i="1" a="1"/>
  <c r="Z2633" i="1" s="1"/>
  <c r="AA2633" i="1"/>
  <c r="AB2633" i="1"/>
  <c r="AC2633" i="1"/>
  <c r="Y2634" i="1"/>
  <c r="Z2634" i="1" a="1"/>
  <c r="Z2634" i="1" s="1"/>
  <c r="AA2634" i="1"/>
  <c r="AB2634" i="1"/>
  <c r="AC2634" i="1" s="1"/>
  <c r="Y2635" i="1"/>
  <c r="Z2635" i="1" a="1"/>
  <c r="Z2635" i="1" s="1"/>
  <c r="AA2635" i="1"/>
  <c r="AB2635" i="1"/>
  <c r="AC2635" i="1"/>
  <c r="Y2636" i="1"/>
  <c r="Z2636" i="1" a="1"/>
  <c r="Z2636" i="1" s="1"/>
  <c r="AA2636" i="1"/>
  <c r="AB2636" i="1"/>
  <c r="AC2636" i="1"/>
  <c r="Y2637" i="1"/>
  <c r="Z2637" i="1" a="1"/>
  <c r="Z2637" i="1" s="1"/>
  <c r="AA2637" i="1"/>
  <c r="AB2637" i="1"/>
  <c r="AC2637" i="1"/>
  <c r="Y2638" i="1"/>
  <c r="Z2638" i="1" a="1"/>
  <c r="Z2638" i="1" s="1"/>
  <c r="AA2638" i="1"/>
  <c r="AB2638" i="1"/>
  <c r="AC2638" i="1"/>
  <c r="Y2639" i="1"/>
  <c r="Z2639" i="1" a="1"/>
  <c r="Z2639" i="1" s="1"/>
  <c r="AA2639" i="1"/>
  <c r="AB2639" i="1"/>
  <c r="AC2639" i="1" s="1"/>
  <c r="Y2640" i="1"/>
  <c r="Z2640" i="1" a="1"/>
  <c r="Z2640" i="1" s="1"/>
  <c r="AA2640" i="1"/>
  <c r="AB2640" i="1"/>
  <c r="AC2640" i="1" s="1"/>
  <c r="Y2641" i="1"/>
  <c r="Z2641" i="1" a="1"/>
  <c r="Z2641" i="1" s="1"/>
  <c r="AA2641" i="1"/>
  <c r="AB2641" i="1"/>
  <c r="AC2641" i="1" s="1"/>
  <c r="Y2642" i="1"/>
  <c r="Z2642" i="1" a="1"/>
  <c r="Z2642" i="1" s="1"/>
  <c r="AA2642" i="1"/>
  <c r="AB2642" i="1"/>
  <c r="AC2642" i="1"/>
  <c r="Y2643" i="1"/>
  <c r="Z2643" i="1" a="1"/>
  <c r="Z2643" i="1" s="1"/>
  <c r="AA2643" i="1"/>
  <c r="AB2643" i="1"/>
  <c r="AC2643" i="1"/>
  <c r="Y2644" i="1"/>
  <c r="Z2644" i="1" a="1"/>
  <c r="Z2644" i="1" s="1"/>
  <c r="AA2644" i="1"/>
  <c r="AB2644" i="1"/>
  <c r="AC2644" i="1"/>
  <c r="Y2645" i="1"/>
  <c r="Z2645" i="1" a="1"/>
  <c r="Z2645" i="1" s="1"/>
  <c r="AA2645" i="1"/>
  <c r="AB2645" i="1"/>
  <c r="AC2645" i="1"/>
  <c r="Y2646" i="1"/>
  <c r="Z2646" i="1" a="1"/>
  <c r="Z2646" i="1" s="1"/>
  <c r="AA2646" i="1"/>
  <c r="AB2646" i="1"/>
  <c r="AC2646" i="1" s="1"/>
  <c r="Y2647" i="1"/>
  <c r="Z2647" i="1" a="1"/>
  <c r="Z2647" i="1" s="1"/>
  <c r="AA2647" i="1"/>
  <c r="AB2647" i="1"/>
  <c r="AC2647" i="1"/>
  <c r="Y2648" i="1"/>
  <c r="Z2648" i="1" a="1"/>
  <c r="Z2648" i="1" s="1"/>
  <c r="AA2648" i="1"/>
  <c r="AB2648" i="1"/>
  <c r="AC2648" i="1"/>
  <c r="Y2649" i="1"/>
  <c r="Z2649" i="1" a="1"/>
  <c r="Z2649" i="1" s="1"/>
  <c r="AA2649" i="1"/>
  <c r="AB2649" i="1"/>
  <c r="AC2649" i="1" s="1"/>
  <c r="Y2650" i="1"/>
  <c r="Z2650" i="1" a="1"/>
  <c r="Z2650" i="1" s="1"/>
  <c r="AA2650" i="1"/>
  <c r="AB2650" i="1"/>
  <c r="AC2650" i="1"/>
  <c r="Y2651" i="1"/>
  <c r="Z2651" i="1" a="1"/>
  <c r="Z2651" i="1" s="1"/>
  <c r="AA2651" i="1"/>
  <c r="AB2651" i="1"/>
  <c r="AC2651" i="1"/>
  <c r="Y2652" i="1"/>
  <c r="Z2652" i="1" a="1"/>
  <c r="Z2652" i="1" s="1"/>
  <c r="AA2652" i="1"/>
  <c r="AB2652" i="1"/>
  <c r="AC2652" i="1"/>
  <c r="Y2653" i="1"/>
  <c r="Z2653" i="1" a="1"/>
  <c r="Z2653" i="1" s="1"/>
  <c r="AA2653" i="1"/>
  <c r="AB2653" i="1"/>
  <c r="AC2653" i="1" s="1"/>
  <c r="Y2654" i="1"/>
  <c r="Z2654" i="1" a="1"/>
  <c r="Z2654" i="1" s="1"/>
  <c r="AA2654" i="1"/>
  <c r="AB2654" i="1"/>
  <c r="AC2654" i="1"/>
  <c r="Y2655" i="1"/>
  <c r="Z2655" i="1" a="1"/>
  <c r="Z2655" i="1" s="1"/>
  <c r="AA2655" i="1"/>
  <c r="AB2655" i="1"/>
  <c r="AC2655" i="1" s="1"/>
  <c r="Y2656" i="1"/>
  <c r="Z2656" i="1" a="1"/>
  <c r="Z2656" i="1" s="1"/>
  <c r="AA2656" i="1"/>
  <c r="AB2656" i="1"/>
  <c r="AC2656" i="1" s="1"/>
  <c r="Y2657" i="1"/>
  <c r="Z2657" i="1" a="1"/>
  <c r="Z2657" i="1" s="1"/>
  <c r="AA2657" i="1"/>
  <c r="AB2657" i="1"/>
  <c r="AC2657" i="1"/>
  <c r="Y2658" i="1"/>
  <c r="Z2658" i="1" a="1"/>
  <c r="Z2658" i="1" s="1"/>
  <c r="AA2658" i="1"/>
  <c r="AB2658" i="1"/>
  <c r="AC2658" i="1" s="1"/>
  <c r="Y2659" i="1"/>
  <c r="Z2659" i="1" a="1"/>
  <c r="Z2659" i="1" s="1"/>
  <c r="AA2659" i="1"/>
  <c r="AB2659" i="1"/>
  <c r="AC2659" i="1"/>
  <c r="Y2660" i="1"/>
  <c r="Z2660" i="1" a="1"/>
  <c r="Z2660" i="1" s="1"/>
  <c r="AA2660" i="1"/>
  <c r="AB2660" i="1"/>
  <c r="AC2660" i="1" s="1"/>
  <c r="Y2661" i="1"/>
  <c r="Z2661" i="1" a="1"/>
  <c r="Z2661" i="1" s="1"/>
  <c r="AA2661" i="1"/>
  <c r="AB2661" i="1"/>
  <c r="AC2661" i="1"/>
  <c r="Y2662" i="1"/>
  <c r="Z2662" i="1" a="1"/>
  <c r="Z2662" i="1" s="1"/>
  <c r="AA2662" i="1"/>
  <c r="AB2662" i="1"/>
  <c r="AC2662" i="1" s="1"/>
  <c r="Y2663" i="1"/>
  <c r="Z2663" i="1" a="1"/>
  <c r="Z2663" i="1" s="1"/>
  <c r="AA2663" i="1"/>
  <c r="AB2663" i="1"/>
  <c r="AC2663" i="1" s="1"/>
  <c r="Y2664" i="1"/>
  <c r="Z2664" i="1" a="1"/>
  <c r="Z2664" i="1" s="1"/>
  <c r="AA2664" i="1"/>
  <c r="AB2664" i="1"/>
  <c r="AC2664" i="1" s="1"/>
  <c r="Y2665" i="1"/>
  <c r="Z2665" i="1" a="1"/>
  <c r="Z2665" i="1" s="1"/>
  <c r="AA2665" i="1"/>
  <c r="AB2665" i="1"/>
  <c r="AC2665" i="1"/>
  <c r="Y2666" i="1"/>
  <c r="Z2666" i="1" a="1"/>
  <c r="Z2666" i="1" s="1"/>
  <c r="AA2666" i="1"/>
  <c r="AB2666" i="1"/>
  <c r="AC2666" i="1"/>
  <c r="Y2667" i="1"/>
  <c r="Z2667" i="1" a="1"/>
  <c r="Z2667" i="1" s="1"/>
  <c r="AA2667" i="1"/>
  <c r="AB2667" i="1"/>
  <c r="AC2667" i="1"/>
  <c r="Y2668" i="1"/>
  <c r="Z2668" i="1" a="1"/>
  <c r="Z2668" i="1" s="1"/>
  <c r="AA2668" i="1"/>
  <c r="AB2668" i="1"/>
  <c r="AC2668" i="1" s="1"/>
  <c r="Y2669" i="1"/>
  <c r="Z2669" i="1" a="1"/>
  <c r="Z2669" i="1" s="1"/>
  <c r="AA2669" i="1"/>
  <c r="AB2669" i="1"/>
  <c r="AC2669" i="1"/>
  <c r="Y2670" i="1"/>
  <c r="Z2670" i="1" a="1"/>
  <c r="Z2670" i="1" s="1"/>
  <c r="AA2670" i="1"/>
  <c r="AB2670" i="1"/>
  <c r="AC2670" i="1" s="1"/>
  <c r="Y2671" i="1"/>
  <c r="Z2671" i="1" a="1"/>
  <c r="Z2671" i="1" s="1"/>
  <c r="AA2671" i="1"/>
  <c r="AB2671" i="1"/>
  <c r="AC2671" i="1" s="1"/>
  <c r="Y2672" i="1"/>
  <c r="Z2672" i="1" a="1"/>
  <c r="Z2672" i="1" s="1"/>
  <c r="AA2672" i="1"/>
  <c r="AB2672" i="1"/>
  <c r="AC2672" i="1"/>
  <c r="Y2673" i="1"/>
  <c r="Z2673" i="1" a="1"/>
  <c r="Z2673" i="1" s="1"/>
  <c r="AA2673" i="1"/>
  <c r="AB2673" i="1"/>
  <c r="AC2673" i="1"/>
  <c r="Y2674" i="1"/>
  <c r="Z2674" i="1" a="1"/>
  <c r="Z2674" i="1" s="1"/>
  <c r="AA2674" i="1"/>
  <c r="AB2674" i="1"/>
  <c r="AC2674" i="1"/>
  <c r="Y2675" i="1"/>
  <c r="Z2675" i="1" a="1"/>
  <c r="Z2675" i="1" s="1"/>
  <c r="AA2675" i="1"/>
  <c r="AB2675" i="1"/>
  <c r="AC2675" i="1"/>
  <c r="Y2676" i="1"/>
  <c r="Z2676" i="1" a="1"/>
  <c r="Z2676" i="1" s="1"/>
  <c r="AA2676" i="1"/>
  <c r="AB2676" i="1"/>
  <c r="AC2676" i="1"/>
  <c r="Y2677" i="1"/>
  <c r="Z2677" i="1" a="1"/>
  <c r="Z2677" i="1" s="1"/>
  <c r="AA2677" i="1"/>
  <c r="AB2677" i="1"/>
  <c r="AC2677" i="1" s="1"/>
  <c r="Y2678" i="1"/>
  <c r="Z2678" i="1" a="1"/>
  <c r="Z2678" i="1" s="1"/>
  <c r="AA2678" i="1"/>
  <c r="AB2678" i="1"/>
  <c r="AC2678" i="1"/>
  <c r="Y2679" i="1"/>
  <c r="Z2679" i="1" a="1"/>
  <c r="Z2679" i="1" s="1"/>
  <c r="AA2679" i="1"/>
  <c r="AB2679" i="1"/>
  <c r="AC2679" i="1" s="1"/>
  <c r="Y2680" i="1"/>
  <c r="Z2680" i="1" a="1"/>
  <c r="Z2680" i="1" s="1"/>
  <c r="AA2680" i="1"/>
  <c r="AB2680" i="1"/>
  <c r="AC2680" i="1" s="1"/>
  <c r="Y2681" i="1"/>
  <c r="Z2681" i="1" a="1"/>
  <c r="Z2681" i="1" s="1"/>
  <c r="AA2681" i="1"/>
  <c r="AB2681" i="1"/>
  <c r="AC2681" i="1" s="1"/>
  <c r="Y2682" i="1"/>
  <c r="Z2682" i="1" a="1"/>
  <c r="Z2682" i="1" s="1"/>
  <c r="AA2682" i="1"/>
  <c r="AB2682" i="1"/>
  <c r="AC2682" i="1"/>
  <c r="Y2683" i="1"/>
  <c r="Z2683" i="1" a="1"/>
  <c r="Z2683" i="1" s="1"/>
  <c r="AA2683" i="1"/>
  <c r="AB2683" i="1"/>
  <c r="AC2683" i="1"/>
  <c r="Y2684" i="1"/>
  <c r="Z2684" i="1" a="1"/>
  <c r="Z2684" i="1" s="1"/>
  <c r="AA2684" i="1"/>
  <c r="AB2684" i="1"/>
  <c r="AC2684" i="1"/>
  <c r="Y2685" i="1"/>
  <c r="Z2685" i="1" a="1"/>
  <c r="Z2685" i="1" s="1"/>
  <c r="AA2685" i="1"/>
  <c r="AB2685" i="1"/>
  <c r="AC2685" i="1"/>
  <c r="Y2686" i="1"/>
  <c r="Z2686" i="1" a="1"/>
  <c r="Z2686" i="1" s="1"/>
  <c r="AA2686" i="1"/>
  <c r="AB2686" i="1"/>
  <c r="AC2686" i="1" s="1"/>
  <c r="Y2687" i="1"/>
  <c r="Z2687" i="1" a="1"/>
  <c r="Z2687" i="1" s="1"/>
  <c r="AA2687" i="1"/>
  <c r="AB2687" i="1"/>
  <c r="AC2687" i="1"/>
  <c r="Y2688" i="1"/>
  <c r="Z2688" i="1" a="1"/>
  <c r="Z2688" i="1" s="1"/>
  <c r="AA2688" i="1"/>
  <c r="AB2688" i="1"/>
  <c r="AC2688" i="1" s="1"/>
  <c r="Y2689" i="1"/>
  <c r="Z2689" i="1" a="1"/>
  <c r="Z2689" i="1" s="1"/>
  <c r="AA2689" i="1"/>
  <c r="AB2689" i="1"/>
  <c r="AC2689" i="1" s="1"/>
  <c r="Y2690" i="1"/>
  <c r="Z2690" i="1" a="1"/>
  <c r="Z2690" i="1" s="1"/>
  <c r="AA2690" i="1"/>
  <c r="AB2690" i="1"/>
  <c r="AC2690" i="1" s="1"/>
  <c r="Y2691" i="1"/>
  <c r="Z2691" i="1" a="1"/>
  <c r="Z2691" i="1" s="1"/>
  <c r="AA2691" i="1"/>
  <c r="AB2691" i="1"/>
  <c r="AC2691" i="1"/>
  <c r="Y2692" i="1"/>
  <c r="Z2692" i="1" a="1"/>
  <c r="Z2692" i="1" s="1"/>
  <c r="AA2692" i="1"/>
  <c r="AB2692" i="1"/>
  <c r="AC2692" i="1"/>
  <c r="Y2693" i="1"/>
  <c r="Z2693" i="1" a="1"/>
  <c r="Z2693" i="1" s="1"/>
  <c r="AA2693" i="1"/>
  <c r="AB2693" i="1"/>
  <c r="AC2693" i="1"/>
  <c r="Y2694" i="1"/>
  <c r="Z2694" i="1" a="1"/>
  <c r="Z2694" i="1" s="1"/>
  <c r="AA2694" i="1"/>
  <c r="AB2694" i="1"/>
  <c r="AC2694" i="1" s="1"/>
  <c r="Y2695" i="1"/>
  <c r="Z2695" i="1" a="1"/>
  <c r="Z2695" i="1" s="1"/>
  <c r="AA2695" i="1"/>
  <c r="AB2695" i="1"/>
  <c r="AC2695" i="1" s="1"/>
  <c r="Y2696" i="1"/>
  <c r="Z2696" i="1" a="1"/>
  <c r="Z2696" i="1" s="1"/>
  <c r="AA2696" i="1"/>
  <c r="AB2696" i="1"/>
  <c r="AC2696" i="1"/>
  <c r="Y2697" i="1"/>
  <c r="Z2697" i="1" a="1"/>
  <c r="Z2697" i="1" s="1"/>
  <c r="AA2697" i="1"/>
  <c r="AB2697" i="1"/>
  <c r="AC2697" i="1"/>
  <c r="Y2698" i="1"/>
  <c r="Z2698" i="1" a="1"/>
  <c r="Z2698" i="1" s="1"/>
  <c r="AA2698" i="1"/>
  <c r="AB2698" i="1"/>
  <c r="AC2698" i="1" s="1"/>
  <c r="Y2699" i="1"/>
  <c r="Z2699" i="1" a="1"/>
  <c r="Z2699" i="1" s="1"/>
  <c r="AA2699" i="1"/>
  <c r="AB2699" i="1"/>
  <c r="AC2699" i="1"/>
  <c r="Y2700" i="1"/>
  <c r="Z2700" i="1" a="1"/>
  <c r="Z2700" i="1" s="1"/>
  <c r="AA2700" i="1"/>
  <c r="AB2700" i="1"/>
  <c r="AC2700" i="1" s="1"/>
  <c r="Y2701" i="1"/>
  <c r="Z2701" i="1" a="1"/>
  <c r="Z2701" i="1"/>
  <c r="AA2701" i="1"/>
  <c r="AB2701" i="1"/>
  <c r="AC2701" i="1"/>
  <c r="Y2702" i="1"/>
  <c r="Z2702" i="1" a="1"/>
  <c r="Z2702" i="1" s="1"/>
  <c r="AA2702" i="1"/>
  <c r="AB2702" i="1"/>
  <c r="AC2702" i="1"/>
  <c r="Y2703" i="1"/>
  <c r="Z2703" i="1" a="1"/>
  <c r="Z2703" i="1" s="1"/>
  <c r="AA2703" i="1"/>
  <c r="AB2703" i="1"/>
  <c r="AC2703" i="1"/>
  <c r="Y2704" i="1"/>
  <c r="Z2704" i="1" a="1"/>
  <c r="Z2704" i="1" s="1"/>
  <c r="AA2704" i="1"/>
  <c r="AB2704" i="1"/>
  <c r="AC2704" i="1" s="1"/>
  <c r="Y2705" i="1"/>
  <c r="Z2705" i="1" a="1"/>
  <c r="Z2705" i="1" s="1"/>
  <c r="AA2705" i="1"/>
  <c r="AB2705" i="1"/>
  <c r="AC2705" i="1"/>
  <c r="Y2706" i="1"/>
  <c r="Z2706" i="1" a="1"/>
  <c r="Z2706" i="1" s="1"/>
  <c r="AA2706" i="1"/>
  <c r="AB2706" i="1"/>
  <c r="AC2706" i="1"/>
  <c r="Y2707" i="1"/>
  <c r="Z2707" i="1" a="1"/>
  <c r="Z2707" i="1" s="1"/>
  <c r="AA2707" i="1"/>
  <c r="AB2707" i="1"/>
  <c r="AC2707" i="1"/>
  <c r="Y2708" i="1"/>
  <c r="Z2708" i="1" a="1"/>
  <c r="Z2708" i="1" s="1"/>
  <c r="AA2708" i="1"/>
  <c r="AB2708" i="1"/>
  <c r="AC2708" i="1"/>
  <c r="Y2709" i="1"/>
  <c r="Z2709" i="1" a="1"/>
  <c r="Z2709" i="1" s="1"/>
  <c r="AA2709" i="1"/>
  <c r="AB2709" i="1"/>
  <c r="AC2709" i="1" s="1"/>
  <c r="Y2710" i="1"/>
  <c r="Z2710" i="1" a="1"/>
  <c r="Z2710" i="1" s="1"/>
  <c r="AA2710" i="1"/>
  <c r="AB2710" i="1"/>
  <c r="AC2710" i="1" s="1"/>
  <c r="Y2711" i="1"/>
  <c r="Z2711" i="1" a="1"/>
  <c r="Z2711" i="1" s="1"/>
  <c r="AA2711" i="1"/>
  <c r="AB2711" i="1"/>
  <c r="AC2711" i="1" s="1"/>
  <c r="Y2712" i="1"/>
  <c r="Z2712" i="1" a="1"/>
  <c r="Z2712" i="1" s="1"/>
  <c r="AA2712" i="1"/>
  <c r="AB2712" i="1"/>
  <c r="AC2712" i="1" s="1"/>
  <c r="Y2713" i="1"/>
  <c r="Z2713" i="1" a="1"/>
  <c r="Z2713" i="1" s="1"/>
  <c r="AA2713" i="1"/>
  <c r="AB2713" i="1"/>
  <c r="AC2713" i="1" s="1"/>
  <c r="Y2714" i="1"/>
  <c r="Z2714" i="1" a="1"/>
  <c r="Z2714" i="1" s="1"/>
  <c r="AA2714" i="1"/>
  <c r="AB2714" i="1"/>
  <c r="AC2714" i="1"/>
  <c r="Y2715" i="1"/>
  <c r="Z2715" i="1" a="1"/>
  <c r="Z2715" i="1" s="1"/>
  <c r="AA2715" i="1"/>
  <c r="AB2715" i="1"/>
  <c r="AC2715" i="1"/>
  <c r="Y2716" i="1"/>
  <c r="Z2716" i="1" a="1"/>
  <c r="Z2716" i="1" s="1"/>
  <c r="AA2716" i="1"/>
  <c r="AB2716" i="1"/>
  <c r="AC2716" i="1"/>
  <c r="Y2717" i="1"/>
  <c r="Z2717" i="1" a="1"/>
  <c r="Z2717" i="1" s="1"/>
  <c r="AA2717" i="1"/>
  <c r="AB2717" i="1"/>
  <c r="AC2717" i="1" s="1"/>
  <c r="Y2718" i="1"/>
  <c r="Z2718" i="1" a="1"/>
  <c r="Z2718" i="1" s="1"/>
  <c r="AA2718" i="1"/>
  <c r="AB2718" i="1"/>
  <c r="AC2718" i="1" s="1"/>
  <c r="Y2719" i="1"/>
  <c r="Z2719" i="1" a="1"/>
  <c r="Z2719" i="1" s="1"/>
  <c r="AA2719" i="1"/>
  <c r="AB2719" i="1"/>
  <c r="AC2719" i="1" s="1"/>
  <c r="Y2720" i="1"/>
  <c r="Z2720" i="1" a="1"/>
  <c r="Z2720" i="1" s="1"/>
  <c r="AA2720" i="1"/>
  <c r="AB2720" i="1"/>
  <c r="AC2720" i="1" s="1"/>
  <c r="Y2721" i="1"/>
  <c r="Z2721" i="1" a="1"/>
  <c r="Z2721" i="1" s="1"/>
  <c r="AA2721" i="1"/>
  <c r="AB2721" i="1"/>
  <c r="AC2721" i="1"/>
  <c r="Y2722" i="1"/>
  <c r="Z2722" i="1" a="1"/>
  <c r="Z2722" i="1" s="1"/>
  <c r="AA2722" i="1"/>
  <c r="AB2722" i="1"/>
  <c r="AC2722" i="1"/>
  <c r="Y2723" i="1"/>
  <c r="Z2723" i="1" a="1"/>
  <c r="Z2723" i="1" s="1"/>
  <c r="AA2723" i="1"/>
  <c r="AB2723" i="1"/>
  <c r="AC2723" i="1"/>
  <c r="Y2724" i="1"/>
  <c r="Z2724" i="1" a="1"/>
  <c r="Z2724" i="1" s="1"/>
  <c r="AA2724" i="1"/>
  <c r="AB2724" i="1"/>
  <c r="AC2724" i="1"/>
  <c r="Y2725" i="1"/>
  <c r="Z2725" i="1" a="1"/>
  <c r="Z2725" i="1" s="1"/>
  <c r="AA2725" i="1"/>
  <c r="AB2725" i="1"/>
  <c r="AC2725" i="1"/>
  <c r="Y2726" i="1"/>
  <c r="Z2726" i="1" a="1"/>
  <c r="Z2726" i="1" s="1"/>
  <c r="AA2726" i="1"/>
  <c r="AB2726" i="1"/>
  <c r="AC2726" i="1"/>
  <c r="Y2727" i="1"/>
  <c r="Z2727" i="1" a="1"/>
  <c r="Z2727" i="1" s="1"/>
  <c r="AA2727" i="1"/>
  <c r="AB2727" i="1"/>
  <c r="AC2727" i="1"/>
  <c r="Y2728" i="1"/>
  <c r="Z2728" i="1" a="1"/>
  <c r="Z2728" i="1" s="1"/>
  <c r="AA2728" i="1"/>
  <c r="AB2728" i="1"/>
  <c r="AC2728" i="1" s="1"/>
  <c r="Y2729" i="1"/>
  <c r="Z2729" i="1" a="1"/>
  <c r="Z2729" i="1" s="1"/>
  <c r="AA2729" i="1"/>
  <c r="AB2729" i="1"/>
  <c r="AC2729" i="1"/>
  <c r="Y2730" i="1"/>
  <c r="Z2730" i="1" a="1"/>
  <c r="Z2730" i="1" s="1"/>
  <c r="AA2730" i="1"/>
  <c r="AB2730" i="1"/>
  <c r="AC2730" i="1" s="1"/>
  <c r="Y2731" i="1"/>
  <c r="Z2731" i="1" a="1"/>
  <c r="Z2731" i="1" s="1"/>
  <c r="AA2731" i="1"/>
  <c r="AB2731" i="1"/>
  <c r="AC2731" i="1"/>
  <c r="Y2732" i="1"/>
  <c r="Z2732" i="1" a="1"/>
  <c r="Z2732" i="1" s="1"/>
  <c r="AA2732" i="1"/>
  <c r="AB2732" i="1"/>
  <c r="AC2732" i="1" s="1"/>
  <c r="Y2733" i="1"/>
  <c r="Z2733" i="1" a="1"/>
  <c r="Z2733" i="1" s="1"/>
  <c r="AA2733" i="1"/>
  <c r="AB2733" i="1"/>
  <c r="AC2733" i="1"/>
  <c r="Y2734" i="1"/>
  <c r="Z2734" i="1" a="1"/>
  <c r="Z2734" i="1" s="1"/>
  <c r="AA2734" i="1"/>
  <c r="AB2734" i="1"/>
  <c r="AC2734" i="1" s="1"/>
  <c r="Y2735" i="1"/>
  <c r="Z2735" i="1" a="1"/>
  <c r="Z2735" i="1" s="1"/>
  <c r="AA2735" i="1"/>
  <c r="AB2735" i="1"/>
  <c r="AC2735" i="1" s="1"/>
  <c r="Y2736" i="1"/>
  <c r="Z2736" i="1" a="1"/>
  <c r="Z2736" i="1" s="1"/>
  <c r="AA2736" i="1"/>
  <c r="AB2736" i="1"/>
  <c r="AC2736" i="1"/>
  <c r="Y2737" i="1"/>
  <c r="Z2737" i="1" a="1"/>
  <c r="Z2737" i="1" s="1"/>
  <c r="AA2737" i="1"/>
  <c r="AB2737" i="1"/>
  <c r="AC2737" i="1" s="1"/>
  <c r="Y2738" i="1"/>
  <c r="Z2738" i="1" a="1"/>
  <c r="Z2738" i="1" s="1"/>
  <c r="AA2738" i="1"/>
  <c r="AB2738" i="1"/>
  <c r="AC2738" i="1" s="1"/>
  <c r="Y2739" i="1"/>
  <c r="Z2739" i="1" a="1"/>
  <c r="Z2739" i="1" s="1"/>
  <c r="AA2739" i="1"/>
  <c r="AB2739" i="1"/>
  <c r="AC2739" i="1"/>
  <c r="Y2740" i="1"/>
  <c r="Z2740" i="1" a="1"/>
  <c r="Z2740" i="1" s="1"/>
  <c r="AA2740" i="1"/>
  <c r="AB2740" i="1"/>
  <c r="AC2740" i="1"/>
  <c r="Y2741" i="1"/>
  <c r="Z2741" i="1" a="1"/>
  <c r="Z2741" i="1" s="1"/>
  <c r="AA2741" i="1"/>
  <c r="AB2741" i="1"/>
  <c r="AC2741" i="1"/>
  <c r="Y2742" i="1"/>
  <c r="Z2742" i="1" a="1"/>
  <c r="Z2742" i="1" s="1"/>
  <c r="AA2742" i="1"/>
  <c r="AB2742" i="1"/>
  <c r="AC2742" i="1" s="1"/>
  <c r="Y2743" i="1"/>
  <c r="Z2743" i="1" a="1"/>
  <c r="Z2743" i="1" s="1"/>
  <c r="AA2743" i="1"/>
  <c r="AB2743" i="1"/>
  <c r="AC2743" i="1" s="1"/>
  <c r="Y2744" i="1"/>
  <c r="Z2744" i="1" a="1"/>
  <c r="Z2744" i="1" s="1"/>
  <c r="AA2744" i="1"/>
  <c r="AB2744" i="1"/>
  <c r="AC2744" i="1" s="1"/>
  <c r="Y2745" i="1"/>
  <c r="Z2745" i="1" a="1"/>
  <c r="Z2745" i="1" s="1"/>
  <c r="AA2745" i="1"/>
  <c r="AB2745" i="1"/>
  <c r="AC2745" i="1"/>
  <c r="Y2746" i="1"/>
  <c r="Z2746" i="1" a="1"/>
  <c r="Z2746" i="1" s="1"/>
  <c r="AA2746" i="1"/>
  <c r="AB2746" i="1"/>
  <c r="AC2746" i="1"/>
  <c r="Y2747" i="1"/>
  <c r="Z2747" i="1" a="1"/>
  <c r="Z2747" i="1" s="1"/>
  <c r="AA2747" i="1"/>
  <c r="AB2747" i="1"/>
  <c r="AC2747" i="1"/>
  <c r="Y2748" i="1"/>
  <c r="Z2748" i="1" a="1"/>
  <c r="Z2748" i="1" s="1"/>
  <c r="AA2748" i="1"/>
  <c r="AB2748" i="1"/>
  <c r="AC2748" i="1"/>
  <c r="Y2749" i="1"/>
  <c r="Z2749" i="1" a="1"/>
  <c r="Z2749" i="1" s="1"/>
  <c r="AA2749" i="1"/>
  <c r="AB2749" i="1"/>
  <c r="AC2749" i="1" s="1"/>
  <c r="Y2750" i="1"/>
  <c r="Z2750" i="1" a="1"/>
  <c r="Z2750" i="1" s="1"/>
  <c r="AA2750" i="1"/>
  <c r="AB2750" i="1"/>
  <c r="AC2750" i="1" s="1"/>
  <c r="Y2751" i="1"/>
  <c r="Z2751" i="1" a="1"/>
  <c r="Z2751" i="1" s="1"/>
  <c r="AA2751" i="1"/>
  <c r="AB2751" i="1"/>
  <c r="AC2751" i="1"/>
  <c r="Y2752" i="1"/>
  <c r="Z2752" i="1" a="1"/>
  <c r="Z2752" i="1" s="1"/>
  <c r="AA2752" i="1"/>
  <c r="AB2752" i="1"/>
  <c r="AC2752" i="1"/>
  <c r="Y2753" i="1"/>
  <c r="Z2753" i="1" a="1"/>
  <c r="Z2753" i="1" s="1"/>
  <c r="AA2753" i="1"/>
  <c r="AB2753" i="1"/>
  <c r="AC2753" i="1"/>
  <c r="Y2754" i="1"/>
  <c r="Z2754" i="1" a="1"/>
  <c r="Z2754" i="1" s="1"/>
  <c r="AA2754" i="1"/>
  <c r="AB2754" i="1"/>
  <c r="AC2754" i="1"/>
  <c r="Y2755" i="1"/>
  <c r="Z2755" i="1" a="1"/>
  <c r="Z2755" i="1" s="1"/>
  <c r="AA2755" i="1"/>
  <c r="AB2755" i="1"/>
  <c r="AC2755" i="1"/>
  <c r="Y2756" i="1"/>
  <c r="Z2756" i="1" a="1"/>
  <c r="Z2756" i="1" s="1"/>
  <c r="AA2756" i="1"/>
  <c r="AB2756" i="1"/>
  <c r="AC2756" i="1" s="1"/>
  <c r="Y2757" i="1"/>
  <c r="Z2757" i="1" a="1"/>
  <c r="Z2757" i="1" s="1"/>
  <c r="AA2757" i="1"/>
  <c r="AB2757" i="1"/>
  <c r="AC2757" i="1"/>
  <c r="Y2758" i="1"/>
  <c r="Z2758" i="1" a="1"/>
  <c r="Z2758" i="1" s="1"/>
  <c r="AA2758" i="1"/>
  <c r="AB2758" i="1"/>
  <c r="AC2758" i="1" s="1"/>
  <c r="Y2759" i="1"/>
  <c r="Z2759" i="1" a="1"/>
  <c r="Z2759" i="1" s="1"/>
  <c r="AA2759" i="1"/>
  <c r="AB2759" i="1"/>
  <c r="AC2759" i="1" s="1"/>
  <c r="Y2760" i="1"/>
  <c r="Z2760" i="1" a="1"/>
  <c r="Z2760" i="1" s="1"/>
  <c r="AA2760" i="1"/>
  <c r="AB2760" i="1"/>
  <c r="AC2760" i="1" s="1"/>
  <c r="Y2761" i="1"/>
  <c r="Z2761" i="1" a="1"/>
  <c r="Z2761" i="1" s="1"/>
  <c r="AA2761" i="1"/>
  <c r="AB2761" i="1"/>
  <c r="AC2761" i="1"/>
  <c r="Y2762" i="1"/>
  <c r="Z2762" i="1" a="1"/>
  <c r="Z2762" i="1" s="1"/>
  <c r="AA2762" i="1"/>
  <c r="AB2762" i="1"/>
  <c r="AC2762" i="1" s="1"/>
  <c r="Y2763" i="1"/>
  <c r="Z2763" i="1" a="1"/>
  <c r="Z2763" i="1" s="1"/>
  <c r="AA2763" i="1"/>
  <c r="AB2763" i="1"/>
  <c r="AC2763" i="1"/>
  <c r="Y2764" i="1"/>
  <c r="Z2764" i="1" a="1"/>
  <c r="Z2764" i="1" s="1"/>
  <c r="AA2764" i="1"/>
  <c r="AB2764" i="1"/>
  <c r="AC2764" i="1"/>
  <c r="Y2765" i="1"/>
  <c r="Z2765" i="1" a="1"/>
  <c r="Z2765" i="1"/>
  <c r="AA2765" i="1"/>
  <c r="AB2765" i="1"/>
  <c r="AC2765" i="1"/>
  <c r="Y2766" i="1"/>
  <c r="Z2766" i="1" a="1"/>
  <c r="Z2766" i="1" s="1"/>
  <c r="AA2766" i="1"/>
  <c r="AB2766" i="1"/>
  <c r="AC2766" i="1"/>
  <c r="Y2767" i="1"/>
  <c r="Z2767" i="1" a="1"/>
  <c r="Z2767" i="1" s="1"/>
  <c r="AA2767" i="1"/>
  <c r="AB2767" i="1"/>
  <c r="AC2767" i="1" s="1"/>
  <c r="Y2768" i="1"/>
  <c r="Z2768" i="1" a="1"/>
  <c r="Z2768" i="1" s="1"/>
  <c r="AA2768" i="1"/>
  <c r="AB2768" i="1"/>
  <c r="AC2768" i="1" s="1"/>
  <c r="Y2769" i="1"/>
  <c r="Z2769" i="1" a="1"/>
  <c r="Z2769" i="1" s="1"/>
  <c r="AA2769" i="1"/>
  <c r="AB2769" i="1"/>
  <c r="AC2769" i="1" s="1"/>
  <c r="Y2770" i="1"/>
  <c r="Z2770" i="1" a="1"/>
  <c r="Z2770" i="1" s="1"/>
  <c r="AA2770" i="1"/>
  <c r="AB2770" i="1"/>
  <c r="AC2770" i="1"/>
  <c r="Y2771" i="1"/>
  <c r="Z2771" i="1" a="1"/>
  <c r="Z2771" i="1" s="1"/>
  <c r="AA2771" i="1"/>
  <c r="AB2771" i="1"/>
  <c r="AC2771" i="1"/>
  <c r="Y2772" i="1"/>
  <c r="Z2772" i="1" a="1"/>
  <c r="Z2772" i="1" s="1"/>
  <c r="AA2772" i="1"/>
  <c r="AB2772" i="1"/>
  <c r="AC2772" i="1"/>
  <c r="Y2773" i="1"/>
  <c r="Z2773" i="1" a="1"/>
  <c r="Z2773" i="1" s="1"/>
  <c r="AA2773" i="1"/>
  <c r="AB2773" i="1"/>
  <c r="AC2773" i="1"/>
  <c r="Y2774" i="1"/>
  <c r="Z2774" i="1" a="1"/>
  <c r="Z2774" i="1" s="1"/>
  <c r="AA2774" i="1"/>
  <c r="AB2774" i="1"/>
  <c r="AC2774" i="1" s="1"/>
  <c r="Y2775" i="1"/>
  <c r="Z2775" i="1" a="1"/>
  <c r="Z2775" i="1" s="1"/>
  <c r="AA2775" i="1"/>
  <c r="AB2775" i="1"/>
  <c r="AC2775" i="1"/>
  <c r="Y2776" i="1"/>
  <c r="Z2776" i="1" a="1"/>
  <c r="Z2776" i="1" s="1"/>
  <c r="AA2776" i="1"/>
  <c r="AB2776" i="1"/>
  <c r="AC2776" i="1"/>
  <c r="Y2777" i="1"/>
  <c r="Z2777" i="1" a="1"/>
  <c r="Z2777" i="1" s="1"/>
  <c r="AA2777" i="1"/>
  <c r="AB2777" i="1"/>
  <c r="AC2777" i="1" s="1"/>
  <c r="Y2778" i="1"/>
  <c r="Z2778" i="1" a="1"/>
  <c r="Z2778" i="1" s="1"/>
  <c r="AA2778" i="1"/>
  <c r="AB2778" i="1"/>
  <c r="AC2778" i="1"/>
  <c r="Y2779" i="1"/>
  <c r="Z2779" i="1" a="1"/>
  <c r="Z2779" i="1" s="1"/>
  <c r="AA2779" i="1"/>
  <c r="AB2779" i="1"/>
  <c r="AC2779" i="1"/>
  <c r="Y2780" i="1"/>
  <c r="Z2780" i="1" a="1"/>
  <c r="Z2780" i="1" s="1"/>
  <c r="AA2780" i="1"/>
  <c r="AB2780" i="1"/>
  <c r="AC2780" i="1"/>
  <c r="Y2781" i="1"/>
  <c r="Z2781" i="1" a="1"/>
  <c r="Z2781" i="1" s="1"/>
  <c r="AA2781" i="1"/>
  <c r="AB2781" i="1"/>
  <c r="AC2781" i="1" s="1"/>
  <c r="Y2782" i="1"/>
  <c r="Z2782" i="1" a="1"/>
  <c r="Z2782" i="1" s="1"/>
  <c r="AA2782" i="1"/>
  <c r="AB2782" i="1"/>
  <c r="AC2782" i="1"/>
  <c r="Y2783" i="1"/>
  <c r="Z2783" i="1" a="1"/>
  <c r="Z2783" i="1" s="1"/>
  <c r="AA2783" i="1"/>
  <c r="AB2783" i="1"/>
  <c r="AC2783" i="1"/>
  <c r="Y2784" i="1"/>
  <c r="Z2784" i="1" a="1"/>
  <c r="Z2784" i="1" s="1"/>
  <c r="AA2784" i="1"/>
  <c r="AB2784" i="1"/>
  <c r="AC2784" i="1" s="1"/>
  <c r="Y2785" i="1"/>
  <c r="Z2785" i="1" a="1"/>
  <c r="Z2785" i="1" s="1"/>
  <c r="AA2785" i="1"/>
  <c r="AB2785" i="1"/>
  <c r="AC2785" i="1"/>
  <c r="Y2786" i="1"/>
  <c r="Z2786" i="1" a="1"/>
  <c r="Z2786" i="1" s="1"/>
  <c r="AA2786" i="1"/>
  <c r="AB2786" i="1"/>
  <c r="AC2786" i="1" s="1"/>
  <c r="Y2787" i="1"/>
  <c r="Z2787" i="1" a="1"/>
  <c r="Z2787" i="1" s="1"/>
  <c r="AA2787" i="1"/>
  <c r="AB2787" i="1"/>
  <c r="AC2787" i="1"/>
  <c r="Y2788" i="1"/>
  <c r="Z2788" i="1" a="1"/>
  <c r="Z2788" i="1" s="1"/>
  <c r="AA2788" i="1"/>
  <c r="AB2788" i="1"/>
  <c r="AC2788" i="1" s="1"/>
  <c r="Y2789" i="1"/>
  <c r="Z2789" i="1" a="1"/>
  <c r="Z2789" i="1" s="1"/>
  <c r="AA2789" i="1"/>
  <c r="AB2789" i="1"/>
  <c r="AC2789" i="1"/>
  <c r="Y2790" i="1"/>
  <c r="Z2790" i="1" a="1"/>
  <c r="Z2790" i="1" s="1"/>
  <c r="AA2790" i="1"/>
  <c r="AB2790" i="1"/>
  <c r="AC2790" i="1" s="1"/>
  <c r="Y2791" i="1"/>
  <c r="Z2791" i="1" a="1"/>
  <c r="Z2791" i="1" s="1"/>
  <c r="AA2791" i="1"/>
  <c r="AB2791" i="1"/>
  <c r="AC2791" i="1" s="1"/>
  <c r="Y2792" i="1"/>
  <c r="Z2792" i="1" a="1"/>
  <c r="Z2792" i="1" s="1"/>
  <c r="AA2792" i="1"/>
  <c r="AB2792" i="1"/>
  <c r="AC2792" i="1" s="1"/>
  <c r="Y2793" i="1"/>
  <c r="Z2793" i="1" a="1"/>
  <c r="Z2793" i="1" s="1"/>
  <c r="AA2793" i="1"/>
  <c r="AB2793" i="1"/>
  <c r="AC2793" i="1"/>
  <c r="Y2794" i="1"/>
  <c r="Z2794" i="1" a="1"/>
  <c r="Z2794" i="1" s="1"/>
  <c r="AA2794" i="1"/>
  <c r="AB2794" i="1"/>
  <c r="AC2794" i="1"/>
  <c r="Y2795" i="1"/>
  <c r="Z2795" i="1" a="1"/>
  <c r="Z2795" i="1" s="1"/>
  <c r="AA2795" i="1"/>
  <c r="AB2795" i="1"/>
  <c r="AC2795" i="1"/>
  <c r="Y2796" i="1"/>
  <c r="Z2796" i="1" a="1"/>
  <c r="Z2796" i="1" s="1"/>
  <c r="AA2796" i="1"/>
  <c r="AB2796" i="1"/>
  <c r="AC2796" i="1" s="1"/>
  <c r="Y2797" i="1"/>
  <c r="Z2797" i="1" a="1"/>
  <c r="Z2797" i="1" s="1"/>
  <c r="AA2797" i="1"/>
  <c r="AB2797" i="1"/>
  <c r="AC2797" i="1"/>
  <c r="Y2798" i="1"/>
  <c r="Z2798" i="1" a="1"/>
  <c r="Z2798" i="1" s="1"/>
  <c r="AA2798" i="1"/>
  <c r="AB2798" i="1"/>
  <c r="AC2798" i="1"/>
  <c r="Y2799" i="1"/>
  <c r="Z2799" i="1" a="1"/>
  <c r="Z2799" i="1"/>
  <c r="AA2799" i="1"/>
  <c r="AB2799" i="1"/>
  <c r="AC2799" i="1" s="1"/>
  <c r="Y2800" i="1"/>
  <c r="Z2800" i="1" a="1"/>
  <c r="Z2800" i="1" s="1"/>
  <c r="AA2800" i="1"/>
  <c r="AB2800" i="1"/>
  <c r="AC2800" i="1"/>
  <c r="Y2801" i="1"/>
  <c r="Z2801" i="1" a="1"/>
  <c r="Z2801" i="1" s="1"/>
  <c r="AA2801" i="1"/>
  <c r="AB2801" i="1"/>
  <c r="AC2801" i="1"/>
  <c r="Y2802" i="1"/>
  <c r="Z2802" i="1" a="1"/>
  <c r="Z2802" i="1" s="1"/>
  <c r="AA2802" i="1"/>
  <c r="AB2802" i="1"/>
  <c r="AC2802" i="1"/>
  <c r="Y2803" i="1"/>
  <c r="Z2803" i="1" a="1"/>
  <c r="Z2803" i="1" s="1"/>
  <c r="AA2803" i="1"/>
  <c r="AB2803" i="1"/>
  <c r="AC2803" i="1"/>
  <c r="Y2804" i="1"/>
  <c r="Z2804" i="1" a="1"/>
  <c r="Z2804" i="1" s="1"/>
  <c r="AA2804" i="1"/>
  <c r="AB2804" i="1"/>
  <c r="AC2804" i="1" s="1"/>
  <c r="Y2805" i="1"/>
  <c r="Z2805" i="1" a="1"/>
  <c r="Z2805" i="1" s="1"/>
  <c r="AA2805" i="1"/>
  <c r="AB2805" i="1"/>
  <c r="AC2805" i="1" s="1"/>
  <c r="Y2806" i="1"/>
  <c r="Z2806" i="1" a="1"/>
  <c r="Z2806" i="1" s="1"/>
  <c r="AA2806" i="1"/>
  <c r="AB2806" i="1"/>
  <c r="AC2806" i="1"/>
  <c r="Y2807" i="1"/>
  <c r="Z2807" i="1" a="1"/>
  <c r="Z2807" i="1" s="1"/>
  <c r="AA2807" i="1"/>
  <c r="AB2807" i="1"/>
  <c r="AC2807" i="1" s="1"/>
  <c r="Y2808" i="1"/>
  <c r="Z2808" i="1" a="1"/>
  <c r="Z2808" i="1"/>
  <c r="AA2808" i="1"/>
  <c r="AB2808" i="1"/>
  <c r="AC2808" i="1" s="1"/>
  <c r="Y2809" i="1"/>
  <c r="Z2809" i="1" a="1"/>
  <c r="Z2809" i="1" s="1"/>
  <c r="AA2809" i="1"/>
  <c r="AB2809" i="1"/>
  <c r="AC2809" i="1" s="1"/>
  <c r="Y2810" i="1"/>
  <c r="Z2810" i="1" a="1"/>
  <c r="Z2810" i="1" s="1"/>
  <c r="AA2810" i="1"/>
  <c r="AB2810" i="1"/>
  <c r="AC2810" i="1"/>
  <c r="Y2811" i="1"/>
  <c r="Z2811" i="1" a="1"/>
  <c r="Z2811" i="1" s="1"/>
  <c r="AA2811" i="1"/>
  <c r="AB2811" i="1"/>
  <c r="AC2811" i="1"/>
  <c r="Y2812" i="1"/>
  <c r="Z2812" i="1" a="1"/>
  <c r="Z2812" i="1" s="1"/>
  <c r="AA2812" i="1"/>
  <c r="AB2812" i="1"/>
  <c r="AC2812" i="1"/>
  <c r="Y2813" i="1"/>
  <c r="Z2813" i="1" a="1"/>
  <c r="Z2813" i="1" s="1"/>
  <c r="AA2813" i="1"/>
  <c r="AB2813" i="1"/>
  <c r="AC2813" i="1"/>
  <c r="Y2814" i="1"/>
  <c r="Z2814" i="1" a="1"/>
  <c r="Z2814" i="1" s="1"/>
  <c r="AA2814" i="1"/>
  <c r="AB2814" i="1"/>
  <c r="AC2814" i="1" s="1"/>
  <c r="Y2815" i="1"/>
  <c r="Z2815" i="1" a="1"/>
  <c r="Z2815" i="1" s="1"/>
  <c r="AA2815" i="1"/>
  <c r="AB2815" i="1"/>
  <c r="AC2815" i="1"/>
  <c r="Y2816" i="1"/>
  <c r="Z2816" i="1" a="1"/>
  <c r="Z2816" i="1" s="1"/>
  <c r="AA2816" i="1"/>
  <c r="AB2816" i="1"/>
  <c r="AC2816" i="1" s="1"/>
  <c r="Y2817" i="1"/>
  <c r="Z2817" i="1" a="1"/>
  <c r="Z2817" i="1" s="1"/>
  <c r="AA2817" i="1"/>
  <c r="AB2817" i="1"/>
  <c r="AC2817" i="1" s="1"/>
  <c r="Y2818" i="1"/>
  <c r="Z2818" i="1" a="1"/>
  <c r="Z2818" i="1" s="1"/>
  <c r="AA2818" i="1"/>
  <c r="AB2818" i="1"/>
  <c r="AC2818" i="1"/>
  <c r="Y2819" i="1"/>
  <c r="Z2819" i="1" a="1"/>
  <c r="Z2819" i="1" s="1"/>
  <c r="AA2819" i="1"/>
  <c r="AB2819" i="1"/>
  <c r="AC2819" i="1" s="1"/>
  <c r="Y2820" i="1"/>
  <c r="Z2820" i="1" a="1"/>
  <c r="Z2820" i="1" s="1"/>
  <c r="AA2820" i="1"/>
  <c r="AB2820" i="1"/>
  <c r="AC2820" i="1" s="1"/>
  <c r="Y2821" i="1"/>
  <c r="Z2821" i="1" a="1"/>
  <c r="Z2821" i="1" s="1"/>
  <c r="AA2821" i="1"/>
  <c r="AB2821" i="1"/>
  <c r="AC2821" i="1"/>
  <c r="Y2822" i="1"/>
  <c r="Z2822" i="1" a="1"/>
  <c r="Z2822" i="1" s="1"/>
  <c r="AA2822" i="1"/>
  <c r="AB2822" i="1"/>
  <c r="AC2822" i="1"/>
  <c r="Y2823" i="1"/>
  <c r="Z2823" i="1" a="1"/>
  <c r="Z2823" i="1" s="1"/>
  <c r="AA2823" i="1"/>
  <c r="AB2823" i="1"/>
  <c r="AC2823" i="1" s="1"/>
  <c r="Y2824" i="1"/>
  <c r="Z2824" i="1" a="1"/>
  <c r="Z2824" i="1" s="1"/>
  <c r="AA2824" i="1"/>
  <c r="AB2824" i="1"/>
  <c r="AC2824" i="1" s="1"/>
  <c r="Y2825" i="1"/>
  <c r="Z2825" i="1" a="1"/>
  <c r="Z2825" i="1" s="1"/>
  <c r="AA2825" i="1"/>
  <c r="AB2825" i="1"/>
  <c r="AC2825" i="1" s="1"/>
  <c r="Y2826" i="1"/>
  <c r="Z2826" i="1" a="1"/>
  <c r="Z2826" i="1" s="1"/>
  <c r="AA2826" i="1"/>
  <c r="AB2826" i="1"/>
  <c r="AC2826" i="1" s="1"/>
  <c r="Y2827" i="1"/>
  <c r="Z2827" i="1" a="1"/>
  <c r="Z2827" i="1" s="1"/>
  <c r="AA2827" i="1"/>
  <c r="AB2827" i="1"/>
  <c r="AC2827" i="1"/>
  <c r="Y2828" i="1"/>
  <c r="Z2828" i="1" a="1"/>
  <c r="Z2828" i="1" s="1"/>
  <c r="AA2828" i="1"/>
  <c r="AB2828" i="1"/>
  <c r="AC2828" i="1"/>
  <c r="Y2829" i="1"/>
  <c r="Z2829" i="1" a="1"/>
  <c r="Z2829" i="1" s="1"/>
  <c r="AA2829" i="1"/>
  <c r="AB2829" i="1"/>
  <c r="AC2829" i="1"/>
  <c r="Y2830" i="1"/>
  <c r="Z2830" i="1" a="1"/>
  <c r="Z2830" i="1" s="1"/>
  <c r="AA2830" i="1"/>
  <c r="AB2830" i="1"/>
  <c r="AC2830" i="1" s="1"/>
  <c r="Y2831" i="1"/>
  <c r="Z2831" i="1" a="1"/>
  <c r="Z2831" i="1" s="1"/>
  <c r="AA2831" i="1"/>
  <c r="AB2831" i="1"/>
  <c r="AC2831" i="1"/>
  <c r="Y2832" i="1"/>
  <c r="Z2832" i="1" a="1"/>
  <c r="Z2832" i="1" s="1"/>
  <c r="AA2832" i="1"/>
  <c r="AB2832" i="1"/>
  <c r="AC2832" i="1" s="1"/>
  <c r="Y2833" i="1"/>
  <c r="Z2833" i="1" a="1"/>
  <c r="Z2833" i="1" s="1"/>
  <c r="AA2833" i="1"/>
  <c r="AB2833" i="1"/>
  <c r="AC2833" i="1" s="1"/>
  <c r="Y2834" i="1"/>
  <c r="Z2834" i="1" a="1"/>
  <c r="Z2834" i="1" s="1"/>
  <c r="AA2834" i="1"/>
  <c r="AB2834" i="1"/>
  <c r="AC2834" i="1" s="1"/>
  <c r="Y2835" i="1"/>
  <c r="Z2835" i="1" a="1"/>
  <c r="Z2835" i="1" s="1"/>
  <c r="AA2835" i="1"/>
  <c r="AB2835" i="1"/>
  <c r="AC2835" i="1" s="1"/>
  <c r="Y2836" i="1"/>
  <c r="Z2836" i="1" a="1"/>
  <c r="Z2836" i="1" s="1"/>
  <c r="AA2836" i="1"/>
  <c r="AB2836" i="1"/>
  <c r="AC2836" i="1"/>
  <c r="Y2837" i="1"/>
  <c r="Z2837" i="1" a="1"/>
  <c r="Z2837" i="1" s="1"/>
  <c r="AA2837" i="1"/>
  <c r="AB2837" i="1"/>
  <c r="AC2837" i="1"/>
  <c r="Y2838" i="1"/>
  <c r="Z2838" i="1" a="1"/>
  <c r="Z2838" i="1" s="1"/>
  <c r="AA2838" i="1"/>
  <c r="AB2838" i="1"/>
  <c r="AC2838" i="1" s="1"/>
  <c r="Y2839" i="1"/>
  <c r="Z2839" i="1" a="1"/>
  <c r="Z2839" i="1" s="1"/>
  <c r="AA2839" i="1"/>
  <c r="AB2839" i="1"/>
  <c r="AC2839" i="1" s="1"/>
  <c r="Y2840" i="1"/>
  <c r="Z2840" i="1" a="1"/>
  <c r="Z2840" i="1" s="1"/>
  <c r="AA2840" i="1"/>
  <c r="AB2840" i="1"/>
  <c r="AC2840" i="1" s="1"/>
  <c r="Y2841" i="1"/>
  <c r="Z2841" i="1" a="1"/>
  <c r="Z2841" i="1" s="1"/>
  <c r="AA2841" i="1"/>
  <c r="AB2841" i="1"/>
  <c r="AC2841" i="1" s="1"/>
  <c r="Y2842" i="1"/>
  <c r="Z2842" i="1" a="1"/>
  <c r="Z2842" i="1" s="1"/>
  <c r="AA2842" i="1"/>
  <c r="AB2842" i="1"/>
  <c r="AC2842" i="1"/>
  <c r="Y2843" i="1"/>
  <c r="Z2843" i="1" a="1"/>
  <c r="Z2843" i="1" s="1"/>
  <c r="AA2843" i="1"/>
  <c r="AB2843" i="1"/>
  <c r="AC2843" i="1" s="1"/>
  <c r="Y2844" i="1"/>
  <c r="Z2844" i="1" a="1"/>
  <c r="Z2844" i="1" s="1"/>
  <c r="AA2844" i="1"/>
  <c r="AB2844" i="1"/>
  <c r="AC2844" i="1" s="1"/>
  <c r="Y2845" i="1"/>
  <c r="Z2845" i="1" a="1"/>
  <c r="Z2845" i="1" s="1"/>
  <c r="AA2845" i="1"/>
  <c r="AB2845" i="1"/>
  <c r="AC2845" i="1"/>
  <c r="Y2846" i="1"/>
  <c r="Z2846" i="1" a="1"/>
  <c r="Z2846" i="1" s="1"/>
  <c r="AA2846" i="1"/>
  <c r="AB2846" i="1"/>
  <c r="AC2846" i="1"/>
  <c r="Y2847" i="1"/>
  <c r="Z2847" i="1" a="1"/>
  <c r="Z2847" i="1" s="1"/>
  <c r="AA2847" i="1"/>
  <c r="AB2847" i="1"/>
  <c r="AC2847" i="1"/>
  <c r="Y2848" i="1"/>
  <c r="Z2848" i="1" a="1"/>
  <c r="Z2848" i="1" s="1"/>
  <c r="AA2848" i="1"/>
  <c r="AB2848" i="1"/>
  <c r="AC2848" i="1"/>
  <c r="Y2849" i="1"/>
  <c r="Z2849" i="1" a="1"/>
  <c r="Z2849" i="1" s="1"/>
  <c r="AA2849" i="1"/>
  <c r="AB2849" i="1"/>
  <c r="AC2849" i="1" s="1"/>
  <c r="Y2850" i="1"/>
  <c r="Z2850" i="1" a="1"/>
  <c r="Z2850" i="1" s="1"/>
  <c r="AA2850" i="1"/>
  <c r="AB2850" i="1"/>
  <c r="AC2850" i="1" s="1"/>
  <c r="Y2851" i="1"/>
  <c r="Z2851" i="1" a="1"/>
  <c r="Z2851" i="1" s="1"/>
  <c r="AA2851" i="1"/>
  <c r="AB2851" i="1"/>
  <c r="AC2851" i="1"/>
  <c r="Y2852" i="1"/>
  <c r="Z2852" i="1" a="1"/>
  <c r="Z2852" i="1" s="1"/>
  <c r="AA2852" i="1"/>
  <c r="AB2852" i="1"/>
  <c r="AC2852" i="1"/>
  <c r="Y2853" i="1"/>
  <c r="Z2853" i="1" a="1"/>
  <c r="Z2853" i="1" s="1"/>
  <c r="AA2853" i="1"/>
  <c r="AB2853" i="1"/>
  <c r="AC2853" i="1"/>
  <c r="Y2854" i="1"/>
  <c r="Z2854" i="1" a="1"/>
  <c r="Z2854" i="1" s="1"/>
  <c r="AA2854" i="1"/>
  <c r="AB2854" i="1"/>
  <c r="AC2854" i="1" s="1"/>
  <c r="Y2855" i="1"/>
  <c r="Z2855" i="1" a="1"/>
  <c r="Z2855" i="1" s="1"/>
  <c r="AA2855" i="1"/>
  <c r="AB2855" i="1"/>
  <c r="AC2855" i="1"/>
  <c r="Y2856" i="1"/>
  <c r="Z2856" i="1" a="1"/>
  <c r="Z2856" i="1" s="1"/>
  <c r="AA2856" i="1"/>
  <c r="AB2856" i="1"/>
  <c r="AC2856" i="1" s="1"/>
  <c r="Y2857" i="1"/>
  <c r="Z2857" i="1" a="1"/>
  <c r="Z2857" i="1" s="1"/>
  <c r="AA2857" i="1"/>
  <c r="AB2857" i="1"/>
  <c r="AC2857" i="1"/>
  <c r="Y2858" i="1"/>
  <c r="Z2858" i="1" a="1"/>
  <c r="Z2858" i="1" s="1"/>
  <c r="AA2858" i="1"/>
  <c r="AB2858" i="1"/>
  <c r="AC2858" i="1"/>
  <c r="Y2859" i="1"/>
  <c r="Z2859" i="1" a="1"/>
  <c r="Z2859" i="1" s="1"/>
  <c r="AA2859" i="1"/>
  <c r="AB2859" i="1"/>
  <c r="AC2859" i="1"/>
  <c r="Y2860" i="1"/>
  <c r="Z2860" i="1" a="1"/>
  <c r="Z2860" i="1" s="1"/>
  <c r="AA2860" i="1"/>
  <c r="AB2860" i="1"/>
  <c r="AC2860" i="1" s="1"/>
  <c r="Y2861" i="1"/>
  <c r="Z2861" i="1" a="1"/>
  <c r="Z2861" i="1" s="1"/>
  <c r="AA2861" i="1"/>
  <c r="AB2861" i="1"/>
  <c r="AC2861" i="1"/>
  <c r="Y2862" i="1"/>
  <c r="Z2862" i="1" a="1"/>
  <c r="Z2862" i="1" s="1"/>
  <c r="AA2862" i="1"/>
  <c r="AB2862" i="1"/>
  <c r="AC2862" i="1" s="1"/>
  <c r="Y2863" i="1"/>
  <c r="Z2863" i="1" a="1"/>
  <c r="Z2863" i="1" s="1"/>
  <c r="AA2863" i="1"/>
  <c r="AB2863" i="1"/>
  <c r="AC2863" i="1"/>
  <c r="Y2864" i="1"/>
  <c r="Z2864" i="1" a="1"/>
  <c r="Z2864" i="1" s="1"/>
  <c r="AA2864" i="1"/>
  <c r="AB2864" i="1"/>
  <c r="AC2864" i="1" s="1"/>
  <c r="Y2865" i="1"/>
  <c r="Z2865" i="1" a="1"/>
  <c r="Z2865" i="1" s="1"/>
  <c r="AA2865" i="1"/>
  <c r="AB2865" i="1"/>
  <c r="AC2865" i="1" s="1"/>
  <c r="Y2866" i="1"/>
  <c r="Z2866" i="1" a="1"/>
  <c r="Z2866" i="1" s="1"/>
  <c r="AA2866" i="1"/>
  <c r="AB2866" i="1"/>
  <c r="AC2866" i="1" s="1"/>
  <c r="Y2867" i="1"/>
  <c r="Z2867" i="1" a="1"/>
  <c r="Z2867" i="1" s="1"/>
  <c r="AA2867" i="1"/>
  <c r="AB2867" i="1"/>
  <c r="AC2867" i="1"/>
  <c r="Y2868" i="1"/>
  <c r="Z2868" i="1" a="1"/>
  <c r="Z2868" i="1" s="1"/>
  <c r="AA2868" i="1"/>
  <c r="AB2868" i="1"/>
  <c r="AC2868" i="1" s="1"/>
  <c r="Y2869" i="1"/>
  <c r="Z2869" i="1" a="1"/>
  <c r="Z2869" i="1" s="1"/>
  <c r="AA2869" i="1"/>
  <c r="AB2869" i="1"/>
  <c r="AC2869" i="1"/>
  <c r="Y2870" i="1"/>
  <c r="Z2870" i="1" a="1"/>
  <c r="Z2870" i="1" s="1"/>
  <c r="AA2870" i="1"/>
  <c r="AB2870" i="1"/>
  <c r="AC2870" i="1" s="1"/>
  <c r="Y2871" i="1"/>
  <c r="Z2871" i="1" a="1"/>
  <c r="Z2871" i="1" s="1"/>
  <c r="AA2871" i="1"/>
  <c r="AB2871" i="1"/>
  <c r="AC2871" i="1"/>
  <c r="Y2872" i="1"/>
  <c r="Z2872" i="1" a="1"/>
  <c r="Z2872" i="1" s="1"/>
  <c r="AA2872" i="1"/>
  <c r="AB2872" i="1"/>
  <c r="AC2872" i="1"/>
  <c r="Y2873" i="1"/>
  <c r="Z2873" i="1" a="1"/>
  <c r="Z2873" i="1" s="1"/>
  <c r="AA2873" i="1"/>
  <c r="AB2873" i="1"/>
  <c r="AC2873" i="1" s="1"/>
  <c r="Y2874" i="1"/>
  <c r="Z2874" i="1" a="1"/>
  <c r="Z2874" i="1" s="1"/>
  <c r="AA2874" i="1"/>
  <c r="AB2874" i="1"/>
  <c r="AC2874" i="1" s="1"/>
  <c r="Y2875" i="1"/>
  <c r="Z2875" i="1" a="1"/>
  <c r="Z2875" i="1" s="1"/>
  <c r="AA2875" i="1"/>
  <c r="AB2875" i="1"/>
  <c r="AC2875" i="1"/>
  <c r="Y2876" i="1"/>
  <c r="Z2876" i="1" a="1"/>
  <c r="Z2876" i="1" s="1"/>
  <c r="AA2876" i="1"/>
  <c r="AB2876" i="1"/>
  <c r="AC2876" i="1"/>
  <c r="Y2877" i="1"/>
  <c r="Z2877" i="1" a="1"/>
  <c r="Z2877" i="1" s="1"/>
  <c r="AA2877" i="1"/>
  <c r="AB2877" i="1"/>
  <c r="AC2877" i="1"/>
  <c r="Y2878" i="1"/>
  <c r="Z2878" i="1" a="1"/>
  <c r="Z2878" i="1" s="1"/>
  <c r="AA2878" i="1"/>
  <c r="AB2878" i="1"/>
  <c r="AC2878" i="1"/>
  <c r="Y2879" i="1"/>
  <c r="Z2879" i="1" a="1"/>
  <c r="Z2879" i="1" s="1"/>
  <c r="AA2879" i="1"/>
  <c r="AB2879" i="1"/>
  <c r="AC2879" i="1" s="1"/>
  <c r="Y2880" i="1"/>
  <c r="Z2880" i="1" a="1"/>
  <c r="Z2880" i="1" s="1"/>
  <c r="AA2880" i="1"/>
  <c r="AB2880" i="1"/>
  <c r="AC2880" i="1" s="1"/>
  <c r="Y2881" i="1"/>
  <c r="Z2881" i="1" a="1"/>
  <c r="Z2881" i="1" s="1"/>
  <c r="AA2881" i="1"/>
  <c r="AB2881" i="1"/>
  <c r="AC2881" i="1" s="1"/>
  <c r="Y2882" i="1"/>
  <c r="Z2882" i="1" a="1"/>
  <c r="Z2882" i="1" s="1"/>
  <c r="AA2882" i="1"/>
  <c r="AB2882" i="1"/>
  <c r="AC2882" i="1"/>
  <c r="Y2883" i="1"/>
  <c r="Z2883" i="1" a="1"/>
  <c r="Z2883" i="1" s="1"/>
  <c r="AA2883" i="1"/>
  <c r="AB2883" i="1"/>
  <c r="AC2883" i="1" s="1"/>
  <c r="Y2884" i="1"/>
  <c r="Z2884" i="1" a="1"/>
  <c r="Z2884" i="1" s="1"/>
  <c r="AA2884" i="1"/>
  <c r="AB2884" i="1"/>
  <c r="AC2884" i="1" s="1"/>
  <c r="Y2885" i="1"/>
  <c r="Z2885" i="1" a="1"/>
  <c r="Z2885" i="1" s="1"/>
  <c r="AA2885" i="1"/>
  <c r="AB2885" i="1"/>
  <c r="AC2885" i="1"/>
  <c r="Y2886" i="1"/>
  <c r="Z2886" i="1" a="1"/>
  <c r="Z2886" i="1" s="1"/>
  <c r="AA2886" i="1"/>
  <c r="AB2886" i="1"/>
  <c r="AC2886" i="1"/>
  <c r="Y2887" i="1"/>
  <c r="Z2887" i="1" a="1"/>
  <c r="Z2887" i="1" s="1"/>
  <c r="AA2887" i="1"/>
  <c r="AB2887" i="1"/>
  <c r="AC2887" i="1" s="1"/>
  <c r="Y2888" i="1"/>
  <c r="Z2888" i="1" a="1"/>
  <c r="Z2888" i="1" s="1"/>
  <c r="AA2888" i="1"/>
  <c r="AB2888" i="1"/>
  <c r="AC2888" i="1"/>
  <c r="Y2889" i="1"/>
  <c r="Z2889" i="1" a="1"/>
  <c r="Z2889" i="1" s="1"/>
  <c r="AA2889" i="1"/>
  <c r="AB2889" i="1"/>
  <c r="AC2889" i="1"/>
  <c r="Y2890" i="1"/>
  <c r="Z2890" i="1" a="1"/>
  <c r="Z2890" i="1" s="1"/>
  <c r="AA2890" i="1"/>
  <c r="AB2890" i="1"/>
  <c r="AC2890" i="1" s="1"/>
  <c r="Y2891" i="1"/>
  <c r="Z2891" i="1" a="1"/>
  <c r="Z2891" i="1" s="1"/>
  <c r="AA2891" i="1"/>
  <c r="AB2891" i="1"/>
  <c r="AC2891" i="1"/>
  <c r="Y2892" i="1"/>
  <c r="Z2892" i="1" a="1"/>
  <c r="Z2892" i="1" s="1"/>
  <c r="AA2892" i="1"/>
  <c r="AB2892" i="1"/>
  <c r="AC2892" i="1" s="1"/>
  <c r="Y2893" i="1"/>
  <c r="Z2893" i="1" a="1"/>
  <c r="Z2893" i="1" s="1"/>
  <c r="AA2893" i="1"/>
  <c r="AB2893" i="1"/>
  <c r="AC2893" i="1"/>
  <c r="Y2894" i="1"/>
  <c r="Z2894" i="1" a="1"/>
  <c r="Z2894" i="1" s="1"/>
  <c r="AA2894" i="1"/>
  <c r="AB2894" i="1"/>
  <c r="AC2894" i="1"/>
  <c r="Y2895" i="1"/>
  <c r="Z2895" i="1" a="1"/>
  <c r="Z2895" i="1" s="1"/>
  <c r="AA2895" i="1"/>
  <c r="AB2895" i="1"/>
  <c r="AC2895" i="1"/>
  <c r="Y2896" i="1"/>
  <c r="Z2896" i="1" a="1"/>
  <c r="Z2896" i="1" s="1"/>
  <c r="AA2896" i="1"/>
  <c r="AB2896" i="1"/>
  <c r="AC2896" i="1" s="1"/>
  <c r="Y2897" i="1"/>
  <c r="Z2897" i="1" a="1"/>
  <c r="Z2897" i="1" s="1"/>
  <c r="AA2897" i="1"/>
  <c r="AB2897" i="1"/>
  <c r="AC2897" i="1"/>
  <c r="Y2898" i="1"/>
  <c r="Z2898" i="1" a="1"/>
  <c r="Z2898" i="1" s="1"/>
  <c r="AA2898" i="1"/>
  <c r="AB2898" i="1"/>
  <c r="AC2898" i="1" s="1"/>
  <c r="Y2899" i="1"/>
  <c r="Z2899" i="1" a="1"/>
  <c r="Z2899" i="1" s="1"/>
  <c r="AA2899" i="1"/>
  <c r="AB2899" i="1"/>
  <c r="AC2899" i="1" s="1"/>
  <c r="Y2900" i="1"/>
  <c r="Z2900" i="1" a="1"/>
  <c r="Z2900" i="1" s="1"/>
  <c r="AA2900" i="1"/>
  <c r="AB2900" i="1"/>
  <c r="AC2900" i="1" s="1"/>
  <c r="Y2901" i="1"/>
  <c r="Z2901" i="1" a="1"/>
  <c r="Z2901" i="1" s="1"/>
  <c r="AA2901" i="1"/>
  <c r="AB2901" i="1"/>
  <c r="AC2901" i="1"/>
  <c r="Y2902" i="1"/>
  <c r="Z2902" i="1" a="1"/>
  <c r="Z2902" i="1" s="1"/>
  <c r="AA2902" i="1"/>
  <c r="AB2902" i="1"/>
  <c r="AC2902" i="1" s="1"/>
  <c r="Y2903" i="1"/>
  <c r="Z2903" i="1" a="1"/>
  <c r="Z2903" i="1" s="1"/>
  <c r="AA2903" i="1"/>
  <c r="AB2903" i="1"/>
  <c r="AC2903" i="1" s="1"/>
  <c r="Y2904" i="1"/>
  <c r="Z2904" i="1" a="1"/>
  <c r="Z2904" i="1" s="1"/>
  <c r="AA2904" i="1"/>
  <c r="AB2904" i="1"/>
  <c r="AC2904" i="1" s="1"/>
  <c r="Y2905" i="1"/>
  <c r="Z2905" i="1" a="1"/>
  <c r="Z2905" i="1" s="1"/>
  <c r="AA2905" i="1"/>
  <c r="AB2905" i="1"/>
  <c r="AC2905" i="1" s="1"/>
  <c r="Y2906" i="1"/>
  <c r="Z2906" i="1" a="1"/>
  <c r="Z2906" i="1" s="1"/>
  <c r="AA2906" i="1"/>
  <c r="AB2906" i="1"/>
  <c r="AC2906" i="1"/>
  <c r="Y2907" i="1"/>
  <c r="Z2907" i="1" a="1"/>
  <c r="Z2907" i="1" s="1"/>
  <c r="AA2907" i="1"/>
  <c r="AB2907" i="1"/>
  <c r="AC2907" i="1"/>
  <c r="Y2908" i="1"/>
  <c r="Z2908" i="1" a="1"/>
  <c r="Z2908" i="1" s="1"/>
  <c r="AA2908" i="1"/>
  <c r="AB2908" i="1"/>
  <c r="AC2908" i="1"/>
  <c r="Y2909" i="1"/>
  <c r="Z2909" i="1" a="1"/>
  <c r="Z2909" i="1" s="1"/>
  <c r="AA2909" i="1"/>
  <c r="AB2909" i="1"/>
  <c r="AC2909" i="1"/>
  <c r="Y2910" i="1"/>
  <c r="Z2910" i="1" a="1"/>
  <c r="Z2910" i="1" s="1"/>
  <c r="AA2910" i="1"/>
  <c r="AB2910" i="1"/>
  <c r="AC2910" i="1"/>
  <c r="Y2911" i="1"/>
  <c r="Z2911" i="1" a="1"/>
  <c r="Z2911" i="1" s="1"/>
  <c r="AA2911" i="1"/>
  <c r="AB2911" i="1"/>
  <c r="AC2911" i="1" s="1"/>
  <c r="Y2912" i="1"/>
  <c r="Z2912" i="1" a="1"/>
  <c r="Z2912" i="1" s="1"/>
  <c r="AA2912" i="1"/>
  <c r="AB2912" i="1"/>
  <c r="AC2912" i="1"/>
  <c r="Y2913" i="1"/>
  <c r="Z2913" i="1" a="1"/>
  <c r="Z2913" i="1" s="1"/>
  <c r="AA2913" i="1"/>
  <c r="AB2913" i="1"/>
  <c r="AC2913" i="1" s="1"/>
  <c r="Y2914" i="1"/>
  <c r="Z2914" i="1" a="1"/>
  <c r="Z2914" i="1" s="1"/>
  <c r="AA2914" i="1"/>
  <c r="AB2914" i="1"/>
  <c r="AC2914" i="1" s="1"/>
  <c r="Y2915" i="1"/>
  <c r="Z2915" i="1" a="1"/>
  <c r="Z2915" i="1" s="1"/>
  <c r="AA2915" i="1"/>
  <c r="AB2915" i="1"/>
  <c r="AC2915" i="1" s="1"/>
  <c r="Y2916" i="1"/>
  <c r="Z2916" i="1" a="1"/>
  <c r="Z2916" i="1" s="1"/>
  <c r="AA2916" i="1"/>
  <c r="AB2916" i="1"/>
  <c r="AC2916" i="1"/>
  <c r="Y2917" i="1"/>
  <c r="Z2917" i="1" a="1"/>
  <c r="Z2917" i="1" s="1"/>
  <c r="AA2917" i="1"/>
  <c r="AB2917" i="1"/>
  <c r="AC2917" i="1"/>
  <c r="Y2918" i="1"/>
  <c r="Z2918" i="1" a="1"/>
  <c r="Z2918" i="1" s="1"/>
  <c r="AA2918" i="1"/>
  <c r="AB2918" i="1"/>
  <c r="AC2918" i="1" s="1"/>
  <c r="Y2919" i="1"/>
  <c r="Z2919" i="1" a="1"/>
  <c r="Z2919" i="1" s="1"/>
  <c r="AA2919" i="1"/>
  <c r="AB2919" i="1"/>
  <c r="AC2919" i="1" s="1"/>
  <c r="Y2920" i="1"/>
  <c r="Z2920" i="1" a="1"/>
  <c r="Z2920" i="1" s="1"/>
  <c r="AA2920" i="1"/>
  <c r="AB2920" i="1"/>
  <c r="AC2920" i="1" s="1"/>
  <c r="Y2921" i="1"/>
  <c r="Z2921" i="1" a="1"/>
  <c r="Z2921" i="1" s="1"/>
  <c r="AA2921" i="1"/>
  <c r="AB2921" i="1"/>
  <c r="AC2921" i="1"/>
  <c r="Y2922" i="1"/>
  <c r="Z2922" i="1" a="1"/>
  <c r="Z2922" i="1" s="1"/>
  <c r="AA2922" i="1"/>
  <c r="AB2922" i="1"/>
  <c r="AC2922" i="1" s="1"/>
  <c r="Y2923" i="1"/>
  <c r="Z2923" i="1" a="1"/>
  <c r="Z2923" i="1" s="1"/>
  <c r="AA2923" i="1"/>
  <c r="AB2923" i="1"/>
  <c r="AC2923" i="1" s="1"/>
  <c r="Y2924" i="1"/>
  <c r="Z2924" i="1" a="1"/>
  <c r="Z2924" i="1" s="1"/>
  <c r="AA2924" i="1"/>
  <c r="AB2924" i="1"/>
  <c r="AC2924" i="1"/>
  <c r="Y2925" i="1"/>
  <c r="Z2925" i="1" a="1"/>
  <c r="Z2925" i="1" s="1"/>
  <c r="AA2925" i="1"/>
  <c r="AB2925" i="1"/>
  <c r="AC2925" i="1"/>
  <c r="Y2926" i="1"/>
  <c r="Z2926" i="1" a="1"/>
  <c r="Z2926" i="1" s="1"/>
  <c r="AA2926" i="1"/>
  <c r="AB2926" i="1"/>
  <c r="AC2926" i="1"/>
  <c r="Y2927" i="1"/>
  <c r="Z2927" i="1" a="1"/>
  <c r="Z2927" i="1" s="1"/>
  <c r="AA2927" i="1"/>
  <c r="AB2927" i="1"/>
  <c r="AC2927" i="1"/>
  <c r="Y2928" i="1"/>
  <c r="Z2928" i="1" a="1"/>
  <c r="Z2928" i="1" s="1"/>
  <c r="AA2928" i="1"/>
  <c r="AB2928" i="1"/>
  <c r="AC2928" i="1" s="1"/>
  <c r="Y2929" i="1"/>
  <c r="Z2929" i="1" a="1"/>
  <c r="Z2929" i="1" s="1"/>
  <c r="AA2929" i="1"/>
  <c r="AB2929" i="1"/>
  <c r="AC2929" i="1" s="1"/>
  <c r="Y2930" i="1"/>
  <c r="Z2930" i="1" a="1"/>
  <c r="Z2930" i="1" s="1"/>
  <c r="AA2930" i="1"/>
  <c r="AB2930" i="1"/>
  <c r="AC2930" i="1" s="1"/>
  <c r="Y2931" i="1"/>
  <c r="Z2931" i="1" a="1"/>
  <c r="Z2931" i="1" s="1"/>
  <c r="AA2931" i="1"/>
  <c r="AB2931" i="1"/>
  <c r="AC2931" i="1"/>
  <c r="Y2932" i="1"/>
  <c r="Z2932" i="1" a="1"/>
  <c r="Z2932" i="1" s="1"/>
  <c r="AA2932" i="1"/>
  <c r="AB2932" i="1"/>
  <c r="AC2932" i="1" s="1"/>
  <c r="Y2933" i="1"/>
  <c r="Z2933" i="1" a="1"/>
  <c r="Z2933" i="1" s="1"/>
  <c r="AA2933" i="1"/>
  <c r="AB2933" i="1"/>
  <c r="AC2933" i="1"/>
  <c r="Y2934" i="1"/>
  <c r="Z2934" i="1" a="1"/>
  <c r="Z2934" i="1" s="1"/>
  <c r="AA2934" i="1"/>
  <c r="AB2934" i="1"/>
  <c r="AC2934" i="1" s="1"/>
  <c r="Y2935" i="1"/>
  <c r="Z2935" i="1" a="1"/>
  <c r="Z2935" i="1" s="1"/>
  <c r="AA2935" i="1"/>
  <c r="AB2935" i="1"/>
  <c r="AC2935" i="1"/>
  <c r="Y2936" i="1"/>
  <c r="Z2936" i="1" a="1"/>
  <c r="Z2936" i="1" s="1"/>
  <c r="AA2936" i="1"/>
  <c r="AB2936" i="1"/>
  <c r="AC2936" i="1"/>
  <c r="Y2937" i="1"/>
  <c r="Z2937" i="1" a="1"/>
  <c r="Z2937" i="1" s="1"/>
  <c r="AA2937" i="1"/>
  <c r="AB2937" i="1"/>
  <c r="AC2937" i="1"/>
  <c r="Y2938" i="1"/>
  <c r="Z2938" i="1" a="1"/>
  <c r="Z2938" i="1" s="1"/>
  <c r="AA2938" i="1"/>
  <c r="AB2938" i="1"/>
  <c r="AC2938" i="1"/>
  <c r="Y2939" i="1"/>
  <c r="Z2939" i="1" a="1"/>
  <c r="Z2939" i="1" s="1"/>
  <c r="AA2939" i="1"/>
  <c r="AB2939" i="1"/>
  <c r="AC2939" i="1" s="1"/>
  <c r="Y2940" i="1"/>
  <c r="Z2940" i="1" a="1"/>
  <c r="Z2940" i="1" s="1"/>
  <c r="AA2940" i="1"/>
  <c r="AB2940" i="1"/>
  <c r="AC2940" i="1"/>
  <c r="Y2941" i="1"/>
  <c r="Z2941" i="1" a="1"/>
  <c r="Z2941" i="1" s="1"/>
  <c r="AA2941" i="1"/>
  <c r="AB2941" i="1"/>
  <c r="AC2941" i="1"/>
  <c r="Y2942" i="1"/>
  <c r="Z2942" i="1" a="1"/>
  <c r="Z2942" i="1" s="1"/>
  <c r="AA2942" i="1"/>
  <c r="AB2942" i="1"/>
  <c r="AC2942" i="1" s="1"/>
  <c r="Y2943" i="1"/>
  <c r="Z2943" i="1" a="1"/>
  <c r="Z2943" i="1" s="1"/>
  <c r="AA2943" i="1"/>
  <c r="AB2943" i="1"/>
  <c r="AC2943" i="1"/>
  <c r="Y2944" i="1"/>
  <c r="Z2944" i="1" a="1"/>
  <c r="Z2944" i="1" s="1"/>
  <c r="AA2944" i="1"/>
  <c r="AB2944" i="1"/>
  <c r="AC2944" i="1" s="1"/>
  <c r="Y2945" i="1"/>
  <c r="Z2945" i="1" a="1"/>
  <c r="Z2945" i="1" s="1"/>
  <c r="AA2945" i="1"/>
  <c r="AB2945" i="1"/>
  <c r="AC2945" i="1" s="1"/>
  <c r="Y2946" i="1"/>
  <c r="Z2946" i="1" a="1"/>
  <c r="Z2946" i="1" s="1"/>
  <c r="AA2946" i="1"/>
  <c r="AB2946" i="1"/>
  <c r="AC2946" i="1"/>
  <c r="Y2947" i="1"/>
  <c r="Z2947" i="1" a="1"/>
  <c r="Z2947" i="1" s="1"/>
  <c r="AA2947" i="1"/>
  <c r="AB2947" i="1"/>
  <c r="AC2947" i="1" s="1"/>
  <c r="Y2948" i="1"/>
  <c r="Z2948" i="1" a="1"/>
  <c r="Z2948" i="1" s="1"/>
  <c r="AA2948" i="1"/>
  <c r="AB2948" i="1"/>
  <c r="AC2948" i="1" s="1"/>
  <c r="Y2949" i="1"/>
  <c r="Z2949" i="1" a="1"/>
  <c r="Z2949" i="1" s="1"/>
  <c r="AA2949" i="1"/>
  <c r="AB2949" i="1"/>
  <c r="AC2949" i="1"/>
  <c r="Y2950" i="1"/>
  <c r="Z2950" i="1" a="1"/>
  <c r="Z2950" i="1" s="1"/>
  <c r="AA2950" i="1"/>
  <c r="AB2950" i="1"/>
  <c r="AC2950" i="1"/>
  <c r="Y2951" i="1"/>
  <c r="Z2951" i="1" a="1"/>
  <c r="Z2951" i="1" s="1"/>
  <c r="AA2951" i="1"/>
  <c r="AB2951" i="1"/>
  <c r="AC2951" i="1" s="1"/>
  <c r="Y2952" i="1"/>
  <c r="Z2952" i="1" a="1"/>
  <c r="Z2952" i="1" s="1"/>
  <c r="AA2952" i="1"/>
  <c r="AB2952" i="1"/>
  <c r="AC2952" i="1" s="1"/>
  <c r="Y2953" i="1"/>
  <c r="Z2953" i="1" a="1"/>
  <c r="Z2953" i="1" s="1"/>
  <c r="AA2953" i="1"/>
  <c r="AB2953" i="1"/>
  <c r="AC2953" i="1" s="1"/>
  <c r="Y2954" i="1"/>
  <c r="Z2954" i="1" a="1"/>
  <c r="Z2954" i="1" s="1"/>
  <c r="AA2954" i="1"/>
  <c r="AB2954" i="1"/>
  <c r="AC2954" i="1" s="1"/>
  <c r="Y2955" i="1"/>
  <c r="Z2955" i="1" a="1"/>
  <c r="Z2955" i="1" s="1"/>
  <c r="AA2955" i="1"/>
  <c r="AB2955" i="1"/>
  <c r="AC2955" i="1"/>
  <c r="Y2956" i="1"/>
  <c r="Z2956" i="1" a="1"/>
  <c r="Z2956" i="1" s="1"/>
  <c r="AA2956" i="1"/>
  <c r="AB2956" i="1"/>
  <c r="AC2956" i="1"/>
  <c r="Y2957" i="1"/>
  <c r="Z2957" i="1" a="1"/>
  <c r="Z2957" i="1" s="1"/>
  <c r="AA2957" i="1"/>
  <c r="AB2957" i="1"/>
  <c r="AC2957" i="1"/>
  <c r="Y2958" i="1"/>
  <c r="Z2958" i="1" a="1"/>
  <c r="Z2958" i="1" s="1"/>
  <c r="AA2958" i="1"/>
  <c r="AB2958" i="1"/>
  <c r="AC2958" i="1" s="1"/>
  <c r="Y2959" i="1"/>
  <c r="Z2959" i="1" a="1"/>
  <c r="Z2959" i="1" s="1"/>
  <c r="AA2959" i="1"/>
  <c r="AB2959" i="1"/>
  <c r="AC2959" i="1"/>
  <c r="Y2960" i="1"/>
  <c r="Z2960" i="1" a="1"/>
  <c r="Z2960" i="1" s="1"/>
  <c r="AA2960" i="1"/>
  <c r="AB2960" i="1"/>
  <c r="AC2960" i="1" s="1"/>
  <c r="Y2961" i="1"/>
  <c r="Z2961" i="1" a="1"/>
  <c r="Z2961" i="1" s="1"/>
  <c r="AA2961" i="1"/>
  <c r="AB2961" i="1"/>
  <c r="AC2961" i="1"/>
  <c r="Y2962" i="1"/>
  <c r="Z2962" i="1" a="1"/>
  <c r="Z2962" i="1" s="1"/>
  <c r="AA2962" i="1"/>
  <c r="AB2962" i="1"/>
  <c r="AC2962" i="1" s="1"/>
  <c r="Y2963" i="1"/>
  <c r="Z2963" i="1" a="1"/>
  <c r="Z2963" i="1" s="1"/>
  <c r="AA2963" i="1"/>
  <c r="AB2963" i="1"/>
  <c r="AC2963" i="1"/>
  <c r="Y2964" i="1"/>
  <c r="Z2964" i="1" a="1"/>
  <c r="Z2964" i="1" s="1"/>
  <c r="AA2964" i="1"/>
  <c r="AB2964" i="1"/>
  <c r="AC2964" i="1" s="1"/>
  <c r="Y2965" i="1"/>
  <c r="Z2965" i="1" a="1"/>
  <c r="Z2965" i="1" s="1"/>
  <c r="AA2965" i="1"/>
  <c r="AB2965" i="1"/>
  <c r="AC2965" i="1"/>
  <c r="Y2966" i="1"/>
  <c r="Z2966" i="1" a="1"/>
  <c r="Z2966" i="1" s="1"/>
  <c r="AA2966" i="1"/>
  <c r="AB2966" i="1"/>
  <c r="AC2966" i="1" s="1"/>
  <c r="Y2967" i="1"/>
  <c r="Z2967" i="1" a="1"/>
  <c r="Z2967" i="1" s="1"/>
  <c r="AA2967" i="1"/>
  <c r="AB2967" i="1"/>
  <c r="AC2967" i="1" s="1"/>
  <c r="Y2968" i="1"/>
  <c r="Z2968" i="1" a="1"/>
  <c r="Z2968" i="1" s="1"/>
  <c r="AA2968" i="1"/>
  <c r="AB2968" i="1"/>
  <c r="AC2968" i="1"/>
  <c r="Y2969" i="1"/>
  <c r="Z2969" i="1" a="1"/>
  <c r="Z2969" i="1" s="1"/>
  <c r="AA2969" i="1"/>
  <c r="AB2969" i="1"/>
  <c r="AC2969" i="1" s="1"/>
  <c r="Y2970" i="1"/>
  <c r="Z2970" i="1" a="1"/>
  <c r="Z2970" i="1" s="1"/>
  <c r="AA2970" i="1"/>
  <c r="AB2970" i="1"/>
  <c r="AC2970" i="1"/>
  <c r="Y2971" i="1"/>
  <c r="Z2971" i="1" a="1"/>
  <c r="Z2971" i="1" s="1"/>
  <c r="AA2971" i="1"/>
  <c r="AB2971" i="1"/>
  <c r="AC2971" i="1" s="1"/>
  <c r="Y2972" i="1"/>
  <c r="Z2972" i="1" a="1"/>
  <c r="Z2972" i="1" s="1"/>
  <c r="AA2972" i="1"/>
  <c r="AB2972" i="1"/>
  <c r="AC2972" i="1" s="1"/>
  <c r="Y2973" i="1"/>
  <c r="Z2973" i="1" a="1"/>
  <c r="Z2973" i="1" s="1"/>
  <c r="AA2973" i="1"/>
  <c r="AB2973" i="1"/>
  <c r="AC2973" i="1"/>
  <c r="Y2974" i="1"/>
  <c r="Z2974" i="1" a="1"/>
  <c r="Z2974" i="1" s="1"/>
  <c r="AA2974" i="1"/>
  <c r="AB2974" i="1"/>
  <c r="AC2974" i="1"/>
  <c r="Y2975" i="1"/>
  <c r="Z2975" i="1" a="1"/>
  <c r="Z2975" i="1" s="1"/>
  <c r="AA2975" i="1"/>
  <c r="AB2975" i="1"/>
  <c r="AC2975" i="1"/>
  <c r="Y2976" i="1"/>
  <c r="Z2976" i="1" a="1"/>
  <c r="Z2976" i="1" s="1"/>
  <c r="AA2976" i="1"/>
  <c r="AB2976" i="1"/>
  <c r="AC2976" i="1"/>
  <c r="Y2977" i="1"/>
  <c r="Z2977" i="1" a="1"/>
  <c r="Z2977" i="1" s="1"/>
  <c r="AA2977" i="1"/>
  <c r="AB2977" i="1"/>
  <c r="AC2977" i="1" s="1"/>
  <c r="Y2978" i="1"/>
  <c r="Z2978" i="1" a="1"/>
  <c r="Z2978" i="1" s="1"/>
  <c r="AA2978" i="1"/>
  <c r="AB2978" i="1"/>
  <c r="AC2978" i="1" s="1"/>
  <c r="Y2979" i="1"/>
  <c r="Z2979" i="1" a="1"/>
  <c r="Z2979" i="1" s="1"/>
  <c r="AA2979" i="1"/>
  <c r="AB2979" i="1"/>
  <c r="AC2979" i="1" s="1"/>
  <c r="Y2980" i="1"/>
  <c r="Z2980" i="1" a="1"/>
  <c r="Z2980" i="1" s="1"/>
  <c r="AA2980" i="1"/>
  <c r="AB2980" i="1"/>
  <c r="AC2980" i="1"/>
  <c r="Y2981" i="1"/>
  <c r="Z2981" i="1" a="1"/>
  <c r="Z2981" i="1" s="1"/>
  <c r="AA2981" i="1"/>
  <c r="AB2981" i="1"/>
  <c r="AC2981" i="1"/>
  <c r="Y2982" i="1"/>
  <c r="Z2982" i="1" a="1"/>
  <c r="Z2982" i="1" s="1"/>
  <c r="AA2982" i="1"/>
  <c r="AB2982" i="1"/>
  <c r="AC2982" i="1"/>
  <c r="Y2983" i="1"/>
  <c r="Z2983" i="1" a="1"/>
  <c r="Z2983" i="1" s="1"/>
  <c r="AA2983" i="1"/>
  <c r="AB2983" i="1"/>
  <c r="AC2983" i="1" s="1"/>
  <c r="Y2984" i="1"/>
  <c r="Z2984" i="1" a="1"/>
  <c r="Z2984" i="1" s="1"/>
  <c r="AA2984" i="1"/>
  <c r="AB2984" i="1"/>
  <c r="AC2984" i="1" s="1"/>
  <c r="Y2985" i="1"/>
  <c r="Z2985" i="1" a="1"/>
  <c r="Z2985" i="1" s="1"/>
  <c r="AA2985" i="1"/>
  <c r="AB2985" i="1"/>
  <c r="AC2985" i="1"/>
  <c r="Y2986" i="1"/>
  <c r="Z2986" i="1" a="1"/>
  <c r="Z2986" i="1" s="1"/>
  <c r="AA2986" i="1"/>
  <c r="AB2986" i="1"/>
  <c r="AC2986" i="1"/>
  <c r="Y2987" i="1"/>
  <c r="Z2987" i="1" a="1"/>
  <c r="Z2987" i="1" s="1"/>
  <c r="AA2987" i="1"/>
  <c r="AB2987" i="1"/>
  <c r="AC2987" i="1"/>
  <c r="Y2988" i="1"/>
  <c r="Z2988" i="1" a="1"/>
  <c r="Z2988" i="1" s="1"/>
  <c r="AA2988" i="1"/>
  <c r="AB2988" i="1"/>
  <c r="AC2988" i="1" s="1"/>
  <c r="Y2989" i="1"/>
  <c r="Z2989" i="1" a="1"/>
  <c r="Z2989" i="1" s="1"/>
  <c r="AA2989" i="1"/>
  <c r="AB2989" i="1"/>
  <c r="AC2989" i="1"/>
  <c r="Y2990" i="1"/>
  <c r="Z2990" i="1" a="1"/>
  <c r="Z2990" i="1" s="1"/>
  <c r="AA2990" i="1"/>
  <c r="AB2990" i="1"/>
  <c r="AC2990" i="1" s="1"/>
  <c r="Y2991" i="1"/>
  <c r="Z2991" i="1" a="1"/>
  <c r="Z2991" i="1" s="1"/>
  <c r="AA2991" i="1"/>
  <c r="AB2991" i="1"/>
  <c r="AC2991" i="1" s="1"/>
  <c r="Y2992" i="1"/>
  <c r="Z2992" i="1" a="1"/>
  <c r="Z2992" i="1" s="1"/>
  <c r="AA2992" i="1"/>
  <c r="AB2992" i="1"/>
  <c r="AC2992" i="1" s="1"/>
  <c r="Y2993" i="1"/>
  <c r="Z2993" i="1" a="1"/>
  <c r="Z2993" i="1" s="1"/>
  <c r="AA2993" i="1"/>
  <c r="AB2993" i="1"/>
  <c r="AC2993" i="1" s="1"/>
  <c r="Y2994" i="1"/>
  <c r="Z2994" i="1" a="1"/>
  <c r="Z2994" i="1" s="1"/>
  <c r="AA2994" i="1"/>
  <c r="AB2994" i="1"/>
  <c r="AC2994" i="1" s="1"/>
  <c r="Y2995" i="1"/>
  <c r="Z2995" i="1" a="1"/>
  <c r="Z2995" i="1" s="1"/>
  <c r="AA2995" i="1"/>
  <c r="AB2995" i="1"/>
  <c r="AC2995" i="1"/>
  <c r="Y2996" i="1"/>
  <c r="Z2996" i="1" a="1"/>
  <c r="Z2996" i="1" s="1"/>
  <c r="AA2996" i="1"/>
  <c r="AB2996" i="1"/>
  <c r="AC2996" i="1" s="1"/>
  <c r="Y2997" i="1"/>
  <c r="Z2997" i="1" a="1"/>
  <c r="Z2997" i="1" s="1"/>
  <c r="AA2997" i="1"/>
  <c r="AB2997" i="1"/>
  <c r="AC2997" i="1"/>
  <c r="Y2998" i="1"/>
  <c r="Z2998" i="1" a="1"/>
  <c r="Z2998" i="1" s="1"/>
  <c r="AA2998" i="1"/>
  <c r="AB2998" i="1"/>
  <c r="AC2998" i="1" s="1"/>
  <c r="Y2999" i="1"/>
  <c r="Z2999" i="1" a="1"/>
  <c r="Z2999" i="1" s="1"/>
  <c r="AA2999" i="1"/>
  <c r="AB2999" i="1"/>
  <c r="AC2999" i="1"/>
  <c r="Y3000" i="1"/>
  <c r="Z3000" i="1" a="1"/>
  <c r="Z3000" i="1" s="1"/>
  <c r="AA3000" i="1"/>
  <c r="AB3000" i="1"/>
  <c r="AC3000" i="1"/>
  <c r="Y3001" i="1"/>
  <c r="Z3001" i="1" a="1"/>
  <c r="Z3001" i="1" s="1"/>
  <c r="AA3001" i="1"/>
  <c r="AB3001" i="1"/>
  <c r="AC3001" i="1" s="1"/>
  <c r="Y3002" i="1"/>
  <c r="Z3002" i="1" a="1"/>
  <c r="Z3002" i="1" s="1"/>
  <c r="AA3002" i="1"/>
  <c r="AB3002" i="1"/>
  <c r="AC3002" i="1" s="1"/>
  <c r="Y3003" i="1"/>
  <c r="Z3003" i="1" a="1"/>
  <c r="Z3003" i="1" s="1"/>
  <c r="AA3003" i="1"/>
  <c r="AB3003" i="1"/>
  <c r="AC3003" i="1"/>
  <c r="Y3004" i="1"/>
  <c r="Z3004" i="1" a="1"/>
  <c r="Z3004" i="1" s="1"/>
  <c r="AA3004" i="1"/>
  <c r="AB3004" i="1"/>
  <c r="AC3004" i="1"/>
  <c r="Y3005" i="1"/>
  <c r="Z3005" i="1" a="1"/>
  <c r="Z3005" i="1" s="1"/>
  <c r="AA3005" i="1"/>
  <c r="AB3005" i="1"/>
  <c r="AC3005" i="1"/>
  <c r="Y3006" i="1"/>
  <c r="Z3006" i="1" a="1"/>
  <c r="Z3006" i="1" s="1"/>
  <c r="AA3006" i="1"/>
  <c r="AB3006" i="1"/>
  <c r="AC3006" i="1"/>
  <c r="Y3007" i="1"/>
  <c r="Z3007" i="1" a="1"/>
  <c r="Z3007" i="1" s="1"/>
  <c r="AA3007" i="1"/>
  <c r="AB3007" i="1"/>
  <c r="AC3007" i="1" s="1"/>
  <c r="Y3008" i="1"/>
  <c r="Z3008" i="1" a="1"/>
  <c r="Z3008" i="1" s="1"/>
  <c r="AA3008" i="1"/>
  <c r="AB3008" i="1"/>
  <c r="AC3008" i="1" s="1"/>
  <c r="Y3009" i="1"/>
  <c r="Z3009" i="1" a="1"/>
  <c r="Z3009" i="1" s="1"/>
  <c r="AA3009" i="1"/>
  <c r="AB3009" i="1"/>
  <c r="AC3009" i="1" s="1"/>
  <c r="Y3010" i="1"/>
  <c r="Z3010" i="1" a="1"/>
  <c r="Z3010" i="1" s="1"/>
  <c r="AA3010" i="1"/>
  <c r="AB3010" i="1"/>
  <c r="AC3010" i="1"/>
  <c r="Y3011" i="1"/>
  <c r="Z3011" i="1" a="1"/>
  <c r="Z3011" i="1" s="1"/>
  <c r="AA3011" i="1"/>
  <c r="AB3011" i="1"/>
  <c r="AC3011" i="1" s="1"/>
  <c r="Y3012" i="1"/>
  <c r="Z3012" i="1" a="1"/>
  <c r="Z3012" i="1" s="1"/>
  <c r="AA3012" i="1"/>
  <c r="AB3012" i="1"/>
  <c r="AC3012" i="1"/>
  <c r="Y3013" i="1"/>
  <c r="Z3013" i="1" a="1"/>
  <c r="Z3013" i="1" s="1"/>
  <c r="AA3013" i="1"/>
  <c r="AB3013" i="1"/>
  <c r="AC3013" i="1"/>
  <c r="Y3014" i="1"/>
  <c r="Z3014" i="1" a="1"/>
  <c r="Z3014" i="1" s="1"/>
  <c r="AA3014" i="1"/>
  <c r="AB3014" i="1"/>
  <c r="AC3014" i="1"/>
  <c r="Y3015" i="1"/>
  <c r="Z3015" i="1" a="1"/>
  <c r="Z3015" i="1" s="1"/>
  <c r="AA3015" i="1"/>
  <c r="AB3015" i="1"/>
  <c r="AC3015" i="1" s="1"/>
  <c r="Y3016" i="1"/>
  <c r="Z3016" i="1" a="1"/>
  <c r="Z3016" i="1" s="1"/>
  <c r="AA3016" i="1"/>
  <c r="AB3016" i="1"/>
  <c r="AC3016" i="1"/>
  <c r="Y3017" i="1"/>
  <c r="Z3017" i="1" a="1"/>
  <c r="Z3017" i="1" s="1"/>
  <c r="AA3017" i="1"/>
  <c r="AB3017" i="1"/>
  <c r="AC3017" i="1"/>
  <c r="Y3018" i="1"/>
  <c r="Z3018" i="1" a="1"/>
  <c r="Z3018" i="1" s="1"/>
  <c r="AA3018" i="1"/>
  <c r="AB3018" i="1"/>
  <c r="AC3018" i="1" s="1"/>
  <c r="Y3019" i="1"/>
  <c r="Z3019" i="1" a="1"/>
  <c r="Z3019" i="1" s="1"/>
  <c r="AA3019" i="1"/>
  <c r="AB3019" i="1"/>
  <c r="AC3019" i="1"/>
  <c r="Y3020" i="1"/>
  <c r="Z3020" i="1" a="1"/>
  <c r="Z3020" i="1" s="1"/>
  <c r="AA3020" i="1"/>
  <c r="AB3020" i="1"/>
  <c r="AC3020" i="1" s="1"/>
  <c r="Y3021" i="1"/>
  <c r="Z3021" i="1" a="1"/>
  <c r="Z3021" i="1" s="1"/>
  <c r="AA3021" i="1"/>
  <c r="AB3021" i="1"/>
  <c r="AC3021" i="1"/>
  <c r="Y3022" i="1"/>
  <c r="Z3022" i="1" a="1"/>
  <c r="Z3022" i="1" s="1"/>
  <c r="AA3022" i="1"/>
  <c r="AB3022" i="1"/>
  <c r="AC3022" i="1"/>
  <c r="Y3023" i="1"/>
  <c r="Z3023" i="1" a="1"/>
  <c r="Z3023" i="1" s="1"/>
  <c r="AA3023" i="1"/>
  <c r="AB3023" i="1"/>
  <c r="AC3023" i="1"/>
  <c r="Y3024" i="1"/>
  <c r="Z3024" i="1" a="1"/>
  <c r="Z3024" i="1" s="1"/>
  <c r="AA3024" i="1"/>
  <c r="AB3024" i="1"/>
  <c r="AC3024" i="1" s="1"/>
  <c r="Y3025" i="1"/>
  <c r="Z3025" i="1" a="1"/>
  <c r="Z3025" i="1" s="1"/>
  <c r="AA3025" i="1"/>
  <c r="AB3025" i="1"/>
  <c r="AC3025" i="1"/>
  <c r="Y3026" i="1"/>
  <c r="Z3026" i="1" a="1"/>
  <c r="Z3026" i="1" s="1"/>
  <c r="AA3026" i="1"/>
  <c r="AB3026" i="1"/>
  <c r="AC3026" i="1" s="1"/>
  <c r="Y3027" i="1"/>
  <c r="Z3027" i="1" a="1"/>
  <c r="Z3027" i="1" s="1"/>
  <c r="AA3027" i="1"/>
  <c r="AB3027" i="1"/>
  <c r="AC3027" i="1" s="1"/>
  <c r="Y3028" i="1"/>
  <c r="Z3028" i="1" a="1"/>
  <c r="Z3028" i="1" s="1"/>
  <c r="AA3028" i="1"/>
  <c r="AB3028" i="1"/>
  <c r="AC3028" i="1" s="1"/>
  <c r="Y3029" i="1"/>
  <c r="Z3029" i="1" a="1"/>
  <c r="Z3029" i="1" s="1"/>
  <c r="AA3029" i="1"/>
  <c r="AB3029" i="1"/>
  <c r="AC3029" i="1"/>
  <c r="Y3030" i="1"/>
  <c r="Z3030" i="1" a="1"/>
  <c r="Z3030" i="1" s="1"/>
  <c r="AA3030" i="1"/>
  <c r="AB3030" i="1"/>
  <c r="AC3030" i="1" s="1"/>
  <c r="Y3031" i="1"/>
  <c r="Z3031" i="1" a="1"/>
  <c r="Z3031" i="1" s="1"/>
  <c r="AA3031" i="1"/>
  <c r="AB3031" i="1"/>
  <c r="AC3031" i="1"/>
  <c r="Y3032" i="1"/>
  <c r="Z3032" i="1" a="1"/>
  <c r="Z3032" i="1" s="1"/>
  <c r="AA3032" i="1"/>
  <c r="AB3032" i="1"/>
  <c r="AC3032" i="1" s="1"/>
  <c r="Y3033" i="1"/>
  <c r="Z3033" i="1" a="1"/>
  <c r="Z3033" i="1" s="1"/>
  <c r="AA3033" i="1"/>
  <c r="AB3033" i="1"/>
  <c r="AC3033" i="1" s="1"/>
  <c r="Y3034" i="1"/>
  <c r="Z3034" i="1" a="1"/>
  <c r="Z3034" i="1" s="1"/>
  <c r="AA3034" i="1"/>
  <c r="AB3034" i="1"/>
  <c r="AC3034" i="1"/>
  <c r="Y3035" i="1"/>
  <c r="Z3035" i="1" a="1"/>
  <c r="Z3035" i="1" s="1"/>
  <c r="AA3035" i="1"/>
  <c r="AB3035" i="1"/>
  <c r="AC3035" i="1"/>
  <c r="Y3036" i="1"/>
  <c r="Z3036" i="1" a="1"/>
  <c r="Z3036" i="1" s="1"/>
  <c r="AA3036" i="1"/>
  <c r="AB3036" i="1"/>
  <c r="AC3036" i="1"/>
  <c r="Y3037" i="1"/>
  <c r="Z3037" i="1" a="1"/>
  <c r="Z3037" i="1" s="1"/>
  <c r="AA3037" i="1"/>
  <c r="AB3037" i="1"/>
  <c r="AC3037" i="1"/>
  <c r="Y3038" i="1"/>
  <c r="Z3038" i="1" a="1"/>
  <c r="Z3038" i="1" s="1"/>
  <c r="AA3038" i="1"/>
  <c r="AB3038" i="1"/>
  <c r="AC3038" i="1"/>
  <c r="Y3039" i="1"/>
  <c r="Z3039" i="1" a="1"/>
  <c r="Z3039" i="1" s="1"/>
  <c r="AA3039" i="1"/>
  <c r="AB3039" i="1"/>
  <c r="AC3039" i="1" s="1"/>
  <c r="Y3040" i="1"/>
  <c r="Z3040" i="1" a="1"/>
  <c r="Z3040" i="1" s="1"/>
  <c r="AA3040" i="1"/>
  <c r="AB3040" i="1"/>
  <c r="AC3040" i="1"/>
  <c r="Y3041" i="1"/>
  <c r="Z3041" i="1" a="1"/>
  <c r="Z3041" i="1" s="1"/>
  <c r="AA3041" i="1"/>
  <c r="AB3041" i="1"/>
  <c r="AC3041" i="1" s="1"/>
  <c r="Y3042" i="1"/>
  <c r="Z3042" i="1" a="1"/>
  <c r="Z3042" i="1" s="1"/>
  <c r="AA3042" i="1"/>
  <c r="AB3042" i="1"/>
  <c r="AC3042" i="1" s="1"/>
  <c r="Y3043" i="1"/>
  <c r="Z3043" i="1" a="1"/>
  <c r="Z3043" i="1" s="1"/>
  <c r="AA3043" i="1"/>
  <c r="AB3043" i="1"/>
  <c r="AC3043" i="1" s="1"/>
  <c r="Y3044" i="1"/>
  <c r="Z3044" i="1" a="1"/>
  <c r="Z3044" i="1" s="1"/>
  <c r="AA3044" i="1"/>
  <c r="AB3044" i="1"/>
  <c r="AC3044" i="1"/>
  <c r="Y3045" i="1"/>
  <c r="Z3045" i="1" a="1"/>
  <c r="Z3045" i="1" s="1"/>
  <c r="AA3045" i="1"/>
  <c r="AB3045" i="1"/>
  <c r="AC3045" i="1"/>
  <c r="Y3046" i="1"/>
  <c r="Z3046" i="1" a="1"/>
  <c r="Z3046" i="1" s="1"/>
  <c r="AA3046" i="1"/>
  <c r="AB3046" i="1"/>
  <c r="AC3046" i="1" s="1"/>
  <c r="Y3047" i="1"/>
  <c r="Z3047" i="1" a="1"/>
  <c r="Z3047" i="1" s="1"/>
  <c r="AA3047" i="1"/>
  <c r="AB3047" i="1"/>
  <c r="AC3047" i="1" s="1"/>
  <c r="Y3048" i="1"/>
  <c r="Z3048" i="1" a="1"/>
  <c r="Z3048" i="1" s="1"/>
  <c r="AA3048" i="1"/>
  <c r="AB3048" i="1"/>
  <c r="AC3048" i="1" s="1"/>
  <c r="Y3049" i="1"/>
  <c r="Z3049" i="1" a="1"/>
  <c r="Z3049" i="1" s="1"/>
  <c r="AA3049" i="1"/>
  <c r="AB3049" i="1"/>
  <c r="AC3049" i="1"/>
  <c r="Y3050" i="1"/>
  <c r="Z3050" i="1" a="1"/>
  <c r="Z3050" i="1" s="1"/>
  <c r="AA3050" i="1"/>
  <c r="AB3050" i="1"/>
  <c r="AC3050" i="1" s="1"/>
  <c r="Y3051" i="1"/>
  <c r="Z3051" i="1" a="1"/>
  <c r="Z3051" i="1" s="1"/>
  <c r="AA3051" i="1"/>
  <c r="AB3051" i="1"/>
  <c r="AC3051" i="1" s="1"/>
  <c r="Y3052" i="1"/>
  <c r="Z3052" i="1" a="1"/>
  <c r="Z3052" i="1" s="1"/>
  <c r="AA3052" i="1"/>
  <c r="AB3052" i="1"/>
  <c r="AC3052" i="1"/>
  <c r="Y3053" i="1"/>
  <c r="Z3053" i="1" a="1"/>
  <c r="Z3053" i="1" s="1"/>
  <c r="AA3053" i="1"/>
  <c r="AB3053" i="1"/>
  <c r="AC3053" i="1"/>
  <c r="Y3054" i="1"/>
  <c r="Z3054" i="1" a="1"/>
  <c r="Z3054" i="1" s="1"/>
  <c r="AA3054" i="1"/>
  <c r="AB3054" i="1"/>
  <c r="AC3054" i="1"/>
  <c r="Y3055" i="1"/>
  <c r="Z3055" i="1" a="1"/>
  <c r="Z3055" i="1" s="1"/>
  <c r="AA3055" i="1"/>
  <c r="AB3055" i="1"/>
  <c r="AC3055" i="1"/>
  <c r="Y3056" i="1"/>
  <c r="Z3056" i="1" a="1"/>
  <c r="Z3056" i="1" s="1"/>
  <c r="AA3056" i="1"/>
  <c r="AB3056" i="1"/>
  <c r="AC3056" i="1" s="1"/>
  <c r="Y3057" i="1"/>
  <c r="Z3057" i="1" a="1"/>
  <c r="Z3057" i="1" s="1"/>
  <c r="AA3057" i="1"/>
  <c r="AB3057" i="1"/>
  <c r="AC3057" i="1" s="1"/>
  <c r="Y3058" i="1"/>
  <c r="Z3058" i="1" a="1"/>
  <c r="Z3058" i="1" s="1"/>
  <c r="AA3058" i="1"/>
  <c r="AB3058" i="1"/>
  <c r="AC3058" i="1" s="1"/>
  <c r="Y3059" i="1"/>
  <c r="Z3059" i="1" a="1"/>
  <c r="Z3059" i="1" s="1"/>
  <c r="AA3059" i="1"/>
  <c r="AB3059" i="1"/>
  <c r="AC3059" i="1"/>
  <c r="Y3060" i="1"/>
  <c r="Z3060" i="1" a="1"/>
  <c r="Z3060" i="1" s="1"/>
  <c r="AA3060" i="1"/>
  <c r="AB3060" i="1"/>
  <c r="AC3060" i="1" s="1"/>
  <c r="Y3061" i="1"/>
  <c r="Z3061" i="1" a="1"/>
  <c r="Z3061" i="1" s="1"/>
  <c r="AA3061" i="1"/>
  <c r="AB3061" i="1"/>
  <c r="AC3061" i="1"/>
  <c r="Y3062" i="1"/>
  <c r="Z3062" i="1" a="1"/>
  <c r="Z3062" i="1" s="1"/>
  <c r="AA3062" i="1"/>
  <c r="AB3062" i="1"/>
  <c r="AC3062" i="1" s="1"/>
  <c r="Y3063" i="1"/>
  <c r="Z3063" i="1" a="1"/>
  <c r="Z3063" i="1" s="1"/>
  <c r="AA3063" i="1"/>
  <c r="AB3063" i="1"/>
  <c r="AC3063" i="1"/>
  <c r="Y3064" i="1"/>
  <c r="Z3064" i="1" a="1"/>
  <c r="Z3064" i="1" s="1"/>
  <c r="AA3064" i="1"/>
  <c r="AB3064" i="1"/>
  <c r="AC3064" i="1"/>
  <c r="Y3065" i="1"/>
  <c r="Z3065" i="1" a="1"/>
  <c r="Z3065" i="1" s="1"/>
  <c r="AA3065" i="1"/>
  <c r="AB3065" i="1"/>
  <c r="AC3065" i="1"/>
  <c r="Y3066" i="1"/>
  <c r="Z3066" i="1" a="1"/>
  <c r="Z3066" i="1" s="1"/>
  <c r="AA3066" i="1"/>
  <c r="AB3066" i="1"/>
  <c r="AC3066" i="1"/>
  <c r="Y3067" i="1"/>
  <c r="Z3067" i="1" a="1"/>
  <c r="Z3067" i="1" s="1"/>
  <c r="AA3067" i="1"/>
  <c r="AB3067" i="1"/>
  <c r="AC3067" i="1" s="1"/>
  <c r="Y3068" i="1"/>
  <c r="Z3068" i="1" a="1"/>
  <c r="Z3068" i="1" s="1"/>
  <c r="AA3068" i="1"/>
  <c r="AB3068" i="1"/>
  <c r="AC3068" i="1"/>
  <c r="Y3069" i="1"/>
  <c r="Z3069" i="1" a="1"/>
  <c r="Z3069" i="1" s="1"/>
  <c r="AA3069" i="1"/>
  <c r="AB3069" i="1"/>
  <c r="AC3069" i="1"/>
  <c r="Y3070" i="1"/>
  <c r="Z3070" i="1" a="1"/>
  <c r="Z3070" i="1" s="1"/>
  <c r="AA3070" i="1"/>
  <c r="AB3070" i="1"/>
  <c r="AC3070" i="1" s="1"/>
  <c r="Y3071" i="1"/>
  <c r="Z3071" i="1" a="1"/>
  <c r="Z3071" i="1" s="1"/>
  <c r="AA3071" i="1"/>
  <c r="AB3071" i="1"/>
  <c r="AC3071" i="1"/>
  <c r="Y3072" i="1"/>
  <c r="Z3072" i="1" a="1"/>
  <c r="Z3072" i="1" s="1"/>
  <c r="AA3072" i="1"/>
  <c r="AB3072" i="1"/>
  <c r="AC3072" i="1" s="1"/>
  <c r="Y3073" i="1"/>
  <c r="Z3073" i="1" a="1"/>
  <c r="Z3073" i="1" s="1"/>
  <c r="AA3073" i="1"/>
  <c r="AB3073" i="1"/>
  <c r="AC3073" i="1" s="1"/>
  <c r="Y3074" i="1"/>
  <c r="Z3074" i="1" a="1"/>
  <c r="Z3074" i="1" s="1"/>
  <c r="AA3074" i="1"/>
  <c r="AB3074" i="1"/>
  <c r="AC3074" i="1"/>
  <c r="Y3075" i="1"/>
  <c r="Z3075" i="1" a="1"/>
  <c r="Z3075" i="1" s="1"/>
  <c r="AA3075" i="1"/>
  <c r="AB3075" i="1"/>
  <c r="AC3075" i="1" s="1"/>
  <c r="Y3076" i="1"/>
  <c r="Z3076" i="1" a="1"/>
  <c r="Z3076" i="1" s="1"/>
  <c r="AA3076" i="1"/>
  <c r="AB3076" i="1"/>
  <c r="AC3076" i="1" s="1"/>
  <c r="Y3077" i="1"/>
  <c r="Z3077" i="1" a="1"/>
  <c r="Z3077" i="1" s="1"/>
  <c r="AA3077" i="1"/>
  <c r="AB3077" i="1"/>
  <c r="AC3077" i="1"/>
  <c r="Y3078" i="1"/>
  <c r="Z3078" i="1" a="1"/>
  <c r="Z3078" i="1" s="1"/>
  <c r="AA3078" i="1"/>
  <c r="AB3078" i="1"/>
  <c r="AC3078" i="1"/>
  <c r="Y3079" i="1"/>
  <c r="Z3079" i="1" a="1"/>
  <c r="Z3079" i="1" s="1"/>
  <c r="AA3079" i="1"/>
  <c r="AB3079" i="1"/>
  <c r="AC3079" i="1" s="1"/>
  <c r="Y3080" i="1"/>
  <c r="Z3080" i="1" a="1"/>
  <c r="Z3080" i="1" s="1"/>
  <c r="AA3080" i="1"/>
  <c r="AB3080" i="1"/>
  <c r="AC3080" i="1" s="1"/>
  <c r="Y3081" i="1"/>
  <c r="Z3081" i="1" a="1"/>
  <c r="Z3081" i="1" s="1"/>
  <c r="AA3081" i="1"/>
  <c r="AB3081" i="1"/>
  <c r="AC3081" i="1" s="1"/>
  <c r="Y3082" i="1"/>
  <c r="Z3082" i="1" a="1"/>
  <c r="Z3082" i="1" s="1"/>
  <c r="AA3082" i="1"/>
  <c r="AB3082" i="1"/>
  <c r="AC3082" i="1" s="1"/>
  <c r="Y3083" i="1"/>
  <c r="Z3083" i="1" a="1"/>
  <c r="Z3083" i="1" s="1"/>
  <c r="AA3083" i="1"/>
  <c r="AB3083" i="1"/>
  <c r="AC3083" i="1"/>
  <c r="Y3084" i="1"/>
  <c r="Z3084" i="1" a="1"/>
  <c r="Z3084" i="1" s="1"/>
  <c r="AA3084" i="1"/>
  <c r="AB3084" i="1"/>
  <c r="AC3084" i="1"/>
  <c r="Y3085" i="1"/>
  <c r="Z3085" i="1" a="1"/>
  <c r="Z3085" i="1" s="1"/>
  <c r="AA3085" i="1"/>
  <c r="AB3085" i="1"/>
  <c r="AC3085" i="1"/>
  <c r="Y3086" i="1"/>
  <c r="Z3086" i="1" a="1"/>
  <c r="Z3086" i="1" s="1"/>
  <c r="AA3086" i="1"/>
  <c r="AB3086" i="1"/>
  <c r="AC3086" i="1" s="1"/>
  <c r="Y3087" i="1"/>
  <c r="Z3087" i="1" a="1"/>
  <c r="Z3087" i="1" s="1"/>
  <c r="AA3087" i="1"/>
  <c r="AB3087" i="1"/>
  <c r="AC3087" i="1"/>
  <c r="Y3088" i="1"/>
  <c r="Z3088" i="1" a="1"/>
  <c r="Z3088" i="1" s="1"/>
  <c r="AA3088" i="1"/>
  <c r="AB3088" i="1"/>
  <c r="AC3088" i="1" s="1"/>
  <c r="Y3089" i="1"/>
  <c r="Z3089" i="1" a="1"/>
  <c r="Z3089" i="1" s="1"/>
  <c r="AA3089" i="1"/>
  <c r="AB3089" i="1"/>
  <c r="AC3089" i="1"/>
  <c r="Y3090" i="1"/>
  <c r="Z3090" i="1" a="1"/>
  <c r="Z3090" i="1" s="1"/>
  <c r="AA3090" i="1"/>
  <c r="AB3090" i="1"/>
  <c r="AC3090" i="1" s="1"/>
  <c r="Y3091" i="1"/>
  <c r="Z3091" i="1" a="1"/>
  <c r="Z3091" i="1" s="1"/>
  <c r="AA3091" i="1"/>
  <c r="AB3091" i="1"/>
  <c r="AC3091" i="1"/>
  <c r="Y3092" i="1"/>
  <c r="Z3092" i="1" a="1"/>
  <c r="Z3092" i="1" s="1"/>
  <c r="AA3092" i="1"/>
  <c r="AB3092" i="1"/>
  <c r="AC3092" i="1" s="1"/>
  <c r="Y3093" i="1"/>
  <c r="Z3093" i="1" a="1"/>
  <c r="Z3093" i="1" s="1"/>
  <c r="AA3093" i="1"/>
  <c r="AB3093" i="1"/>
  <c r="AC3093" i="1"/>
  <c r="Y3094" i="1"/>
  <c r="Z3094" i="1" a="1"/>
  <c r="Z3094" i="1" s="1"/>
  <c r="AA3094" i="1"/>
  <c r="AB3094" i="1"/>
  <c r="AC3094" i="1" s="1"/>
  <c r="Y3095" i="1"/>
  <c r="Z3095" i="1" a="1"/>
  <c r="Z3095" i="1" s="1"/>
  <c r="AA3095" i="1"/>
  <c r="AB3095" i="1"/>
  <c r="AC3095" i="1" s="1"/>
  <c r="Y3096" i="1"/>
  <c r="Z3096" i="1" a="1"/>
  <c r="Z3096" i="1" s="1"/>
  <c r="AA3096" i="1"/>
  <c r="AB3096" i="1"/>
  <c r="AC3096" i="1"/>
  <c r="Y3097" i="1"/>
  <c r="Z3097" i="1" a="1"/>
  <c r="Z3097" i="1" s="1"/>
  <c r="AA3097" i="1"/>
  <c r="AB3097" i="1"/>
  <c r="AC3097" i="1" s="1"/>
  <c r="Y3098" i="1"/>
  <c r="Z3098" i="1" a="1"/>
  <c r="Z3098" i="1" s="1"/>
  <c r="AA3098" i="1"/>
  <c r="AB3098" i="1"/>
  <c r="AC3098" i="1"/>
  <c r="Y3099" i="1"/>
  <c r="Z3099" i="1" a="1"/>
  <c r="Z3099" i="1" s="1"/>
  <c r="AA3099" i="1"/>
  <c r="AB3099" i="1"/>
  <c r="AC3099" i="1" s="1"/>
  <c r="Y3100" i="1"/>
  <c r="Z3100" i="1" a="1"/>
  <c r="Z3100" i="1" s="1"/>
  <c r="AA3100" i="1"/>
  <c r="AB3100" i="1"/>
  <c r="AC3100" i="1"/>
  <c r="Y3101" i="1"/>
  <c r="Z3101" i="1" a="1"/>
  <c r="Z3101" i="1" s="1"/>
  <c r="AA3101" i="1"/>
  <c r="AB3101" i="1"/>
  <c r="AC3101" i="1"/>
  <c r="Y3102" i="1"/>
  <c r="Z3102" i="1" a="1"/>
  <c r="Z3102" i="1" s="1"/>
  <c r="AA3102" i="1"/>
  <c r="AB3102" i="1"/>
  <c r="AC3102" i="1"/>
  <c r="Y3103" i="1"/>
  <c r="Z3103" i="1" a="1"/>
  <c r="Z3103" i="1" s="1"/>
  <c r="AA3103" i="1"/>
  <c r="AB3103" i="1"/>
  <c r="AC3103" i="1"/>
  <c r="Y3104" i="1"/>
  <c r="Z3104" i="1" a="1"/>
  <c r="Z3104" i="1" s="1"/>
  <c r="AA3104" i="1"/>
  <c r="AB3104" i="1"/>
  <c r="AC3104" i="1"/>
  <c r="Y3105" i="1"/>
  <c r="Z3105" i="1" a="1"/>
  <c r="Z3105" i="1" s="1"/>
  <c r="AA3105" i="1"/>
  <c r="AB3105" i="1"/>
  <c r="AC3105" i="1" s="1"/>
  <c r="Y3106" i="1"/>
  <c r="Z3106" i="1" a="1"/>
  <c r="Z3106" i="1" s="1"/>
  <c r="AA3106" i="1"/>
  <c r="AB3106" i="1"/>
  <c r="AC3106" i="1" s="1"/>
  <c r="Y3107" i="1"/>
  <c r="Z3107" i="1" a="1"/>
  <c r="Z3107" i="1" s="1"/>
  <c r="AA3107" i="1"/>
  <c r="AB3107" i="1"/>
  <c r="AC3107" i="1" s="1"/>
  <c r="Y3108" i="1"/>
  <c r="Z3108" i="1" a="1"/>
  <c r="Z3108" i="1" s="1"/>
  <c r="AA3108" i="1"/>
  <c r="AB3108" i="1"/>
  <c r="AC3108" i="1"/>
  <c r="Y3109" i="1"/>
  <c r="Z3109" i="1" a="1"/>
  <c r="Z3109" i="1" s="1"/>
  <c r="AA3109" i="1"/>
  <c r="AB3109" i="1"/>
  <c r="AC3109" i="1"/>
  <c r="Y3110" i="1"/>
  <c r="Z3110" i="1" a="1"/>
  <c r="Z3110" i="1" s="1"/>
  <c r="AA3110" i="1"/>
  <c r="AB3110" i="1"/>
  <c r="AC3110" i="1"/>
  <c r="Y3111" i="1"/>
  <c r="Z3111" i="1" a="1"/>
  <c r="Z3111" i="1" s="1"/>
  <c r="AA3111" i="1"/>
  <c r="AB3111" i="1"/>
  <c r="AC3111" i="1" s="1"/>
  <c r="Y3112" i="1"/>
  <c r="Z3112" i="1" a="1"/>
  <c r="Z3112" i="1" s="1"/>
  <c r="AA3112" i="1"/>
  <c r="AB3112" i="1"/>
  <c r="AC3112" i="1" s="1"/>
  <c r="Y3113" i="1"/>
  <c r="Z3113" i="1" a="1"/>
  <c r="Z3113" i="1" s="1"/>
  <c r="AA3113" i="1"/>
  <c r="AB3113" i="1"/>
  <c r="AC3113" i="1"/>
  <c r="Y3114" i="1"/>
  <c r="Z3114" i="1" a="1"/>
  <c r="Z3114" i="1" s="1"/>
  <c r="AA3114" i="1"/>
  <c r="AB3114" i="1"/>
  <c r="AC3114" i="1"/>
  <c r="Y3115" i="1"/>
  <c r="Z3115" i="1" a="1"/>
  <c r="Z3115" i="1" s="1"/>
  <c r="AA3115" i="1"/>
  <c r="AB3115" i="1"/>
  <c r="AC3115" i="1"/>
  <c r="Y3116" i="1"/>
  <c r="Z3116" i="1" a="1"/>
  <c r="Z3116" i="1" s="1"/>
  <c r="AA3116" i="1"/>
  <c r="AB3116" i="1"/>
  <c r="AC3116" i="1" s="1"/>
  <c r="Y3117" i="1"/>
  <c r="Z3117" i="1" a="1"/>
  <c r="Z3117" i="1" s="1"/>
  <c r="AA3117" i="1"/>
  <c r="AB3117" i="1"/>
  <c r="AC3117" i="1"/>
  <c r="Y3118" i="1"/>
  <c r="Z3118" i="1" a="1"/>
  <c r="Z3118" i="1" s="1"/>
  <c r="AA3118" i="1"/>
  <c r="AB3118" i="1"/>
  <c r="AC3118" i="1" s="1"/>
  <c r="Y3119" i="1"/>
  <c r="Z3119" i="1" a="1"/>
  <c r="Z3119" i="1" s="1"/>
  <c r="AA3119" i="1"/>
  <c r="AB3119" i="1"/>
  <c r="AC3119" i="1"/>
  <c r="Y3120" i="1"/>
  <c r="Z3120" i="1" a="1"/>
  <c r="Z3120" i="1" s="1"/>
  <c r="AA3120" i="1"/>
  <c r="AB3120" i="1"/>
  <c r="AC3120" i="1" s="1"/>
  <c r="Y3121" i="1"/>
  <c r="Z3121" i="1" a="1"/>
  <c r="Z3121" i="1" s="1"/>
  <c r="AA3121" i="1"/>
  <c r="AB3121" i="1"/>
  <c r="AC3121" i="1" s="1"/>
  <c r="Y3122" i="1"/>
  <c r="Z3122" i="1" a="1"/>
  <c r="Z3122" i="1" s="1"/>
  <c r="AA3122" i="1"/>
  <c r="AB3122" i="1"/>
  <c r="AC3122" i="1" s="1"/>
  <c r="Y3123" i="1"/>
  <c r="Z3123" i="1" a="1"/>
  <c r="Z3123" i="1" s="1"/>
  <c r="AA3123" i="1"/>
  <c r="AB3123" i="1"/>
  <c r="AC3123" i="1"/>
  <c r="Y3124" i="1"/>
  <c r="Z3124" i="1" a="1"/>
  <c r="Z3124" i="1" s="1"/>
  <c r="AA3124" i="1"/>
  <c r="AB3124" i="1"/>
  <c r="AC3124" i="1" s="1"/>
  <c r="Y3125" i="1"/>
  <c r="Z3125" i="1" a="1"/>
  <c r="Z3125" i="1" s="1"/>
  <c r="AA3125" i="1"/>
  <c r="AB3125" i="1"/>
  <c r="AC3125" i="1"/>
  <c r="Y3126" i="1"/>
  <c r="Z3126" i="1" a="1"/>
  <c r="Z3126" i="1" s="1"/>
  <c r="AA3126" i="1"/>
  <c r="AB3126" i="1"/>
  <c r="AC3126" i="1" s="1"/>
  <c r="Y3127" i="1"/>
  <c r="Z3127" i="1" a="1"/>
  <c r="Z3127" i="1" s="1"/>
  <c r="AA3127" i="1"/>
  <c r="AB3127" i="1"/>
  <c r="AC3127" i="1"/>
  <c r="Y3128" i="1"/>
  <c r="Z3128" i="1" a="1"/>
  <c r="Z3128" i="1" s="1"/>
  <c r="AA3128" i="1"/>
  <c r="AB3128" i="1"/>
  <c r="AC3128" i="1"/>
  <c r="Y3129" i="1"/>
  <c r="Z3129" i="1" a="1"/>
  <c r="Z3129" i="1" s="1"/>
  <c r="AA3129" i="1"/>
  <c r="AB3129" i="1"/>
  <c r="AC3129" i="1" s="1"/>
  <c r="Y3130" i="1"/>
  <c r="Z3130" i="1" a="1"/>
  <c r="Z3130" i="1" s="1"/>
  <c r="AA3130" i="1"/>
  <c r="AB3130" i="1"/>
  <c r="AC3130" i="1" s="1"/>
  <c r="Y3131" i="1"/>
  <c r="Z3131" i="1" a="1"/>
  <c r="Z3131" i="1" s="1"/>
  <c r="AA3131" i="1"/>
  <c r="AB3131" i="1"/>
  <c r="AC3131" i="1"/>
  <c r="Y3132" i="1"/>
  <c r="Z3132" i="1" a="1"/>
  <c r="Z3132" i="1" s="1"/>
  <c r="AA3132" i="1"/>
  <c r="AB3132" i="1"/>
  <c r="AC3132" i="1"/>
  <c r="Y3133" i="1"/>
  <c r="Z3133" i="1" a="1"/>
  <c r="Z3133" i="1" s="1"/>
  <c r="AA3133" i="1"/>
  <c r="AB3133" i="1"/>
  <c r="AC3133" i="1"/>
  <c r="Y3134" i="1"/>
  <c r="Z3134" i="1" a="1"/>
  <c r="Z3134" i="1" s="1"/>
  <c r="AA3134" i="1"/>
  <c r="AB3134" i="1"/>
  <c r="AC3134" i="1"/>
  <c r="Y3135" i="1"/>
  <c r="Z3135" i="1" a="1"/>
  <c r="Z3135" i="1" s="1"/>
  <c r="AA3135" i="1"/>
  <c r="AB3135" i="1"/>
  <c r="AC3135" i="1" s="1"/>
  <c r="Y3136" i="1"/>
  <c r="Z3136" i="1" a="1"/>
  <c r="Z3136" i="1" s="1"/>
  <c r="AA3136" i="1"/>
  <c r="AB3136" i="1"/>
  <c r="AC3136" i="1" s="1"/>
  <c r="Y3137" i="1"/>
  <c r="Z3137" i="1" a="1"/>
  <c r="Z3137" i="1" s="1"/>
  <c r="AA3137" i="1"/>
  <c r="AB3137" i="1"/>
  <c r="AC3137" i="1" s="1"/>
  <c r="Y3138" i="1"/>
  <c r="Z3138" i="1" a="1"/>
  <c r="Z3138" i="1" s="1"/>
  <c r="AA3138" i="1"/>
  <c r="AB3138" i="1"/>
  <c r="AC3138" i="1"/>
  <c r="Y3139" i="1"/>
  <c r="Z3139" i="1" a="1"/>
  <c r="Z3139" i="1" s="1"/>
  <c r="AA3139" i="1"/>
  <c r="AB3139" i="1"/>
  <c r="AC3139" i="1" s="1"/>
  <c r="Y3140" i="1"/>
  <c r="Z3140" i="1" a="1"/>
  <c r="Z3140" i="1" s="1"/>
  <c r="AA3140" i="1"/>
  <c r="AB3140" i="1"/>
  <c r="AC3140" i="1"/>
  <c r="Y3141" i="1"/>
  <c r="Z3141" i="1" a="1"/>
  <c r="Z3141" i="1" s="1"/>
  <c r="AA3141" i="1"/>
  <c r="AB3141" i="1"/>
  <c r="AC3141" i="1"/>
  <c r="Y3142" i="1"/>
  <c r="Z3142" i="1" a="1"/>
  <c r="Z3142" i="1" s="1"/>
  <c r="AA3142" i="1"/>
  <c r="AB3142" i="1"/>
  <c r="AC3142" i="1"/>
  <c r="Y3143" i="1"/>
  <c r="Z3143" i="1" a="1"/>
  <c r="Z3143" i="1" s="1"/>
  <c r="AA3143" i="1"/>
  <c r="AB3143" i="1"/>
  <c r="AC3143" i="1" s="1"/>
  <c r="Y3144" i="1"/>
  <c r="Z3144" i="1" a="1"/>
  <c r="Z3144" i="1" s="1"/>
  <c r="AA3144" i="1"/>
  <c r="AB3144" i="1"/>
  <c r="AC3144" i="1"/>
  <c r="Y3145" i="1"/>
  <c r="Z3145" i="1" a="1"/>
  <c r="Z3145" i="1" s="1"/>
  <c r="AA3145" i="1"/>
  <c r="AB3145" i="1"/>
  <c r="AC3145" i="1"/>
  <c r="Y3146" i="1"/>
  <c r="Z3146" i="1" a="1"/>
  <c r="Z3146" i="1" s="1"/>
  <c r="AA3146" i="1"/>
  <c r="AB3146" i="1"/>
  <c r="AC3146" i="1" s="1"/>
  <c r="Y3147" i="1"/>
  <c r="Z3147" i="1" a="1"/>
  <c r="Z3147" i="1" s="1"/>
  <c r="AA3147" i="1"/>
  <c r="AB3147" i="1"/>
  <c r="AC3147" i="1"/>
  <c r="Y3148" i="1"/>
  <c r="Z3148" i="1" a="1"/>
  <c r="Z3148" i="1" s="1"/>
  <c r="AA3148" i="1"/>
  <c r="AB3148" i="1"/>
  <c r="AC3148" i="1" s="1"/>
  <c r="Y3149" i="1"/>
  <c r="Z3149" i="1" a="1"/>
  <c r="Z3149" i="1" s="1"/>
  <c r="AA3149" i="1"/>
  <c r="AB3149" i="1"/>
  <c r="AC3149" i="1"/>
  <c r="Y3150" i="1"/>
  <c r="Z3150" i="1" a="1"/>
  <c r="Z3150" i="1" s="1"/>
  <c r="AA3150" i="1"/>
  <c r="AB3150" i="1"/>
  <c r="AC3150" i="1"/>
  <c r="Y3151" i="1"/>
  <c r="Z3151" i="1" a="1"/>
  <c r="Z3151" i="1" s="1"/>
  <c r="AA3151" i="1"/>
  <c r="AB3151" i="1"/>
  <c r="AC3151" i="1"/>
  <c r="Y3152" i="1"/>
  <c r="Z3152" i="1" a="1"/>
  <c r="Z3152" i="1" s="1"/>
  <c r="AA3152" i="1"/>
  <c r="AB3152" i="1"/>
  <c r="AC3152" i="1" s="1"/>
  <c r="Y3153" i="1"/>
  <c r="Z3153" i="1" a="1"/>
  <c r="Z3153" i="1" s="1"/>
  <c r="AA3153" i="1"/>
  <c r="AB3153" i="1"/>
  <c r="AC3153" i="1"/>
  <c r="Y3154" i="1"/>
  <c r="Z3154" i="1" a="1"/>
  <c r="Z3154" i="1" s="1"/>
  <c r="AA3154" i="1"/>
  <c r="AB3154" i="1"/>
  <c r="AC3154" i="1" s="1"/>
  <c r="Y3155" i="1"/>
  <c r="Z3155" i="1" a="1"/>
  <c r="Z3155" i="1" s="1"/>
  <c r="AA3155" i="1"/>
  <c r="AB3155" i="1"/>
  <c r="AC3155" i="1" s="1"/>
  <c r="Y3156" i="1"/>
  <c r="Z3156" i="1" a="1"/>
  <c r="Z3156" i="1" s="1"/>
  <c r="AA3156" i="1"/>
  <c r="AB3156" i="1"/>
  <c r="AC3156" i="1" s="1"/>
  <c r="Y3157" i="1"/>
  <c r="Z3157" i="1" a="1"/>
  <c r="Z3157" i="1" s="1"/>
  <c r="AA3157" i="1"/>
  <c r="AB3157" i="1"/>
  <c r="AC3157" i="1"/>
  <c r="Y3158" i="1"/>
  <c r="Z3158" i="1" a="1"/>
  <c r="Z3158" i="1" s="1"/>
  <c r="AA3158" i="1"/>
  <c r="AB3158" i="1"/>
  <c r="AC3158" i="1" s="1"/>
  <c r="Y3159" i="1"/>
  <c r="Z3159" i="1" a="1"/>
  <c r="Z3159" i="1" s="1"/>
  <c r="AA3159" i="1"/>
  <c r="AB3159" i="1"/>
  <c r="AC3159" i="1"/>
  <c r="Y3160" i="1"/>
  <c r="Z3160" i="1" a="1"/>
  <c r="Z3160" i="1" s="1"/>
  <c r="AA3160" i="1"/>
  <c r="AB3160" i="1"/>
  <c r="AC3160" i="1" s="1"/>
  <c r="Y3161" i="1"/>
  <c r="Z3161" i="1" a="1"/>
  <c r="Z3161" i="1" s="1"/>
  <c r="AA3161" i="1"/>
  <c r="AB3161" i="1"/>
  <c r="AC3161" i="1" s="1"/>
  <c r="Y3162" i="1"/>
  <c r="Z3162" i="1" a="1"/>
  <c r="Z3162" i="1" s="1"/>
  <c r="AA3162" i="1"/>
  <c r="AB3162" i="1"/>
  <c r="AC3162" i="1"/>
  <c r="Y3163" i="1"/>
  <c r="Z3163" i="1" a="1"/>
  <c r="Z3163" i="1" s="1"/>
  <c r="AA3163" i="1"/>
  <c r="AB3163" i="1"/>
  <c r="AC3163" i="1"/>
  <c r="Y3164" i="1"/>
  <c r="Z3164" i="1" a="1"/>
  <c r="Z3164" i="1" s="1"/>
  <c r="AA3164" i="1"/>
  <c r="AB3164" i="1"/>
  <c r="AC3164" i="1"/>
  <c r="Y3165" i="1"/>
  <c r="Z3165" i="1" a="1"/>
  <c r="Z3165" i="1" s="1"/>
  <c r="AA3165" i="1"/>
  <c r="AB3165" i="1"/>
  <c r="AC3165" i="1"/>
  <c r="Y3166" i="1"/>
  <c r="Z3166" i="1" a="1"/>
  <c r="Z3166" i="1" s="1"/>
  <c r="AA3166" i="1"/>
  <c r="AB3166" i="1"/>
  <c r="AC3166" i="1"/>
  <c r="Y3167" i="1"/>
  <c r="Z3167" i="1" a="1"/>
  <c r="Z3167" i="1" s="1"/>
  <c r="AA3167" i="1"/>
  <c r="AB3167" i="1"/>
  <c r="AC3167" i="1" s="1"/>
  <c r="Y3168" i="1"/>
  <c r="Z3168" i="1" a="1"/>
  <c r="Z3168" i="1" s="1"/>
  <c r="AA3168" i="1"/>
  <c r="AB3168" i="1"/>
  <c r="AC3168" i="1"/>
  <c r="Y3169" i="1"/>
  <c r="Z3169" i="1" a="1"/>
  <c r="Z3169" i="1" s="1"/>
  <c r="AA3169" i="1"/>
  <c r="AB3169" i="1"/>
  <c r="AC3169" i="1" s="1"/>
  <c r="Y3170" i="1"/>
  <c r="Z3170" i="1" a="1"/>
  <c r="Z3170" i="1" s="1"/>
  <c r="AA3170" i="1"/>
  <c r="AB3170" i="1"/>
  <c r="AC3170" i="1" s="1"/>
  <c r="Y3171" i="1"/>
  <c r="Z3171" i="1" a="1"/>
  <c r="Z3171" i="1" s="1"/>
  <c r="AA3171" i="1"/>
  <c r="AB3171" i="1"/>
  <c r="AC3171" i="1" s="1"/>
  <c r="Y3172" i="1"/>
  <c r="Z3172" i="1" a="1"/>
  <c r="Z3172" i="1" s="1"/>
  <c r="AA3172" i="1"/>
  <c r="AB3172" i="1"/>
  <c r="AC3172" i="1"/>
  <c r="Y3173" i="1"/>
  <c r="Z3173" i="1" a="1"/>
  <c r="Z3173" i="1" s="1"/>
  <c r="AA3173" i="1"/>
  <c r="AB3173" i="1"/>
  <c r="AC3173" i="1"/>
  <c r="Y3174" i="1"/>
  <c r="Z3174" i="1" a="1"/>
  <c r="Z3174" i="1" s="1"/>
  <c r="AA3174" i="1"/>
  <c r="AB3174" i="1"/>
  <c r="AC3174" i="1" s="1"/>
  <c r="Y3175" i="1"/>
  <c r="Z3175" i="1" a="1"/>
  <c r="Z3175" i="1" s="1"/>
  <c r="AA3175" i="1"/>
  <c r="AB3175" i="1"/>
  <c r="AC3175" i="1" s="1"/>
  <c r="Y3176" i="1"/>
  <c r="Z3176" i="1" a="1"/>
  <c r="Z3176" i="1" s="1"/>
  <c r="AA3176" i="1"/>
  <c r="AB3176" i="1"/>
  <c r="AC3176" i="1" s="1"/>
  <c r="Y3177" i="1"/>
  <c r="Z3177" i="1" a="1"/>
  <c r="Z3177" i="1" s="1"/>
  <c r="AA3177" i="1"/>
  <c r="AB3177" i="1"/>
  <c r="AC3177" i="1"/>
  <c r="Y3178" i="1"/>
  <c r="Z3178" i="1" a="1"/>
  <c r="Z3178" i="1" s="1"/>
  <c r="AA3178" i="1"/>
  <c r="AB3178" i="1"/>
  <c r="AC3178" i="1" s="1"/>
  <c r="Y3179" i="1"/>
  <c r="Z3179" i="1" a="1"/>
  <c r="Z3179" i="1" s="1"/>
  <c r="AA3179" i="1"/>
  <c r="AB3179" i="1"/>
  <c r="AC3179" i="1" s="1"/>
  <c r="Y3180" i="1"/>
  <c r="Z3180" i="1" a="1"/>
  <c r="Z3180" i="1" s="1"/>
  <c r="AA3180" i="1"/>
  <c r="AB3180" i="1"/>
  <c r="AC3180" i="1"/>
  <c r="Y3181" i="1"/>
  <c r="Z3181" i="1" a="1"/>
  <c r="Z3181" i="1" s="1"/>
  <c r="AA3181" i="1"/>
  <c r="AB3181" i="1"/>
  <c r="AC3181" i="1"/>
  <c r="Y3182" i="1"/>
  <c r="Z3182" i="1" a="1"/>
  <c r="Z3182" i="1" s="1"/>
  <c r="AA3182" i="1"/>
  <c r="AB3182" i="1"/>
  <c r="AC3182" i="1"/>
  <c r="Y3183" i="1"/>
  <c r="Z3183" i="1" a="1"/>
  <c r="Z3183" i="1" s="1"/>
  <c r="AA3183" i="1"/>
  <c r="AB3183" i="1"/>
  <c r="AC3183" i="1"/>
  <c r="Y3184" i="1"/>
  <c r="Z3184" i="1" a="1"/>
  <c r="Z3184" i="1" s="1"/>
  <c r="AA3184" i="1"/>
  <c r="AB3184" i="1"/>
  <c r="AC3184" i="1" s="1"/>
  <c r="Y3185" i="1"/>
  <c r="Z3185" i="1" a="1"/>
  <c r="Z3185" i="1" s="1"/>
  <c r="AA3185" i="1"/>
  <c r="AB3185" i="1"/>
  <c r="AC3185" i="1" s="1"/>
  <c r="Y3186" i="1"/>
  <c r="Z3186" i="1" a="1"/>
  <c r="Z3186" i="1" s="1"/>
  <c r="AA3186" i="1"/>
  <c r="AB3186" i="1"/>
  <c r="AC3186" i="1" s="1"/>
  <c r="Y3187" i="1"/>
  <c r="Z3187" i="1" a="1"/>
  <c r="Z3187" i="1" s="1"/>
  <c r="AA3187" i="1"/>
  <c r="AB3187" i="1"/>
  <c r="AC3187" i="1"/>
  <c r="Y3188" i="1"/>
  <c r="Z3188" i="1" a="1"/>
  <c r="Z3188" i="1" s="1"/>
  <c r="AA3188" i="1"/>
  <c r="AB3188" i="1"/>
  <c r="AC3188" i="1" s="1"/>
  <c r="Y3189" i="1"/>
  <c r="Z3189" i="1" a="1"/>
  <c r="Z3189" i="1" s="1"/>
  <c r="AA3189" i="1"/>
  <c r="AB3189" i="1"/>
  <c r="AC3189" i="1"/>
  <c r="Y3190" i="1"/>
  <c r="Z3190" i="1" a="1"/>
  <c r="Z3190" i="1" s="1"/>
  <c r="AA3190" i="1"/>
  <c r="AB3190" i="1"/>
  <c r="AC3190" i="1" s="1"/>
  <c r="Y3191" i="1"/>
  <c r="Z3191" i="1" a="1"/>
  <c r="Z3191" i="1" s="1"/>
  <c r="AA3191" i="1"/>
  <c r="AB3191" i="1"/>
  <c r="AC3191" i="1"/>
  <c r="Y3192" i="1"/>
  <c r="Z3192" i="1" a="1"/>
  <c r="Z3192" i="1" s="1"/>
  <c r="AA3192" i="1"/>
  <c r="AB3192" i="1"/>
  <c r="AC3192" i="1"/>
  <c r="Y3193" i="1"/>
  <c r="Z3193" i="1" a="1"/>
  <c r="Z3193" i="1" s="1"/>
  <c r="AA3193" i="1"/>
  <c r="AB3193" i="1"/>
  <c r="AC3193" i="1"/>
  <c r="Y3194" i="1"/>
  <c r="Z3194" i="1" a="1"/>
  <c r="Z3194" i="1" s="1"/>
  <c r="AA3194" i="1"/>
  <c r="AB3194" i="1"/>
  <c r="AC3194" i="1"/>
  <c r="Y3195" i="1"/>
  <c r="Z3195" i="1" a="1"/>
  <c r="Z3195" i="1" s="1"/>
  <c r="AA3195" i="1"/>
  <c r="AB3195" i="1"/>
  <c r="AC3195" i="1" s="1"/>
  <c r="Y3196" i="1"/>
  <c r="Z3196" i="1" a="1"/>
  <c r="Z3196" i="1" s="1"/>
  <c r="AA3196" i="1"/>
  <c r="AB3196" i="1"/>
  <c r="AC3196" i="1"/>
  <c r="Y3197" i="1"/>
  <c r="Z3197" i="1" a="1"/>
  <c r="Z3197" i="1" s="1"/>
  <c r="AA3197" i="1"/>
  <c r="AB3197" i="1"/>
  <c r="AC3197" i="1"/>
  <c r="Y3198" i="1"/>
  <c r="Z3198" i="1" a="1"/>
  <c r="Z3198" i="1" s="1"/>
  <c r="AA3198" i="1"/>
  <c r="AB3198" i="1"/>
  <c r="AC3198" i="1" s="1"/>
  <c r="Y3199" i="1"/>
  <c r="Z3199" i="1" a="1"/>
  <c r="Z3199" i="1" s="1"/>
  <c r="AA3199" i="1"/>
  <c r="AB3199" i="1"/>
  <c r="AC3199" i="1"/>
  <c r="Y3200" i="1"/>
  <c r="Z3200" i="1" a="1"/>
  <c r="Z3200" i="1" s="1"/>
  <c r="AA3200" i="1"/>
  <c r="AB3200" i="1"/>
  <c r="AC3200" i="1" s="1"/>
  <c r="Y3201" i="1"/>
  <c r="Z3201" i="1" a="1"/>
  <c r="Z3201" i="1" s="1"/>
  <c r="AA3201" i="1"/>
  <c r="AB3201" i="1"/>
  <c r="AC3201" i="1" s="1"/>
  <c r="Y3202" i="1"/>
  <c r="Z3202" i="1" a="1"/>
  <c r="Z3202" i="1" s="1"/>
  <c r="AA3202" i="1"/>
  <c r="AB3202" i="1"/>
  <c r="AC3202" i="1"/>
  <c r="Y3203" i="1"/>
  <c r="Z3203" i="1" a="1"/>
  <c r="Z3203" i="1" s="1"/>
  <c r="AA3203" i="1"/>
  <c r="AB3203" i="1"/>
  <c r="AC3203" i="1" s="1"/>
  <c r="Y3204" i="1"/>
  <c r="Z3204" i="1" a="1"/>
  <c r="Z3204" i="1" s="1"/>
  <c r="AA3204" i="1"/>
  <c r="AB3204" i="1"/>
  <c r="AC3204" i="1" s="1"/>
  <c r="Y3205" i="1"/>
  <c r="Z3205" i="1" a="1"/>
  <c r="Z3205" i="1" s="1"/>
  <c r="AA3205" i="1"/>
  <c r="AB3205" i="1"/>
  <c r="AC3205" i="1"/>
  <c r="Y3206" i="1"/>
  <c r="Z3206" i="1" a="1"/>
  <c r="Z3206" i="1" s="1"/>
  <c r="AA3206" i="1"/>
  <c r="AB3206" i="1"/>
  <c r="AC3206" i="1"/>
  <c r="Y3207" i="1"/>
  <c r="Z3207" i="1" a="1"/>
  <c r="Z3207" i="1" s="1"/>
  <c r="AA3207" i="1"/>
  <c r="AB3207" i="1"/>
  <c r="AC3207" i="1" s="1"/>
  <c r="Y3208" i="1"/>
  <c r="Z3208" i="1" a="1"/>
  <c r="Z3208" i="1" s="1"/>
  <c r="AA3208" i="1"/>
  <c r="AB3208" i="1"/>
  <c r="AC3208" i="1" s="1"/>
  <c r="Y3209" i="1"/>
  <c r="Z3209" i="1" a="1"/>
  <c r="Z3209" i="1" s="1"/>
  <c r="AA3209" i="1"/>
  <c r="AB3209" i="1"/>
  <c r="AC3209" i="1" s="1"/>
  <c r="Y3210" i="1"/>
  <c r="Z3210" i="1" a="1"/>
  <c r="Z3210" i="1" s="1"/>
  <c r="AA3210" i="1"/>
  <c r="AB3210" i="1"/>
  <c r="AC3210" i="1" s="1"/>
  <c r="Y3211" i="1"/>
  <c r="Z3211" i="1" a="1"/>
  <c r="Z3211" i="1" s="1"/>
  <c r="AA3211" i="1"/>
  <c r="AB3211" i="1"/>
  <c r="AC3211" i="1"/>
  <c r="Y3212" i="1"/>
  <c r="Z3212" i="1" a="1"/>
  <c r="Z3212" i="1" s="1"/>
  <c r="AA3212" i="1"/>
  <c r="AB3212" i="1"/>
  <c r="AC3212" i="1"/>
  <c r="Y3213" i="1"/>
  <c r="Z3213" i="1" a="1"/>
  <c r="Z3213" i="1" s="1"/>
  <c r="AA3213" i="1"/>
  <c r="AB3213" i="1"/>
  <c r="AC3213" i="1"/>
  <c r="Y3214" i="1"/>
  <c r="Z3214" i="1" a="1"/>
  <c r="Z3214" i="1" s="1"/>
  <c r="AA3214" i="1"/>
  <c r="AB3214" i="1"/>
  <c r="AC3214" i="1" s="1"/>
  <c r="Y3215" i="1"/>
  <c r="Z3215" i="1" a="1"/>
  <c r="Z3215" i="1" s="1"/>
  <c r="AA3215" i="1"/>
  <c r="AB3215" i="1"/>
  <c r="AC3215" i="1"/>
  <c r="Y3216" i="1"/>
  <c r="Z3216" i="1" a="1"/>
  <c r="Z3216" i="1" s="1"/>
  <c r="AA3216" i="1"/>
  <c r="AB3216" i="1"/>
  <c r="AC3216" i="1" s="1"/>
  <c r="Y3217" i="1"/>
  <c r="Z3217" i="1" a="1"/>
  <c r="Z3217" i="1" s="1"/>
  <c r="AA3217" i="1"/>
  <c r="AB3217" i="1"/>
  <c r="AC3217" i="1"/>
  <c r="Y3218" i="1"/>
  <c r="Z3218" i="1" a="1"/>
  <c r="Z3218" i="1" s="1"/>
  <c r="AA3218" i="1"/>
  <c r="AB3218" i="1"/>
  <c r="AC3218" i="1" s="1"/>
  <c r="Y3219" i="1"/>
  <c r="Z3219" i="1" a="1"/>
  <c r="Z3219" i="1" s="1"/>
  <c r="AA3219" i="1"/>
  <c r="AB3219" i="1"/>
  <c r="AC3219" i="1"/>
  <c r="Y3220" i="1"/>
  <c r="Z3220" i="1" a="1"/>
  <c r="Z3220" i="1" s="1"/>
  <c r="AA3220" i="1"/>
  <c r="AB3220" i="1"/>
  <c r="AC3220" i="1" s="1"/>
  <c r="Y3221" i="1"/>
  <c r="Z3221" i="1" a="1"/>
  <c r="Z3221" i="1" s="1"/>
  <c r="AA3221" i="1"/>
  <c r="AB3221" i="1"/>
  <c r="AC3221" i="1"/>
  <c r="Y3222" i="1"/>
  <c r="Z3222" i="1" a="1"/>
  <c r="Z3222" i="1" s="1"/>
  <c r="AA3222" i="1"/>
  <c r="AB3222" i="1"/>
  <c r="AC3222" i="1" s="1"/>
  <c r="Y3223" i="1"/>
  <c r="Z3223" i="1" a="1"/>
  <c r="Z3223" i="1" s="1"/>
  <c r="AA3223" i="1"/>
  <c r="AB3223" i="1"/>
  <c r="AC3223" i="1" s="1"/>
  <c r="Y3224" i="1"/>
  <c r="Z3224" i="1" a="1"/>
  <c r="Z3224" i="1" s="1"/>
  <c r="AA3224" i="1"/>
  <c r="AB3224" i="1"/>
  <c r="AC3224" i="1"/>
  <c r="Y3225" i="1"/>
  <c r="Z3225" i="1" a="1"/>
  <c r="Z3225" i="1" s="1"/>
  <c r="AA3225" i="1"/>
  <c r="AB3225" i="1"/>
  <c r="AC3225" i="1" s="1"/>
  <c r="Y3226" i="1"/>
  <c r="Z3226" i="1" a="1"/>
  <c r="Z3226" i="1" s="1"/>
  <c r="AA3226" i="1"/>
  <c r="AB3226" i="1"/>
  <c r="AC3226" i="1"/>
  <c r="Y3227" i="1"/>
  <c r="Z3227" i="1" a="1"/>
  <c r="Z3227" i="1" s="1"/>
  <c r="AA3227" i="1"/>
  <c r="AB3227" i="1"/>
  <c r="AC3227" i="1" s="1"/>
  <c r="Y3228" i="1"/>
  <c r="Z3228" i="1" a="1"/>
  <c r="Z3228" i="1" s="1"/>
  <c r="AA3228" i="1"/>
  <c r="AB3228" i="1"/>
  <c r="AC3228" i="1"/>
  <c r="Y3229" i="1"/>
  <c r="Z3229" i="1" a="1"/>
  <c r="Z3229" i="1" s="1"/>
  <c r="AA3229" i="1"/>
  <c r="AB3229" i="1"/>
  <c r="AC3229" i="1"/>
  <c r="Y3230" i="1"/>
  <c r="Z3230" i="1" a="1"/>
  <c r="Z3230" i="1" s="1"/>
  <c r="AA3230" i="1"/>
  <c r="AB3230" i="1"/>
  <c r="AC3230" i="1"/>
  <c r="Y3231" i="1"/>
  <c r="Z3231" i="1" a="1"/>
  <c r="Z3231" i="1" s="1"/>
  <c r="AA3231" i="1"/>
  <c r="AB3231" i="1"/>
  <c r="AC3231" i="1"/>
  <c r="Y3232" i="1"/>
  <c r="Z3232" i="1" a="1"/>
  <c r="Z3232" i="1" s="1"/>
  <c r="AA3232" i="1"/>
  <c r="AB3232" i="1"/>
  <c r="AC3232" i="1"/>
  <c r="Y3233" i="1"/>
  <c r="Z3233" i="1" a="1"/>
  <c r="Z3233" i="1" s="1"/>
  <c r="AA3233" i="1"/>
  <c r="AB3233" i="1"/>
  <c r="AC3233" i="1" s="1"/>
  <c r="Y3234" i="1"/>
  <c r="Z3234" i="1" a="1"/>
  <c r="Z3234" i="1" s="1"/>
  <c r="AA3234" i="1"/>
  <c r="AB3234" i="1"/>
  <c r="AC3234" i="1" s="1"/>
  <c r="Y3235" i="1"/>
  <c r="Z3235" i="1" a="1"/>
  <c r="Z3235" i="1" s="1"/>
  <c r="AA3235" i="1"/>
  <c r="AB3235" i="1"/>
  <c r="AC3235" i="1" s="1"/>
  <c r="Y3236" i="1"/>
  <c r="Z3236" i="1" a="1"/>
  <c r="Z3236" i="1" s="1"/>
  <c r="AA3236" i="1"/>
  <c r="AB3236" i="1"/>
  <c r="AC3236" i="1"/>
  <c r="Y3237" i="1"/>
  <c r="Z3237" i="1" a="1"/>
  <c r="Z3237" i="1" s="1"/>
  <c r="AA3237" i="1"/>
  <c r="AB3237" i="1"/>
  <c r="AC3237" i="1"/>
  <c r="Y3238" i="1"/>
  <c r="Z3238" i="1" a="1"/>
  <c r="Z3238" i="1" s="1"/>
  <c r="AA3238" i="1"/>
  <c r="AB3238" i="1"/>
  <c r="AC3238" i="1"/>
  <c r="Y3239" i="1"/>
  <c r="Z3239" i="1" a="1"/>
  <c r="Z3239" i="1" s="1"/>
  <c r="AA3239" i="1"/>
  <c r="AB3239" i="1"/>
  <c r="AC3239" i="1" s="1"/>
  <c r="Y3240" i="1"/>
  <c r="Z3240" i="1" a="1"/>
  <c r="Z3240" i="1" s="1"/>
  <c r="AA3240" i="1"/>
  <c r="AB3240" i="1"/>
  <c r="AC3240" i="1" s="1"/>
  <c r="Y3241" i="1"/>
  <c r="Z3241" i="1" a="1"/>
  <c r="Z3241" i="1" s="1"/>
  <c r="AA3241" i="1"/>
  <c r="AB3241" i="1"/>
  <c r="AC3241" i="1"/>
  <c r="Y3242" i="1"/>
  <c r="Z3242" i="1" a="1"/>
  <c r="Z3242" i="1" s="1"/>
  <c r="AA3242" i="1"/>
  <c r="AB3242" i="1"/>
  <c r="AC3242" i="1"/>
  <c r="Y3243" i="1"/>
  <c r="Z3243" i="1" a="1"/>
  <c r="Z3243" i="1" s="1"/>
  <c r="AA3243" i="1"/>
  <c r="AB3243" i="1"/>
  <c r="AC3243" i="1"/>
  <c r="Y3244" i="1"/>
  <c r="Z3244" i="1" a="1"/>
  <c r="Z3244" i="1" s="1"/>
  <c r="AA3244" i="1"/>
  <c r="AB3244" i="1"/>
  <c r="AC3244" i="1" s="1"/>
  <c r="Y3245" i="1"/>
  <c r="Z3245" i="1" a="1"/>
  <c r="Z3245" i="1" s="1"/>
  <c r="AA3245" i="1"/>
  <c r="AB3245" i="1"/>
  <c r="AC3245" i="1"/>
  <c r="Y3246" i="1"/>
  <c r="Z3246" i="1" a="1"/>
  <c r="Z3246" i="1" s="1"/>
  <c r="AA3246" i="1"/>
  <c r="AB3246" i="1"/>
  <c r="AC3246" i="1" s="1"/>
  <c r="Y3247" i="1"/>
  <c r="Z3247" i="1" a="1"/>
  <c r="Z3247" i="1" s="1"/>
  <c r="AA3247" i="1"/>
  <c r="AB3247" i="1"/>
  <c r="AC3247" i="1"/>
  <c r="Y3248" i="1"/>
  <c r="Z3248" i="1" a="1"/>
  <c r="Z3248" i="1" s="1"/>
  <c r="AA3248" i="1"/>
  <c r="AB3248" i="1"/>
  <c r="AC3248" i="1" s="1"/>
  <c r="Y3249" i="1"/>
  <c r="Z3249" i="1" a="1"/>
  <c r="Z3249" i="1" s="1"/>
  <c r="AA3249" i="1"/>
  <c r="AB3249" i="1"/>
  <c r="AC3249" i="1" s="1"/>
  <c r="Y3250" i="1"/>
  <c r="Z3250" i="1" a="1"/>
  <c r="Z3250" i="1" s="1"/>
  <c r="AA3250" i="1"/>
  <c r="AB3250" i="1"/>
  <c r="AC3250" i="1" s="1"/>
  <c r="Y3251" i="1"/>
  <c r="Z3251" i="1" a="1"/>
  <c r="Z3251" i="1" s="1"/>
  <c r="AA3251" i="1"/>
  <c r="AB3251" i="1"/>
  <c r="AC3251" i="1"/>
  <c r="Y3252" i="1"/>
  <c r="Z3252" i="1" a="1"/>
  <c r="Z3252" i="1" s="1"/>
  <c r="AA3252" i="1"/>
  <c r="AB3252" i="1"/>
  <c r="AC3252" i="1" s="1"/>
  <c r="Y3253" i="1"/>
  <c r="Z3253" i="1" a="1"/>
  <c r="Z3253" i="1" s="1"/>
  <c r="AA3253" i="1"/>
  <c r="AB3253" i="1"/>
  <c r="AC3253" i="1"/>
  <c r="Y3254" i="1"/>
  <c r="Z3254" i="1" a="1"/>
  <c r="Z3254" i="1" s="1"/>
  <c r="AA3254" i="1"/>
  <c r="AB3254" i="1"/>
  <c r="AC3254" i="1" s="1"/>
  <c r="Y3255" i="1"/>
  <c r="Z3255" i="1" a="1"/>
  <c r="Z3255" i="1" s="1"/>
  <c r="AA3255" i="1"/>
  <c r="AB3255" i="1"/>
  <c r="AC3255" i="1"/>
  <c r="Y3256" i="1"/>
  <c r="Z3256" i="1" a="1"/>
  <c r="Z3256" i="1" s="1"/>
  <c r="AA3256" i="1"/>
  <c r="AB3256" i="1"/>
  <c r="AC3256" i="1"/>
  <c r="Y3257" i="1"/>
  <c r="Z3257" i="1" a="1"/>
  <c r="Z3257" i="1" s="1"/>
  <c r="AA3257" i="1"/>
  <c r="AB3257" i="1"/>
  <c r="AC3257" i="1" s="1"/>
  <c r="Y3258" i="1"/>
  <c r="Z3258" i="1" a="1"/>
  <c r="Z3258" i="1" s="1"/>
  <c r="AA3258" i="1"/>
  <c r="AB3258" i="1"/>
  <c r="AC3258" i="1" s="1"/>
  <c r="Y3259" i="1"/>
  <c r="Z3259" i="1" a="1"/>
  <c r="Z3259" i="1" s="1"/>
  <c r="AA3259" i="1"/>
  <c r="AB3259" i="1"/>
  <c r="AC3259" i="1"/>
  <c r="Y3260" i="1"/>
  <c r="Z3260" i="1" a="1"/>
  <c r="Z3260" i="1" s="1"/>
  <c r="AA3260" i="1"/>
  <c r="AB3260" i="1"/>
  <c r="AC3260" i="1"/>
  <c r="Y3261" i="1"/>
  <c r="Z3261" i="1" a="1"/>
  <c r="Z3261" i="1" s="1"/>
  <c r="AA3261" i="1"/>
  <c r="AB3261" i="1"/>
  <c r="AC3261" i="1"/>
  <c r="Y3262" i="1"/>
  <c r="Z3262" i="1" a="1"/>
  <c r="Z3262" i="1" s="1"/>
  <c r="AA3262" i="1"/>
  <c r="AB3262" i="1"/>
  <c r="AC3262" i="1"/>
  <c r="Y3263" i="1"/>
  <c r="Z3263" i="1" a="1"/>
  <c r="Z3263" i="1" s="1"/>
  <c r="AA3263" i="1"/>
  <c r="AB3263" i="1"/>
  <c r="AC3263" i="1" s="1"/>
  <c r="Y3264" i="1"/>
  <c r="Z3264" i="1" a="1"/>
  <c r="Z3264" i="1" s="1"/>
  <c r="AA3264" i="1"/>
  <c r="AB3264" i="1"/>
  <c r="AC3264" i="1" s="1"/>
  <c r="Y3265" i="1"/>
  <c r="Z3265" i="1" a="1"/>
  <c r="Z3265" i="1" s="1"/>
  <c r="AA3265" i="1"/>
  <c r="AB3265" i="1"/>
  <c r="AC3265" i="1" s="1"/>
  <c r="Y3266" i="1"/>
  <c r="Z3266" i="1" a="1"/>
  <c r="Z3266" i="1" s="1"/>
  <c r="AA3266" i="1"/>
  <c r="AB3266" i="1"/>
  <c r="AC3266" i="1"/>
  <c r="Y3267" i="1"/>
  <c r="Z3267" i="1" a="1"/>
  <c r="Z3267" i="1" s="1"/>
  <c r="AA3267" i="1"/>
  <c r="AB3267" i="1"/>
  <c r="AC3267" i="1" s="1"/>
  <c r="Y3268" i="1"/>
  <c r="Z3268" i="1" a="1"/>
  <c r="Z3268" i="1" s="1"/>
  <c r="AA3268" i="1"/>
  <c r="AB3268" i="1"/>
  <c r="AC3268" i="1"/>
  <c r="Y3269" i="1"/>
  <c r="Z3269" i="1" a="1"/>
  <c r="Z3269" i="1" s="1"/>
  <c r="AA3269" i="1"/>
  <c r="AB3269" i="1"/>
  <c r="AC3269" i="1"/>
  <c r="Y3270" i="1"/>
  <c r="Z3270" i="1" a="1"/>
  <c r="Z3270" i="1" s="1"/>
  <c r="AA3270" i="1"/>
  <c r="AB3270" i="1"/>
  <c r="AC3270" i="1"/>
  <c r="Y3271" i="1"/>
  <c r="Z3271" i="1" a="1"/>
  <c r="Z3271" i="1" s="1"/>
  <c r="AA3271" i="1"/>
  <c r="AB3271" i="1"/>
  <c r="AC3271" i="1" s="1"/>
  <c r="Y3272" i="1"/>
  <c r="Z3272" i="1" a="1"/>
  <c r="Z3272" i="1" s="1"/>
  <c r="AA3272" i="1"/>
  <c r="AB3272" i="1"/>
  <c r="AC3272" i="1"/>
  <c r="Y3273" i="1"/>
  <c r="Z3273" i="1" a="1"/>
  <c r="Z3273" i="1" s="1"/>
  <c r="AA3273" i="1"/>
  <c r="AB3273" i="1"/>
  <c r="AC3273" i="1"/>
  <c r="Y3274" i="1"/>
  <c r="Z3274" i="1" a="1"/>
  <c r="Z3274" i="1" s="1"/>
  <c r="AA3274" i="1"/>
  <c r="AB3274" i="1"/>
  <c r="AC3274" i="1" s="1"/>
  <c r="Y3275" i="1"/>
  <c r="Z3275" i="1" a="1"/>
  <c r="Z3275" i="1" s="1"/>
  <c r="AA3275" i="1"/>
  <c r="AB3275" i="1"/>
  <c r="AC3275" i="1"/>
  <c r="Y3276" i="1"/>
  <c r="Z3276" i="1" a="1"/>
  <c r="Z3276" i="1" s="1"/>
  <c r="AA3276" i="1"/>
  <c r="AB3276" i="1"/>
  <c r="AC3276" i="1" s="1"/>
  <c r="Y3277" i="1"/>
  <c r="Z3277" i="1" a="1"/>
  <c r="Z3277" i="1" s="1"/>
  <c r="AA3277" i="1"/>
  <c r="AB3277" i="1"/>
  <c r="AC3277" i="1"/>
  <c r="Y3278" i="1"/>
  <c r="Z3278" i="1" a="1"/>
  <c r="Z3278" i="1" s="1"/>
  <c r="AA3278" i="1"/>
  <c r="AB3278" i="1"/>
  <c r="AC3278" i="1"/>
  <c r="Y3279" i="1"/>
  <c r="Z3279" i="1" a="1"/>
  <c r="Z3279" i="1" s="1"/>
  <c r="AA3279" i="1"/>
  <c r="AB3279" i="1"/>
  <c r="AC3279" i="1"/>
  <c r="Y3280" i="1"/>
  <c r="Z3280" i="1" a="1"/>
  <c r="Z3280" i="1" s="1"/>
  <c r="AA3280" i="1"/>
  <c r="AB3280" i="1"/>
  <c r="AC3280" i="1" s="1"/>
  <c r="Y3281" i="1"/>
  <c r="Z3281" i="1" a="1"/>
  <c r="Z3281" i="1" s="1"/>
  <c r="AA3281" i="1"/>
  <c r="AB3281" i="1"/>
  <c r="AC3281" i="1"/>
  <c r="Y3282" i="1"/>
  <c r="Z3282" i="1" a="1"/>
  <c r="Z3282" i="1" s="1"/>
  <c r="AA3282" i="1"/>
  <c r="AB3282" i="1"/>
  <c r="AC3282" i="1" s="1"/>
  <c r="Y3283" i="1"/>
  <c r="Z3283" i="1" a="1"/>
  <c r="Z3283" i="1" s="1"/>
  <c r="AA3283" i="1"/>
  <c r="AB3283" i="1"/>
  <c r="AC3283" i="1" s="1"/>
  <c r="Y3284" i="1"/>
  <c r="Z3284" i="1" a="1"/>
  <c r="Z3284" i="1" s="1"/>
  <c r="AA3284" i="1"/>
  <c r="AB3284" i="1"/>
  <c r="AC3284" i="1" s="1"/>
  <c r="Y3285" i="1"/>
  <c r="Z3285" i="1" a="1"/>
  <c r="Z3285" i="1" s="1"/>
  <c r="AA3285" i="1"/>
  <c r="AB3285" i="1"/>
  <c r="AC3285" i="1"/>
  <c r="Y3286" i="1"/>
  <c r="Z3286" i="1" a="1"/>
  <c r="Z3286" i="1" s="1"/>
  <c r="AA3286" i="1"/>
  <c r="AB3286" i="1"/>
  <c r="AC3286" i="1" s="1"/>
  <c r="Y3287" i="1"/>
  <c r="Z3287" i="1" a="1"/>
  <c r="Z3287" i="1" s="1"/>
  <c r="AA3287" i="1"/>
  <c r="AB3287" i="1"/>
  <c r="AC3287" i="1"/>
  <c r="Y3288" i="1"/>
  <c r="Z3288" i="1" a="1"/>
  <c r="Z3288" i="1" s="1"/>
  <c r="AA3288" i="1"/>
  <c r="AB3288" i="1"/>
  <c r="AC3288" i="1" s="1"/>
  <c r="Y3289" i="1"/>
  <c r="Z3289" i="1" a="1"/>
  <c r="Z3289" i="1" s="1"/>
  <c r="AA3289" i="1"/>
  <c r="AB3289" i="1"/>
  <c r="AC3289" i="1" s="1"/>
  <c r="Y3290" i="1"/>
  <c r="Z3290" i="1" a="1"/>
  <c r="Z3290" i="1" s="1"/>
  <c r="AA3290" i="1"/>
  <c r="AB3290" i="1"/>
  <c r="AC3290" i="1"/>
  <c r="Y3291" i="1"/>
  <c r="Z3291" i="1" a="1"/>
  <c r="Z3291" i="1" s="1"/>
  <c r="AA3291" i="1"/>
  <c r="AB3291" i="1"/>
  <c r="AC3291" i="1"/>
  <c r="Y3292" i="1"/>
  <c r="Z3292" i="1" a="1"/>
  <c r="Z3292" i="1" s="1"/>
  <c r="AA3292" i="1"/>
  <c r="AB3292" i="1"/>
  <c r="AC3292" i="1"/>
  <c r="Y3293" i="1"/>
  <c r="Z3293" i="1" a="1"/>
  <c r="Z3293" i="1" s="1"/>
  <c r="AA3293" i="1"/>
  <c r="AB3293" i="1"/>
  <c r="AC3293" i="1"/>
  <c r="Y3294" i="1"/>
  <c r="Z3294" i="1" a="1"/>
  <c r="Z3294" i="1" s="1"/>
  <c r="AA3294" i="1"/>
  <c r="AB3294" i="1"/>
  <c r="AC3294" i="1"/>
  <c r="Y3295" i="1"/>
  <c r="Z3295" i="1" a="1"/>
  <c r="Z3295" i="1" s="1"/>
  <c r="AA3295" i="1"/>
  <c r="AB3295" i="1"/>
  <c r="AC3295" i="1" s="1"/>
  <c r="Y3296" i="1"/>
  <c r="Z3296" i="1" a="1"/>
  <c r="Z3296" i="1" s="1"/>
  <c r="AA3296" i="1"/>
  <c r="AB3296" i="1"/>
  <c r="AC3296" i="1"/>
  <c r="Y3297" i="1"/>
  <c r="Z3297" i="1" a="1"/>
  <c r="Z3297" i="1" s="1"/>
  <c r="AA3297" i="1"/>
  <c r="AB3297" i="1"/>
  <c r="AC3297" i="1" s="1"/>
  <c r="Y3298" i="1"/>
  <c r="Z3298" i="1" a="1"/>
  <c r="Z3298" i="1" s="1"/>
  <c r="AA3298" i="1"/>
  <c r="AB3298" i="1"/>
  <c r="AC3298" i="1" s="1"/>
  <c r="Y3299" i="1"/>
  <c r="Z3299" i="1" a="1"/>
  <c r="Z3299" i="1" s="1"/>
  <c r="AA3299" i="1"/>
  <c r="AB3299" i="1"/>
  <c r="AC3299" i="1" s="1"/>
  <c r="Y3300" i="1"/>
  <c r="Z3300" i="1" a="1"/>
  <c r="Z3300" i="1" s="1"/>
  <c r="AA3300" i="1"/>
  <c r="AB3300" i="1"/>
  <c r="AC3300" i="1"/>
  <c r="Y3301" i="1"/>
  <c r="Z3301" i="1" a="1"/>
  <c r="Z3301" i="1" s="1"/>
  <c r="AA3301" i="1"/>
  <c r="AB3301" i="1"/>
  <c r="AC3301" i="1"/>
  <c r="Y3302" i="1"/>
  <c r="Z3302" i="1" a="1"/>
  <c r="Z3302" i="1" s="1"/>
  <c r="AA3302" i="1"/>
  <c r="AB3302" i="1"/>
  <c r="AC3302" i="1" s="1"/>
  <c r="Y3303" i="1"/>
  <c r="Z3303" i="1" a="1"/>
  <c r="Z3303" i="1" s="1"/>
  <c r="AA3303" i="1"/>
  <c r="AB3303" i="1"/>
  <c r="AC3303" i="1" s="1"/>
  <c r="Y3304" i="1"/>
  <c r="Z3304" i="1" a="1"/>
  <c r="Z3304" i="1" s="1"/>
  <c r="AA3304" i="1"/>
  <c r="AB3304" i="1"/>
  <c r="AC3304" i="1" s="1"/>
  <c r="Y3305" i="1"/>
  <c r="Z3305" i="1" a="1"/>
  <c r="Z3305" i="1" s="1"/>
  <c r="AA3305" i="1"/>
  <c r="AB3305" i="1"/>
  <c r="AC3305" i="1"/>
  <c r="Y3306" i="1"/>
  <c r="Z3306" i="1" a="1"/>
  <c r="Z3306" i="1" s="1"/>
  <c r="AA3306" i="1"/>
  <c r="AB3306" i="1"/>
  <c r="AC3306" i="1" s="1"/>
  <c r="Y3307" i="1"/>
  <c r="Z3307" i="1" a="1"/>
  <c r="Z3307" i="1" s="1"/>
  <c r="AA3307" i="1"/>
  <c r="AB3307" i="1"/>
  <c r="AC3307" i="1"/>
  <c r="Y3308" i="1"/>
  <c r="Z3308" i="1" a="1"/>
  <c r="Z3308" i="1" s="1"/>
  <c r="AA3308" i="1"/>
  <c r="AB3308" i="1"/>
  <c r="AC3308" i="1"/>
  <c r="Y3309" i="1"/>
  <c r="Z3309" i="1" a="1"/>
  <c r="Z3309" i="1" s="1"/>
  <c r="AA3309" i="1"/>
  <c r="AB3309" i="1"/>
  <c r="AC3309" i="1"/>
  <c r="Y3310" i="1"/>
  <c r="Z3310" i="1" a="1"/>
  <c r="Z3310" i="1" s="1"/>
  <c r="AA3310" i="1"/>
  <c r="AB3310" i="1"/>
  <c r="AC3310" i="1"/>
  <c r="Y3311" i="1"/>
  <c r="Z3311" i="1" a="1"/>
  <c r="Z3311" i="1" s="1"/>
  <c r="AA3311" i="1"/>
  <c r="AB3311" i="1"/>
  <c r="AC3311" i="1"/>
  <c r="Y3312" i="1"/>
  <c r="Z3312" i="1" a="1"/>
  <c r="Z3312" i="1" s="1"/>
  <c r="AA3312" i="1"/>
  <c r="AB3312" i="1"/>
  <c r="AC3312" i="1" s="1"/>
  <c r="Y3313" i="1"/>
  <c r="Z3313" i="1" a="1"/>
  <c r="Z3313" i="1" s="1"/>
  <c r="AA3313" i="1"/>
  <c r="AB3313" i="1"/>
  <c r="AC3313" i="1" s="1"/>
  <c r="Y3314" i="1"/>
  <c r="Z3314" i="1" a="1"/>
  <c r="Z3314" i="1" s="1"/>
  <c r="AA3314" i="1"/>
  <c r="AB3314" i="1"/>
  <c r="AC3314" i="1" s="1"/>
  <c r="Y3315" i="1"/>
  <c r="Z3315" i="1" a="1"/>
  <c r="Z3315" i="1"/>
  <c r="AA3315" i="1"/>
  <c r="AB3315" i="1"/>
  <c r="AC3315" i="1"/>
  <c r="Y3316" i="1"/>
  <c r="Z3316" i="1" a="1"/>
  <c r="Z3316" i="1" s="1"/>
  <c r="AA3316" i="1"/>
  <c r="AB3316" i="1"/>
  <c r="AC3316" i="1" s="1"/>
  <c r="Y3317" i="1"/>
  <c r="Z3317" i="1" a="1"/>
  <c r="Z3317" i="1"/>
  <c r="AA3317" i="1"/>
  <c r="AB3317" i="1"/>
  <c r="AC3317" i="1"/>
  <c r="Y3318" i="1"/>
  <c r="Z3318" i="1" a="1"/>
  <c r="Z3318" i="1" s="1"/>
  <c r="AA3318" i="1"/>
  <c r="AB3318" i="1"/>
  <c r="AC3318" i="1" s="1"/>
  <c r="Y3319" i="1"/>
  <c r="Z3319" i="1" a="1"/>
  <c r="Z3319" i="1" s="1"/>
  <c r="AA3319" i="1"/>
  <c r="AB3319" i="1"/>
  <c r="AC3319" i="1"/>
  <c r="Y3320" i="1"/>
  <c r="Z3320" i="1" a="1"/>
  <c r="Z3320" i="1" s="1"/>
  <c r="AA3320" i="1"/>
  <c r="AB3320" i="1"/>
  <c r="AC3320" i="1"/>
  <c r="Y3321" i="1"/>
  <c r="Z3321" i="1" a="1"/>
  <c r="Z3321" i="1" s="1"/>
  <c r="AA3321" i="1"/>
  <c r="AB3321" i="1"/>
  <c r="AC3321" i="1"/>
  <c r="Y3322" i="1"/>
  <c r="Z3322" i="1" a="1"/>
  <c r="Z3322" i="1" s="1"/>
  <c r="AA3322" i="1"/>
  <c r="AB3322" i="1"/>
  <c r="AC3322" i="1"/>
  <c r="Y3323" i="1"/>
  <c r="Z3323" i="1" a="1"/>
  <c r="Z3323" i="1" s="1"/>
  <c r="AA3323" i="1"/>
  <c r="AB3323" i="1"/>
  <c r="AC3323" i="1" s="1"/>
  <c r="Y3324" i="1"/>
  <c r="Z3324" i="1" a="1"/>
  <c r="Z3324" i="1" s="1"/>
  <c r="AA3324" i="1"/>
  <c r="AB3324" i="1"/>
  <c r="AC3324" i="1"/>
  <c r="Y3325" i="1"/>
  <c r="Z3325" i="1" a="1"/>
  <c r="Z3325" i="1" s="1"/>
  <c r="AA3325" i="1"/>
  <c r="AB3325" i="1"/>
  <c r="AC3325" i="1"/>
  <c r="Y3326" i="1"/>
  <c r="Z3326" i="1" a="1"/>
  <c r="Z3326" i="1" s="1"/>
  <c r="AA3326" i="1"/>
  <c r="AB3326" i="1"/>
  <c r="AC3326" i="1"/>
  <c r="Y3327" i="1"/>
  <c r="Z3327" i="1" a="1"/>
  <c r="Z3327" i="1" s="1"/>
  <c r="AA3327" i="1"/>
  <c r="AB3327" i="1"/>
  <c r="AC3327" i="1"/>
  <c r="Y3328" i="1"/>
  <c r="Z3328" i="1" a="1"/>
  <c r="Z3328" i="1" s="1"/>
  <c r="AA3328" i="1"/>
  <c r="AB3328" i="1"/>
  <c r="AC3328" i="1" s="1"/>
  <c r="Y3329" i="1"/>
  <c r="Z3329" i="1" a="1"/>
  <c r="Z3329" i="1" s="1"/>
  <c r="AA3329" i="1"/>
  <c r="AB3329" i="1"/>
  <c r="AC3329" i="1" s="1"/>
  <c r="Y3330" i="1"/>
  <c r="Z3330" i="1" a="1"/>
  <c r="Z3330" i="1" s="1"/>
  <c r="AA3330" i="1"/>
  <c r="AB3330" i="1"/>
  <c r="AC3330" i="1"/>
  <c r="Y3331" i="1"/>
  <c r="Z3331" i="1" a="1"/>
  <c r="Z3331" i="1" s="1"/>
  <c r="AA3331" i="1"/>
  <c r="AB3331" i="1"/>
  <c r="AC3331" i="1" s="1"/>
  <c r="Y3332" i="1"/>
  <c r="Z3332" i="1" a="1"/>
  <c r="Z3332" i="1" s="1"/>
  <c r="AA3332" i="1"/>
  <c r="AB3332" i="1"/>
  <c r="AC3332" i="1" s="1"/>
  <c r="Y3333" i="1"/>
  <c r="Z3333" i="1" a="1"/>
  <c r="Z3333" i="1" s="1"/>
  <c r="AA3333" i="1"/>
  <c r="AB3333" i="1"/>
  <c r="AC3333" i="1"/>
  <c r="Y3334" i="1"/>
  <c r="Z3334" i="1" a="1"/>
  <c r="Z3334" i="1" s="1"/>
  <c r="AA3334" i="1"/>
  <c r="AB3334" i="1"/>
  <c r="AC3334" i="1"/>
  <c r="Y3335" i="1"/>
  <c r="Z3335" i="1" a="1"/>
  <c r="Z3335" i="1" s="1"/>
  <c r="AA3335" i="1"/>
  <c r="AB3335" i="1"/>
  <c r="AC3335" i="1" s="1"/>
  <c r="Y3336" i="1"/>
  <c r="Z3336" i="1" a="1"/>
  <c r="Z3336" i="1" s="1"/>
  <c r="AA3336" i="1"/>
  <c r="AB3336" i="1"/>
  <c r="AC3336" i="1" s="1"/>
  <c r="Y3337" i="1"/>
  <c r="Z3337" i="1" a="1"/>
  <c r="Z3337" i="1" s="1"/>
  <c r="AA3337" i="1"/>
  <c r="AB3337" i="1"/>
  <c r="AC3337" i="1" s="1"/>
  <c r="Y3338" i="1"/>
  <c r="Z3338" i="1" a="1"/>
  <c r="Z3338" i="1" s="1"/>
  <c r="AA3338" i="1"/>
  <c r="AB3338" i="1"/>
  <c r="AC3338" i="1" s="1"/>
  <c r="Y3339" i="1"/>
  <c r="Z3339" i="1" a="1"/>
  <c r="Z3339" i="1" s="1"/>
  <c r="AA3339" i="1"/>
  <c r="AB3339" i="1"/>
  <c r="AC3339" i="1"/>
  <c r="Y3340" i="1"/>
  <c r="Z3340" i="1" a="1"/>
  <c r="Z3340" i="1" s="1"/>
  <c r="AA3340" i="1"/>
  <c r="AB3340" i="1"/>
  <c r="AC3340" i="1"/>
  <c r="Y3341" i="1"/>
  <c r="Z3341" i="1" a="1"/>
  <c r="Z3341" i="1" s="1"/>
  <c r="AA3341" i="1"/>
  <c r="AB3341" i="1"/>
  <c r="AC3341" i="1"/>
  <c r="Y3342" i="1"/>
  <c r="Z3342" i="1" a="1"/>
  <c r="Z3342" i="1" s="1"/>
  <c r="AA3342" i="1"/>
  <c r="AB3342" i="1"/>
  <c r="AC3342" i="1" s="1"/>
  <c r="Y3343" i="1"/>
  <c r="Z3343" i="1" a="1"/>
  <c r="Z3343" i="1" s="1"/>
  <c r="AA3343" i="1"/>
  <c r="AB3343" i="1"/>
  <c r="AC3343" i="1"/>
  <c r="Y3344" i="1"/>
  <c r="Z3344" i="1" a="1"/>
  <c r="Z3344" i="1" s="1"/>
  <c r="AA3344" i="1"/>
  <c r="AB3344" i="1"/>
  <c r="AC3344" i="1" s="1"/>
  <c r="Y3345" i="1"/>
  <c r="Z3345" i="1" a="1"/>
  <c r="Z3345" i="1" s="1"/>
  <c r="AA3345" i="1"/>
  <c r="AB3345" i="1"/>
  <c r="AC3345" i="1"/>
  <c r="Y3346" i="1"/>
  <c r="Z3346" i="1" a="1"/>
  <c r="Z3346" i="1" s="1"/>
  <c r="AA3346" i="1"/>
  <c r="AB3346" i="1"/>
  <c r="AC3346" i="1" s="1"/>
  <c r="Y3347" i="1"/>
  <c r="Z3347" i="1" a="1"/>
  <c r="Z3347" i="1"/>
  <c r="AA3347" i="1"/>
  <c r="AB3347" i="1"/>
  <c r="AC3347" i="1"/>
  <c r="Y3348" i="1"/>
  <c r="Z3348" i="1" a="1"/>
  <c r="Z3348" i="1" s="1"/>
  <c r="AA3348" i="1"/>
  <c r="AB3348" i="1"/>
  <c r="AC3348" i="1" s="1"/>
  <c r="Y3349" i="1"/>
  <c r="Z3349" i="1" a="1"/>
  <c r="Z3349" i="1" s="1"/>
  <c r="AA3349" i="1"/>
  <c r="AB3349" i="1"/>
  <c r="AC3349" i="1"/>
  <c r="Y3350" i="1"/>
  <c r="Z3350" i="1" a="1"/>
  <c r="Z3350" i="1" s="1"/>
  <c r="AA3350" i="1"/>
  <c r="AB3350" i="1"/>
  <c r="AC3350" i="1" s="1"/>
  <c r="Y3351" i="1"/>
  <c r="Z3351" i="1" a="1"/>
  <c r="Z3351" i="1" s="1"/>
  <c r="AA3351" i="1"/>
  <c r="AB3351" i="1"/>
  <c r="AC3351" i="1" s="1"/>
  <c r="Y3352" i="1"/>
  <c r="Z3352" i="1" a="1"/>
  <c r="Z3352" i="1" s="1"/>
  <c r="AA3352" i="1"/>
  <c r="AB3352" i="1"/>
  <c r="AC3352" i="1"/>
  <c r="Y3353" i="1"/>
  <c r="Z3353" i="1" a="1"/>
  <c r="Z3353" i="1" s="1"/>
  <c r="AA3353" i="1"/>
  <c r="AB3353" i="1"/>
  <c r="AC3353" i="1" s="1"/>
  <c r="Y3354" i="1"/>
  <c r="Z3354" i="1" a="1"/>
  <c r="Z3354" i="1" s="1"/>
  <c r="AA3354" i="1"/>
  <c r="AB3354" i="1"/>
  <c r="AC3354" i="1"/>
  <c r="Y3355" i="1"/>
  <c r="Z3355" i="1" a="1"/>
  <c r="Z3355" i="1" s="1"/>
  <c r="AA3355" i="1"/>
  <c r="AB3355" i="1"/>
  <c r="AC3355" i="1" s="1"/>
  <c r="Y3356" i="1"/>
  <c r="Z3356" i="1" a="1"/>
  <c r="Z3356" i="1" s="1"/>
  <c r="AA3356" i="1"/>
  <c r="AB3356" i="1"/>
  <c r="AC3356" i="1" s="1"/>
  <c r="Y3357" i="1"/>
  <c r="Z3357" i="1" a="1"/>
  <c r="Z3357" i="1" s="1"/>
  <c r="AA3357" i="1"/>
  <c r="AB3357" i="1"/>
  <c r="AC3357" i="1"/>
  <c r="Y3358" i="1"/>
  <c r="Z3358" i="1" a="1"/>
  <c r="Z3358" i="1" s="1"/>
  <c r="AA3358" i="1"/>
  <c r="AB3358" i="1"/>
  <c r="AC3358" i="1"/>
  <c r="Y3359" i="1"/>
  <c r="Z3359" i="1" a="1"/>
  <c r="Z3359" i="1" s="1"/>
  <c r="AA3359" i="1"/>
  <c r="AB3359" i="1"/>
  <c r="AC3359" i="1"/>
  <c r="Y3360" i="1"/>
  <c r="Z3360" i="1" a="1"/>
  <c r="Z3360" i="1" s="1"/>
  <c r="AA3360" i="1"/>
  <c r="AB3360" i="1"/>
  <c r="AC3360" i="1"/>
  <c r="Y3361" i="1"/>
  <c r="Z3361" i="1" a="1"/>
  <c r="Z3361" i="1" s="1"/>
  <c r="AA3361" i="1"/>
  <c r="AB3361" i="1"/>
  <c r="AC3361" i="1" s="1"/>
  <c r="Y3362" i="1"/>
  <c r="Z3362" i="1" a="1"/>
  <c r="Z3362" i="1" s="1"/>
  <c r="AA3362" i="1"/>
  <c r="AB3362" i="1"/>
  <c r="AC3362" i="1" s="1"/>
  <c r="Y3363" i="1"/>
  <c r="Z3363" i="1" a="1"/>
  <c r="Z3363" i="1" s="1"/>
  <c r="AA3363" i="1"/>
  <c r="AB3363" i="1"/>
  <c r="AC3363" i="1" s="1"/>
  <c r="Y3364" i="1"/>
  <c r="Z3364" i="1" a="1"/>
  <c r="Z3364" i="1"/>
  <c r="AA3364" i="1"/>
  <c r="AB3364" i="1"/>
  <c r="AC3364" i="1"/>
  <c r="Y3365" i="1"/>
  <c r="Z3365" i="1" a="1"/>
  <c r="Z3365" i="1" s="1"/>
  <c r="AA3365" i="1"/>
  <c r="AB3365" i="1"/>
  <c r="AC3365" i="1"/>
  <c r="Y3366" i="1"/>
  <c r="Z3366" i="1" a="1"/>
  <c r="Z3366" i="1" s="1"/>
  <c r="AA3366" i="1"/>
  <c r="AB3366" i="1"/>
  <c r="AC3366" i="1"/>
  <c r="Y3367" i="1"/>
  <c r="Z3367" i="1" a="1"/>
  <c r="Z3367" i="1" s="1"/>
  <c r="AA3367" i="1"/>
  <c r="AB3367" i="1"/>
  <c r="AC3367" i="1" s="1"/>
  <c r="Y3368" i="1"/>
  <c r="Z3368" i="1" a="1"/>
  <c r="Z3368" i="1" s="1"/>
  <c r="AA3368" i="1"/>
  <c r="AB3368" i="1"/>
  <c r="AC3368" i="1" s="1"/>
  <c r="Y3369" i="1"/>
  <c r="Z3369" i="1" a="1"/>
  <c r="Z3369" i="1" s="1"/>
  <c r="AA3369" i="1"/>
  <c r="AB3369" i="1"/>
  <c r="AC3369" i="1"/>
  <c r="Y3370" i="1"/>
  <c r="Z3370" i="1" a="1"/>
  <c r="Z3370" i="1" s="1"/>
  <c r="AA3370" i="1"/>
  <c r="AB3370" i="1"/>
  <c r="AC3370" i="1"/>
  <c r="Y3371" i="1"/>
  <c r="Z3371" i="1" a="1"/>
  <c r="Z3371" i="1" s="1"/>
  <c r="AA3371" i="1"/>
  <c r="AB3371" i="1"/>
  <c r="AC3371" i="1"/>
  <c r="Y3372" i="1"/>
  <c r="Z3372" i="1" a="1"/>
  <c r="Z3372" i="1" s="1"/>
  <c r="AA3372" i="1"/>
  <c r="AB3372" i="1"/>
  <c r="AC3372" i="1" s="1"/>
  <c r="Y3373" i="1"/>
  <c r="Z3373" i="1" a="1"/>
  <c r="Z3373" i="1" s="1"/>
  <c r="AA3373" i="1"/>
  <c r="AB3373" i="1"/>
  <c r="AC3373" i="1"/>
  <c r="Y3374" i="1"/>
  <c r="Z3374" i="1" a="1"/>
  <c r="Z3374" i="1" s="1"/>
  <c r="AA3374" i="1"/>
  <c r="AB3374" i="1"/>
  <c r="AC3374" i="1" s="1"/>
  <c r="Y3375" i="1"/>
  <c r="Z3375" i="1" a="1"/>
  <c r="Z3375" i="1" s="1"/>
  <c r="AA3375" i="1"/>
  <c r="AB3375" i="1"/>
  <c r="AC3375" i="1"/>
  <c r="Y3376" i="1"/>
  <c r="Z3376" i="1" a="1"/>
  <c r="Z3376" i="1" s="1"/>
  <c r="AA3376" i="1"/>
  <c r="AB3376" i="1"/>
  <c r="AC3376" i="1" s="1"/>
  <c r="Y3377" i="1"/>
  <c r="Z3377" i="1" a="1"/>
  <c r="Z3377" i="1" s="1"/>
  <c r="AA3377" i="1"/>
  <c r="AB3377" i="1"/>
  <c r="AC3377" i="1" s="1"/>
  <c r="Y3378" i="1"/>
  <c r="Z3378" i="1" a="1"/>
  <c r="Z3378" i="1" s="1"/>
  <c r="AA3378" i="1"/>
  <c r="AB3378" i="1"/>
  <c r="AC3378" i="1" s="1"/>
  <c r="Y3379" i="1"/>
  <c r="Z3379" i="1" a="1"/>
  <c r="Z3379" i="1" s="1"/>
  <c r="AA3379" i="1"/>
  <c r="AB3379" i="1"/>
  <c r="AC3379" i="1"/>
  <c r="Y3380" i="1"/>
  <c r="Z3380" i="1" a="1"/>
  <c r="Z3380" i="1" s="1"/>
  <c r="AA3380" i="1"/>
  <c r="AB3380" i="1"/>
  <c r="AC3380" i="1" s="1"/>
  <c r="Y3381" i="1"/>
  <c r="Z3381" i="1" a="1"/>
  <c r="Z3381" i="1" s="1"/>
  <c r="AA3381" i="1"/>
  <c r="AB3381" i="1"/>
  <c r="AC3381" i="1"/>
  <c r="Y3382" i="1"/>
  <c r="Z3382" i="1" a="1"/>
  <c r="Z3382" i="1" s="1"/>
  <c r="AA3382" i="1"/>
  <c r="AB3382" i="1"/>
  <c r="AC3382" i="1" s="1"/>
  <c r="Y3383" i="1"/>
  <c r="Z3383" i="1" a="1"/>
  <c r="Z3383" i="1" s="1"/>
  <c r="AA3383" i="1"/>
  <c r="AB3383" i="1"/>
  <c r="AC3383" i="1"/>
  <c r="Y3384" i="1"/>
  <c r="Z3384" i="1" a="1"/>
  <c r="Z3384" i="1" s="1"/>
  <c r="AA3384" i="1"/>
  <c r="AB3384" i="1"/>
  <c r="AC3384" i="1"/>
  <c r="Y3385" i="1"/>
  <c r="Z3385" i="1" a="1"/>
  <c r="Z3385" i="1" s="1"/>
  <c r="AA3385" i="1"/>
  <c r="AB3385" i="1"/>
  <c r="AC3385" i="1" s="1"/>
  <c r="Y3386" i="1"/>
  <c r="Z3386" i="1" a="1"/>
  <c r="Z3386" i="1" s="1"/>
  <c r="AA3386" i="1"/>
  <c r="AB3386" i="1"/>
  <c r="AC3386" i="1"/>
  <c r="Y3387" i="1"/>
  <c r="Z3387" i="1" a="1"/>
  <c r="Z3387" i="1" s="1"/>
  <c r="AA3387" i="1"/>
  <c r="AB3387" i="1"/>
  <c r="AC3387" i="1" s="1"/>
  <c r="Y3388" i="1"/>
  <c r="Z3388" i="1" a="1"/>
  <c r="Z3388" i="1" s="1"/>
  <c r="AA3388" i="1"/>
  <c r="AB3388" i="1"/>
  <c r="AC3388" i="1"/>
  <c r="Y3389" i="1"/>
  <c r="Z3389" i="1" a="1"/>
  <c r="Z3389" i="1"/>
  <c r="AA3389" i="1"/>
  <c r="AB3389" i="1"/>
  <c r="AC3389" i="1"/>
  <c r="Y3390" i="1"/>
  <c r="Z3390" i="1" a="1"/>
  <c r="Z3390" i="1" s="1"/>
  <c r="AA3390" i="1"/>
  <c r="AB3390" i="1"/>
  <c r="AC3390" i="1"/>
  <c r="Y3391" i="1"/>
  <c r="Z3391" i="1" a="1"/>
  <c r="Z3391" i="1" s="1"/>
  <c r="AA3391" i="1"/>
  <c r="AB3391" i="1"/>
  <c r="AC3391" i="1" s="1"/>
  <c r="Y3392" i="1"/>
  <c r="Z3392" i="1" a="1"/>
  <c r="Z3392" i="1" s="1"/>
  <c r="AA3392" i="1"/>
  <c r="AB3392" i="1"/>
  <c r="AC3392" i="1" s="1"/>
  <c r="Y3393" i="1"/>
  <c r="Z3393" i="1" a="1"/>
  <c r="Z3393" i="1" s="1"/>
  <c r="AA3393" i="1"/>
  <c r="AB3393" i="1"/>
  <c r="AC3393" i="1" s="1"/>
  <c r="Y3394" i="1"/>
  <c r="Z3394" i="1" a="1"/>
  <c r="Z3394" i="1" s="1"/>
  <c r="AA3394" i="1"/>
  <c r="AB3394" i="1"/>
  <c r="AC3394" i="1"/>
  <c r="Y3395" i="1"/>
  <c r="Z3395" i="1" a="1"/>
  <c r="Z3395" i="1" s="1"/>
  <c r="AA3395" i="1"/>
  <c r="AB3395" i="1"/>
  <c r="AC3395" i="1" s="1"/>
  <c r="Y3396" i="1"/>
  <c r="Z3396" i="1" a="1"/>
  <c r="Z3396" i="1" s="1"/>
  <c r="AA3396" i="1"/>
  <c r="AB3396" i="1"/>
  <c r="AC3396" i="1"/>
  <c r="Y3397" i="1"/>
  <c r="Z3397" i="1" a="1"/>
  <c r="Z3397" i="1" s="1"/>
  <c r="AA3397" i="1"/>
  <c r="AB3397" i="1"/>
  <c r="AC3397" i="1"/>
  <c r="Y3398" i="1"/>
  <c r="Z3398" i="1" a="1"/>
  <c r="Z3398" i="1" s="1"/>
  <c r="AA3398" i="1"/>
  <c r="AB3398" i="1"/>
  <c r="AC3398" i="1"/>
  <c r="Y3399" i="1"/>
  <c r="Z3399" i="1" a="1"/>
  <c r="Z3399" i="1" s="1"/>
  <c r="AA3399" i="1"/>
  <c r="AB3399" i="1"/>
  <c r="AC3399" i="1" s="1"/>
  <c r="Y3400" i="1"/>
  <c r="Z3400" i="1" a="1"/>
  <c r="Z3400" i="1" s="1"/>
  <c r="AA3400" i="1"/>
  <c r="AB3400" i="1"/>
  <c r="AC3400" i="1"/>
  <c r="Y3401" i="1"/>
  <c r="Z3401" i="1" a="1"/>
  <c r="Z3401" i="1" s="1"/>
  <c r="AA3401" i="1"/>
  <c r="AB3401" i="1"/>
  <c r="AC3401" i="1"/>
  <c r="Y3402" i="1"/>
  <c r="Z3402" i="1" a="1"/>
  <c r="Z3402" i="1" s="1"/>
  <c r="AA3402" i="1"/>
  <c r="AB3402" i="1"/>
  <c r="AC3402" i="1" s="1"/>
  <c r="Y3403" i="1"/>
  <c r="Z3403" i="1" a="1"/>
  <c r="Z3403" i="1" s="1"/>
  <c r="AA3403" i="1"/>
  <c r="AB3403" i="1"/>
  <c r="AC3403" i="1"/>
  <c r="Y3404" i="1"/>
  <c r="Z3404" i="1" a="1"/>
  <c r="Z3404" i="1" s="1"/>
  <c r="AA3404" i="1"/>
  <c r="AB3404" i="1"/>
  <c r="AC3404" i="1" s="1"/>
  <c r="Y3405" i="1"/>
  <c r="Z3405" i="1" a="1"/>
  <c r="Z3405" i="1" s="1"/>
  <c r="AA3405" i="1"/>
  <c r="AB3405" i="1"/>
  <c r="AC3405" i="1"/>
  <c r="Y3406" i="1"/>
  <c r="Z3406" i="1" a="1"/>
  <c r="Z3406" i="1" s="1"/>
  <c r="AA3406" i="1"/>
  <c r="AB3406" i="1"/>
  <c r="AC3406" i="1" s="1"/>
  <c r="Y3407" i="1"/>
  <c r="Z3407" i="1" a="1"/>
  <c r="Z3407" i="1" s="1"/>
  <c r="AA3407" i="1"/>
  <c r="AB3407" i="1"/>
  <c r="AC3407" i="1"/>
  <c r="Y3408" i="1"/>
  <c r="Z3408" i="1" a="1"/>
  <c r="Z3408" i="1" s="1"/>
  <c r="AA3408" i="1"/>
  <c r="AB3408" i="1"/>
  <c r="AC3408" i="1" s="1"/>
  <c r="Y3409" i="1"/>
  <c r="Z3409" i="1" a="1"/>
  <c r="Z3409" i="1" s="1"/>
  <c r="AA3409" i="1"/>
  <c r="AB3409" i="1"/>
  <c r="AC3409" i="1"/>
  <c r="Y3410" i="1"/>
  <c r="Z3410" i="1" a="1"/>
  <c r="Z3410" i="1" s="1"/>
  <c r="AA3410" i="1"/>
  <c r="AB3410" i="1"/>
  <c r="AC3410" i="1" s="1"/>
  <c r="Y3411" i="1"/>
  <c r="Z3411" i="1" a="1"/>
  <c r="Z3411" i="1" s="1"/>
  <c r="AA3411" i="1"/>
  <c r="AB3411" i="1"/>
  <c r="AC3411" i="1" s="1"/>
  <c r="Y3412" i="1"/>
  <c r="Z3412" i="1" a="1"/>
  <c r="Z3412" i="1" s="1"/>
  <c r="AA3412" i="1"/>
  <c r="AB3412" i="1"/>
  <c r="AC3412" i="1" s="1"/>
  <c r="Y3413" i="1"/>
  <c r="Z3413" i="1" a="1"/>
  <c r="Z3413" i="1" s="1"/>
  <c r="AA3413" i="1"/>
  <c r="AB3413" i="1"/>
  <c r="AC3413" i="1"/>
  <c r="Y3414" i="1"/>
  <c r="Z3414" i="1" a="1"/>
  <c r="Z3414" i="1" s="1"/>
  <c r="AA3414" i="1"/>
  <c r="AB3414" i="1"/>
  <c r="AC3414" i="1" s="1"/>
  <c r="Y3415" i="1"/>
  <c r="Z3415" i="1" a="1"/>
  <c r="Z3415" i="1" s="1"/>
  <c r="AA3415" i="1"/>
  <c r="AB3415" i="1"/>
  <c r="AC3415" i="1"/>
  <c r="Y3416" i="1"/>
  <c r="Z3416" i="1" a="1"/>
  <c r="Z3416" i="1" s="1"/>
  <c r="AA3416" i="1"/>
  <c r="AB3416" i="1"/>
  <c r="AC3416" i="1" s="1"/>
  <c r="Y3417" i="1"/>
  <c r="Z3417" i="1" a="1"/>
  <c r="Z3417" i="1" s="1"/>
  <c r="AA3417" i="1"/>
  <c r="AB3417" i="1"/>
  <c r="AC3417" i="1" s="1"/>
  <c r="Y3418" i="1"/>
  <c r="Z3418" i="1" a="1"/>
  <c r="Z3418" i="1" s="1"/>
  <c r="AA3418" i="1"/>
  <c r="AB3418" i="1"/>
  <c r="AC3418" i="1"/>
  <c r="Y3419" i="1"/>
  <c r="Z3419" i="1" a="1"/>
  <c r="Z3419" i="1" s="1"/>
  <c r="AA3419" i="1"/>
  <c r="AB3419" i="1"/>
  <c r="AC3419" i="1"/>
  <c r="Y3420" i="1"/>
  <c r="Z3420" i="1" a="1"/>
  <c r="Z3420" i="1" s="1"/>
  <c r="AA3420" i="1"/>
  <c r="AB3420" i="1"/>
  <c r="AC3420" i="1" s="1"/>
  <c r="Y3421" i="1"/>
  <c r="Z3421" i="1" a="1"/>
  <c r="Z3421" i="1" s="1"/>
  <c r="AA3421" i="1"/>
  <c r="AB3421" i="1"/>
  <c r="AC3421" i="1"/>
  <c r="Y3422" i="1"/>
  <c r="Z3422" i="1" a="1"/>
  <c r="Z3422" i="1" s="1"/>
  <c r="AA3422" i="1"/>
  <c r="AB3422" i="1"/>
  <c r="AC3422" i="1"/>
  <c r="Y3423" i="1"/>
  <c r="Z3423" i="1" a="1"/>
  <c r="Z3423" i="1" s="1"/>
  <c r="AA3423" i="1"/>
  <c r="AB3423" i="1"/>
  <c r="AC3423" i="1" s="1"/>
  <c r="Y3424" i="1"/>
  <c r="Z3424" i="1" a="1"/>
  <c r="Z3424" i="1" s="1"/>
  <c r="AA3424" i="1"/>
  <c r="AB3424" i="1"/>
  <c r="AC3424" i="1"/>
  <c r="Y3425" i="1"/>
  <c r="Z3425" i="1" a="1"/>
  <c r="Z3425" i="1" s="1"/>
  <c r="AA3425" i="1"/>
  <c r="AB3425" i="1"/>
  <c r="AC3425" i="1" s="1"/>
  <c r="Y3426" i="1"/>
  <c r="Z3426" i="1" a="1"/>
  <c r="Z3426" i="1" s="1"/>
  <c r="AA3426" i="1"/>
  <c r="AB3426" i="1"/>
  <c r="AC3426" i="1" s="1"/>
  <c r="Y3427" i="1"/>
  <c r="Z3427" i="1" a="1"/>
  <c r="Z3427" i="1" s="1"/>
  <c r="AA3427" i="1"/>
  <c r="AB3427" i="1"/>
  <c r="AC3427" i="1" s="1"/>
  <c r="Y3428" i="1"/>
  <c r="Z3428" i="1" a="1"/>
  <c r="Z3428" i="1" s="1"/>
  <c r="AA3428" i="1"/>
  <c r="AB3428" i="1"/>
  <c r="AC3428" i="1"/>
  <c r="Y3429" i="1"/>
  <c r="Z3429" i="1" a="1"/>
  <c r="Z3429" i="1" s="1"/>
  <c r="AA3429" i="1"/>
  <c r="AB3429" i="1"/>
  <c r="AC3429" i="1"/>
  <c r="Y3430" i="1"/>
  <c r="Z3430" i="1" a="1"/>
  <c r="Z3430" i="1" s="1"/>
  <c r="AA3430" i="1"/>
  <c r="AB3430" i="1"/>
  <c r="AC3430" i="1" s="1"/>
  <c r="Y3431" i="1"/>
  <c r="Z3431" i="1" a="1"/>
  <c r="Z3431" i="1" s="1"/>
  <c r="AA3431" i="1"/>
  <c r="AB3431" i="1"/>
  <c r="AC3431" i="1" s="1"/>
  <c r="Y3432" i="1"/>
  <c r="Z3432" i="1" a="1"/>
  <c r="Z3432" i="1" s="1"/>
  <c r="AA3432" i="1"/>
  <c r="AB3432" i="1"/>
  <c r="AC3432" i="1" s="1"/>
  <c r="Y3433" i="1"/>
  <c r="Z3433" i="1" a="1"/>
  <c r="Z3433" i="1" s="1"/>
  <c r="AA3433" i="1"/>
  <c r="AB3433" i="1"/>
  <c r="AC3433" i="1"/>
  <c r="Y3434" i="1"/>
  <c r="Z3434" i="1" a="1"/>
  <c r="Z3434" i="1" s="1"/>
  <c r="AA3434" i="1"/>
  <c r="AB3434" i="1"/>
  <c r="AC3434" i="1" s="1"/>
  <c r="Y3435" i="1"/>
  <c r="Z3435" i="1" a="1"/>
  <c r="Z3435" i="1" s="1"/>
  <c r="AA3435" i="1"/>
  <c r="AB3435" i="1"/>
  <c r="AC3435" i="1" s="1"/>
  <c r="Y3436" i="1"/>
  <c r="Z3436" i="1" a="1"/>
  <c r="Z3436" i="1" s="1"/>
  <c r="AA3436" i="1"/>
  <c r="AB3436" i="1"/>
  <c r="AC3436" i="1" s="1"/>
  <c r="Y3437" i="1"/>
  <c r="Z3437" i="1" a="1"/>
  <c r="Z3437" i="1" s="1"/>
  <c r="AA3437" i="1"/>
  <c r="AB3437" i="1"/>
  <c r="AC3437" i="1"/>
  <c r="Y3438" i="1"/>
  <c r="Z3438" i="1" a="1"/>
  <c r="Z3438" i="1"/>
  <c r="AA3438" i="1"/>
  <c r="AB3438" i="1"/>
  <c r="AC3438" i="1"/>
  <c r="Y3439" i="1"/>
  <c r="Z3439" i="1" a="1"/>
  <c r="Z3439" i="1" s="1"/>
  <c r="AA3439" i="1"/>
  <c r="AB3439" i="1"/>
  <c r="AC3439" i="1"/>
  <c r="Y3440" i="1"/>
  <c r="Z3440" i="1" a="1"/>
  <c r="Z3440" i="1" s="1"/>
  <c r="AA3440" i="1"/>
  <c r="AB3440" i="1"/>
  <c r="AC3440" i="1" s="1"/>
  <c r="Y3441" i="1"/>
  <c r="Z3441" i="1" a="1"/>
  <c r="Z3441" i="1" s="1"/>
  <c r="AA3441" i="1"/>
  <c r="AB3441" i="1"/>
  <c r="AC3441" i="1" s="1"/>
  <c r="Y3442" i="1"/>
  <c r="Z3442" i="1" a="1"/>
  <c r="Z3442" i="1" s="1"/>
  <c r="AA3442" i="1"/>
  <c r="AB3442" i="1"/>
  <c r="AC3442" i="1"/>
  <c r="Y3443" i="1"/>
  <c r="Z3443" i="1" a="1"/>
  <c r="Z3443" i="1" s="1"/>
  <c r="AA3443" i="1"/>
  <c r="AB3443" i="1"/>
  <c r="AC3443" i="1"/>
  <c r="Y3444" i="1"/>
  <c r="Z3444" i="1" a="1"/>
  <c r="Z3444" i="1"/>
  <c r="AA3444" i="1"/>
  <c r="AB3444" i="1"/>
  <c r="AC3444" i="1" s="1"/>
  <c r="Y3445" i="1"/>
  <c r="Z3445" i="1" a="1"/>
  <c r="Z3445" i="1" s="1"/>
  <c r="AA3445" i="1"/>
  <c r="AB3445" i="1"/>
  <c r="AC3445" i="1"/>
  <c r="Y3446" i="1"/>
  <c r="Z3446" i="1" a="1"/>
  <c r="Z3446" i="1" s="1"/>
  <c r="AA3446" i="1"/>
  <c r="AB3446" i="1"/>
  <c r="AC3446" i="1"/>
  <c r="Y3447" i="1"/>
  <c r="Z3447" i="1" a="1"/>
  <c r="Z3447" i="1" s="1"/>
  <c r="AA3447" i="1"/>
  <c r="AB3447" i="1"/>
  <c r="AC3447" i="1"/>
  <c r="Y3448" i="1"/>
  <c r="Z3448" i="1" a="1"/>
  <c r="Z3448" i="1" s="1"/>
  <c r="AA3448" i="1"/>
  <c r="AB3448" i="1"/>
  <c r="AC3448" i="1"/>
  <c r="Y3449" i="1"/>
  <c r="Z3449" i="1" a="1"/>
  <c r="Z3449" i="1" s="1"/>
  <c r="AA3449" i="1"/>
  <c r="AB3449" i="1"/>
  <c r="AC3449" i="1"/>
  <c r="Y3450" i="1"/>
  <c r="Z3450" i="1" a="1"/>
  <c r="Z3450" i="1" s="1"/>
  <c r="AA3450" i="1"/>
  <c r="AB3450" i="1"/>
  <c r="AC3450" i="1" s="1"/>
  <c r="Y3451" i="1"/>
  <c r="Z3451" i="1" a="1"/>
  <c r="Z3451" i="1" s="1"/>
  <c r="AA3451" i="1"/>
  <c r="AB3451" i="1"/>
  <c r="AC3451" i="1"/>
  <c r="Y3452" i="1"/>
  <c r="Z3452" i="1" a="1"/>
  <c r="Z3452" i="1" s="1"/>
  <c r="AA3452" i="1"/>
  <c r="AB3452" i="1"/>
  <c r="AC3452" i="1" s="1"/>
  <c r="Y3453" i="1"/>
  <c r="Z3453" i="1" a="1"/>
  <c r="Z3453" i="1" s="1"/>
  <c r="AA3453" i="1"/>
  <c r="AB3453" i="1"/>
  <c r="AC3453" i="1"/>
  <c r="Y3454" i="1"/>
  <c r="Z3454" i="1" a="1"/>
  <c r="Z3454" i="1" s="1"/>
  <c r="AA3454" i="1"/>
  <c r="AB3454" i="1"/>
  <c r="AC3454" i="1"/>
  <c r="Y3455" i="1"/>
  <c r="Z3455" i="1" a="1"/>
  <c r="Z3455" i="1" s="1"/>
  <c r="AA3455" i="1"/>
  <c r="AB3455" i="1"/>
  <c r="AC3455" i="1" s="1"/>
  <c r="Y3456" i="1"/>
  <c r="Z3456" i="1" a="1"/>
  <c r="Z3456" i="1" s="1"/>
  <c r="AA3456" i="1"/>
  <c r="AB3456" i="1"/>
  <c r="AC3456" i="1" s="1"/>
  <c r="Y3457" i="1"/>
  <c r="Z3457" i="1" a="1"/>
  <c r="Z3457" i="1" s="1"/>
  <c r="AA3457" i="1"/>
  <c r="AB3457" i="1"/>
  <c r="AC3457" i="1" s="1"/>
  <c r="Y3458" i="1"/>
  <c r="Z3458" i="1" a="1"/>
  <c r="Z3458" i="1" s="1"/>
  <c r="AA3458" i="1"/>
  <c r="AB3458" i="1"/>
  <c r="AC3458" i="1"/>
  <c r="Y3459" i="1"/>
  <c r="Z3459" i="1" a="1"/>
  <c r="Z3459" i="1" s="1"/>
  <c r="AA3459" i="1"/>
  <c r="AB3459" i="1"/>
  <c r="AC3459" i="1" s="1"/>
  <c r="Y3460" i="1"/>
  <c r="Z3460" i="1" a="1"/>
  <c r="Z3460" i="1" s="1"/>
  <c r="AA3460" i="1"/>
  <c r="AB3460" i="1"/>
  <c r="AC3460" i="1" s="1"/>
  <c r="Y3461" i="1"/>
  <c r="Z3461" i="1" a="1"/>
  <c r="Z3461" i="1" s="1"/>
  <c r="AA3461" i="1"/>
  <c r="AB3461" i="1"/>
  <c r="AC3461" i="1"/>
  <c r="Y3462" i="1"/>
  <c r="Z3462" i="1" a="1"/>
  <c r="Z3462" i="1" s="1"/>
  <c r="AA3462" i="1"/>
  <c r="AB3462" i="1"/>
  <c r="AC3462" i="1" s="1"/>
  <c r="Y3463" i="1"/>
  <c r="Z3463" i="1" a="1"/>
  <c r="Z3463" i="1" s="1"/>
  <c r="AA3463" i="1"/>
  <c r="AB3463" i="1"/>
  <c r="AC3463" i="1"/>
  <c r="Y3464" i="1"/>
  <c r="Z3464" i="1" a="1"/>
  <c r="Z3464" i="1" s="1"/>
  <c r="AA3464" i="1"/>
  <c r="AB3464" i="1"/>
  <c r="AC3464" i="1" s="1"/>
  <c r="Y3465" i="1"/>
  <c r="Z3465" i="1" a="1"/>
  <c r="Z3465" i="1" s="1"/>
  <c r="AA3465" i="1"/>
  <c r="AB3465" i="1"/>
  <c r="AC3465" i="1"/>
  <c r="Y3466" i="1"/>
  <c r="Z3466" i="1" a="1"/>
  <c r="Z3466" i="1" s="1"/>
  <c r="AA3466" i="1"/>
  <c r="AB3466" i="1"/>
  <c r="AC3466" i="1" s="1"/>
  <c r="Y3467" i="1"/>
  <c r="Z3467" i="1" a="1"/>
  <c r="Z3467" i="1" s="1"/>
  <c r="AA3467" i="1"/>
  <c r="AB3467" i="1"/>
  <c r="AC3467" i="1"/>
  <c r="Y3468" i="1"/>
  <c r="Z3468" i="1" a="1"/>
  <c r="Z3468" i="1" s="1"/>
  <c r="AA3468" i="1"/>
  <c r="AB3468" i="1"/>
  <c r="AC3468" i="1"/>
  <c r="Y3469" i="1"/>
  <c r="Z3469" i="1" a="1"/>
  <c r="Z3469" i="1" s="1"/>
  <c r="AA3469" i="1"/>
  <c r="AB3469" i="1"/>
  <c r="AC3469" i="1"/>
  <c r="Y3470" i="1"/>
  <c r="Z3470" i="1" a="1"/>
  <c r="Z3470" i="1" s="1"/>
  <c r="AA3470" i="1"/>
  <c r="AB3470" i="1"/>
  <c r="AC3470" i="1"/>
  <c r="Y3471" i="1"/>
  <c r="Z3471" i="1" a="1"/>
  <c r="Z3471" i="1" s="1"/>
  <c r="AA3471" i="1"/>
  <c r="AB3471" i="1"/>
  <c r="AC3471" i="1" s="1"/>
  <c r="Y3472" i="1"/>
  <c r="Z3472" i="1" a="1"/>
  <c r="Z3472" i="1" s="1"/>
  <c r="AA3472" i="1"/>
  <c r="AB3472" i="1"/>
  <c r="AC3472" i="1"/>
  <c r="Y3473" i="1"/>
  <c r="Z3473" i="1" a="1"/>
  <c r="Z3473" i="1" s="1"/>
  <c r="AA3473" i="1"/>
  <c r="AB3473" i="1"/>
  <c r="AC3473" i="1" s="1"/>
  <c r="Y3474" i="1"/>
  <c r="Z3474" i="1" a="1"/>
  <c r="Z3474" i="1" s="1"/>
  <c r="AA3474" i="1"/>
  <c r="AB3474" i="1"/>
  <c r="AC3474" i="1"/>
  <c r="Y3475" i="1"/>
  <c r="Z3475" i="1" a="1"/>
  <c r="Z3475" i="1" s="1"/>
  <c r="AA3475" i="1"/>
  <c r="AB3475" i="1"/>
  <c r="AC3475" i="1" s="1"/>
  <c r="Y3476" i="1"/>
  <c r="Z3476" i="1" a="1"/>
  <c r="Z3476" i="1" s="1"/>
  <c r="AA3476" i="1"/>
  <c r="AB3476" i="1"/>
  <c r="AC3476" i="1"/>
  <c r="Y3477" i="1"/>
  <c r="Z3477" i="1" a="1"/>
  <c r="Z3477" i="1" s="1"/>
  <c r="AA3477" i="1"/>
  <c r="AB3477" i="1"/>
  <c r="AC3477" i="1"/>
  <c r="Y3478" i="1"/>
  <c r="Z3478" i="1" a="1"/>
  <c r="Z3478" i="1" s="1"/>
  <c r="AA3478" i="1"/>
  <c r="AB3478" i="1"/>
  <c r="AC3478" i="1" s="1"/>
  <c r="Y3479" i="1"/>
  <c r="Z3479" i="1" a="1"/>
  <c r="Z3479" i="1" s="1"/>
  <c r="AA3479" i="1"/>
  <c r="AB3479" i="1"/>
  <c r="AC3479" i="1" s="1"/>
  <c r="Y3480" i="1"/>
  <c r="Z3480" i="1" a="1"/>
  <c r="Z3480" i="1" s="1"/>
  <c r="AA3480" i="1"/>
  <c r="AB3480" i="1"/>
  <c r="AC3480" i="1" s="1"/>
  <c r="Y3481" i="1"/>
  <c r="Z3481" i="1" a="1"/>
  <c r="Z3481" i="1" s="1"/>
  <c r="AA3481" i="1"/>
  <c r="AB3481" i="1"/>
  <c r="AC3481" i="1"/>
  <c r="Y3482" i="1"/>
  <c r="Z3482" i="1" a="1"/>
  <c r="Z3482" i="1" s="1"/>
  <c r="AA3482" i="1"/>
  <c r="AB3482" i="1"/>
  <c r="AC3482" i="1" s="1"/>
  <c r="Y3483" i="1"/>
  <c r="Z3483" i="1" a="1"/>
  <c r="Z3483" i="1" s="1"/>
  <c r="AA3483" i="1"/>
  <c r="AB3483" i="1"/>
  <c r="AC3483" i="1"/>
  <c r="Y3484" i="1"/>
  <c r="Z3484" i="1" a="1"/>
  <c r="Z3484" i="1" s="1"/>
  <c r="AA3484" i="1"/>
  <c r="AB3484" i="1"/>
  <c r="AC3484" i="1"/>
  <c r="Y3485" i="1"/>
  <c r="Z3485" i="1" a="1"/>
  <c r="Z3485" i="1" s="1"/>
  <c r="AA3485" i="1"/>
  <c r="AB3485" i="1"/>
  <c r="AC3485" i="1"/>
  <c r="Y3486" i="1"/>
  <c r="Z3486" i="1" a="1"/>
  <c r="Z3486" i="1" s="1"/>
  <c r="AA3486" i="1"/>
  <c r="AB3486" i="1"/>
  <c r="AC3486" i="1"/>
  <c r="Y3487" i="1"/>
  <c r="Z3487" i="1" a="1"/>
  <c r="Z3487" i="1" s="1"/>
  <c r="AA3487" i="1"/>
  <c r="AB3487" i="1"/>
  <c r="AC3487" i="1"/>
  <c r="Y3488" i="1"/>
  <c r="Z3488" i="1" a="1"/>
  <c r="Z3488" i="1" s="1"/>
  <c r="AA3488" i="1"/>
  <c r="AB3488" i="1"/>
  <c r="AC3488" i="1"/>
  <c r="Y3489" i="1"/>
  <c r="Z3489" i="1" a="1"/>
  <c r="Z3489" i="1" s="1"/>
  <c r="AA3489" i="1"/>
  <c r="AB3489" i="1"/>
  <c r="AC3489" i="1" s="1"/>
  <c r="Y3490" i="1"/>
  <c r="Z3490" i="1" a="1"/>
  <c r="Z3490" i="1" s="1"/>
  <c r="AA3490" i="1"/>
  <c r="AB3490" i="1"/>
  <c r="AC3490" i="1" s="1"/>
  <c r="Y3491" i="1"/>
  <c r="Z3491" i="1" a="1"/>
  <c r="Z3491" i="1" s="1"/>
  <c r="AA3491" i="1"/>
  <c r="AB3491" i="1"/>
  <c r="AC3491" i="1"/>
  <c r="Y3492" i="1"/>
  <c r="Z3492" i="1" a="1"/>
  <c r="Z3492" i="1" s="1"/>
  <c r="AA3492" i="1"/>
  <c r="AB3492" i="1"/>
  <c r="AC3492" i="1" s="1"/>
  <c r="Y3493" i="1"/>
  <c r="Z3493" i="1" a="1"/>
  <c r="Z3493" i="1" s="1"/>
  <c r="AA3493" i="1"/>
  <c r="AB3493" i="1"/>
  <c r="AC3493" i="1"/>
  <c r="Y3494" i="1"/>
  <c r="Z3494" i="1" a="1"/>
  <c r="Z3494" i="1" s="1"/>
  <c r="AA3494" i="1"/>
  <c r="AB3494" i="1"/>
  <c r="AC3494" i="1" s="1"/>
  <c r="Y3495" i="1"/>
  <c r="Z3495" i="1" a="1"/>
  <c r="Z3495" i="1" s="1"/>
  <c r="AA3495" i="1"/>
  <c r="AB3495" i="1"/>
  <c r="AC3495" i="1"/>
  <c r="Y3496" i="1"/>
  <c r="Z3496" i="1" a="1"/>
  <c r="Z3496" i="1" s="1"/>
  <c r="AA3496" i="1"/>
  <c r="AB3496" i="1"/>
  <c r="AC3496" i="1" s="1"/>
  <c r="Y3497" i="1"/>
  <c r="Z3497" i="1" a="1"/>
  <c r="Z3497" i="1" s="1"/>
  <c r="AA3497" i="1"/>
  <c r="AB3497" i="1"/>
  <c r="AC3497" i="1"/>
  <c r="Y3498" i="1"/>
  <c r="Z3498" i="1" a="1"/>
  <c r="Z3498" i="1" s="1"/>
  <c r="AA3498" i="1"/>
  <c r="AB3498" i="1"/>
  <c r="AC3498" i="1"/>
  <c r="Y3499" i="1"/>
  <c r="Z3499" i="1" a="1"/>
  <c r="Z3499" i="1" s="1"/>
  <c r="AA3499" i="1"/>
  <c r="AB3499" i="1"/>
  <c r="AC3499" i="1" s="1"/>
  <c r="Y3500" i="1"/>
  <c r="Z3500" i="1" a="1"/>
  <c r="Z3500" i="1" s="1"/>
  <c r="AA3500" i="1"/>
  <c r="AB3500" i="1"/>
  <c r="AC3500" i="1"/>
  <c r="Y3501" i="1"/>
  <c r="Z3501" i="1" a="1"/>
  <c r="Z3501" i="1" s="1"/>
  <c r="AA3501" i="1"/>
  <c r="AB3501" i="1"/>
  <c r="AC3501" i="1"/>
  <c r="Y3502" i="1"/>
  <c r="Z3502" i="1" a="1"/>
  <c r="Z3502" i="1" s="1"/>
  <c r="AA3502" i="1"/>
  <c r="AB3502" i="1"/>
  <c r="AC3502" i="1"/>
  <c r="Y3503" i="1"/>
  <c r="Z3503" i="1" a="1"/>
  <c r="Z3503" i="1" s="1"/>
  <c r="AA3503" i="1"/>
  <c r="AB3503" i="1"/>
  <c r="AC3503" i="1"/>
  <c r="Y3504" i="1"/>
  <c r="Z3504" i="1" a="1"/>
  <c r="Z3504" i="1" s="1"/>
  <c r="AA3504" i="1"/>
  <c r="AB3504" i="1"/>
  <c r="AC3504" i="1"/>
  <c r="Y3505" i="1"/>
  <c r="Z3505" i="1" a="1"/>
  <c r="Z3505" i="1" s="1"/>
  <c r="AA3505" i="1"/>
  <c r="AB3505" i="1"/>
  <c r="AC3505" i="1" s="1"/>
  <c r="Y3506" i="1"/>
  <c r="Z3506" i="1" a="1"/>
  <c r="Z3506" i="1" s="1"/>
  <c r="AA3506" i="1"/>
  <c r="AB3506" i="1"/>
  <c r="AC3506" i="1" s="1"/>
  <c r="Y3507" i="1"/>
  <c r="Z3507" i="1" a="1"/>
  <c r="Z3507" i="1" s="1"/>
  <c r="AA3507" i="1"/>
  <c r="AB3507" i="1"/>
  <c r="AC3507" i="1"/>
  <c r="Y3508" i="1"/>
  <c r="Z3508" i="1" a="1"/>
  <c r="Z3508" i="1" s="1"/>
  <c r="AA3508" i="1"/>
  <c r="AB3508" i="1"/>
  <c r="AC3508" i="1" s="1"/>
  <c r="Y3509" i="1"/>
  <c r="Z3509" i="1" a="1"/>
  <c r="Z3509" i="1" s="1"/>
  <c r="AA3509" i="1"/>
  <c r="AB3509" i="1"/>
  <c r="AC3509" i="1"/>
  <c r="Y3510" i="1"/>
  <c r="Z3510" i="1" a="1"/>
  <c r="Z3510" i="1" s="1"/>
  <c r="AA3510" i="1"/>
  <c r="AB3510" i="1"/>
  <c r="AC3510" i="1"/>
  <c r="Y3511" i="1"/>
  <c r="Z3511" i="1" a="1"/>
  <c r="Z3511" i="1" s="1"/>
  <c r="AA3511" i="1"/>
  <c r="AB3511" i="1"/>
  <c r="AC3511" i="1" s="1"/>
  <c r="Y3512" i="1"/>
  <c r="Z3512" i="1" a="1"/>
  <c r="Z3512" i="1" s="1"/>
  <c r="AA3512" i="1"/>
  <c r="AB3512" i="1"/>
  <c r="AC3512" i="1" s="1"/>
  <c r="Y3513" i="1"/>
  <c r="Z3513" i="1" a="1"/>
  <c r="Z3513" i="1" s="1"/>
  <c r="AA3513" i="1"/>
  <c r="AB3513" i="1"/>
  <c r="AC3513" i="1" s="1"/>
  <c r="Y3514" i="1"/>
  <c r="Z3514" i="1" a="1"/>
  <c r="Z3514" i="1" s="1"/>
  <c r="AA3514" i="1"/>
  <c r="AB3514" i="1"/>
  <c r="AC3514" i="1" s="1"/>
  <c r="Y3515" i="1"/>
  <c r="Z3515" i="1" a="1"/>
  <c r="Z3515" i="1" s="1"/>
  <c r="AA3515" i="1"/>
  <c r="AB3515" i="1"/>
  <c r="AC3515" i="1" s="1"/>
  <c r="Y3516" i="1"/>
  <c r="Z3516" i="1" a="1"/>
  <c r="Z3516" i="1" s="1"/>
  <c r="AA3516" i="1"/>
  <c r="AB3516" i="1"/>
  <c r="AC3516" i="1"/>
  <c r="Y3517" i="1"/>
  <c r="Z3517" i="1" a="1"/>
  <c r="Z3517" i="1" s="1"/>
  <c r="AA3517" i="1"/>
  <c r="AB3517" i="1"/>
  <c r="AC3517" i="1"/>
  <c r="Y3518" i="1"/>
  <c r="Z3518" i="1" a="1"/>
  <c r="Z3518" i="1" s="1"/>
  <c r="AA3518" i="1"/>
  <c r="AB3518" i="1"/>
  <c r="AC3518" i="1" s="1"/>
  <c r="Y3519" i="1"/>
  <c r="Z3519" i="1" a="1"/>
  <c r="Z3519" i="1" s="1"/>
  <c r="AA3519" i="1"/>
  <c r="AB3519" i="1"/>
  <c r="AC3519" i="1"/>
  <c r="Y3520" i="1"/>
  <c r="Z3520" i="1" a="1"/>
  <c r="Z3520" i="1" s="1"/>
  <c r="AA3520" i="1"/>
  <c r="AB3520" i="1"/>
  <c r="AC3520" i="1" s="1"/>
  <c r="Y3521" i="1"/>
  <c r="Z3521" i="1" a="1"/>
  <c r="Z3521" i="1" s="1"/>
  <c r="AA3521" i="1"/>
  <c r="AB3521" i="1"/>
  <c r="AC3521" i="1"/>
  <c r="Y3522" i="1"/>
  <c r="Z3522" i="1" a="1"/>
  <c r="Z3522" i="1" s="1"/>
  <c r="AA3522" i="1"/>
  <c r="AB3522" i="1"/>
  <c r="AC3522" i="1" s="1"/>
  <c r="Y3523" i="1"/>
  <c r="Z3523" i="1" a="1"/>
  <c r="Z3523" i="1" s="1"/>
  <c r="AA3523" i="1"/>
  <c r="AB3523" i="1"/>
  <c r="AC3523" i="1"/>
  <c r="Y3524" i="1"/>
  <c r="Z3524" i="1" a="1"/>
  <c r="Z3524" i="1" s="1"/>
  <c r="AA3524" i="1"/>
  <c r="AB3524" i="1"/>
  <c r="AC3524" i="1" s="1"/>
  <c r="Y3525" i="1"/>
  <c r="Z3525" i="1" a="1"/>
  <c r="Z3525" i="1" s="1"/>
  <c r="AA3525" i="1"/>
  <c r="AB3525" i="1"/>
  <c r="AC3525" i="1"/>
  <c r="Y3526" i="1"/>
  <c r="Z3526" i="1" a="1"/>
  <c r="Z3526" i="1" s="1"/>
  <c r="AA3526" i="1"/>
  <c r="AB3526" i="1"/>
  <c r="AC3526" i="1"/>
  <c r="Y3527" i="1"/>
  <c r="Z3527" i="1" a="1"/>
  <c r="Z3527" i="1" s="1"/>
  <c r="AA3527" i="1"/>
  <c r="AB3527" i="1"/>
  <c r="AC3527" i="1" s="1"/>
  <c r="Y3528" i="1"/>
  <c r="Z3528" i="1" a="1"/>
  <c r="Z3528" i="1" s="1"/>
  <c r="AA3528" i="1"/>
  <c r="AB3528" i="1"/>
  <c r="AC3528" i="1"/>
  <c r="Y3529" i="1"/>
  <c r="Z3529" i="1" a="1"/>
  <c r="Z3529" i="1" s="1"/>
  <c r="AA3529" i="1"/>
  <c r="AB3529" i="1"/>
  <c r="AC3529" i="1" s="1"/>
  <c r="Y3530" i="1"/>
  <c r="Z3530" i="1" a="1"/>
  <c r="Z3530" i="1" s="1"/>
  <c r="AA3530" i="1"/>
  <c r="AB3530" i="1"/>
  <c r="AC3530" i="1"/>
  <c r="Y3531" i="1"/>
  <c r="Z3531" i="1" a="1"/>
  <c r="Z3531" i="1" s="1"/>
  <c r="AA3531" i="1"/>
  <c r="AB3531" i="1"/>
  <c r="AC3531" i="1" s="1"/>
  <c r="Y3532" i="1"/>
  <c r="Z3532" i="1" a="1"/>
  <c r="Z3532" i="1" s="1"/>
  <c r="AA3532" i="1"/>
  <c r="AB3532" i="1"/>
  <c r="AC3532" i="1"/>
  <c r="Y3533" i="1"/>
  <c r="Z3533" i="1" a="1"/>
  <c r="Z3533" i="1" s="1"/>
  <c r="AA3533" i="1"/>
  <c r="AB3533" i="1"/>
  <c r="AC3533" i="1"/>
  <c r="Y3534" i="1"/>
  <c r="Z3534" i="1" a="1"/>
  <c r="Z3534" i="1" s="1"/>
  <c r="AA3534" i="1"/>
  <c r="AB3534" i="1"/>
  <c r="AC3534" i="1" s="1"/>
  <c r="Y3535" i="1"/>
  <c r="Z3535" i="1" a="1"/>
  <c r="Z3535" i="1" s="1"/>
  <c r="AA3535" i="1"/>
  <c r="AB3535" i="1"/>
  <c r="AC3535" i="1"/>
  <c r="Y3536" i="1"/>
  <c r="Z3536" i="1" a="1"/>
  <c r="Z3536" i="1" s="1"/>
  <c r="AA3536" i="1"/>
  <c r="AB3536" i="1"/>
  <c r="AC3536" i="1" s="1"/>
  <c r="Y3537" i="1"/>
  <c r="Z3537" i="1" a="1"/>
  <c r="Z3537" i="1" s="1"/>
  <c r="AA3537" i="1"/>
  <c r="AB3537" i="1"/>
  <c r="AC3537" i="1"/>
  <c r="Y3538" i="1"/>
  <c r="Z3538" i="1" a="1"/>
  <c r="Z3538" i="1" s="1"/>
  <c r="AA3538" i="1"/>
  <c r="AB3538" i="1"/>
  <c r="AC3538" i="1" s="1"/>
  <c r="Y3539" i="1"/>
  <c r="Z3539" i="1" a="1"/>
  <c r="Z3539" i="1" s="1"/>
  <c r="AA3539" i="1"/>
  <c r="AB3539" i="1"/>
  <c r="AC3539" i="1" s="1"/>
  <c r="Y3540" i="1"/>
  <c r="Z3540" i="1" a="1"/>
  <c r="Z3540" i="1" s="1"/>
  <c r="AA3540" i="1"/>
  <c r="AB3540" i="1"/>
  <c r="AC3540" i="1"/>
  <c r="Y3541" i="1"/>
  <c r="Z3541" i="1" a="1"/>
  <c r="Z3541" i="1" s="1"/>
  <c r="AA3541" i="1"/>
  <c r="AB3541" i="1"/>
  <c r="AC3541" i="1"/>
  <c r="Y3542" i="1"/>
  <c r="Z3542" i="1" a="1"/>
  <c r="Z3542" i="1" s="1"/>
  <c r="AA3542" i="1"/>
  <c r="AB3542" i="1"/>
  <c r="AC3542" i="1"/>
  <c r="Y3543" i="1"/>
  <c r="Z3543" i="1" a="1"/>
  <c r="Z3543" i="1" s="1"/>
  <c r="AA3543" i="1"/>
  <c r="AB3543" i="1"/>
  <c r="AC3543" i="1" s="1"/>
  <c r="Y3544" i="1"/>
  <c r="Z3544" i="1" a="1"/>
  <c r="Z3544" i="1" s="1"/>
  <c r="AA3544" i="1"/>
  <c r="AB3544" i="1"/>
  <c r="AC3544" i="1" s="1"/>
  <c r="Y3545" i="1"/>
  <c r="Z3545" i="1" a="1"/>
  <c r="Z3545" i="1" s="1"/>
  <c r="AA3545" i="1"/>
  <c r="AB3545" i="1"/>
  <c r="AC3545" i="1" s="1"/>
  <c r="Y3546" i="1"/>
  <c r="Z3546" i="1" a="1"/>
  <c r="Z3546" i="1" s="1"/>
  <c r="AA3546" i="1"/>
  <c r="AB3546" i="1"/>
  <c r="AC3546" i="1"/>
  <c r="Y3547" i="1"/>
  <c r="Z3547" i="1" a="1"/>
  <c r="Z3547" i="1" s="1"/>
  <c r="AA3547" i="1"/>
  <c r="AB3547" i="1"/>
  <c r="AC3547" i="1"/>
  <c r="Y3548" i="1"/>
  <c r="Z3548" i="1" a="1"/>
  <c r="Z3548" i="1" s="1"/>
  <c r="AA3548" i="1"/>
  <c r="AB3548" i="1"/>
  <c r="AC3548" i="1" s="1"/>
  <c r="Y3549" i="1"/>
  <c r="Z3549" i="1" a="1"/>
  <c r="Z3549" i="1" s="1"/>
  <c r="AA3549" i="1"/>
  <c r="AB3549" i="1"/>
  <c r="AC3549" i="1"/>
  <c r="Y3550" i="1"/>
  <c r="Z3550" i="1" a="1"/>
  <c r="Z3550" i="1" s="1"/>
  <c r="AA3550" i="1"/>
  <c r="AB3550" i="1"/>
  <c r="AC3550" i="1" s="1"/>
  <c r="Y3551" i="1"/>
  <c r="Z3551" i="1" a="1"/>
  <c r="Z3551" i="1" s="1"/>
  <c r="AA3551" i="1"/>
  <c r="AB3551" i="1"/>
  <c r="AC3551" i="1"/>
  <c r="Y3552" i="1"/>
  <c r="Z3552" i="1" a="1"/>
  <c r="Z3552" i="1" s="1"/>
  <c r="AA3552" i="1"/>
  <c r="AB3552" i="1"/>
  <c r="AC3552" i="1" s="1"/>
  <c r="Y3553" i="1"/>
  <c r="Z3553" i="1" a="1"/>
  <c r="Z3553" i="1" s="1"/>
  <c r="AA3553" i="1"/>
  <c r="AB3553" i="1"/>
  <c r="AC3553" i="1"/>
  <c r="Y3554" i="1"/>
  <c r="Z3554" i="1" a="1"/>
  <c r="Z3554" i="1" s="1"/>
  <c r="AA3554" i="1"/>
  <c r="AB3554" i="1"/>
  <c r="AC3554" i="1" s="1"/>
  <c r="Y3555" i="1"/>
  <c r="Z3555" i="1" a="1"/>
  <c r="Z3555" i="1" s="1"/>
  <c r="AA3555" i="1"/>
  <c r="AB3555" i="1"/>
  <c r="AC3555" i="1"/>
  <c r="Y3556" i="1"/>
  <c r="Z3556" i="1" a="1"/>
  <c r="Z3556" i="1" s="1"/>
  <c r="AA3556" i="1"/>
  <c r="AB3556" i="1"/>
  <c r="AC3556" i="1"/>
  <c r="Y3557" i="1"/>
  <c r="Z3557" i="1" a="1"/>
  <c r="Z3557" i="1" s="1"/>
  <c r="AA3557" i="1"/>
  <c r="AB3557" i="1"/>
  <c r="AC3557" i="1"/>
  <c r="Y3558" i="1"/>
  <c r="Z3558" i="1" a="1"/>
  <c r="Z3558" i="1" s="1"/>
  <c r="AA3558" i="1"/>
  <c r="AB3558" i="1"/>
  <c r="AC3558" i="1"/>
  <c r="Y3559" i="1"/>
  <c r="Z3559" i="1" a="1"/>
  <c r="Z3559" i="1" s="1"/>
  <c r="AA3559" i="1"/>
  <c r="AB3559" i="1"/>
  <c r="AC3559" i="1"/>
  <c r="Y3560" i="1"/>
  <c r="Z3560" i="1" a="1"/>
  <c r="Z3560" i="1" s="1"/>
  <c r="AA3560" i="1"/>
  <c r="AB3560" i="1"/>
  <c r="AC3560" i="1"/>
  <c r="Y3561" i="1"/>
  <c r="Z3561" i="1" a="1"/>
  <c r="Z3561" i="1" s="1"/>
  <c r="AA3561" i="1"/>
  <c r="AB3561" i="1"/>
  <c r="AC3561" i="1" s="1"/>
  <c r="Y3562" i="1"/>
  <c r="Z3562" i="1" a="1"/>
  <c r="Z3562" i="1" s="1"/>
  <c r="AA3562" i="1"/>
  <c r="AB3562" i="1"/>
  <c r="AC3562" i="1" s="1"/>
  <c r="Y3563" i="1"/>
  <c r="Z3563" i="1" a="1"/>
  <c r="Z3563" i="1" s="1"/>
  <c r="AA3563" i="1"/>
  <c r="AB3563" i="1"/>
  <c r="AC3563" i="1"/>
  <c r="Y3564" i="1"/>
  <c r="Z3564" i="1" a="1"/>
  <c r="Z3564" i="1" s="1"/>
  <c r="AA3564" i="1"/>
  <c r="AB3564" i="1"/>
  <c r="AC3564" i="1" s="1"/>
  <c r="Y3565" i="1"/>
  <c r="Z3565" i="1" a="1"/>
  <c r="Z3565" i="1" s="1"/>
  <c r="AA3565" i="1"/>
  <c r="AB3565" i="1"/>
  <c r="AC3565" i="1"/>
  <c r="Y3566" i="1"/>
  <c r="Z3566" i="1" a="1"/>
  <c r="Z3566" i="1" s="1"/>
  <c r="AA3566" i="1"/>
  <c r="AB3566" i="1"/>
  <c r="AC3566" i="1"/>
  <c r="Y3567" i="1"/>
  <c r="Z3567" i="1" a="1"/>
  <c r="Z3567" i="1" s="1"/>
  <c r="AA3567" i="1"/>
  <c r="AB3567" i="1"/>
  <c r="AC3567" i="1" s="1"/>
  <c r="Y3568" i="1"/>
  <c r="Z3568" i="1" a="1"/>
  <c r="Z3568" i="1" s="1"/>
  <c r="AA3568" i="1"/>
  <c r="AB3568" i="1"/>
  <c r="AC3568" i="1" s="1"/>
  <c r="Y3569" i="1"/>
  <c r="Z3569" i="1" a="1"/>
  <c r="Z3569" i="1" s="1"/>
  <c r="AA3569" i="1"/>
  <c r="AB3569" i="1"/>
  <c r="AC3569" i="1" s="1"/>
  <c r="Y3570" i="1"/>
  <c r="Z3570" i="1" a="1"/>
  <c r="Z3570" i="1" s="1"/>
  <c r="AA3570" i="1"/>
  <c r="AB3570" i="1"/>
  <c r="AC3570" i="1"/>
  <c r="Y3571" i="1"/>
  <c r="Z3571" i="1" a="1"/>
  <c r="Z3571" i="1" s="1"/>
  <c r="AA3571" i="1"/>
  <c r="AB3571" i="1"/>
  <c r="AC3571" i="1" s="1"/>
  <c r="Y3572" i="1"/>
  <c r="Z3572" i="1" a="1"/>
  <c r="Z3572" i="1" s="1"/>
  <c r="AA3572" i="1"/>
  <c r="AB3572" i="1"/>
  <c r="AC3572" i="1"/>
  <c r="Y3573" i="1"/>
  <c r="Z3573" i="1" a="1"/>
  <c r="Z3573" i="1" s="1"/>
  <c r="AA3573" i="1"/>
  <c r="AB3573" i="1"/>
  <c r="AC3573" i="1"/>
  <c r="Y3574" i="1"/>
  <c r="Z3574" i="1" a="1"/>
  <c r="Z3574" i="1" s="1"/>
  <c r="AA3574" i="1"/>
  <c r="AB3574" i="1"/>
  <c r="AC3574" i="1"/>
  <c r="Y3575" i="1"/>
  <c r="Z3575" i="1" a="1"/>
  <c r="Z3575" i="1" s="1"/>
  <c r="AA3575" i="1"/>
  <c r="AB3575" i="1"/>
  <c r="AC3575" i="1"/>
  <c r="Y3576" i="1"/>
  <c r="Z3576" i="1" a="1"/>
  <c r="Z3576" i="1" s="1"/>
  <c r="AA3576" i="1"/>
  <c r="AB3576" i="1"/>
  <c r="AC3576" i="1"/>
  <c r="Y3577" i="1"/>
  <c r="Z3577" i="1" a="1"/>
  <c r="Z3577" i="1" s="1"/>
  <c r="AA3577" i="1"/>
  <c r="AB3577" i="1"/>
  <c r="AC3577" i="1"/>
  <c r="Y3578" i="1"/>
  <c r="Z3578" i="1" a="1"/>
  <c r="Z3578" i="1" s="1"/>
  <c r="AA3578" i="1"/>
  <c r="AB3578" i="1"/>
  <c r="AC3578" i="1" s="1"/>
  <c r="Y3579" i="1"/>
  <c r="Z3579" i="1" a="1"/>
  <c r="Z3579" i="1" s="1"/>
  <c r="AA3579" i="1"/>
  <c r="AB3579" i="1"/>
  <c r="AC3579" i="1"/>
  <c r="Y3580" i="1"/>
  <c r="Z3580" i="1" a="1"/>
  <c r="Z3580" i="1" s="1"/>
  <c r="AA3580" i="1"/>
  <c r="AB3580" i="1"/>
  <c r="AC3580" i="1" s="1"/>
  <c r="Y3581" i="1"/>
  <c r="Z3581" i="1" a="1"/>
  <c r="Z3581" i="1" s="1"/>
  <c r="AA3581" i="1"/>
  <c r="AB3581" i="1"/>
  <c r="AC3581" i="1"/>
  <c r="Y3582" i="1"/>
  <c r="Z3582" i="1" a="1"/>
  <c r="Z3582" i="1" s="1"/>
  <c r="AA3582" i="1"/>
  <c r="AB3582" i="1"/>
  <c r="AC3582" i="1" s="1"/>
  <c r="Y3583" i="1"/>
  <c r="Z3583" i="1" a="1"/>
  <c r="Z3583" i="1" s="1"/>
  <c r="AA3583" i="1"/>
  <c r="AB3583" i="1"/>
  <c r="AC3583" i="1" s="1"/>
  <c r="Y3584" i="1"/>
  <c r="Z3584" i="1" a="1"/>
  <c r="Z3584" i="1" s="1"/>
  <c r="AA3584" i="1"/>
  <c r="AB3584" i="1"/>
  <c r="AC3584" i="1" s="1"/>
  <c r="Y3585" i="1"/>
  <c r="Z3585" i="1" a="1"/>
  <c r="Z3585" i="1" s="1"/>
  <c r="AA3585" i="1"/>
  <c r="AB3585" i="1"/>
  <c r="AC3585" i="1" s="1"/>
  <c r="Y3586" i="1"/>
  <c r="Z3586" i="1" a="1"/>
  <c r="Z3586" i="1" s="1"/>
  <c r="AA3586" i="1"/>
  <c r="AB3586" i="1"/>
  <c r="AC3586" i="1"/>
  <c r="Y3587" i="1"/>
  <c r="Z3587" i="1" a="1"/>
  <c r="Z3587" i="1" s="1"/>
  <c r="AA3587" i="1"/>
  <c r="AB3587" i="1"/>
  <c r="AC3587" i="1" s="1"/>
  <c r="Y3588" i="1"/>
  <c r="Z3588" i="1" a="1"/>
  <c r="Z3588" i="1" s="1"/>
  <c r="AA3588" i="1"/>
  <c r="AB3588" i="1"/>
  <c r="AC3588" i="1"/>
  <c r="Y3589" i="1"/>
  <c r="Z3589" i="1" a="1"/>
  <c r="Z3589" i="1" s="1"/>
  <c r="AA3589" i="1"/>
  <c r="AB3589" i="1"/>
  <c r="AC3589" i="1"/>
  <c r="Y3590" i="1"/>
  <c r="Z3590" i="1" a="1"/>
  <c r="Z3590" i="1" s="1"/>
  <c r="AA3590" i="1"/>
  <c r="AB3590" i="1"/>
  <c r="AC3590" i="1" s="1"/>
  <c r="Y3591" i="1"/>
  <c r="Z3591" i="1" a="1"/>
  <c r="Z3591" i="1" s="1"/>
  <c r="AA3591" i="1"/>
  <c r="AB3591" i="1"/>
  <c r="AC3591" i="1"/>
  <c r="Y3592" i="1"/>
  <c r="Z3592" i="1" a="1"/>
  <c r="Z3592" i="1" s="1"/>
  <c r="AA3592" i="1"/>
  <c r="AB3592" i="1"/>
  <c r="AC3592" i="1" s="1"/>
  <c r="Y3593" i="1"/>
  <c r="Z3593" i="1" a="1"/>
  <c r="Z3593" i="1" s="1"/>
  <c r="AA3593" i="1"/>
  <c r="AB3593" i="1"/>
  <c r="AC3593" i="1" s="1"/>
  <c r="Y3594" i="1"/>
  <c r="Z3594" i="1" a="1"/>
  <c r="Z3594" i="1" s="1"/>
  <c r="AA3594" i="1"/>
  <c r="AB3594" i="1"/>
  <c r="AC3594" i="1" s="1"/>
  <c r="Y3595" i="1"/>
  <c r="Z3595" i="1" a="1"/>
  <c r="Z3595" i="1" s="1"/>
  <c r="AA3595" i="1"/>
  <c r="AB3595" i="1"/>
  <c r="AC3595" i="1"/>
  <c r="Y3596" i="1"/>
  <c r="Z3596" i="1" a="1"/>
  <c r="Z3596" i="1" s="1"/>
  <c r="AA3596" i="1"/>
  <c r="AB3596" i="1"/>
  <c r="AC3596" i="1"/>
  <c r="Y3597" i="1"/>
  <c r="Z3597" i="1" a="1"/>
  <c r="Z3597" i="1" s="1"/>
  <c r="AA3597" i="1"/>
  <c r="AB3597" i="1"/>
  <c r="AC3597" i="1"/>
  <c r="Y3598" i="1"/>
  <c r="Z3598" i="1" a="1"/>
  <c r="Z3598" i="1" s="1"/>
  <c r="AA3598" i="1"/>
  <c r="AB3598" i="1"/>
  <c r="AC3598" i="1"/>
  <c r="Y3599" i="1"/>
  <c r="Z3599" i="1" a="1"/>
  <c r="Z3599" i="1" s="1"/>
  <c r="AA3599" i="1"/>
  <c r="AB3599" i="1"/>
  <c r="AC3599" i="1" s="1"/>
  <c r="Y3600" i="1"/>
  <c r="Z3600" i="1" a="1"/>
  <c r="Z3600" i="1" s="1"/>
  <c r="AA3600" i="1"/>
  <c r="AB3600" i="1"/>
  <c r="AC3600" i="1"/>
  <c r="Y3601" i="1"/>
  <c r="Z3601" i="1" a="1"/>
  <c r="Z3601" i="1" s="1"/>
  <c r="AA3601" i="1"/>
  <c r="AB3601" i="1"/>
  <c r="AC3601" i="1" s="1"/>
  <c r="Y3602" i="1"/>
  <c r="Z3602" i="1" a="1"/>
  <c r="Z3602" i="1" s="1"/>
  <c r="AA3602" i="1"/>
  <c r="AB3602" i="1"/>
  <c r="AC3602" i="1"/>
  <c r="Y3603" i="1"/>
  <c r="Z3603" i="1" a="1"/>
  <c r="Z3603" i="1" s="1"/>
  <c r="AA3603" i="1"/>
  <c r="AB3603" i="1"/>
  <c r="AC3603" i="1" s="1"/>
  <c r="Y3604" i="1"/>
  <c r="Z3604" i="1" a="1"/>
  <c r="Z3604" i="1" s="1"/>
  <c r="AA3604" i="1"/>
  <c r="AB3604" i="1"/>
  <c r="AC3604" i="1"/>
  <c r="Y3605" i="1"/>
  <c r="Z3605" i="1" a="1"/>
  <c r="Z3605" i="1" s="1"/>
  <c r="AA3605" i="1"/>
  <c r="AB3605" i="1"/>
  <c r="AC3605" i="1"/>
  <c r="Y3606" i="1"/>
  <c r="Z3606" i="1" a="1"/>
  <c r="Z3606" i="1" s="1"/>
  <c r="AA3606" i="1"/>
  <c r="AB3606" i="1"/>
  <c r="AC3606" i="1" s="1"/>
  <c r="Y3607" i="1"/>
  <c r="Z3607" i="1" a="1"/>
  <c r="Z3607" i="1" s="1"/>
  <c r="AA3607" i="1"/>
  <c r="AB3607" i="1"/>
  <c r="AC3607" i="1"/>
  <c r="Y3608" i="1"/>
  <c r="Z3608" i="1" a="1"/>
  <c r="Z3608" i="1" s="1"/>
  <c r="AA3608" i="1"/>
  <c r="AB3608" i="1"/>
  <c r="AC3608" i="1" s="1"/>
  <c r="Y3609" i="1"/>
  <c r="Z3609" i="1" a="1"/>
  <c r="Z3609" i="1" s="1"/>
  <c r="AA3609" i="1"/>
  <c r="AB3609" i="1"/>
  <c r="AC3609" i="1"/>
  <c r="Y3610" i="1"/>
  <c r="Z3610" i="1" a="1"/>
  <c r="Z3610" i="1" s="1"/>
  <c r="AA3610" i="1"/>
  <c r="AB3610" i="1"/>
  <c r="AC3610" i="1" s="1"/>
  <c r="Y3611" i="1"/>
  <c r="Z3611" i="1" a="1"/>
  <c r="Z3611" i="1" s="1"/>
  <c r="AA3611" i="1"/>
  <c r="AB3611" i="1"/>
  <c r="AC3611" i="1"/>
  <c r="Y3612" i="1"/>
  <c r="Z3612" i="1" a="1"/>
  <c r="Z3612" i="1" s="1"/>
  <c r="AA3612" i="1"/>
  <c r="AB3612" i="1"/>
  <c r="AC3612" i="1" s="1"/>
  <c r="Y3613" i="1"/>
  <c r="Z3613" i="1" a="1"/>
  <c r="Z3613" i="1" s="1"/>
  <c r="AA3613" i="1"/>
  <c r="AB3613" i="1"/>
  <c r="AC3613" i="1"/>
  <c r="Y3614" i="1"/>
  <c r="Z3614" i="1" a="1"/>
  <c r="Z3614" i="1" s="1"/>
  <c r="AA3614" i="1"/>
  <c r="AB3614" i="1"/>
  <c r="AC3614" i="1"/>
  <c r="Y3615" i="1"/>
  <c r="Z3615" i="1" a="1"/>
  <c r="Z3615" i="1" s="1"/>
  <c r="AA3615" i="1"/>
  <c r="AB3615" i="1"/>
  <c r="AC3615" i="1"/>
  <c r="Y3616" i="1"/>
  <c r="Z3616" i="1" a="1"/>
  <c r="Z3616" i="1" s="1"/>
  <c r="AA3616" i="1"/>
  <c r="AB3616" i="1"/>
  <c r="AC3616" i="1"/>
  <c r="Y3617" i="1"/>
  <c r="Z3617" i="1" a="1"/>
  <c r="Z3617" i="1" s="1"/>
  <c r="AA3617" i="1"/>
  <c r="AB3617" i="1"/>
  <c r="AC3617" i="1" s="1"/>
  <c r="Y3618" i="1"/>
  <c r="Z3618" i="1" a="1"/>
  <c r="Z3618" i="1" s="1"/>
  <c r="AA3618" i="1"/>
  <c r="AB3618" i="1"/>
  <c r="AC3618" i="1" s="1"/>
  <c r="Y3619" i="1"/>
  <c r="Z3619" i="1" a="1"/>
  <c r="Z3619" i="1" s="1"/>
  <c r="AA3619" i="1"/>
  <c r="AB3619" i="1"/>
  <c r="AC3619" i="1"/>
  <c r="Y3620" i="1"/>
  <c r="Z3620" i="1" a="1"/>
  <c r="Z3620" i="1" s="1"/>
  <c r="AA3620" i="1"/>
  <c r="AB3620" i="1"/>
  <c r="AC3620" i="1" s="1"/>
  <c r="Y3621" i="1"/>
  <c r="Z3621" i="1" a="1"/>
  <c r="Z3621" i="1" s="1"/>
  <c r="AA3621" i="1"/>
  <c r="AB3621" i="1"/>
  <c r="AC3621" i="1"/>
  <c r="Y3622" i="1"/>
  <c r="Z3622" i="1" a="1"/>
  <c r="Z3622" i="1" s="1"/>
  <c r="AA3622" i="1"/>
  <c r="AB3622" i="1"/>
  <c r="AC3622" i="1" s="1"/>
  <c r="Y3623" i="1"/>
  <c r="Z3623" i="1" a="1"/>
  <c r="Z3623" i="1" s="1"/>
  <c r="AA3623" i="1"/>
  <c r="AB3623" i="1"/>
  <c r="AC3623" i="1"/>
  <c r="Y3624" i="1"/>
  <c r="Z3624" i="1" a="1"/>
  <c r="Z3624" i="1" s="1"/>
  <c r="AA3624" i="1"/>
  <c r="AB3624" i="1"/>
  <c r="AC3624" i="1" s="1"/>
  <c r="Y3625" i="1"/>
  <c r="Z3625" i="1" a="1"/>
  <c r="Z3625" i="1" s="1"/>
  <c r="AA3625" i="1"/>
  <c r="AB3625" i="1"/>
  <c r="AC3625" i="1"/>
  <c r="Y3626" i="1"/>
  <c r="Z3626" i="1" a="1"/>
  <c r="Z3626" i="1" s="1"/>
  <c r="AA3626" i="1"/>
  <c r="AB3626" i="1"/>
  <c r="AC3626" i="1"/>
  <c r="Y3627" i="1"/>
  <c r="Z3627" i="1" a="1"/>
  <c r="Z3627" i="1" s="1"/>
  <c r="AA3627" i="1"/>
  <c r="AB3627" i="1"/>
  <c r="AC3627" i="1" s="1"/>
  <c r="Y3628" i="1"/>
  <c r="Z3628" i="1" a="1"/>
  <c r="Z3628" i="1" s="1"/>
  <c r="AA3628" i="1"/>
  <c r="AB3628" i="1"/>
  <c r="AC3628" i="1"/>
  <c r="Y3629" i="1"/>
  <c r="Z3629" i="1" a="1"/>
  <c r="Z3629" i="1" s="1"/>
  <c r="AA3629" i="1"/>
  <c r="AB3629" i="1"/>
  <c r="AC3629" i="1"/>
  <c r="Y3630" i="1"/>
  <c r="Z3630" i="1" a="1"/>
  <c r="Z3630" i="1" s="1"/>
  <c r="AA3630" i="1"/>
  <c r="AB3630" i="1"/>
  <c r="AC3630" i="1" s="1"/>
  <c r="Y3631" i="1"/>
  <c r="Z3631" i="1" a="1"/>
  <c r="Z3631" i="1" s="1"/>
  <c r="AA3631" i="1"/>
  <c r="AB3631" i="1"/>
  <c r="AC3631" i="1" s="1"/>
  <c r="Y3632" i="1"/>
  <c r="Z3632" i="1" a="1"/>
  <c r="Z3632" i="1" s="1"/>
  <c r="AA3632" i="1"/>
  <c r="AB3632" i="1"/>
  <c r="AC3632" i="1"/>
  <c r="Y3633" i="1"/>
  <c r="Z3633" i="1" a="1"/>
  <c r="Z3633" i="1" s="1"/>
  <c r="AA3633" i="1"/>
  <c r="AB3633" i="1"/>
  <c r="AC3633" i="1" s="1"/>
  <c r="Y3634" i="1"/>
  <c r="Z3634" i="1" a="1"/>
  <c r="Z3634" i="1" s="1"/>
  <c r="AA3634" i="1"/>
  <c r="AB3634" i="1"/>
  <c r="AC3634" i="1" s="1"/>
  <c r="Y3635" i="1"/>
  <c r="Z3635" i="1" a="1"/>
  <c r="Z3635" i="1" s="1"/>
  <c r="AA3635" i="1"/>
  <c r="AB3635" i="1"/>
  <c r="AC3635" i="1"/>
  <c r="Y3636" i="1"/>
  <c r="Z3636" i="1" a="1"/>
  <c r="Z3636" i="1" s="1"/>
  <c r="AA3636" i="1"/>
  <c r="AB3636" i="1"/>
  <c r="AC3636" i="1" s="1"/>
  <c r="Y3637" i="1"/>
  <c r="Z3637" i="1" a="1"/>
  <c r="Z3637" i="1" s="1"/>
  <c r="AA3637" i="1"/>
  <c r="AB3637" i="1"/>
  <c r="AC3637" i="1"/>
  <c r="Y3638" i="1"/>
  <c r="Z3638" i="1" a="1"/>
  <c r="Z3638" i="1" s="1"/>
  <c r="AA3638" i="1"/>
  <c r="AB3638" i="1"/>
  <c r="AC3638" i="1"/>
  <c r="Y3639" i="1"/>
  <c r="Z3639" i="1" a="1"/>
  <c r="Z3639" i="1" s="1"/>
  <c r="AA3639" i="1"/>
  <c r="AB3639" i="1"/>
  <c r="AC3639" i="1" s="1"/>
  <c r="Y3640" i="1"/>
  <c r="Z3640" i="1" a="1"/>
  <c r="Z3640" i="1" s="1"/>
  <c r="AA3640" i="1"/>
  <c r="AB3640" i="1"/>
  <c r="AC3640" i="1" s="1"/>
  <c r="Y3641" i="1"/>
  <c r="Z3641" i="1" a="1"/>
  <c r="Z3641" i="1" s="1"/>
  <c r="AA3641" i="1"/>
  <c r="AB3641" i="1"/>
  <c r="AC3641" i="1" s="1"/>
  <c r="Y3642" i="1"/>
  <c r="Z3642" i="1" a="1"/>
  <c r="Z3642" i="1" s="1"/>
  <c r="AA3642" i="1"/>
  <c r="AB3642" i="1"/>
  <c r="AC3642" i="1" s="1"/>
  <c r="Y3643" i="1"/>
  <c r="Z3643" i="1" a="1"/>
  <c r="Z3643" i="1" s="1"/>
  <c r="AA3643" i="1"/>
  <c r="AB3643" i="1"/>
  <c r="AC3643" i="1" s="1"/>
  <c r="Y3644" i="1"/>
  <c r="Z3644" i="1" a="1"/>
  <c r="Z3644" i="1" s="1"/>
  <c r="AA3644" i="1"/>
  <c r="AB3644" i="1"/>
  <c r="AC3644" i="1"/>
  <c r="Y3645" i="1"/>
  <c r="Z3645" i="1" a="1"/>
  <c r="Z3645" i="1" s="1"/>
  <c r="AA3645" i="1"/>
  <c r="AB3645" i="1"/>
  <c r="AC3645" i="1"/>
  <c r="Y3646" i="1"/>
  <c r="Z3646" i="1" a="1"/>
  <c r="Z3646" i="1" s="1"/>
  <c r="AA3646" i="1"/>
  <c r="AB3646" i="1"/>
  <c r="AC3646" i="1" s="1"/>
  <c r="Y3647" i="1"/>
  <c r="Z3647" i="1" a="1"/>
  <c r="Z3647" i="1" s="1"/>
  <c r="AA3647" i="1"/>
  <c r="AB3647" i="1"/>
  <c r="AC3647" i="1"/>
  <c r="Y3648" i="1"/>
  <c r="Z3648" i="1" a="1"/>
  <c r="Z3648" i="1" s="1"/>
  <c r="AA3648" i="1"/>
  <c r="AB3648" i="1"/>
  <c r="AC3648" i="1"/>
  <c r="Y3649" i="1"/>
  <c r="Z3649" i="1" a="1"/>
  <c r="Z3649" i="1" s="1"/>
  <c r="AA3649" i="1"/>
  <c r="AB3649" i="1"/>
  <c r="AC3649" i="1"/>
  <c r="Y3650" i="1"/>
  <c r="Z3650" i="1" a="1"/>
  <c r="Z3650" i="1" s="1"/>
  <c r="AA3650" i="1"/>
  <c r="AB3650" i="1"/>
  <c r="AC3650" i="1" s="1"/>
  <c r="Y3651" i="1"/>
  <c r="Z3651" i="1" a="1"/>
  <c r="Z3651" i="1" s="1"/>
  <c r="AA3651" i="1"/>
  <c r="AB3651" i="1"/>
  <c r="AC3651" i="1"/>
  <c r="Y3652" i="1"/>
  <c r="Z3652" i="1" a="1"/>
  <c r="Z3652" i="1" s="1"/>
  <c r="AA3652" i="1"/>
  <c r="AB3652" i="1"/>
  <c r="AC3652" i="1" s="1"/>
  <c r="Y3653" i="1"/>
  <c r="Z3653" i="1" a="1"/>
  <c r="Z3653" i="1" s="1"/>
  <c r="AA3653" i="1"/>
  <c r="AB3653" i="1"/>
  <c r="AC3653" i="1"/>
  <c r="Y3654" i="1"/>
  <c r="Z3654" i="1" a="1"/>
  <c r="Z3654" i="1" s="1"/>
  <c r="AA3654" i="1"/>
  <c r="AB3654" i="1"/>
  <c r="AC3654" i="1"/>
  <c r="Y3655" i="1"/>
  <c r="Z3655" i="1" a="1"/>
  <c r="Z3655" i="1" s="1"/>
  <c r="AA3655" i="1"/>
  <c r="AB3655" i="1"/>
  <c r="AC3655" i="1" s="1"/>
  <c r="Y3656" i="1"/>
  <c r="Z3656" i="1" a="1"/>
  <c r="Z3656" i="1" s="1"/>
  <c r="AA3656" i="1"/>
  <c r="AB3656" i="1"/>
  <c r="AC3656" i="1" s="1"/>
  <c r="Y3657" i="1"/>
  <c r="Z3657" i="1" a="1"/>
  <c r="Z3657" i="1" s="1"/>
  <c r="AA3657" i="1"/>
  <c r="AB3657" i="1"/>
  <c r="AC3657" i="1" s="1"/>
  <c r="Y3658" i="1"/>
  <c r="Z3658" i="1" a="1"/>
  <c r="Z3658" i="1" s="1"/>
  <c r="AA3658" i="1"/>
  <c r="AB3658" i="1"/>
  <c r="AC3658" i="1"/>
  <c r="Y3659" i="1"/>
  <c r="Z3659" i="1" a="1"/>
  <c r="Z3659" i="1" s="1"/>
  <c r="AA3659" i="1"/>
  <c r="AB3659" i="1"/>
  <c r="AC3659" i="1" s="1"/>
  <c r="Y3660" i="1"/>
  <c r="Z3660" i="1" a="1"/>
  <c r="Z3660" i="1" s="1"/>
  <c r="AA3660" i="1"/>
  <c r="AB3660" i="1"/>
  <c r="AC3660" i="1" s="1"/>
  <c r="Y3661" i="1"/>
  <c r="Z3661" i="1" a="1"/>
  <c r="Z3661" i="1" s="1"/>
  <c r="AA3661" i="1"/>
  <c r="AB3661" i="1"/>
  <c r="AC3661" i="1"/>
  <c r="Y3662" i="1"/>
  <c r="Z3662" i="1" a="1"/>
  <c r="Z3662" i="1" s="1"/>
  <c r="AA3662" i="1"/>
  <c r="AB3662" i="1"/>
  <c r="AC3662" i="1" s="1"/>
  <c r="Y3663" i="1"/>
  <c r="Z3663" i="1" a="1"/>
  <c r="Z3663" i="1" s="1"/>
  <c r="AA3663" i="1"/>
  <c r="AB3663" i="1"/>
  <c r="AC3663" i="1"/>
  <c r="Y3664" i="1"/>
  <c r="Z3664" i="1" a="1"/>
  <c r="Z3664" i="1" s="1"/>
  <c r="AA3664" i="1"/>
  <c r="AB3664" i="1"/>
  <c r="AC3664" i="1"/>
  <c r="Y3665" i="1"/>
  <c r="Z3665" i="1" a="1"/>
  <c r="Z3665" i="1" s="1"/>
  <c r="AA3665" i="1"/>
  <c r="AB3665" i="1"/>
  <c r="AC3665" i="1"/>
  <c r="Y3666" i="1"/>
  <c r="Z3666" i="1" a="1"/>
  <c r="Z3666" i="1" s="1"/>
  <c r="AA3666" i="1"/>
  <c r="AB3666" i="1"/>
  <c r="AC3666" i="1" s="1"/>
  <c r="Y3667" i="1"/>
  <c r="Z3667" i="1" a="1"/>
  <c r="Z3667" i="1" s="1"/>
  <c r="AA3667" i="1"/>
  <c r="AB3667" i="1"/>
  <c r="AC3667" i="1"/>
  <c r="Y3668" i="1"/>
  <c r="Z3668" i="1" a="1"/>
  <c r="Z3668" i="1" s="1"/>
  <c r="AA3668" i="1"/>
  <c r="AB3668" i="1"/>
  <c r="AC3668" i="1"/>
  <c r="Y3669" i="1"/>
  <c r="Z3669" i="1" a="1"/>
  <c r="Z3669" i="1" s="1"/>
  <c r="AA3669" i="1"/>
  <c r="AB3669" i="1"/>
  <c r="AC3669" i="1"/>
  <c r="Y3670" i="1"/>
  <c r="Z3670" i="1" a="1"/>
  <c r="Z3670" i="1" s="1"/>
  <c r="AA3670" i="1"/>
  <c r="AB3670" i="1"/>
  <c r="AC3670" i="1"/>
  <c r="Y3671" i="1"/>
  <c r="Z3671" i="1" a="1"/>
  <c r="Z3671" i="1" s="1"/>
  <c r="AA3671" i="1"/>
  <c r="AB3671" i="1"/>
  <c r="AC3671" i="1" s="1"/>
  <c r="Y3672" i="1"/>
  <c r="Z3672" i="1" a="1"/>
  <c r="Z3672" i="1" s="1"/>
  <c r="AA3672" i="1"/>
  <c r="AB3672" i="1"/>
  <c r="AC3672" i="1" s="1"/>
  <c r="Y3673" i="1"/>
  <c r="Z3673" i="1" a="1"/>
  <c r="Z3673" i="1" s="1"/>
  <c r="AA3673" i="1"/>
  <c r="AB3673" i="1"/>
  <c r="AC3673" i="1" s="1"/>
  <c r="Y3674" i="1"/>
  <c r="Z3674" i="1" a="1"/>
  <c r="Z3674" i="1" s="1"/>
  <c r="AA3674" i="1"/>
  <c r="AB3674" i="1"/>
  <c r="AC3674" i="1"/>
  <c r="Y3675" i="1"/>
  <c r="Z3675" i="1" a="1"/>
  <c r="Z3675" i="1" s="1"/>
  <c r="AA3675" i="1"/>
  <c r="AB3675" i="1"/>
  <c r="AC3675" i="1"/>
  <c r="Y3676" i="1"/>
  <c r="Z3676" i="1" a="1"/>
  <c r="Z3676" i="1" s="1"/>
  <c r="AA3676" i="1"/>
  <c r="AB3676" i="1"/>
  <c r="AC3676" i="1" s="1"/>
  <c r="Y3677" i="1"/>
  <c r="Z3677" i="1" a="1"/>
  <c r="Z3677" i="1" s="1"/>
  <c r="AA3677" i="1"/>
  <c r="AB3677" i="1"/>
  <c r="AC3677" i="1"/>
  <c r="Y3678" i="1"/>
  <c r="Z3678" i="1" a="1"/>
  <c r="Z3678" i="1" s="1"/>
  <c r="AA3678" i="1"/>
  <c r="AB3678" i="1"/>
  <c r="AC3678" i="1" s="1"/>
  <c r="Y3679" i="1"/>
  <c r="Z3679" i="1" a="1"/>
  <c r="Z3679" i="1"/>
  <c r="AA3679" i="1"/>
  <c r="AB3679" i="1"/>
  <c r="AC3679" i="1" s="1"/>
  <c r="Y3680" i="1"/>
  <c r="Z3680" i="1" a="1"/>
  <c r="Z3680" i="1" s="1"/>
  <c r="AA3680" i="1"/>
  <c r="AB3680" i="1"/>
  <c r="AC3680" i="1" s="1"/>
  <c r="Y3681" i="1"/>
  <c r="Z3681" i="1" a="1"/>
  <c r="Z3681" i="1" s="1"/>
  <c r="AA3681" i="1"/>
  <c r="AB3681" i="1"/>
  <c r="AC3681" i="1"/>
  <c r="Y3682" i="1"/>
  <c r="Z3682" i="1" a="1"/>
  <c r="Z3682" i="1" s="1"/>
  <c r="AA3682" i="1"/>
  <c r="AB3682" i="1"/>
  <c r="AC3682" i="1" s="1"/>
  <c r="Y3683" i="1"/>
  <c r="Z3683" i="1" a="1"/>
  <c r="Z3683" i="1" s="1"/>
  <c r="AA3683" i="1"/>
  <c r="AB3683" i="1"/>
  <c r="AC3683" i="1"/>
  <c r="Y3684" i="1"/>
  <c r="Z3684" i="1" a="1"/>
  <c r="Z3684" i="1" s="1"/>
  <c r="AA3684" i="1"/>
  <c r="AB3684" i="1"/>
  <c r="AC3684" i="1"/>
  <c r="Y3685" i="1"/>
  <c r="Z3685" i="1" a="1"/>
  <c r="Z3685" i="1" s="1"/>
  <c r="AA3685" i="1"/>
  <c r="AB3685" i="1"/>
  <c r="AC3685" i="1"/>
  <c r="Y3686" i="1"/>
  <c r="Z3686" i="1" a="1"/>
  <c r="Z3686" i="1" s="1"/>
  <c r="AA3686" i="1"/>
  <c r="AB3686" i="1"/>
  <c r="AC3686" i="1"/>
  <c r="Y3687" i="1"/>
  <c r="Z3687" i="1" a="1"/>
  <c r="Z3687" i="1" s="1"/>
  <c r="AA3687" i="1"/>
  <c r="AB3687" i="1"/>
  <c r="AC3687" i="1"/>
  <c r="Y3688" i="1"/>
  <c r="Z3688" i="1" a="1"/>
  <c r="Z3688" i="1" s="1"/>
  <c r="AA3688" i="1"/>
  <c r="AB3688" i="1"/>
  <c r="AC3688" i="1"/>
  <c r="Y3689" i="1"/>
  <c r="Z3689" i="1" a="1"/>
  <c r="Z3689" i="1" s="1"/>
  <c r="AA3689" i="1"/>
  <c r="AB3689" i="1"/>
  <c r="AC3689" i="1" s="1"/>
  <c r="Y3690" i="1"/>
  <c r="Z3690" i="1" a="1"/>
  <c r="Z3690" i="1" s="1"/>
  <c r="AA3690" i="1"/>
  <c r="AB3690" i="1"/>
  <c r="AC3690" i="1" s="1"/>
  <c r="Y3691" i="1"/>
  <c r="Z3691" i="1" a="1"/>
  <c r="Z3691" i="1" s="1"/>
  <c r="AA3691" i="1"/>
  <c r="AB3691" i="1"/>
  <c r="AC3691" i="1" s="1"/>
  <c r="Y3692" i="1"/>
  <c r="Z3692" i="1" a="1"/>
  <c r="Z3692" i="1" s="1"/>
  <c r="AA3692" i="1"/>
  <c r="AB3692" i="1"/>
  <c r="AC3692" i="1" s="1"/>
  <c r="Y3693" i="1"/>
  <c r="Z3693" i="1" a="1"/>
  <c r="Z3693" i="1" s="1"/>
  <c r="AA3693" i="1"/>
  <c r="AB3693" i="1"/>
  <c r="AC3693" i="1"/>
  <c r="Y3694" i="1"/>
  <c r="Z3694" i="1" a="1"/>
  <c r="Z3694" i="1" s="1"/>
  <c r="AA3694" i="1"/>
  <c r="AB3694" i="1"/>
  <c r="AC3694" i="1"/>
  <c r="Y3695" i="1"/>
  <c r="Z3695" i="1" a="1"/>
  <c r="Z3695" i="1" s="1"/>
  <c r="AA3695" i="1"/>
  <c r="AB3695" i="1"/>
  <c r="AC3695" i="1" s="1"/>
  <c r="Y3696" i="1"/>
  <c r="Z3696" i="1" a="1"/>
  <c r="Z3696" i="1" s="1"/>
  <c r="AA3696" i="1"/>
  <c r="AB3696" i="1"/>
  <c r="AC3696" i="1" s="1"/>
  <c r="Y3697" i="1"/>
  <c r="Z3697" i="1" a="1"/>
  <c r="Z3697" i="1" s="1"/>
  <c r="AA3697" i="1"/>
  <c r="AB3697" i="1"/>
  <c r="AC3697" i="1"/>
  <c r="Y3698" i="1"/>
  <c r="Z3698" i="1" a="1"/>
  <c r="Z3698" i="1" s="1"/>
  <c r="AA3698" i="1"/>
  <c r="AB3698" i="1"/>
  <c r="AC3698" i="1"/>
  <c r="Y3699" i="1"/>
  <c r="Z3699" i="1" a="1"/>
  <c r="Z3699" i="1" s="1"/>
  <c r="AA3699" i="1"/>
  <c r="AB3699" i="1"/>
  <c r="AC3699" i="1" s="1"/>
  <c r="Y3700" i="1"/>
  <c r="Z3700" i="1" a="1"/>
  <c r="Z3700" i="1" s="1"/>
  <c r="AA3700" i="1"/>
  <c r="AB3700" i="1"/>
  <c r="AC3700" i="1"/>
  <c r="Y3701" i="1"/>
  <c r="Z3701" i="1" a="1"/>
  <c r="Z3701" i="1" s="1"/>
  <c r="AA3701" i="1"/>
  <c r="AB3701" i="1"/>
  <c r="AC3701" i="1"/>
  <c r="Y3702" i="1"/>
  <c r="Z3702" i="1" a="1"/>
  <c r="Z3702" i="1" s="1"/>
  <c r="AA3702" i="1"/>
  <c r="AB3702" i="1"/>
  <c r="AC3702" i="1"/>
  <c r="Y3703" i="1"/>
  <c r="Z3703" i="1" a="1"/>
  <c r="Z3703" i="1" s="1"/>
  <c r="AA3703" i="1"/>
  <c r="AB3703" i="1"/>
  <c r="AC3703" i="1"/>
  <c r="Y3704" i="1"/>
  <c r="Z3704" i="1" a="1"/>
  <c r="Z3704" i="1" s="1"/>
  <c r="AA3704" i="1"/>
  <c r="AB3704" i="1"/>
  <c r="AC3704" i="1"/>
  <c r="Y3705" i="1"/>
  <c r="Z3705" i="1" a="1"/>
  <c r="Z3705" i="1" s="1"/>
  <c r="AA3705" i="1"/>
  <c r="AB3705" i="1"/>
  <c r="AC3705" i="1" s="1"/>
  <c r="Y3706" i="1"/>
  <c r="Z3706" i="1" a="1"/>
  <c r="Z3706" i="1" s="1"/>
  <c r="AA3706" i="1"/>
  <c r="AB3706" i="1"/>
  <c r="AC3706" i="1" s="1"/>
  <c r="Y3707" i="1"/>
  <c r="Z3707" i="1" a="1"/>
  <c r="Z3707" i="1" s="1"/>
  <c r="AA3707" i="1"/>
  <c r="AB3707" i="1"/>
  <c r="AC3707" i="1"/>
  <c r="Y3708" i="1"/>
  <c r="Z3708" i="1" a="1"/>
  <c r="Z3708" i="1" s="1"/>
  <c r="AA3708" i="1"/>
  <c r="AB3708" i="1"/>
  <c r="AC3708" i="1" s="1"/>
  <c r="Y3709" i="1"/>
  <c r="Z3709" i="1" a="1"/>
  <c r="Z3709" i="1" s="1"/>
  <c r="AA3709" i="1"/>
  <c r="AB3709" i="1"/>
  <c r="AC3709" i="1"/>
  <c r="Y3710" i="1"/>
  <c r="Z3710" i="1" a="1"/>
  <c r="Z3710" i="1" s="1"/>
  <c r="AA3710" i="1"/>
  <c r="AB3710" i="1"/>
  <c r="AC3710" i="1" s="1"/>
  <c r="Y3711" i="1"/>
  <c r="Z3711" i="1" a="1"/>
  <c r="Z3711" i="1" s="1"/>
  <c r="AA3711" i="1"/>
  <c r="AB3711" i="1"/>
  <c r="AC3711" i="1" s="1"/>
  <c r="Y3712" i="1"/>
  <c r="Z3712" i="1" a="1"/>
  <c r="Z3712" i="1" s="1"/>
  <c r="AA3712" i="1"/>
  <c r="AB3712" i="1"/>
  <c r="AC3712" i="1" s="1"/>
  <c r="Y3713" i="1"/>
  <c r="Z3713" i="1" a="1"/>
  <c r="Z3713" i="1" s="1"/>
  <c r="AA3713" i="1"/>
  <c r="AB3713" i="1"/>
  <c r="AC3713" i="1"/>
  <c r="Y3714" i="1"/>
  <c r="Z3714" i="1" a="1"/>
  <c r="Z3714" i="1" s="1"/>
  <c r="AA3714" i="1"/>
  <c r="AB3714" i="1"/>
  <c r="AC3714" i="1"/>
  <c r="Y3715" i="1"/>
  <c r="Z3715" i="1" a="1"/>
  <c r="Z3715" i="1" s="1"/>
  <c r="AA3715" i="1"/>
  <c r="AB3715" i="1"/>
  <c r="AC3715" i="1" s="1"/>
  <c r="Y3716" i="1"/>
  <c r="Z3716" i="1" a="1"/>
  <c r="Z3716" i="1" s="1"/>
  <c r="AA3716" i="1"/>
  <c r="AB3716" i="1"/>
  <c r="AC3716" i="1"/>
  <c r="Y3717" i="1"/>
  <c r="Z3717" i="1" a="1"/>
  <c r="Z3717" i="1" s="1"/>
  <c r="AA3717" i="1"/>
  <c r="AB3717" i="1"/>
  <c r="AC3717" i="1"/>
  <c r="Y3718" i="1"/>
  <c r="Z3718" i="1" a="1"/>
  <c r="Z3718" i="1" s="1"/>
  <c r="AA3718" i="1"/>
  <c r="AB3718" i="1"/>
  <c r="AC3718" i="1"/>
  <c r="Y3719" i="1"/>
  <c r="Z3719" i="1" a="1"/>
  <c r="Z3719" i="1" s="1"/>
  <c r="AA3719" i="1"/>
  <c r="AB3719" i="1"/>
  <c r="AC3719" i="1"/>
  <c r="Y3720" i="1"/>
  <c r="Z3720" i="1" a="1"/>
  <c r="Z3720" i="1" s="1"/>
  <c r="AA3720" i="1"/>
  <c r="AB3720" i="1"/>
  <c r="AC3720" i="1" s="1"/>
  <c r="Y3721" i="1"/>
  <c r="Z3721" i="1" a="1"/>
  <c r="Z3721" i="1" s="1"/>
  <c r="AA3721" i="1"/>
  <c r="AB3721" i="1"/>
  <c r="AC3721" i="1" s="1"/>
  <c r="Y3722" i="1"/>
  <c r="Z3722" i="1" a="1"/>
  <c r="Z3722" i="1" s="1"/>
  <c r="AA3722" i="1"/>
  <c r="AB3722" i="1"/>
  <c r="AC3722" i="1" s="1"/>
  <c r="Y3723" i="1"/>
  <c r="Z3723" i="1" a="1"/>
  <c r="Z3723" i="1" s="1"/>
  <c r="AA3723" i="1"/>
  <c r="AB3723" i="1"/>
  <c r="AC3723" i="1"/>
  <c r="Y3724" i="1"/>
  <c r="Z3724" i="1" a="1"/>
  <c r="Z3724" i="1" s="1"/>
  <c r="AA3724" i="1"/>
  <c r="AB3724" i="1"/>
  <c r="AC3724" i="1" s="1"/>
  <c r="Y3725" i="1"/>
  <c r="Z3725" i="1" a="1"/>
  <c r="Z3725" i="1" s="1"/>
  <c r="AA3725" i="1"/>
  <c r="AB3725" i="1"/>
  <c r="AC3725" i="1" s="1"/>
  <c r="Y3726" i="1"/>
  <c r="Z3726" i="1" a="1"/>
  <c r="Z3726" i="1" s="1"/>
  <c r="AA3726" i="1"/>
  <c r="AB3726" i="1"/>
  <c r="AC3726" i="1"/>
  <c r="Y3727" i="1"/>
  <c r="Z3727" i="1" a="1"/>
  <c r="Z3727" i="1" s="1"/>
  <c r="AA3727" i="1"/>
  <c r="AB3727" i="1"/>
  <c r="AC3727" i="1" s="1"/>
  <c r="Y3728" i="1"/>
  <c r="Z3728" i="1" a="1"/>
  <c r="Z3728" i="1" s="1"/>
  <c r="AA3728" i="1"/>
  <c r="AB3728" i="1"/>
  <c r="AC3728" i="1" s="1"/>
  <c r="Y3729" i="1"/>
  <c r="Z3729" i="1" a="1"/>
  <c r="Z3729" i="1" s="1"/>
  <c r="AA3729" i="1"/>
  <c r="AB3729" i="1"/>
  <c r="AC3729" i="1" s="1"/>
  <c r="Y3730" i="1"/>
  <c r="Z3730" i="1" a="1"/>
  <c r="Z3730" i="1" s="1"/>
  <c r="AA3730" i="1"/>
  <c r="AB3730" i="1"/>
  <c r="AC3730" i="1" s="1"/>
  <c r="Y3731" i="1"/>
  <c r="Z3731" i="1" a="1"/>
  <c r="Z3731" i="1" s="1"/>
  <c r="AA3731" i="1"/>
  <c r="AB3731" i="1"/>
  <c r="AC3731" i="1"/>
  <c r="Y3732" i="1"/>
  <c r="Z3732" i="1" a="1"/>
  <c r="Z3732" i="1" s="1"/>
  <c r="AA3732" i="1"/>
  <c r="AB3732" i="1"/>
  <c r="AC3732" i="1"/>
  <c r="Y3733" i="1"/>
  <c r="Z3733" i="1" a="1"/>
  <c r="Z3733" i="1" s="1"/>
  <c r="AA3733" i="1"/>
  <c r="AB3733" i="1"/>
  <c r="AC3733" i="1" s="1"/>
  <c r="Y3734" i="1"/>
  <c r="Z3734" i="1" a="1"/>
  <c r="Z3734" i="1" s="1"/>
  <c r="AA3734" i="1"/>
  <c r="AB3734" i="1"/>
  <c r="AC3734" i="1"/>
  <c r="Y3735" i="1"/>
  <c r="Z3735" i="1" a="1"/>
  <c r="Z3735" i="1" s="1"/>
  <c r="AA3735" i="1"/>
  <c r="AB3735" i="1"/>
  <c r="AC3735" i="1" s="1"/>
  <c r="Y3736" i="1"/>
  <c r="Z3736" i="1" a="1"/>
  <c r="Z3736" i="1" s="1"/>
  <c r="AA3736" i="1"/>
  <c r="AB3736" i="1"/>
  <c r="AC3736" i="1" s="1"/>
  <c r="Y3737" i="1"/>
  <c r="Z3737" i="1" a="1"/>
  <c r="Z3737" i="1" s="1"/>
  <c r="AA3737" i="1"/>
  <c r="AB3737" i="1"/>
  <c r="AC3737" i="1" s="1"/>
  <c r="Y3738" i="1"/>
  <c r="Z3738" i="1" a="1"/>
  <c r="Z3738" i="1" s="1"/>
  <c r="AA3738" i="1"/>
  <c r="AB3738" i="1"/>
  <c r="AC3738" i="1"/>
  <c r="Y3739" i="1"/>
  <c r="Z3739" i="1" a="1"/>
  <c r="Z3739" i="1"/>
  <c r="AA3739" i="1"/>
  <c r="AB3739" i="1"/>
  <c r="AC3739" i="1"/>
  <c r="Y3740" i="1"/>
  <c r="Z3740" i="1" a="1"/>
  <c r="Z3740" i="1" s="1"/>
  <c r="AA3740" i="1"/>
  <c r="AB3740" i="1"/>
  <c r="AC3740" i="1"/>
  <c r="Y3741" i="1"/>
  <c r="Z3741" i="1" a="1"/>
  <c r="Z3741" i="1" s="1"/>
  <c r="AA3741" i="1"/>
  <c r="AB3741" i="1"/>
  <c r="AC3741" i="1" s="1"/>
  <c r="Y3742" i="1"/>
  <c r="Z3742" i="1" a="1"/>
  <c r="Z3742" i="1" s="1"/>
  <c r="AA3742" i="1"/>
  <c r="AB3742" i="1"/>
  <c r="AC3742" i="1"/>
  <c r="Y3743" i="1"/>
  <c r="Z3743" i="1" a="1"/>
  <c r="Z3743" i="1" s="1"/>
  <c r="AA3743" i="1"/>
  <c r="AB3743" i="1"/>
  <c r="AC3743" i="1" s="1"/>
  <c r="Y3744" i="1"/>
  <c r="Z3744" i="1" a="1"/>
  <c r="Z3744" i="1" s="1"/>
  <c r="AA3744" i="1"/>
  <c r="AB3744" i="1"/>
  <c r="AC3744" i="1"/>
  <c r="Y3745" i="1"/>
  <c r="Z3745" i="1" a="1"/>
  <c r="Z3745" i="1" s="1"/>
  <c r="AA3745" i="1"/>
  <c r="AB3745" i="1"/>
  <c r="AC3745" i="1" s="1"/>
  <c r="Y3746" i="1"/>
  <c r="Z3746" i="1" a="1"/>
  <c r="Z3746" i="1" s="1"/>
  <c r="AA3746" i="1"/>
  <c r="AB3746" i="1"/>
  <c r="AC3746" i="1"/>
  <c r="Y3747" i="1"/>
  <c r="Z3747" i="1" a="1"/>
  <c r="Z3747" i="1" s="1"/>
  <c r="AA3747" i="1"/>
  <c r="AB3747" i="1"/>
  <c r="AC3747" i="1"/>
  <c r="Y3748" i="1"/>
  <c r="Z3748" i="1" a="1"/>
  <c r="Z3748" i="1" s="1"/>
  <c r="AA3748" i="1"/>
  <c r="AB3748" i="1"/>
  <c r="AC3748" i="1"/>
  <c r="Y3749" i="1"/>
  <c r="Z3749" i="1" a="1"/>
  <c r="Z3749" i="1" s="1"/>
  <c r="AA3749" i="1"/>
  <c r="AB3749" i="1"/>
  <c r="AC3749" i="1" s="1"/>
  <c r="Y3750" i="1"/>
  <c r="Z3750" i="1" a="1"/>
  <c r="Z3750" i="1" s="1"/>
  <c r="AA3750" i="1"/>
  <c r="AB3750" i="1"/>
  <c r="AC3750" i="1"/>
  <c r="Y3751" i="1"/>
  <c r="Z3751" i="1" a="1"/>
  <c r="Z3751" i="1" s="1"/>
  <c r="AA3751" i="1"/>
  <c r="AB3751" i="1"/>
  <c r="AC3751" i="1" s="1"/>
  <c r="Y3752" i="1"/>
  <c r="Z3752" i="1" a="1"/>
  <c r="Z3752" i="1" s="1"/>
  <c r="AA3752" i="1"/>
  <c r="AB3752" i="1"/>
  <c r="AC3752" i="1"/>
  <c r="Y3753" i="1"/>
  <c r="Z3753" i="1" a="1"/>
  <c r="Z3753" i="1" s="1"/>
  <c r="AA3753" i="1"/>
  <c r="AB3753" i="1"/>
  <c r="AC3753" i="1"/>
  <c r="Y3754" i="1"/>
  <c r="Z3754" i="1" a="1"/>
  <c r="Z3754" i="1" s="1"/>
  <c r="AA3754" i="1"/>
  <c r="AB3754" i="1"/>
  <c r="AC3754" i="1"/>
  <c r="Y3755" i="1"/>
  <c r="Z3755" i="1" a="1"/>
  <c r="Z3755" i="1" s="1"/>
  <c r="AA3755" i="1"/>
  <c r="AB3755" i="1"/>
  <c r="AC3755" i="1"/>
  <c r="Y3756" i="1"/>
  <c r="Z3756" i="1" a="1"/>
  <c r="Z3756" i="1" s="1"/>
  <c r="AA3756" i="1"/>
  <c r="AB3756" i="1"/>
  <c r="AC3756" i="1"/>
  <c r="Y3757" i="1"/>
  <c r="Z3757" i="1" a="1"/>
  <c r="Z3757" i="1" s="1"/>
  <c r="AA3757" i="1"/>
  <c r="AB3757" i="1"/>
  <c r="AC3757" i="1" s="1"/>
  <c r="Y3758" i="1"/>
  <c r="Z3758" i="1" a="1"/>
  <c r="Z3758" i="1" s="1"/>
  <c r="AA3758" i="1"/>
  <c r="AB3758" i="1"/>
  <c r="AC3758" i="1"/>
  <c r="Y3759" i="1"/>
  <c r="Z3759" i="1" a="1"/>
  <c r="Z3759" i="1" s="1"/>
  <c r="AA3759" i="1"/>
  <c r="AB3759" i="1"/>
  <c r="AC3759" i="1" s="1"/>
  <c r="Y3760" i="1"/>
  <c r="Z3760" i="1" a="1"/>
  <c r="Z3760" i="1" s="1"/>
  <c r="AA3760" i="1"/>
  <c r="AB3760" i="1"/>
  <c r="AC3760" i="1"/>
  <c r="Y3761" i="1"/>
  <c r="Z3761" i="1" a="1"/>
  <c r="Z3761" i="1" s="1"/>
  <c r="AA3761" i="1"/>
  <c r="AB3761" i="1"/>
  <c r="AC3761" i="1" s="1"/>
  <c r="Y3762" i="1"/>
  <c r="Z3762" i="1" a="1"/>
  <c r="Z3762" i="1" s="1"/>
  <c r="AA3762" i="1"/>
  <c r="AB3762" i="1"/>
  <c r="AC3762" i="1" s="1"/>
  <c r="Y3763" i="1"/>
  <c r="Z3763" i="1" a="1"/>
  <c r="Z3763" i="1" s="1"/>
  <c r="AA3763" i="1"/>
  <c r="AB3763" i="1"/>
  <c r="AC3763" i="1"/>
  <c r="Y3764" i="1"/>
  <c r="Z3764" i="1" a="1"/>
  <c r="Z3764" i="1" s="1"/>
  <c r="AA3764" i="1"/>
  <c r="AB3764" i="1"/>
  <c r="AC3764" i="1"/>
  <c r="Y3765" i="1"/>
  <c r="Z3765" i="1" a="1"/>
  <c r="Z3765" i="1" s="1"/>
  <c r="AA3765" i="1"/>
  <c r="AB3765" i="1"/>
  <c r="AC3765" i="1" s="1"/>
  <c r="Y3766" i="1"/>
  <c r="Z3766" i="1" a="1"/>
  <c r="Z3766" i="1" s="1"/>
  <c r="AA3766" i="1"/>
  <c r="AB3766" i="1"/>
  <c r="AC3766" i="1"/>
  <c r="Y3767" i="1"/>
  <c r="Z3767" i="1" a="1"/>
  <c r="Z3767" i="1" s="1"/>
  <c r="AA3767" i="1"/>
  <c r="AB3767" i="1"/>
  <c r="AC3767" i="1" s="1"/>
  <c r="Y3768" i="1"/>
  <c r="Z3768" i="1" a="1"/>
  <c r="Z3768" i="1" s="1"/>
  <c r="AA3768" i="1"/>
  <c r="AB3768" i="1"/>
  <c r="AC3768" i="1" s="1"/>
  <c r="Y3769" i="1"/>
  <c r="Z3769" i="1" a="1"/>
  <c r="Z3769" i="1" s="1"/>
  <c r="AA3769" i="1"/>
  <c r="AB3769" i="1"/>
  <c r="AC3769" i="1"/>
  <c r="Y3770" i="1"/>
  <c r="Z3770" i="1" a="1"/>
  <c r="Z3770" i="1" s="1"/>
  <c r="AA3770" i="1"/>
  <c r="AB3770" i="1"/>
  <c r="AC3770" i="1" s="1"/>
  <c r="Y3771" i="1"/>
  <c r="Z3771" i="1" a="1"/>
  <c r="Z3771" i="1" s="1"/>
  <c r="AA3771" i="1"/>
  <c r="AB3771" i="1"/>
  <c r="AC3771" i="1"/>
  <c r="Y3772" i="1"/>
  <c r="Z3772" i="1" a="1"/>
  <c r="Z3772" i="1" s="1"/>
  <c r="AA3772" i="1"/>
  <c r="AB3772" i="1"/>
  <c r="AC3772" i="1"/>
  <c r="Y3773" i="1"/>
  <c r="Z3773" i="1" a="1"/>
  <c r="Z3773" i="1" s="1"/>
  <c r="AA3773" i="1"/>
  <c r="AB3773" i="1"/>
  <c r="AC3773" i="1"/>
  <c r="Y3774" i="1"/>
  <c r="Z3774" i="1" a="1"/>
  <c r="Z3774" i="1" s="1"/>
  <c r="AA3774" i="1"/>
  <c r="AB3774" i="1"/>
  <c r="AC3774" i="1"/>
  <c r="Y3775" i="1"/>
  <c r="Z3775" i="1" a="1"/>
  <c r="Z3775" i="1" s="1"/>
  <c r="AA3775" i="1"/>
  <c r="AB3775" i="1"/>
  <c r="AC3775" i="1" s="1"/>
  <c r="Y3776" i="1"/>
  <c r="Z3776" i="1" a="1"/>
  <c r="Z3776" i="1" s="1"/>
  <c r="AA3776" i="1"/>
  <c r="AB3776" i="1"/>
  <c r="AC3776" i="1"/>
  <c r="Y3777" i="1"/>
  <c r="Z3777" i="1" a="1"/>
  <c r="Z3777" i="1" s="1"/>
  <c r="AA3777" i="1"/>
  <c r="AB3777" i="1"/>
  <c r="AC3777" i="1"/>
  <c r="Y3778" i="1"/>
  <c r="Z3778" i="1" a="1"/>
  <c r="Z3778" i="1" s="1"/>
  <c r="AA3778" i="1"/>
  <c r="AB3778" i="1"/>
  <c r="AC3778" i="1" s="1"/>
  <c r="Y3779" i="1"/>
  <c r="Z3779" i="1" a="1"/>
  <c r="Z3779" i="1" s="1"/>
  <c r="AA3779" i="1"/>
  <c r="AB3779" i="1"/>
  <c r="AC3779" i="1"/>
  <c r="Y3780" i="1"/>
  <c r="Z3780" i="1" a="1"/>
  <c r="Z3780" i="1" s="1"/>
  <c r="AA3780" i="1"/>
  <c r="AB3780" i="1"/>
  <c r="AC3780" i="1"/>
  <c r="Y3781" i="1"/>
  <c r="Z3781" i="1" a="1"/>
  <c r="Z3781" i="1" s="1"/>
  <c r="AA3781" i="1"/>
  <c r="AB3781" i="1"/>
  <c r="AC3781" i="1" s="1"/>
  <c r="Y3782" i="1"/>
  <c r="Z3782" i="1" a="1"/>
  <c r="Z3782" i="1" s="1"/>
  <c r="AA3782" i="1"/>
  <c r="AB3782" i="1"/>
  <c r="AC3782" i="1"/>
  <c r="Y3783" i="1"/>
  <c r="Z3783" i="1" a="1"/>
  <c r="Z3783" i="1" s="1"/>
  <c r="AA3783" i="1"/>
  <c r="AB3783" i="1"/>
  <c r="AC3783" i="1"/>
  <c r="Y3784" i="1"/>
  <c r="Z3784" i="1" a="1"/>
  <c r="Z3784" i="1" s="1"/>
  <c r="AA3784" i="1"/>
  <c r="AB3784" i="1"/>
  <c r="AC3784" i="1" s="1"/>
  <c r="Y3785" i="1"/>
  <c r="Z3785" i="1" a="1"/>
  <c r="Z3785" i="1" s="1"/>
  <c r="AA3785" i="1"/>
  <c r="AB3785" i="1"/>
  <c r="AC3785" i="1"/>
  <c r="Y3786" i="1"/>
  <c r="Z3786" i="1" a="1"/>
  <c r="Z3786" i="1" s="1"/>
  <c r="AA3786" i="1"/>
  <c r="AB3786" i="1"/>
  <c r="AC3786" i="1" s="1"/>
  <c r="Y3787" i="1"/>
  <c r="Z3787" i="1" a="1"/>
  <c r="Z3787" i="1" s="1"/>
  <c r="AA3787" i="1"/>
  <c r="AB3787" i="1"/>
  <c r="AC3787" i="1"/>
  <c r="Y3788" i="1"/>
  <c r="Z3788" i="1" a="1"/>
  <c r="Z3788" i="1" s="1"/>
  <c r="AA3788" i="1"/>
  <c r="AB3788" i="1"/>
  <c r="AC3788" i="1"/>
  <c r="Y3789" i="1"/>
  <c r="Z3789" i="1" a="1"/>
  <c r="Z3789" i="1" s="1"/>
  <c r="AA3789" i="1"/>
  <c r="AB3789" i="1"/>
  <c r="AC3789" i="1" s="1"/>
  <c r="Y3790" i="1"/>
  <c r="Z3790" i="1" a="1"/>
  <c r="Z3790" i="1" s="1"/>
  <c r="AA3790" i="1"/>
  <c r="AB3790" i="1"/>
  <c r="AC3790" i="1"/>
  <c r="Y3791" i="1"/>
  <c r="Z3791" i="1" a="1"/>
  <c r="Z3791" i="1" s="1"/>
  <c r="AA3791" i="1"/>
  <c r="AB3791" i="1"/>
  <c r="AC3791" i="1" s="1"/>
  <c r="Y3792" i="1"/>
  <c r="Z3792" i="1" a="1"/>
  <c r="Z3792" i="1" s="1"/>
  <c r="AA3792" i="1"/>
  <c r="AB3792" i="1"/>
  <c r="AC3792" i="1" s="1"/>
  <c r="Y3793" i="1"/>
  <c r="Z3793" i="1" a="1"/>
  <c r="Z3793" i="1" s="1"/>
  <c r="AA3793" i="1"/>
  <c r="AB3793" i="1"/>
  <c r="AC3793" i="1"/>
  <c r="Y3794" i="1"/>
  <c r="Z3794" i="1" a="1"/>
  <c r="Z3794" i="1" s="1"/>
  <c r="AA3794" i="1"/>
  <c r="AB3794" i="1"/>
  <c r="AC3794" i="1"/>
  <c r="Y3795" i="1"/>
  <c r="Z3795" i="1" a="1"/>
  <c r="Z3795" i="1" s="1"/>
  <c r="AA3795" i="1"/>
  <c r="AB3795" i="1"/>
  <c r="AC3795" i="1"/>
  <c r="Y3796" i="1"/>
  <c r="Z3796" i="1" a="1"/>
  <c r="Z3796" i="1" s="1"/>
  <c r="AA3796" i="1"/>
  <c r="AB3796" i="1"/>
  <c r="AC3796" i="1"/>
  <c r="Y3797" i="1"/>
  <c r="Z3797" i="1" a="1"/>
  <c r="Z3797" i="1" s="1"/>
  <c r="AA3797" i="1"/>
  <c r="AB3797" i="1"/>
  <c r="AC3797" i="1" s="1"/>
  <c r="Y3798" i="1"/>
  <c r="Z3798" i="1" a="1"/>
  <c r="Z3798" i="1" s="1"/>
  <c r="AA3798" i="1"/>
  <c r="AB3798" i="1"/>
  <c r="AC3798" i="1"/>
  <c r="Y3799" i="1"/>
  <c r="Z3799" i="1" a="1"/>
  <c r="Z3799" i="1" s="1"/>
  <c r="AA3799" i="1"/>
  <c r="AB3799" i="1"/>
  <c r="AC3799" i="1" s="1"/>
  <c r="Y3800" i="1"/>
  <c r="Z3800" i="1" a="1"/>
  <c r="Z3800" i="1" s="1"/>
  <c r="AA3800" i="1"/>
  <c r="AB3800" i="1"/>
  <c r="AC3800" i="1" s="1"/>
  <c r="Y3801" i="1"/>
  <c r="Z3801" i="1" a="1"/>
  <c r="Z3801" i="1" s="1"/>
  <c r="AA3801" i="1"/>
  <c r="AB3801" i="1"/>
  <c r="AC3801" i="1"/>
  <c r="Y3802" i="1"/>
  <c r="Z3802" i="1" a="1"/>
  <c r="Z3802" i="1" s="1"/>
  <c r="AA3802" i="1"/>
  <c r="AB3802" i="1"/>
  <c r="AC3802" i="1"/>
  <c r="Y3803" i="1"/>
  <c r="Z3803" i="1" a="1"/>
  <c r="Z3803" i="1" s="1"/>
  <c r="AA3803" i="1"/>
  <c r="AB3803" i="1"/>
  <c r="AC3803" i="1"/>
  <c r="Y3804" i="1"/>
  <c r="Z3804" i="1" a="1"/>
  <c r="Z3804" i="1" s="1"/>
  <c r="AA3804" i="1"/>
  <c r="AB3804" i="1"/>
  <c r="AC3804" i="1"/>
  <c r="Y3805" i="1"/>
  <c r="Z3805" i="1" a="1"/>
  <c r="Z3805" i="1" s="1"/>
  <c r="AA3805" i="1"/>
  <c r="AB3805" i="1"/>
  <c r="AC3805" i="1" s="1"/>
  <c r="Y3806" i="1"/>
  <c r="Z3806" i="1" a="1"/>
  <c r="Z3806" i="1" s="1"/>
  <c r="AA3806" i="1"/>
  <c r="AB3806" i="1"/>
  <c r="AC3806" i="1"/>
  <c r="Y3807" i="1"/>
  <c r="Z3807" i="1" a="1"/>
  <c r="Z3807" i="1" s="1"/>
  <c r="AA3807" i="1"/>
  <c r="AB3807" i="1"/>
  <c r="AC3807" i="1" s="1"/>
  <c r="Y3808" i="1"/>
  <c r="Z3808" i="1" a="1"/>
  <c r="Z3808" i="1" s="1"/>
  <c r="AA3808" i="1"/>
  <c r="AB3808" i="1"/>
  <c r="AC3808" i="1" s="1"/>
  <c r="Y3809" i="1"/>
  <c r="Z3809" i="1" a="1"/>
  <c r="Z3809" i="1" s="1"/>
  <c r="AA3809" i="1"/>
  <c r="AB3809" i="1"/>
  <c r="AC3809" i="1"/>
  <c r="Y3810" i="1"/>
  <c r="Z3810" i="1" a="1"/>
  <c r="Z3810" i="1" s="1"/>
  <c r="AA3810" i="1"/>
  <c r="AB3810" i="1"/>
  <c r="AC3810" i="1"/>
  <c r="Y3811" i="1"/>
  <c r="Z3811" i="1" a="1"/>
  <c r="Z3811" i="1" s="1"/>
  <c r="AA3811" i="1"/>
  <c r="AB3811" i="1"/>
  <c r="AC3811" i="1"/>
  <c r="Y3812" i="1"/>
  <c r="Z3812" i="1" a="1"/>
  <c r="Z3812" i="1" s="1"/>
  <c r="AA3812" i="1"/>
  <c r="AB3812" i="1"/>
  <c r="AC3812" i="1"/>
  <c r="Y3813" i="1"/>
  <c r="Z3813" i="1" a="1"/>
  <c r="Z3813" i="1" s="1"/>
  <c r="AA3813" i="1"/>
  <c r="AB3813" i="1"/>
  <c r="AC3813" i="1" s="1"/>
  <c r="Y3814" i="1"/>
  <c r="Z3814" i="1" a="1"/>
  <c r="Z3814" i="1" s="1"/>
  <c r="AA3814" i="1"/>
  <c r="AB3814" i="1"/>
  <c r="AC3814" i="1"/>
  <c r="Y3815" i="1"/>
  <c r="Z3815" i="1" a="1"/>
  <c r="Z3815" i="1" s="1"/>
  <c r="AA3815" i="1"/>
  <c r="AB3815" i="1"/>
  <c r="AC3815" i="1" s="1"/>
  <c r="Y3816" i="1"/>
  <c r="Z3816" i="1" a="1"/>
  <c r="Z3816" i="1" s="1"/>
  <c r="AA3816" i="1"/>
  <c r="AB3816" i="1"/>
  <c r="AC3816" i="1" s="1"/>
  <c r="Y3817" i="1"/>
  <c r="Z3817" i="1" a="1"/>
  <c r="Z3817" i="1" s="1"/>
  <c r="AA3817" i="1"/>
  <c r="AB3817" i="1"/>
  <c r="AC3817" i="1"/>
  <c r="Y3818" i="1"/>
  <c r="Z3818" i="1" a="1"/>
  <c r="Z3818" i="1" s="1"/>
  <c r="AA3818" i="1"/>
  <c r="AB3818" i="1"/>
  <c r="AC3818" i="1"/>
  <c r="Y3819" i="1"/>
  <c r="Z3819" i="1" a="1"/>
  <c r="Z3819" i="1" s="1"/>
  <c r="AA3819" i="1"/>
  <c r="AB3819" i="1"/>
  <c r="AC3819" i="1"/>
  <c r="Y3820" i="1"/>
  <c r="Z3820" i="1" a="1"/>
  <c r="Z3820" i="1" s="1"/>
  <c r="AA3820" i="1"/>
  <c r="AB3820" i="1"/>
  <c r="AC3820" i="1"/>
  <c r="Y3821" i="1"/>
  <c r="Z3821" i="1" a="1"/>
  <c r="Z3821" i="1" s="1"/>
  <c r="AA3821" i="1"/>
  <c r="AB3821" i="1"/>
  <c r="AC3821" i="1" s="1"/>
  <c r="Y3822" i="1"/>
  <c r="Z3822" i="1" a="1"/>
  <c r="Z3822" i="1" s="1"/>
  <c r="AA3822" i="1"/>
  <c r="AB3822" i="1"/>
  <c r="AC3822" i="1"/>
  <c r="Y3823" i="1"/>
  <c r="Z3823" i="1" a="1"/>
  <c r="Z3823" i="1" s="1"/>
  <c r="AA3823" i="1"/>
  <c r="AB3823" i="1"/>
  <c r="AC3823" i="1" s="1"/>
  <c r="Y3824" i="1"/>
  <c r="Z3824" i="1" a="1"/>
  <c r="Z3824" i="1" s="1"/>
  <c r="AA3824" i="1"/>
  <c r="AB3824" i="1"/>
  <c r="AC3824" i="1" s="1"/>
  <c r="Y3825" i="1"/>
  <c r="Z3825" i="1" a="1"/>
  <c r="Z3825" i="1" s="1"/>
  <c r="AA3825" i="1"/>
  <c r="AB3825" i="1"/>
  <c r="AC3825" i="1"/>
  <c r="Y3826" i="1"/>
  <c r="Z3826" i="1" a="1"/>
  <c r="Z3826" i="1" s="1"/>
  <c r="AA3826" i="1"/>
  <c r="AB3826" i="1"/>
  <c r="AC3826" i="1"/>
  <c r="Y3827" i="1"/>
  <c r="Z3827" i="1" a="1"/>
  <c r="Z3827" i="1" s="1"/>
  <c r="AA3827" i="1"/>
  <c r="AB3827" i="1"/>
  <c r="AC3827" i="1"/>
  <c r="Y3828" i="1"/>
  <c r="Z3828" i="1" a="1"/>
  <c r="Z3828" i="1" s="1"/>
  <c r="AA3828" i="1"/>
  <c r="AB3828" i="1"/>
  <c r="AC3828" i="1"/>
  <c r="Y3829" i="1"/>
  <c r="Z3829" i="1" a="1"/>
  <c r="Z3829" i="1" s="1"/>
  <c r="AA3829" i="1"/>
  <c r="AB3829" i="1"/>
  <c r="AC3829" i="1" s="1"/>
  <c r="Y3830" i="1"/>
  <c r="Z3830" i="1" a="1"/>
  <c r="Z3830" i="1" s="1"/>
  <c r="AA3830" i="1"/>
  <c r="AB3830" i="1"/>
  <c r="AC3830" i="1"/>
  <c r="Y3831" i="1"/>
  <c r="Z3831" i="1" a="1"/>
  <c r="Z3831" i="1" s="1"/>
  <c r="AA3831" i="1"/>
  <c r="AB3831" i="1"/>
  <c r="AC3831" i="1" s="1"/>
  <c r="Y3832" i="1"/>
  <c r="Z3832" i="1" a="1"/>
  <c r="Z3832" i="1" s="1"/>
  <c r="AA3832" i="1"/>
  <c r="AB3832" i="1"/>
  <c r="AC3832" i="1" s="1"/>
  <c r="Y3833" i="1"/>
  <c r="Z3833" i="1" a="1"/>
  <c r="Z3833" i="1" s="1"/>
  <c r="AA3833" i="1"/>
  <c r="AB3833" i="1"/>
  <c r="AC3833" i="1"/>
  <c r="Y3834" i="1"/>
  <c r="Z3834" i="1" a="1"/>
  <c r="Z3834" i="1" s="1"/>
  <c r="AA3834" i="1"/>
  <c r="AB3834" i="1"/>
  <c r="AC3834" i="1"/>
  <c r="Y3835" i="1"/>
  <c r="Z3835" i="1" a="1"/>
  <c r="Z3835" i="1" s="1"/>
  <c r="AA3835" i="1"/>
  <c r="AB3835" i="1"/>
  <c r="AC3835" i="1"/>
  <c r="Y3836" i="1"/>
  <c r="Z3836" i="1" a="1"/>
  <c r="Z3836" i="1" s="1"/>
  <c r="AA3836" i="1"/>
  <c r="AB3836" i="1"/>
  <c r="AC3836" i="1"/>
  <c r="Y3837" i="1"/>
  <c r="Z3837" i="1" a="1"/>
  <c r="Z3837" i="1" s="1"/>
  <c r="AA3837" i="1"/>
  <c r="AB3837" i="1"/>
  <c r="AC3837" i="1" s="1"/>
  <c r="Y3838" i="1"/>
  <c r="Z3838" i="1" a="1"/>
  <c r="Z3838" i="1" s="1"/>
  <c r="AA3838" i="1"/>
  <c r="AB3838" i="1"/>
  <c r="AC3838" i="1"/>
  <c r="Y3839" i="1"/>
  <c r="Z3839" i="1" a="1"/>
  <c r="Z3839" i="1" s="1"/>
  <c r="AA3839" i="1"/>
  <c r="AB3839" i="1"/>
  <c r="AC3839" i="1"/>
  <c r="Y3840" i="1"/>
  <c r="Z3840" i="1" a="1"/>
  <c r="Z3840" i="1" s="1"/>
  <c r="AA3840" i="1"/>
  <c r="AB3840" i="1"/>
  <c r="AC3840" i="1" s="1"/>
  <c r="Y3841" i="1"/>
  <c r="Z3841" i="1" a="1"/>
  <c r="Z3841" i="1" s="1"/>
  <c r="AA3841" i="1"/>
  <c r="AB3841" i="1"/>
  <c r="AC3841" i="1" s="1"/>
  <c r="Y3842" i="1"/>
  <c r="Z3842" i="1" a="1"/>
  <c r="Z3842" i="1" s="1"/>
  <c r="AA3842" i="1"/>
  <c r="AB3842" i="1"/>
  <c r="AC3842" i="1" s="1"/>
  <c r="Y3843" i="1"/>
  <c r="Z3843" i="1" a="1"/>
  <c r="Z3843" i="1" s="1"/>
  <c r="AA3843" i="1"/>
  <c r="AB3843" i="1"/>
  <c r="AC3843" i="1"/>
  <c r="Y3844" i="1"/>
  <c r="Z3844" i="1" a="1"/>
  <c r="Z3844" i="1" s="1"/>
  <c r="AA3844" i="1"/>
  <c r="AB3844" i="1"/>
  <c r="AC3844" i="1"/>
  <c r="Y3845" i="1"/>
  <c r="Z3845" i="1" a="1"/>
  <c r="Z3845" i="1" s="1"/>
  <c r="AA3845" i="1"/>
  <c r="AB3845" i="1"/>
  <c r="AC3845" i="1" s="1"/>
  <c r="Y3846" i="1"/>
  <c r="Z3846" i="1" a="1"/>
  <c r="Z3846" i="1" s="1"/>
  <c r="AA3846" i="1"/>
  <c r="AB3846" i="1"/>
  <c r="AC3846" i="1"/>
  <c r="Y3847" i="1"/>
  <c r="Z3847" i="1" a="1"/>
  <c r="Z3847" i="1" s="1"/>
  <c r="AA3847" i="1"/>
  <c r="AB3847" i="1"/>
  <c r="AC3847" i="1"/>
  <c r="Y3848" i="1"/>
  <c r="Z3848" i="1" a="1"/>
  <c r="Z3848" i="1" s="1"/>
  <c r="AA3848" i="1"/>
  <c r="AB3848" i="1"/>
  <c r="AC3848" i="1" s="1"/>
  <c r="Y3849" i="1"/>
  <c r="Z3849" i="1" a="1"/>
  <c r="Z3849" i="1" s="1"/>
  <c r="AA3849" i="1"/>
  <c r="AB3849" i="1"/>
  <c r="AC3849" i="1"/>
  <c r="Y3850" i="1"/>
  <c r="Z3850" i="1" a="1"/>
  <c r="Z3850" i="1" s="1"/>
  <c r="AA3850" i="1"/>
  <c r="AB3850" i="1"/>
  <c r="AC3850" i="1"/>
  <c r="Y3851" i="1"/>
  <c r="Z3851" i="1" a="1"/>
  <c r="Z3851" i="1" s="1"/>
  <c r="AA3851" i="1"/>
  <c r="AB3851" i="1"/>
  <c r="AC3851" i="1"/>
  <c r="Y3852" i="1"/>
  <c r="Z3852" i="1" a="1"/>
  <c r="Z3852" i="1" s="1"/>
  <c r="AA3852" i="1"/>
  <c r="AB3852" i="1"/>
  <c r="AC3852" i="1"/>
  <c r="Y3853" i="1"/>
  <c r="Z3853" i="1" a="1"/>
  <c r="Z3853" i="1" s="1"/>
  <c r="AA3853" i="1"/>
  <c r="AB3853" i="1"/>
  <c r="AC3853" i="1"/>
  <c r="Y3854" i="1"/>
  <c r="Z3854" i="1" a="1"/>
  <c r="Z3854" i="1" s="1"/>
  <c r="AA3854" i="1"/>
  <c r="AB3854" i="1"/>
  <c r="AC3854" i="1"/>
  <c r="Y3855" i="1"/>
  <c r="Z3855" i="1" a="1"/>
  <c r="Z3855" i="1" s="1"/>
  <c r="AA3855" i="1"/>
  <c r="AB3855" i="1"/>
  <c r="AC3855" i="1"/>
  <c r="Y3856" i="1"/>
  <c r="Z3856" i="1" a="1"/>
  <c r="Z3856" i="1" s="1"/>
  <c r="AA3856" i="1"/>
  <c r="AB3856" i="1"/>
  <c r="AC3856" i="1"/>
  <c r="Y3857" i="1"/>
  <c r="Z3857" i="1" a="1"/>
  <c r="Z3857" i="1" s="1"/>
  <c r="AA3857" i="1"/>
  <c r="AB3857" i="1"/>
  <c r="AC3857" i="1"/>
  <c r="Y3858" i="1"/>
  <c r="Z3858" i="1" a="1"/>
  <c r="Z3858" i="1" s="1"/>
  <c r="AA3858" i="1"/>
  <c r="AB3858" i="1"/>
  <c r="AC3858" i="1" s="1"/>
  <c r="Y3859" i="1"/>
  <c r="Z3859" i="1" a="1"/>
  <c r="Z3859" i="1" s="1"/>
  <c r="AA3859" i="1"/>
  <c r="AB3859" i="1"/>
  <c r="AC3859" i="1"/>
  <c r="Y3860" i="1"/>
  <c r="Z3860" i="1" a="1"/>
  <c r="Z3860" i="1" s="1"/>
  <c r="AA3860" i="1"/>
  <c r="AB3860" i="1"/>
  <c r="AC3860" i="1"/>
  <c r="Y3861" i="1"/>
  <c r="Z3861" i="1" a="1"/>
  <c r="Z3861" i="1" s="1"/>
  <c r="AA3861" i="1"/>
  <c r="AB3861" i="1"/>
  <c r="AC3861" i="1" s="1"/>
  <c r="Y3862" i="1"/>
  <c r="Z3862" i="1" a="1"/>
  <c r="Z3862" i="1" s="1"/>
  <c r="AA3862" i="1"/>
  <c r="AB3862" i="1"/>
  <c r="AC3862" i="1"/>
  <c r="Y3863" i="1"/>
  <c r="Z3863" i="1" a="1"/>
  <c r="Z3863" i="1" s="1"/>
  <c r="AA3863" i="1"/>
  <c r="AB3863" i="1"/>
  <c r="AC3863" i="1"/>
  <c r="Y3864" i="1"/>
  <c r="Z3864" i="1" a="1"/>
  <c r="Z3864" i="1" s="1"/>
  <c r="AA3864" i="1"/>
  <c r="AB3864" i="1"/>
  <c r="AC3864" i="1" s="1"/>
  <c r="Y3865" i="1"/>
  <c r="Z3865" i="1" a="1"/>
  <c r="Z3865" i="1" s="1"/>
  <c r="AA3865" i="1"/>
  <c r="AB3865" i="1"/>
  <c r="AC3865" i="1"/>
  <c r="Y3866" i="1"/>
  <c r="Z3866" i="1" a="1"/>
  <c r="Z3866" i="1" s="1"/>
  <c r="AA3866" i="1"/>
  <c r="AB3866" i="1"/>
  <c r="AC3866" i="1" s="1"/>
  <c r="Y3867" i="1"/>
  <c r="Z3867" i="1" a="1"/>
  <c r="Z3867" i="1" s="1"/>
  <c r="AA3867" i="1"/>
  <c r="AB3867" i="1"/>
  <c r="AC3867" i="1"/>
  <c r="Y3868" i="1"/>
  <c r="Z3868" i="1" a="1"/>
  <c r="Z3868" i="1" s="1"/>
  <c r="AA3868" i="1"/>
  <c r="AB3868" i="1"/>
  <c r="AC3868" i="1"/>
  <c r="Y3869" i="1"/>
  <c r="Z3869" i="1" a="1"/>
  <c r="Z3869" i="1" s="1"/>
  <c r="AA3869" i="1"/>
  <c r="AB3869" i="1"/>
  <c r="AC3869" i="1"/>
  <c r="Y3870" i="1"/>
  <c r="Z3870" i="1" a="1"/>
  <c r="Z3870" i="1" s="1"/>
  <c r="AA3870" i="1"/>
  <c r="AB3870" i="1"/>
  <c r="AC3870" i="1"/>
  <c r="Y3871" i="1"/>
  <c r="Z3871" i="1" a="1"/>
  <c r="Z3871" i="1" s="1"/>
  <c r="AA3871" i="1"/>
  <c r="AB3871" i="1"/>
  <c r="AC3871" i="1"/>
  <c r="Y3872" i="1"/>
  <c r="Z3872" i="1" a="1"/>
  <c r="Z3872" i="1" s="1"/>
  <c r="AA3872" i="1"/>
  <c r="AB3872" i="1"/>
  <c r="AC3872" i="1"/>
  <c r="Y3873" i="1"/>
  <c r="Z3873" i="1" a="1"/>
  <c r="Z3873" i="1" s="1"/>
  <c r="AA3873" i="1"/>
  <c r="AB3873" i="1"/>
  <c r="AC3873" i="1" s="1"/>
  <c r="Y3874" i="1"/>
  <c r="Z3874" i="1" a="1"/>
  <c r="Z3874" i="1" s="1"/>
  <c r="AA3874" i="1"/>
  <c r="AB3874" i="1"/>
  <c r="AC3874" i="1"/>
  <c r="Y3875" i="1"/>
  <c r="Z3875" i="1" a="1"/>
  <c r="Z3875" i="1" s="1"/>
  <c r="AA3875" i="1"/>
  <c r="AB3875" i="1"/>
  <c r="AC3875" i="1"/>
  <c r="Y3876" i="1"/>
  <c r="Z3876" i="1" a="1"/>
  <c r="Z3876" i="1" s="1"/>
  <c r="AA3876" i="1"/>
  <c r="AB3876" i="1"/>
  <c r="AC3876" i="1"/>
  <c r="Y3877" i="1"/>
  <c r="Z3877" i="1" a="1"/>
  <c r="Z3877" i="1" s="1"/>
  <c r="AA3877" i="1"/>
  <c r="AB3877" i="1"/>
  <c r="AC3877" i="1"/>
  <c r="Y3878" i="1"/>
  <c r="Z3878" i="1" a="1"/>
  <c r="Z3878" i="1" s="1"/>
  <c r="AA3878" i="1"/>
  <c r="AB3878" i="1"/>
  <c r="AC3878" i="1"/>
  <c r="Y3879" i="1"/>
  <c r="Z3879" i="1" a="1"/>
  <c r="Z3879" i="1" s="1"/>
  <c r="AA3879" i="1"/>
  <c r="AB3879" i="1"/>
  <c r="AC3879" i="1" s="1"/>
  <c r="Y3880" i="1"/>
  <c r="Z3880" i="1" a="1"/>
  <c r="Z3880" i="1" s="1"/>
  <c r="AA3880" i="1"/>
  <c r="AB3880" i="1"/>
  <c r="AC3880" i="1"/>
  <c r="Y3881" i="1"/>
  <c r="Z3881" i="1" a="1"/>
  <c r="Z3881" i="1" s="1"/>
  <c r="AA3881" i="1"/>
  <c r="AB3881" i="1"/>
  <c r="AC3881" i="1"/>
  <c r="Y3882" i="1"/>
  <c r="Z3882" i="1" a="1"/>
  <c r="Z3882" i="1" s="1"/>
  <c r="AA3882" i="1"/>
  <c r="AB3882" i="1"/>
  <c r="AC3882" i="1" s="1"/>
  <c r="Y3883" i="1"/>
  <c r="Z3883" i="1" a="1"/>
  <c r="Z3883" i="1" s="1"/>
  <c r="AA3883" i="1"/>
  <c r="AB3883" i="1"/>
  <c r="AC3883" i="1"/>
  <c r="Y3884" i="1"/>
  <c r="Z3884" i="1" a="1"/>
  <c r="Z3884" i="1" s="1"/>
  <c r="AA3884" i="1"/>
  <c r="AB3884" i="1"/>
  <c r="AC3884" i="1"/>
  <c r="Y3885" i="1"/>
  <c r="Z3885" i="1" a="1"/>
  <c r="Z3885" i="1" s="1"/>
  <c r="AA3885" i="1"/>
  <c r="AB3885" i="1"/>
  <c r="AC3885" i="1"/>
  <c r="Y3886" i="1"/>
  <c r="Z3886" i="1" a="1"/>
  <c r="Z3886" i="1" s="1"/>
  <c r="AA3886" i="1"/>
  <c r="AB3886" i="1"/>
  <c r="AC3886" i="1"/>
  <c r="Y3887" i="1"/>
  <c r="Z3887" i="1" a="1"/>
  <c r="Z3887" i="1" s="1"/>
  <c r="AA3887" i="1"/>
  <c r="AB3887" i="1"/>
  <c r="AC3887" i="1"/>
  <c r="Y3888" i="1"/>
  <c r="Z3888" i="1" a="1"/>
  <c r="Z3888" i="1" s="1"/>
  <c r="AA3888" i="1"/>
  <c r="AB3888" i="1"/>
  <c r="AC3888" i="1"/>
  <c r="Y3889" i="1"/>
  <c r="Z3889" i="1" a="1"/>
  <c r="Z3889" i="1" s="1"/>
  <c r="AA3889" i="1"/>
  <c r="AB3889" i="1"/>
  <c r="AC3889" i="1" s="1"/>
  <c r="Y3890" i="1"/>
  <c r="Z3890" i="1" a="1"/>
  <c r="Z3890" i="1" s="1"/>
  <c r="AA3890" i="1"/>
  <c r="AB3890" i="1"/>
  <c r="AC3890" i="1" s="1"/>
  <c r="Y3891" i="1"/>
  <c r="Z3891" i="1" a="1"/>
  <c r="Z3891" i="1" s="1"/>
  <c r="AA3891" i="1"/>
  <c r="AB3891" i="1"/>
  <c r="AC3891" i="1"/>
  <c r="Y3892" i="1"/>
  <c r="Z3892" i="1" a="1"/>
  <c r="Z3892" i="1" s="1"/>
  <c r="AA3892" i="1"/>
  <c r="AB3892" i="1"/>
  <c r="AC3892" i="1"/>
  <c r="Y3893" i="1"/>
  <c r="Z3893" i="1" a="1"/>
  <c r="Z3893" i="1" s="1"/>
  <c r="AA3893" i="1"/>
  <c r="AB3893" i="1"/>
  <c r="AC3893" i="1" s="1"/>
  <c r="Y3894" i="1"/>
  <c r="Z3894" i="1" a="1"/>
  <c r="Z3894" i="1" s="1"/>
  <c r="AA3894" i="1"/>
  <c r="AB3894" i="1"/>
  <c r="AC3894" i="1"/>
  <c r="Y3895" i="1"/>
  <c r="Z3895" i="1" a="1"/>
  <c r="Z3895" i="1" s="1"/>
  <c r="AA3895" i="1"/>
  <c r="AB3895" i="1"/>
  <c r="AC3895" i="1" s="1"/>
  <c r="Y3896" i="1"/>
  <c r="Z3896" i="1" a="1"/>
  <c r="Z3896" i="1" s="1"/>
  <c r="AA3896" i="1"/>
  <c r="AB3896" i="1"/>
  <c r="AC3896" i="1" s="1"/>
  <c r="Y3897" i="1"/>
  <c r="Z3897" i="1" a="1"/>
  <c r="Z3897" i="1" s="1"/>
  <c r="AA3897" i="1"/>
  <c r="AB3897" i="1"/>
  <c r="AC3897" i="1"/>
  <c r="Y3898" i="1"/>
  <c r="Z3898" i="1" a="1"/>
  <c r="Z3898" i="1" s="1"/>
  <c r="AA3898" i="1"/>
  <c r="AB3898" i="1"/>
  <c r="AC3898" i="1" s="1"/>
  <c r="Y3899" i="1"/>
  <c r="Z3899" i="1" a="1"/>
  <c r="Z3899" i="1" s="1"/>
  <c r="AA3899" i="1"/>
  <c r="AB3899" i="1"/>
  <c r="AC3899" i="1"/>
  <c r="Y3900" i="1"/>
  <c r="Z3900" i="1" a="1"/>
  <c r="Z3900" i="1" s="1"/>
  <c r="AA3900" i="1"/>
  <c r="AB3900" i="1"/>
  <c r="AC3900" i="1"/>
  <c r="Y3901" i="1"/>
  <c r="Z3901" i="1" a="1"/>
  <c r="Z3901" i="1" s="1"/>
  <c r="AA3901" i="1"/>
  <c r="AB3901" i="1"/>
  <c r="AC3901" i="1"/>
  <c r="Y3902" i="1"/>
  <c r="Z3902" i="1" a="1"/>
  <c r="Z3902" i="1" s="1"/>
  <c r="AA3902" i="1"/>
  <c r="AB3902" i="1"/>
  <c r="AC3902" i="1"/>
  <c r="Y3903" i="1"/>
  <c r="Z3903" i="1" a="1"/>
  <c r="Z3903" i="1" s="1"/>
  <c r="AA3903" i="1"/>
  <c r="AB3903" i="1"/>
  <c r="AC3903" i="1" s="1"/>
  <c r="Y3904" i="1"/>
  <c r="Z3904" i="1" a="1"/>
  <c r="Z3904" i="1" s="1"/>
  <c r="AA3904" i="1"/>
  <c r="AB3904" i="1"/>
  <c r="AC3904" i="1"/>
  <c r="Y3905" i="1"/>
  <c r="Z3905" i="1" a="1"/>
  <c r="Z3905" i="1" s="1"/>
  <c r="AA3905" i="1"/>
  <c r="AB3905" i="1"/>
  <c r="AC3905" i="1"/>
  <c r="Y3906" i="1"/>
  <c r="Z3906" i="1" a="1"/>
  <c r="Z3906" i="1" s="1"/>
  <c r="AA3906" i="1"/>
  <c r="AB3906" i="1"/>
  <c r="AC3906" i="1" s="1"/>
  <c r="Y3907" i="1"/>
  <c r="Z3907" i="1" a="1"/>
  <c r="Z3907" i="1" s="1"/>
  <c r="AA3907" i="1"/>
  <c r="AB3907" i="1"/>
  <c r="AC3907" i="1"/>
  <c r="Y3908" i="1"/>
  <c r="Z3908" i="1" a="1"/>
  <c r="Z3908" i="1" s="1"/>
  <c r="AA3908" i="1"/>
  <c r="AB3908" i="1"/>
  <c r="AC3908" i="1"/>
  <c r="Y3909" i="1"/>
  <c r="Z3909" i="1" a="1"/>
  <c r="Z3909" i="1" s="1"/>
  <c r="AA3909" i="1"/>
  <c r="AB3909" i="1"/>
  <c r="AC3909" i="1" s="1"/>
  <c r="Y3910" i="1"/>
  <c r="Z3910" i="1" a="1"/>
  <c r="Z3910" i="1" s="1"/>
  <c r="AA3910" i="1"/>
  <c r="AB3910" i="1"/>
  <c r="AC3910" i="1"/>
  <c r="Y3911" i="1"/>
  <c r="Z3911" i="1" a="1"/>
  <c r="Z3911" i="1" s="1"/>
  <c r="AA3911" i="1"/>
  <c r="AB3911" i="1"/>
  <c r="AC3911" i="1"/>
  <c r="Y3912" i="1"/>
  <c r="Z3912" i="1" a="1"/>
  <c r="Z3912" i="1" s="1"/>
  <c r="AA3912" i="1"/>
  <c r="AB3912" i="1"/>
  <c r="AC3912" i="1" s="1"/>
  <c r="Y3913" i="1"/>
  <c r="Z3913" i="1" a="1"/>
  <c r="Z3913" i="1" s="1"/>
  <c r="AA3913" i="1"/>
  <c r="AB3913" i="1"/>
  <c r="AC3913" i="1"/>
  <c r="Y3914" i="1"/>
  <c r="Z3914" i="1" a="1"/>
  <c r="Z3914" i="1" s="1"/>
  <c r="AA3914" i="1"/>
  <c r="AB3914" i="1"/>
  <c r="AC3914" i="1" s="1"/>
  <c r="Y3915" i="1"/>
  <c r="Z3915" i="1" a="1"/>
  <c r="Z3915" i="1" s="1"/>
  <c r="AA3915" i="1"/>
  <c r="AB3915" i="1"/>
  <c r="AC3915" i="1"/>
  <c r="Y3916" i="1"/>
  <c r="Z3916" i="1" a="1"/>
  <c r="Z3916" i="1" s="1"/>
  <c r="AA3916" i="1"/>
  <c r="AB3916" i="1"/>
  <c r="AC3916" i="1"/>
  <c r="Y3917" i="1"/>
  <c r="Z3917" i="1" a="1"/>
  <c r="Z3917" i="1" s="1"/>
  <c r="AA3917" i="1"/>
  <c r="AB3917" i="1"/>
  <c r="AC3917" i="1" s="1"/>
  <c r="Y3918" i="1"/>
  <c r="Z3918" i="1" a="1"/>
  <c r="Z3918" i="1" s="1"/>
  <c r="AA3918" i="1"/>
  <c r="AB3918" i="1"/>
  <c r="AC3918" i="1"/>
  <c r="Y3919" i="1"/>
  <c r="Z3919" i="1" a="1"/>
  <c r="Z3919" i="1" s="1"/>
  <c r="AA3919" i="1"/>
  <c r="AB3919" i="1"/>
  <c r="AC3919" i="1" s="1"/>
  <c r="Y3920" i="1"/>
  <c r="Z3920" i="1" a="1"/>
  <c r="Z3920" i="1" s="1"/>
  <c r="AA3920" i="1"/>
  <c r="AB3920" i="1"/>
  <c r="AC3920" i="1" s="1"/>
  <c r="Y3921" i="1"/>
  <c r="Z3921" i="1" a="1"/>
  <c r="Z3921" i="1" s="1"/>
  <c r="AA3921" i="1"/>
  <c r="AB3921" i="1"/>
  <c r="AC3921" i="1"/>
  <c r="Y3922" i="1"/>
  <c r="Z3922" i="1" a="1"/>
  <c r="Z3922" i="1" s="1"/>
  <c r="AA3922" i="1"/>
  <c r="AB3922" i="1"/>
  <c r="AC3922" i="1" s="1"/>
  <c r="Y3923" i="1"/>
  <c r="Z3923" i="1" a="1"/>
  <c r="Z3923" i="1" s="1"/>
  <c r="AA3923" i="1"/>
  <c r="AB3923" i="1"/>
  <c r="AC3923" i="1"/>
  <c r="Y3924" i="1"/>
  <c r="Z3924" i="1" a="1"/>
  <c r="Z3924" i="1" s="1"/>
  <c r="AA3924" i="1"/>
  <c r="AB3924" i="1"/>
  <c r="AC3924" i="1"/>
  <c r="Y3925" i="1"/>
  <c r="Z3925" i="1" a="1"/>
  <c r="Z3925" i="1" s="1"/>
  <c r="AA3925" i="1"/>
  <c r="AB3925" i="1"/>
  <c r="AC3925" i="1"/>
  <c r="Y3926" i="1"/>
  <c r="Z3926" i="1" a="1"/>
  <c r="Z3926" i="1" s="1"/>
  <c r="AA3926" i="1"/>
  <c r="AB3926" i="1"/>
  <c r="AC3926" i="1"/>
  <c r="Y3927" i="1"/>
  <c r="Z3927" i="1" a="1"/>
  <c r="Z3927" i="1" s="1"/>
  <c r="AA3927" i="1"/>
  <c r="AB3927" i="1"/>
  <c r="AC3927" i="1" s="1"/>
  <c r="Y3928" i="1"/>
  <c r="Z3928" i="1" a="1"/>
  <c r="Z3928" i="1" s="1"/>
  <c r="AA3928" i="1"/>
  <c r="AB3928" i="1"/>
  <c r="AC3928" i="1"/>
  <c r="Y3929" i="1"/>
  <c r="Z3929" i="1" a="1"/>
  <c r="Z3929" i="1" s="1"/>
  <c r="AA3929" i="1"/>
  <c r="AB3929" i="1"/>
  <c r="AC3929" i="1"/>
  <c r="Y3930" i="1"/>
  <c r="Z3930" i="1" a="1"/>
  <c r="Z3930" i="1" s="1"/>
  <c r="AA3930" i="1"/>
  <c r="AB3930" i="1"/>
  <c r="AC3930" i="1"/>
  <c r="Y3931" i="1"/>
  <c r="Z3931" i="1" a="1"/>
  <c r="Z3931" i="1" s="1"/>
  <c r="AA3931" i="1"/>
  <c r="AB3931" i="1"/>
  <c r="AC3931" i="1"/>
  <c r="Y3932" i="1"/>
  <c r="Z3932" i="1" a="1"/>
  <c r="Z3932" i="1" s="1"/>
  <c r="AA3932" i="1"/>
  <c r="AB3932" i="1"/>
  <c r="AC3932" i="1"/>
  <c r="Y3933" i="1"/>
  <c r="Z3933" i="1" a="1"/>
  <c r="Z3933" i="1" s="1"/>
  <c r="AA3933" i="1"/>
  <c r="AB3933" i="1"/>
  <c r="AC3933" i="1" s="1"/>
  <c r="Y3934" i="1"/>
  <c r="Z3934" i="1" a="1"/>
  <c r="Z3934" i="1" s="1"/>
  <c r="AA3934" i="1"/>
  <c r="AB3934" i="1"/>
  <c r="AC3934" i="1"/>
  <c r="Y3935" i="1"/>
  <c r="Z3935" i="1" a="1"/>
  <c r="Z3935" i="1" s="1"/>
  <c r="AA3935" i="1"/>
  <c r="AB3935" i="1"/>
  <c r="AC3935" i="1" s="1"/>
  <c r="Y3936" i="1"/>
  <c r="Z3936" i="1" a="1"/>
  <c r="Z3936" i="1" s="1"/>
  <c r="AA3936" i="1"/>
  <c r="AB3936" i="1"/>
  <c r="AC3936" i="1" s="1"/>
  <c r="Y3937" i="1"/>
  <c r="Z3937" i="1" a="1"/>
  <c r="Z3937" i="1" s="1"/>
  <c r="AA3937" i="1"/>
  <c r="AB3937" i="1"/>
  <c r="AC3937" i="1"/>
  <c r="Y3938" i="1"/>
  <c r="Z3938" i="1" a="1"/>
  <c r="Z3938" i="1" s="1"/>
  <c r="AA3938" i="1"/>
  <c r="AB3938" i="1"/>
  <c r="AC3938" i="1" s="1"/>
  <c r="Y3939" i="1"/>
  <c r="Z3939" i="1" a="1"/>
  <c r="Z3939" i="1" s="1"/>
  <c r="AA3939" i="1"/>
  <c r="AB3939" i="1"/>
  <c r="AC3939" i="1"/>
  <c r="Y3940" i="1"/>
  <c r="Z3940" i="1" a="1"/>
  <c r="Z3940" i="1" s="1"/>
  <c r="AA3940" i="1"/>
  <c r="AB3940" i="1"/>
  <c r="AC3940" i="1"/>
  <c r="Y3941" i="1"/>
  <c r="Z3941" i="1" a="1"/>
  <c r="Z3941" i="1" s="1"/>
  <c r="AA3941" i="1"/>
  <c r="AB3941" i="1"/>
  <c r="AC3941" i="1" s="1"/>
  <c r="Y3942" i="1"/>
  <c r="Z3942" i="1" a="1"/>
  <c r="Z3942" i="1" s="1"/>
  <c r="AA3942" i="1"/>
  <c r="AB3942" i="1"/>
  <c r="AC3942" i="1"/>
  <c r="Y3943" i="1"/>
  <c r="Z3943" i="1" a="1"/>
  <c r="Z3943" i="1" s="1"/>
  <c r="AA3943" i="1"/>
  <c r="AB3943" i="1"/>
  <c r="AC3943" i="1" s="1"/>
  <c r="Y3944" i="1"/>
  <c r="Z3944" i="1" a="1"/>
  <c r="Z3944" i="1" s="1"/>
  <c r="AA3944" i="1"/>
  <c r="AB3944" i="1"/>
  <c r="AC3944" i="1" s="1"/>
  <c r="Y3945" i="1"/>
  <c r="Z3945" i="1" a="1"/>
  <c r="Z3945" i="1" s="1"/>
  <c r="AA3945" i="1"/>
  <c r="AB3945" i="1"/>
  <c r="AC3945" i="1"/>
  <c r="Y3946" i="1"/>
  <c r="Z3946" i="1" a="1"/>
  <c r="Z3946" i="1" s="1"/>
  <c r="AA3946" i="1"/>
  <c r="AB3946" i="1"/>
  <c r="AC3946" i="1"/>
  <c r="Y3947" i="1"/>
  <c r="Z3947" i="1" a="1"/>
  <c r="Z3947" i="1" s="1"/>
  <c r="AA3947" i="1"/>
  <c r="AB3947" i="1"/>
  <c r="AC3947" i="1"/>
  <c r="Y3948" i="1"/>
  <c r="Z3948" i="1" a="1"/>
  <c r="Z3948" i="1" s="1"/>
  <c r="AA3948" i="1"/>
  <c r="AB3948" i="1"/>
  <c r="AC3948" i="1"/>
  <c r="Y3949" i="1"/>
  <c r="Z3949" i="1" a="1"/>
  <c r="Z3949" i="1" s="1"/>
  <c r="AA3949" i="1"/>
  <c r="AB3949" i="1"/>
  <c r="AC3949" i="1" s="1"/>
  <c r="Y3950" i="1"/>
  <c r="Z3950" i="1" a="1"/>
  <c r="Z3950" i="1" s="1"/>
  <c r="AA3950" i="1"/>
  <c r="AB3950" i="1"/>
  <c r="AC3950" i="1"/>
  <c r="Y3951" i="1"/>
  <c r="Z3951" i="1" a="1"/>
  <c r="Z3951" i="1" s="1"/>
  <c r="AA3951" i="1"/>
  <c r="AB3951" i="1"/>
  <c r="AC3951" i="1"/>
  <c r="Y3952" i="1"/>
  <c r="Z3952" i="1" a="1"/>
  <c r="Z3952" i="1" s="1"/>
  <c r="AA3952" i="1"/>
  <c r="AB3952" i="1"/>
  <c r="AC3952" i="1" s="1"/>
  <c r="Y3953" i="1"/>
  <c r="Z3953" i="1" a="1"/>
  <c r="Z3953" i="1" s="1"/>
  <c r="AA3953" i="1"/>
  <c r="AB3953" i="1"/>
  <c r="AC3953" i="1"/>
  <c r="Y3954" i="1"/>
  <c r="Z3954" i="1" a="1"/>
  <c r="Z3954" i="1" s="1"/>
  <c r="AA3954" i="1"/>
  <c r="AB3954" i="1"/>
  <c r="AC3954" i="1"/>
  <c r="Y3955" i="1"/>
  <c r="Z3955" i="1" a="1"/>
  <c r="Z3955" i="1" s="1"/>
  <c r="AA3955" i="1"/>
  <c r="AB3955" i="1"/>
  <c r="AC3955" i="1"/>
  <c r="Y3956" i="1"/>
  <c r="Z3956" i="1" a="1"/>
  <c r="Z3956" i="1" s="1"/>
  <c r="AA3956" i="1"/>
  <c r="AB3956" i="1"/>
  <c r="AC3956" i="1"/>
  <c r="Y3957" i="1"/>
  <c r="Z3957" i="1" a="1"/>
  <c r="Z3957" i="1" s="1"/>
  <c r="AA3957" i="1"/>
  <c r="AB3957" i="1"/>
  <c r="AC3957" i="1" s="1"/>
  <c r="Y3958" i="1"/>
  <c r="Z3958" i="1" a="1"/>
  <c r="Z3958" i="1" s="1"/>
  <c r="AA3958" i="1"/>
  <c r="AB3958" i="1"/>
  <c r="AC3958" i="1"/>
  <c r="Y3959" i="1"/>
  <c r="Z3959" i="1" a="1"/>
  <c r="Z3959" i="1" s="1"/>
  <c r="AA3959" i="1"/>
  <c r="AB3959" i="1"/>
  <c r="AC3959" i="1" s="1"/>
  <c r="Y3960" i="1"/>
  <c r="Z3960" i="1" a="1"/>
  <c r="Z3960" i="1" s="1"/>
  <c r="AA3960" i="1"/>
  <c r="AB3960" i="1"/>
  <c r="AC3960" i="1" s="1"/>
  <c r="Y3961" i="1"/>
  <c r="Z3961" i="1" a="1"/>
  <c r="Z3961" i="1" s="1"/>
  <c r="AA3961" i="1"/>
  <c r="AB3961" i="1"/>
  <c r="AC3961" i="1"/>
  <c r="Y3962" i="1"/>
  <c r="Z3962" i="1" a="1"/>
  <c r="Z3962" i="1" s="1"/>
  <c r="AA3962" i="1"/>
  <c r="AB3962" i="1"/>
  <c r="AC3962" i="1"/>
  <c r="Y3963" i="1"/>
  <c r="Z3963" i="1" a="1"/>
  <c r="Z3963" i="1" s="1"/>
  <c r="AA3963" i="1"/>
  <c r="AB3963" i="1"/>
  <c r="AC3963" i="1"/>
  <c r="Y3964" i="1"/>
  <c r="Z3964" i="1" a="1"/>
  <c r="Z3964" i="1" s="1"/>
  <c r="AA3964" i="1"/>
  <c r="AB3964" i="1"/>
  <c r="AC3964" i="1"/>
  <c r="Y3965" i="1"/>
  <c r="Z3965" i="1" a="1"/>
  <c r="Z3965" i="1" s="1"/>
  <c r="AA3965" i="1"/>
  <c r="AB3965" i="1"/>
  <c r="AC3965" i="1" s="1"/>
  <c r="Y3966" i="1"/>
  <c r="Z3966" i="1" a="1"/>
  <c r="Z3966" i="1" s="1"/>
  <c r="AA3966" i="1"/>
  <c r="AB3966" i="1"/>
  <c r="AC3966" i="1"/>
  <c r="Y3967" i="1"/>
  <c r="Z3967" i="1" a="1"/>
  <c r="Z3967" i="1" s="1"/>
  <c r="AA3967" i="1"/>
  <c r="AB3967" i="1"/>
  <c r="AC3967" i="1"/>
  <c r="Y3968" i="1"/>
  <c r="Z3968" i="1" a="1"/>
  <c r="Z3968" i="1" s="1"/>
  <c r="AA3968" i="1"/>
  <c r="AB3968" i="1"/>
  <c r="AC3968" i="1" s="1"/>
  <c r="Y3969" i="1"/>
  <c r="Z3969" i="1" a="1"/>
  <c r="Z3969" i="1" s="1"/>
  <c r="AA3969" i="1"/>
  <c r="AB3969" i="1"/>
  <c r="AC3969" i="1" s="1"/>
  <c r="Y3970" i="1"/>
  <c r="Z3970" i="1" a="1"/>
  <c r="Z3970" i="1" s="1"/>
  <c r="AA3970" i="1"/>
  <c r="AB3970" i="1"/>
  <c r="AC3970" i="1" s="1"/>
  <c r="Y3971" i="1"/>
  <c r="Z3971" i="1" a="1"/>
  <c r="Z3971" i="1" s="1"/>
  <c r="AA3971" i="1"/>
  <c r="AB3971" i="1"/>
  <c r="AC3971" i="1"/>
  <c r="Y3972" i="1"/>
  <c r="Z3972" i="1" a="1"/>
  <c r="Z3972" i="1" s="1"/>
  <c r="AA3972" i="1"/>
  <c r="AB3972" i="1"/>
  <c r="AC3972" i="1"/>
  <c r="Y3973" i="1"/>
  <c r="Z3973" i="1" a="1"/>
  <c r="Z3973" i="1" s="1"/>
  <c r="AA3973" i="1"/>
  <c r="AB3973" i="1"/>
  <c r="AC3973" i="1" s="1"/>
  <c r="Y3974" i="1"/>
  <c r="Z3974" i="1" a="1"/>
  <c r="Z3974" i="1" s="1"/>
  <c r="AA3974" i="1"/>
  <c r="AB3974" i="1"/>
  <c r="AC3974" i="1"/>
  <c r="Y3975" i="1"/>
  <c r="Z3975" i="1" a="1"/>
  <c r="Z3975" i="1" s="1"/>
  <c r="AA3975" i="1"/>
  <c r="AB3975" i="1"/>
  <c r="AC3975" i="1" s="1"/>
  <c r="Y3976" i="1"/>
  <c r="Z3976" i="1" a="1"/>
  <c r="Z3976" i="1" s="1"/>
  <c r="AA3976" i="1"/>
  <c r="AB3976" i="1"/>
  <c r="AC3976" i="1" s="1"/>
  <c r="Y3977" i="1"/>
  <c r="Z3977" i="1" a="1"/>
  <c r="Z3977" i="1" s="1"/>
  <c r="AA3977" i="1"/>
  <c r="AB3977" i="1"/>
  <c r="AC3977" i="1" s="1"/>
  <c r="Y3978" i="1"/>
  <c r="Z3978" i="1" a="1"/>
  <c r="Z3978" i="1" s="1"/>
  <c r="AA3978" i="1"/>
  <c r="AB3978" i="1"/>
  <c r="AC3978" i="1"/>
  <c r="Y3979" i="1"/>
  <c r="Z3979" i="1" a="1"/>
  <c r="Z3979" i="1" s="1"/>
  <c r="AA3979" i="1"/>
  <c r="AB3979" i="1"/>
  <c r="AC3979" i="1"/>
  <c r="Y3980" i="1"/>
  <c r="Z3980" i="1" a="1"/>
  <c r="Z3980" i="1" s="1"/>
  <c r="AA3980" i="1"/>
  <c r="AB3980" i="1"/>
  <c r="AC3980" i="1"/>
  <c r="Y3981" i="1"/>
  <c r="Z3981" i="1" a="1"/>
  <c r="Z3981" i="1" s="1"/>
  <c r="AA3981" i="1"/>
  <c r="AB3981" i="1"/>
  <c r="AC3981" i="1"/>
  <c r="Y3982" i="1"/>
  <c r="Z3982" i="1" a="1"/>
  <c r="Z3982" i="1" s="1"/>
  <c r="AA3982" i="1"/>
  <c r="AB3982" i="1"/>
  <c r="AC3982" i="1"/>
  <c r="Y3983" i="1"/>
  <c r="Z3983" i="1" a="1"/>
  <c r="Z3983" i="1" s="1"/>
  <c r="AA3983" i="1"/>
  <c r="AB3983" i="1"/>
  <c r="AC3983" i="1"/>
  <c r="Y3984" i="1"/>
  <c r="Z3984" i="1" a="1"/>
  <c r="Z3984" i="1" s="1"/>
  <c r="AA3984" i="1"/>
  <c r="AB3984" i="1"/>
  <c r="AC3984" i="1"/>
  <c r="Y3985" i="1"/>
  <c r="Z3985" i="1" a="1"/>
  <c r="Z3985" i="1" s="1"/>
  <c r="AA3985" i="1"/>
  <c r="AB3985" i="1"/>
  <c r="AC3985" i="1"/>
  <c r="Y3986" i="1"/>
  <c r="Z3986" i="1" a="1"/>
  <c r="Z3986" i="1" s="1"/>
  <c r="AA3986" i="1"/>
  <c r="AB3986" i="1"/>
  <c r="AC3986" i="1" s="1"/>
  <c r="Y3987" i="1"/>
  <c r="Z3987" i="1" a="1"/>
  <c r="Z3987" i="1" s="1"/>
  <c r="AA3987" i="1"/>
  <c r="AB3987" i="1"/>
  <c r="AC3987" i="1"/>
  <c r="Y3988" i="1"/>
  <c r="Z3988" i="1" a="1"/>
  <c r="Z3988" i="1" s="1"/>
  <c r="AA3988" i="1"/>
  <c r="AB3988" i="1"/>
  <c r="AC3988" i="1"/>
  <c r="Y3989" i="1"/>
  <c r="Z3989" i="1" a="1"/>
  <c r="Z3989" i="1" s="1"/>
  <c r="AA3989" i="1"/>
  <c r="AB3989" i="1"/>
  <c r="AC3989" i="1" s="1"/>
  <c r="Y3990" i="1"/>
  <c r="Z3990" i="1" a="1"/>
  <c r="Z3990" i="1" s="1"/>
  <c r="AA3990" i="1"/>
  <c r="AB3990" i="1"/>
  <c r="AC3990" i="1"/>
  <c r="Y3991" i="1"/>
  <c r="Z3991" i="1" a="1"/>
  <c r="Z3991" i="1" s="1"/>
  <c r="AA3991" i="1"/>
  <c r="AB3991" i="1"/>
  <c r="AC3991" i="1"/>
  <c r="Y3992" i="1"/>
  <c r="Z3992" i="1" a="1"/>
  <c r="Z3992" i="1" s="1"/>
  <c r="AA3992" i="1"/>
  <c r="AB3992" i="1"/>
  <c r="AC3992" i="1" s="1"/>
  <c r="Y3993" i="1"/>
  <c r="Z3993" i="1" a="1"/>
  <c r="Z3993" i="1" s="1"/>
  <c r="AA3993" i="1"/>
  <c r="AB3993" i="1"/>
  <c r="AC3993" i="1"/>
  <c r="Y3994" i="1"/>
  <c r="Z3994" i="1" a="1"/>
  <c r="Z3994" i="1" s="1"/>
  <c r="AA3994" i="1"/>
  <c r="AB3994" i="1"/>
  <c r="AC3994" i="1" s="1"/>
  <c r="Y3995" i="1"/>
  <c r="Z3995" i="1" a="1"/>
  <c r="Z3995" i="1" s="1"/>
  <c r="AA3995" i="1"/>
  <c r="AB3995" i="1"/>
  <c r="AC3995" i="1"/>
  <c r="Y3996" i="1"/>
  <c r="Z3996" i="1" a="1"/>
  <c r="Z3996" i="1" s="1"/>
  <c r="AA3996" i="1"/>
  <c r="AB3996" i="1"/>
  <c r="AC3996" i="1"/>
  <c r="Y3997" i="1"/>
  <c r="Z3997" i="1" a="1"/>
  <c r="Z3997" i="1" s="1"/>
  <c r="AA3997" i="1"/>
  <c r="AB3997" i="1"/>
  <c r="AC3997" i="1"/>
  <c r="Y3998" i="1"/>
  <c r="Z3998" i="1" a="1"/>
  <c r="Z3998" i="1" s="1"/>
  <c r="AA3998" i="1"/>
  <c r="AB3998" i="1"/>
  <c r="AC3998" i="1"/>
  <c r="Y3999" i="1"/>
  <c r="Z3999" i="1" a="1"/>
  <c r="Z3999" i="1" s="1"/>
  <c r="AA3999" i="1"/>
  <c r="AB3999" i="1"/>
  <c r="AC3999" i="1"/>
  <c r="Y4000" i="1"/>
  <c r="Z4000" i="1" a="1"/>
  <c r="Z4000" i="1" s="1"/>
  <c r="AA4000" i="1"/>
  <c r="AB4000" i="1"/>
  <c r="AC4000" i="1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3" i="8"/>
  <c r="O4" i="8"/>
  <c r="O5" i="8" s="1"/>
  <c r="O6" i="8" s="1"/>
  <c r="O7" i="8" s="1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O36" i="8" s="1"/>
  <c r="O37" i="8" s="1"/>
  <c r="O38" i="8" s="1"/>
  <c r="O39" i="8" s="1"/>
  <c r="O40" i="8" s="1"/>
  <c r="O41" i="8" s="1"/>
  <c r="O42" i="8" s="1"/>
  <c r="O43" i="8" s="1"/>
  <c r="O44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O55" i="8" s="1"/>
  <c r="O56" i="8" s="1"/>
  <c r="O57" i="8" s="1"/>
  <c r="O58" i="8" s="1"/>
  <c r="O59" i="8" s="1"/>
  <c r="O60" i="8" s="1"/>
  <c r="O61" i="8" s="1"/>
  <c r="O62" i="8" s="1"/>
  <c r="O63" i="8" s="1"/>
  <c r="O64" i="8" s="1"/>
  <c r="O65" i="8" s="1"/>
  <c r="O66" i="8" s="1"/>
  <c r="O67" i="8" s="1"/>
  <c r="O68" i="8" s="1"/>
  <c r="O69" i="8" s="1"/>
  <c r="O70" i="8" s="1"/>
  <c r="O71" i="8" s="1"/>
  <c r="O72" i="8" s="1"/>
  <c r="O73" i="8" s="1"/>
  <c r="O74" i="8" s="1"/>
  <c r="O75" i="8" s="1"/>
  <c r="O76" i="8" s="1"/>
  <c r="O77" i="8" s="1"/>
  <c r="O78" i="8" s="1"/>
  <c r="O79" i="8" s="1"/>
  <c r="O80" i="8" s="1"/>
  <c r="O81" i="8" s="1"/>
  <c r="O82" i="8" s="1"/>
  <c r="O83" i="8" s="1"/>
  <c r="O84" i="8" s="1"/>
  <c r="O85" i="8" s="1"/>
  <c r="O86" i="8" s="1"/>
  <c r="O87" i="8" s="1"/>
  <c r="O88" i="8" s="1"/>
  <c r="O89" i="8" s="1"/>
  <c r="O90" i="8" s="1"/>
  <c r="O91" i="8" s="1"/>
  <c r="O92" i="8" s="1"/>
  <c r="O93" i="8" s="1"/>
  <c r="O94" i="8" s="1"/>
  <c r="O95" i="8" s="1"/>
  <c r="O96" i="8" s="1"/>
  <c r="O97" i="8" s="1"/>
  <c r="O98" i="8" s="1"/>
  <c r="O99" i="8" s="1"/>
  <c r="O3" i="8"/>
  <c r="Y2" i="1" l="1"/>
  <c r="J5" i="1"/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P3" i="8"/>
  <c r="Q3" i="8"/>
  <c r="R3" i="8"/>
  <c r="S3" i="8"/>
  <c r="S4" i="8" s="1"/>
  <c r="T3" i="8"/>
  <c r="T4" i="8" s="1"/>
  <c r="I3" i="8"/>
  <c r="J3" i="8"/>
  <c r="K3" i="8"/>
  <c r="L3" i="8"/>
  <c r="M3" i="8"/>
  <c r="P5" i="8"/>
  <c r="Q5" i="8"/>
  <c r="R5" i="8"/>
  <c r="S5" i="8"/>
  <c r="T5" i="8"/>
  <c r="P6" i="8"/>
  <c r="Q6" i="8"/>
  <c r="R6" i="8"/>
  <c r="S6" i="8"/>
  <c r="T6" i="8"/>
  <c r="P7" i="8"/>
  <c r="Q7" i="8"/>
  <c r="R7" i="8"/>
  <c r="S7" i="8"/>
  <c r="T7" i="8"/>
  <c r="P8" i="8"/>
  <c r="Q8" i="8"/>
  <c r="R8" i="8"/>
  <c r="S8" i="8"/>
  <c r="T8" i="8"/>
  <c r="P9" i="8"/>
  <c r="Q9" i="8"/>
  <c r="R9" i="8"/>
  <c r="S9" i="8"/>
  <c r="T9" i="8"/>
  <c r="P10" i="8"/>
  <c r="Q10" i="8"/>
  <c r="R10" i="8"/>
  <c r="S10" i="8"/>
  <c r="T10" i="8"/>
  <c r="P11" i="8"/>
  <c r="Q11" i="8"/>
  <c r="R11" i="8"/>
  <c r="S11" i="8"/>
  <c r="T11" i="8"/>
  <c r="P12" i="8"/>
  <c r="Q12" i="8"/>
  <c r="R12" i="8"/>
  <c r="S12" i="8"/>
  <c r="T12" i="8"/>
  <c r="P13" i="8"/>
  <c r="Q13" i="8"/>
  <c r="R13" i="8"/>
  <c r="S13" i="8"/>
  <c r="T13" i="8"/>
  <c r="P14" i="8"/>
  <c r="Q14" i="8"/>
  <c r="R14" i="8"/>
  <c r="S14" i="8"/>
  <c r="T14" i="8"/>
  <c r="P15" i="8"/>
  <c r="Q15" i="8"/>
  <c r="R15" i="8"/>
  <c r="S15" i="8"/>
  <c r="T15" i="8"/>
  <c r="P16" i="8"/>
  <c r="Q16" i="8"/>
  <c r="R16" i="8"/>
  <c r="S16" i="8"/>
  <c r="T16" i="8"/>
  <c r="P17" i="8"/>
  <c r="Q17" i="8"/>
  <c r="R17" i="8"/>
  <c r="S17" i="8"/>
  <c r="T17" i="8"/>
  <c r="P18" i="8"/>
  <c r="Q18" i="8"/>
  <c r="R18" i="8"/>
  <c r="S18" i="8"/>
  <c r="T18" i="8"/>
  <c r="P19" i="8"/>
  <c r="Q19" i="8"/>
  <c r="R19" i="8"/>
  <c r="S19" i="8"/>
  <c r="T19" i="8"/>
  <c r="P20" i="8"/>
  <c r="Q20" i="8"/>
  <c r="R20" i="8"/>
  <c r="S20" i="8"/>
  <c r="T20" i="8"/>
  <c r="P21" i="8"/>
  <c r="Q21" i="8"/>
  <c r="R21" i="8"/>
  <c r="S21" i="8"/>
  <c r="T21" i="8"/>
  <c r="P22" i="8"/>
  <c r="Q22" i="8"/>
  <c r="R22" i="8"/>
  <c r="S22" i="8"/>
  <c r="T22" i="8"/>
  <c r="P23" i="8"/>
  <c r="Q23" i="8"/>
  <c r="R23" i="8"/>
  <c r="S23" i="8"/>
  <c r="T23" i="8"/>
  <c r="P24" i="8"/>
  <c r="Q24" i="8"/>
  <c r="R24" i="8"/>
  <c r="S24" i="8"/>
  <c r="T24" i="8"/>
  <c r="P25" i="8"/>
  <c r="Q25" i="8"/>
  <c r="R25" i="8"/>
  <c r="S25" i="8"/>
  <c r="T25" i="8"/>
  <c r="P26" i="8"/>
  <c r="Q26" i="8"/>
  <c r="R26" i="8"/>
  <c r="S26" i="8"/>
  <c r="T26" i="8"/>
  <c r="P27" i="8"/>
  <c r="Q27" i="8"/>
  <c r="R27" i="8"/>
  <c r="S27" i="8"/>
  <c r="T27" i="8"/>
  <c r="P28" i="8"/>
  <c r="Q28" i="8"/>
  <c r="R28" i="8"/>
  <c r="S28" i="8"/>
  <c r="T28" i="8"/>
  <c r="P29" i="8"/>
  <c r="Q29" i="8"/>
  <c r="R29" i="8"/>
  <c r="S29" i="8"/>
  <c r="T29" i="8"/>
  <c r="P30" i="8"/>
  <c r="Q30" i="8"/>
  <c r="R30" i="8"/>
  <c r="S30" i="8"/>
  <c r="T30" i="8"/>
  <c r="P31" i="8"/>
  <c r="Q31" i="8"/>
  <c r="R31" i="8"/>
  <c r="S31" i="8"/>
  <c r="T31" i="8"/>
  <c r="P32" i="8"/>
  <c r="Q32" i="8"/>
  <c r="R32" i="8"/>
  <c r="S32" i="8"/>
  <c r="T32" i="8"/>
  <c r="P33" i="8"/>
  <c r="Q33" i="8"/>
  <c r="R33" i="8"/>
  <c r="S33" i="8"/>
  <c r="T33" i="8"/>
  <c r="P34" i="8"/>
  <c r="Q34" i="8"/>
  <c r="R34" i="8"/>
  <c r="S34" i="8"/>
  <c r="T34" i="8"/>
  <c r="P35" i="8"/>
  <c r="Q35" i="8"/>
  <c r="R35" i="8"/>
  <c r="S35" i="8"/>
  <c r="T35" i="8"/>
  <c r="P36" i="8"/>
  <c r="Q36" i="8"/>
  <c r="R36" i="8"/>
  <c r="S36" i="8"/>
  <c r="T36" i="8"/>
  <c r="P37" i="8"/>
  <c r="Q37" i="8"/>
  <c r="R37" i="8"/>
  <c r="S37" i="8"/>
  <c r="T37" i="8"/>
  <c r="P38" i="8"/>
  <c r="Q38" i="8"/>
  <c r="R38" i="8"/>
  <c r="S38" i="8"/>
  <c r="T38" i="8"/>
  <c r="P39" i="8"/>
  <c r="Q39" i="8"/>
  <c r="R39" i="8"/>
  <c r="S39" i="8"/>
  <c r="T39" i="8"/>
  <c r="P40" i="8"/>
  <c r="Q40" i="8"/>
  <c r="R40" i="8"/>
  <c r="S40" i="8"/>
  <c r="T40" i="8"/>
  <c r="P41" i="8"/>
  <c r="Q41" i="8"/>
  <c r="R41" i="8"/>
  <c r="S41" i="8"/>
  <c r="T41" i="8"/>
  <c r="P42" i="8"/>
  <c r="Q42" i="8"/>
  <c r="R42" i="8"/>
  <c r="S42" i="8"/>
  <c r="T42" i="8"/>
  <c r="P43" i="8"/>
  <c r="Q43" i="8"/>
  <c r="R43" i="8"/>
  <c r="S43" i="8"/>
  <c r="T43" i="8"/>
  <c r="P44" i="8"/>
  <c r="Q44" i="8"/>
  <c r="R44" i="8"/>
  <c r="S44" i="8"/>
  <c r="T44" i="8"/>
  <c r="P45" i="8"/>
  <c r="Q45" i="8"/>
  <c r="R45" i="8"/>
  <c r="S45" i="8"/>
  <c r="T45" i="8"/>
  <c r="P46" i="8"/>
  <c r="Q46" i="8"/>
  <c r="R46" i="8"/>
  <c r="S46" i="8"/>
  <c r="T46" i="8"/>
  <c r="P47" i="8"/>
  <c r="Q47" i="8"/>
  <c r="R47" i="8"/>
  <c r="S47" i="8"/>
  <c r="T47" i="8"/>
  <c r="P48" i="8"/>
  <c r="Q48" i="8"/>
  <c r="R48" i="8"/>
  <c r="S48" i="8"/>
  <c r="T48" i="8"/>
  <c r="P49" i="8"/>
  <c r="Q49" i="8"/>
  <c r="R49" i="8"/>
  <c r="S49" i="8"/>
  <c r="T49" i="8"/>
  <c r="P50" i="8"/>
  <c r="Q50" i="8"/>
  <c r="R50" i="8"/>
  <c r="S50" i="8"/>
  <c r="T50" i="8"/>
  <c r="P51" i="8"/>
  <c r="Q51" i="8"/>
  <c r="R51" i="8"/>
  <c r="S51" i="8"/>
  <c r="T51" i="8"/>
  <c r="P52" i="8"/>
  <c r="Q52" i="8"/>
  <c r="R52" i="8"/>
  <c r="S52" i="8"/>
  <c r="T52" i="8"/>
  <c r="P53" i="8"/>
  <c r="Q53" i="8"/>
  <c r="R53" i="8"/>
  <c r="S53" i="8"/>
  <c r="T53" i="8"/>
  <c r="P54" i="8"/>
  <c r="Q54" i="8"/>
  <c r="R54" i="8"/>
  <c r="S54" i="8"/>
  <c r="T54" i="8"/>
  <c r="P55" i="8"/>
  <c r="Q55" i="8"/>
  <c r="R55" i="8"/>
  <c r="S55" i="8"/>
  <c r="T55" i="8"/>
  <c r="P56" i="8"/>
  <c r="Q56" i="8"/>
  <c r="R56" i="8"/>
  <c r="S56" i="8"/>
  <c r="T56" i="8"/>
  <c r="P57" i="8"/>
  <c r="Q57" i="8"/>
  <c r="R57" i="8"/>
  <c r="S57" i="8"/>
  <c r="T57" i="8"/>
  <c r="P58" i="8"/>
  <c r="Q58" i="8"/>
  <c r="R58" i="8"/>
  <c r="S58" i="8"/>
  <c r="T58" i="8"/>
  <c r="P59" i="8"/>
  <c r="Q59" i="8"/>
  <c r="R59" i="8"/>
  <c r="S59" i="8"/>
  <c r="T59" i="8"/>
  <c r="P60" i="8"/>
  <c r="Q60" i="8"/>
  <c r="R60" i="8"/>
  <c r="S60" i="8"/>
  <c r="T60" i="8"/>
  <c r="P61" i="8"/>
  <c r="Q61" i="8"/>
  <c r="R61" i="8"/>
  <c r="S61" i="8"/>
  <c r="T61" i="8"/>
  <c r="P62" i="8"/>
  <c r="Q62" i="8"/>
  <c r="R62" i="8"/>
  <c r="S62" i="8"/>
  <c r="T62" i="8"/>
  <c r="P63" i="8"/>
  <c r="Q63" i="8"/>
  <c r="R63" i="8"/>
  <c r="S63" i="8"/>
  <c r="T63" i="8"/>
  <c r="P64" i="8"/>
  <c r="Q64" i="8"/>
  <c r="R64" i="8"/>
  <c r="S64" i="8"/>
  <c r="T64" i="8"/>
  <c r="P65" i="8"/>
  <c r="Q65" i="8"/>
  <c r="R65" i="8"/>
  <c r="S65" i="8"/>
  <c r="T65" i="8"/>
  <c r="P66" i="8"/>
  <c r="Q66" i="8"/>
  <c r="R66" i="8"/>
  <c r="S66" i="8"/>
  <c r="T66" i="8"/>
  <c r="P67" i="8"/>
  <c r="Q67" i="8"/>
  <c r="R67" i="8"/>
  <c r="S67" i="8"/>
  <c r="T67" i="8"/>
  <c r="P68" i="8"/>
  <c r="Q68" i="8"/>
  <c r="R68" i="8"/>
  <c r="S68" i="8"/>
  <c r="T68" i="8"/>
  <c r="P69" i="8"/>
  <c r="Q69" i="8"/>
  <c r="R69" i="8"/>
  <c r="S69" i="8"/>
  <c r="T69" i="8"/>
  <c r="P70" i="8"/>
  <c r="Q70" i="8"/>
  <c r="R70" i="8"/>
  <c r="S70" i="8"/>
  <c r="T70" i="8"/>
  <c r="P71" i="8"/>
  <c r="Q71" i="8"/>
  <c r="R71" i="8"/>
  <c r="S71" i="8"/>
  <c r="T71" i="8"/>
  <c r="P72" i="8"/>
  <c r="Q72" i="8"/>
  <c r="R72" i="8"/>
  <c r="S72" i="8"/>
  <c r="T72" i="8"/>
  <c r="P73" i="8"/>
  <c r="Q73" i="8"/>
  <c r="R73" i="8"/>
  <c r="S73" i="8"/>
  <c r="T73" i="8"/>
  <c r="P74" i="8"/>
  <c r="Q74" i="8"/>
  <c r="R74" i="8"/>
  <c r="S74" i="8"/>
  <c r="T74" i="8"/>
  <c r="P75" i="8"/>
  <c r="Q75" i="8"/>
  <c r="R75" i="8"/>
  <c r="S75" i="8"/>
  <c r="T75" i="8"/>
  <c r="P76" i="8"/>
  <c r="Q76" i="8"/>
  <c r="R76" i="8"/>
  <c r="S76" i="8"/>
  <c r="T76" i="8"/>
  <c r="P77" i="8"/>
  <c r="Q77" i="8"/>
  <c r="R77" i="8"/>
  <c r="S77" i="8"/>
  <c r="T77" i="8"/>
  <c r="P78" i="8"/>
  <c r="Q78" i="8"/>
  <c r="R78" i="8"/>
  <c r="S78" i="8"/>
  <c r="T78" i="8"/>
  <c r="P79" i="8"/>
  <c r="Q79" i="8"/>
  <c r="R79" i="8"/>
  <c r="S79" i="8"/>
  <c r="T79" i="8"/>
  <c r="P80" i="8"/>
  <c r="Q80" i="8"/>
  <c r="R80" i="8"/>
  <c r="S80" i="8"/>
  <c r="T80" i="8"/>
  <c r="P81" i="8"/>
  <c r="Q81" i="8"/>
  <c r="R81" i="8"/>
  <c r="S81" i="8"/>
  <c r="T81" i="8"/>
  <c r="P82" i="8"/>
  <c r="Q82" i="8"/>
  <c r="R82" i="8"/>
  <c r="S82" i="8"/>
  <c r="T82" i="8"/>
  <c r="P83" i="8"/>
  <c r="Q83" i="8"/>
  <c r="R83" i="8"/>
  <c r="S83" i="8"/>
  <c r="T83" i="8"/>
  <c r="P84" i="8"/>
  <c r="Q84" i="8"/>
  <c r="R84" i="8"/>
  <c r="S84" i="8"/>
  <c r="T84" i="8"/>
  <c r="P85" i="8"/>
  <c r="Q85" i="8"/>
  <c r="R85" i="8"/>
  <c r="S85" i="8"/>
  <c r="T85" i="8"/>
  <c r="P86" i="8"/>
  <c r="Q86" i="8"/>
  <c r="R86" i="8"/>
  <c r="S86" i="8"/>
  <c r="T86" i="8"/>
  <c r="P87" i="8"/>
  <c r="Q87" i="8"/>
  <c r="R87" i="8"/>
  <c r="S87" i="8"/>
  <c r="T87" i="8"/>
  <c r="P88" i="8"/>
  <c r="Q88" i="8"/>
  <c r="R88" i="8"/>
  <c r="S88" i="8"/>
  <c r="T88" i="8"/>
  <c r="P89" i="8"/>
  <c r="Q89" i="8"/>
  <c r="R89" i="8"/>
  <c r="S89" i="8"/>
  <c r="T89" i="8"/>
  <c r="P90" i="8"/>
  <c r="Q90" i="8"/>
  <c r="R90" i="8"/>
  <c r="S90" i="8"/>
  <c r="T90" i="8"/>
  <c r="P91" i="8"/>
  <c r="Q91" i="8"/>
  <c r="R91" i="8"/>
  <c r="S91" i="8"/>
  <c r="T91" i="8"/>
  <c r="P92" i="8"/>
  <c r="Q92" i="8"/>
  <c r="R92" i="8"/>
  <c r="S92" i="8"/>
  <c r="T92" i="8"/>
  <c r="P93" i="8"/>
  <c r="Q93" i="8"/>
  <c r="R93" i="8"/>
  <c r="S93" i="8"/>
  <c r="T93" i="8"/>
  <c r="P94" i="8"/>
  <c r="Q94" i="8"/>
  <c r="R94" i="8"/>
  <c r="S94" i="8"/>
  <c r="T94" i="8"/>
  <c r="P95" i="8"/>
  <c r="Q95" i="8"/>
  <c r="R95" i="8"/>
  <c r="S95" i="8"/>
  <c r="T95" i="8"/>
  <c r="P96" i="8"/>
  <c r="Q96" i="8"/>
  <c r="R96" i="8"/>
  <c r="S96" i="8"/>
  <c r="T96" i="8"/>
  <c r="P97" i="8"/>
  <c r="Q97" i="8"/>
  <c r="R97" i="8"/>
  <c r="S97" i="8"/>
  <c r="T97" i="8"/>
  <c r="P98" i="8"/>
  <c r="Q98" i="8"/>
  <c r="R98" i="8"/>
  <c r="S98" i="8"/>
  <c r="T98" i="8"/>
  <c r="P99" i="8"/>
  <c r="Q99" i="8"/>
  <c r="R99" i="8"/>
  <c r="S99" i="8"/>
  <c r="T99" i="8"/>
  <c r="Q4" i="8"/>
  <c r="R4" i="8"/>
  <c r="I5" i="8"/>
  <c r="J5" i="8"/>
  <c r="K5" i="8"/>
  <c r="L5" i="8"/>
  <c r="M5" i="8"/>
  <c r="I6" i="8"/>
  <c r="J6" i="8"/>
  <c r="K6" i="8"/>
  <c r="L6" i="8"/>
  <c r="M6" i="8"/>
  <c r="I7" i="8"/>
  <c r="J7" i="8"/>
  <c r="K7" i="8"/>
  <c r="L7" i="8"/>
  <c r="M7" i="8"/>
  <c r="I8" i="8"/>
  <c r="J8" i="8"/>
  <c r="K8" i="8"/>
  <c r="L8" i="8"/>
  <c r="M8" i="8"/>
  <c r="I9" i="8"/>
  <c r="J9" i="8"/>
  <c r="K9" i="8"/>
  <c r="L9" i="8"/>
  <c r="M9" i="8"/>
  <c r="I10" i="8"/>
  <c r="J10" i="8"/>
  <c r="K10" i="8"/>
  <c r="L10" i="8"/>
  <c r="M10" i="8"/>
  <c r="I11" i="8"/>
  <c r="J11" i="8"/>
  <c r="K11" i="8"/>
  <c r="L11" i="8"/>
  <c r="M11" i="8"/>
  <c r="I12" i="8"/>
  <c r="J12" i="8"/>
  <c r="K12" i="8"/>
  <c r="L12" i="8"/>
  <c r="M12" i="8"/>
  <c r="I13" i="8"/>
  <c r="J13" i="8"/>
  <c r="K13" i="8"/>
  <c r="L13" i="8"/>
  <c r="M13" i="8"/>
  <c r="I14" i="8"/>
  <c r="J14" i="8"/>
  <c r="K14" i="8"/>
  <c r="L14" i="8"/>
  <c r="M14" i="8"/>
  <c r="I15" i="8"/>
  <c r="J15" i="8"/>
  <c r="K15" i="8"/>
  <c r="L15" i="8"/>
  <c r="M15" i="8"/>
  <c r="I16" i="8"/>
  <c r="J16" i="8"/>
  <c r="K16" i="8"/>
  <c r="L16" i="8"/>
  <c r="M16" i="8"/>
  <c r="I17" i="8"/>
  <c r="J17" i="8"/>
  <c r="K17" i="8"/>
  <c r="L17" i="8"/>
  <c r="M17" i="8"/>
  <c r="I18" i="8"/>
  <c r="J18" i="8"/>
  <c r="K18" i="8"/>
  <c r="L18" i="8"/>
  <c r="M18" i="8"/>
  <c r="I19" i="8"/>
  <c r="J19" i="8"/>
  <c r="K19" i="8"/>
  <c r="L19" i="8"/>
  <c r="M19" i="8"/>
  <c r="I20" i="8"/>
  <c r="J20" i="8"/>
  <c r="K20" i="8"/>
  <c r="L20" i="8"/>
  <c r="M20" i="8"/>
  <c r="I21" i="8"/>
  <c r="J21" i="8"/>
  <c r="K21" i="8"/>
  <c r="L21" i="8"/>
  <c r="M21" i="8"/>
  <c r="I22" i="8"/>
  <c r="J22" i="8"/>
  <c r="K22" i="8"/>
  <c r="L22" i="8"/>
  <c r="M22" i="8"/>
  <c r="I23" i="8"/>
  <c r="J23" i="8"/>
  <c r="K23" i="8"/>
  <c r="L23" i="8"/>
  <c r="M23" i="8"/>
  <c r="I24" i="8"/>
  <c r="J24" i="8"/>
  <c r="K24" i="8"/>
  <c r="L24" i="8"/>
  <c r="M24" i="8"/>
  <c r="I25" i="8"/>
  <c r="J25" i="8"/>
  <c r="K25" i="8"/>
  <c r="L25" i="8"/>
  <c r="M25" i="8"/>
  <c r="I26" i="8"/>
  <c r="J26" i="8"/>
  <c r="K26" i="8"/>
  <c r="L26" i="8"/>
  <c r="M26" i="8"/>
  <c r="I27" i="8"/>
  <c r="J27" i="8"/>
  <c r="K27" i="8"/>
  <c r="L27" i="8"/>
  <c r="M27" i="8"/>
  <c r="I28" i="8"/>
  <c r="J28" i="8"/>
  <c r="K28" i="8"/>
  <c r="L28" i="8"/>
  <c r="M28" i="8"/>
  <c r="I29" i="8"/>
  <c r="J29" i="8"/>
  <c r="K29" i="8"/>
  <c r="L29" i="8"/>
  <c r="M29" i="8"/>
  <c r="I30" i="8"/>
  <c r="J30" i="8"/>
  <c r="K30" i="8"/>
  <c r="L30" i="8"/>
  <c r="M30" i="8"/>
  <c r="I31" i="8"/>
  <c r="J31" i="8"/>
  <c r="K31" i="8"/>
  <c r="L31" i="8"/>
  <c r="M31" i="8"/>
  <c r="I32" i="8"/>
  <c r="J32" i="8"/>
  <c r="K32" i="8"/>
  <c r="L32" i="8"/>
  <c r="M32" i="8"/>
  <c r="I33" i="8"/>
  <c r="J33" i="8"/>
  <c r="K33" i="8"/>
  <c r="L33" i="8"/>
  <c r="M33" i="8"/>
  <c r="I34" i="8"/>
  <c r="J34" i="8"/>
  <c r="K34" i="8"/>
  <c r="L34" i="8"/>
  <c r="M34" i="8"/>
  <c r="I35" i="8"/>
  <c r="J35" i="8"/>
  <c r="K35" i="8"/>
  <c r="L35" i="8"/>
  <c r="M35" i="8"/>
  <c r="I36" i="8"/>
  <c r="J36" i="8"/>
  <c r="K36" i="8"/>
  <c r="L36" i="8"/>
  <c r="M36" i="8"/>
  <c r="I37" i="8"/>
  <c r="J37" i="8"/>
  <c r="K37" i="8"/>
  <c r="L37" i="8"/>
  <c r="M37" i="8"/>
  <c r="I38" i="8"/>
  <c r="J38" i="8"/>
  <c r="K38" i="8"/>
  <c r="L38" i="8"/>
  <c r="M38" i="8"/>
  <c r="I39" i="8"/>
  <c r="J39" i="8"/>
  <c r="K39" i="8"/>
  <c r="L39" i="8"/>
  <c r="M39" i="8"/>
  <c r="I40" i="8"/>
  <c r="J40" i="8"/>
  <c r="K40" i="8"/>
  <c r="L40" i="8"/>
  <c r="M40" i="8"/>
  <c r="I41" i="8"/>
  <c r="J41" i="8"/>
  <c r="K41" i="8"/>
  <c r="L41" i="8"/>
  <c r="M41" i="8"/>
  <c r="I42" i="8"/>
  <c r="J42" i="8"/>
  <c r="K42" i="8"/>
  <c r="L42" i="8"/>
  <c r="M42" i="8"/>
  <c r="I43" i="8"/>
  <c r="J43" i="8"/>
  <c r="K43" i="8"/>
  <c r="L43" i="8"/>
  <c r="M43" i="8"/>
  <c r="I44" i="8"/>
  <c r="J44" i="8"/>
  <c r="K44" i="8"/>
  <c r="L44" i="8"/>
  <c r="M44" i="8"/>
  <c r="I45" i="8"/>
  <c r="J45" i="8"/>
  <c r="K45" i="8"/>
  <c r="L45" i="8"/>
  <c r="M45" i="8"/>
  <c r="I46" i="8"/>
  <c r="J46" i="8"/>
  <c r="K46" i="8"/>
  <c r="L46" i="8"/>
  <c r="M46" i="8"/>
  <c r="I47" i="8"/>
  <c r="J47" i="8"/>
  <c r="K47" i="8"/>
  <c r="L47" i="8"/>
  <c r="M47" i="8"/>
  <c r="I48" i="8"/>
  <c r="J48" i="8"/>
  <c r="K48" i="8"/>
  <c r="L48" i="8"/>
  <c r="M48" i="8"/>
  <c r="I49" i="8"/>
  <c r="J49" i="8"/>
  <c r="K49" i="8"/>
  <c r="L49" i="8"/>
  <c r="M49" i="8"/>
  <c r="I50" i="8"/>
  <c r="J50" i="8"/>
  <c r="K50" i="8"/>
  <c r="L50" i="8"/>
  <c r="M50" i="8"/>
  <c r="I51" i="8"/>
  <c r="J51" i="8"/>
  <c r="K51" i="8"/>
  <c r="L51" i="8"/>
  <c r="M51" i="8"/>
  <c r="I52" i="8"/>
  <c r="J52" i="8"/>
  <c r="K52" i="8"/>
  <c r="L52" i="8"/>
  <c r="M52" i="8"/>
  <c r="I53" i="8"/>
  <c r="J53" i="8"/>
  <c r="K53" i="8"/>
  <c r="L53" i="8"/>
  <c r="M53" i="8"/>
  <c r="I54" i="8"/>
  <c r="J54" i="8"/>
  <c r="K54" i="8"/>
  <c r="L54" i="8"/>
  <c r="M54" i="8"/>
  <c r="I55" i="8"/>
  <c r="J55" i="8"/>
  <c r="K55" i="8"/>
  <c r="L55" i="8"/>
  <c r="M55" i="8"/>
  <c r="I56" i="8"/>
  <c r="J56" i="8"/>
  <c r="K56" i="8"/>
  <c r="L56" i="8"/>
  <c r="M56" i="8"/>
  <c r="I57" i="8"/>
  <c r="J57" i="8"/>
  <c r="K57" i="8"/>
  <c r="L57" i="8"/>
  <c r="M57" i="8"/>
  <c r="I58" i="8"/>
  <c r="J58" i="8"/>
  <c r="K58" i="8"/>
  <c r="L58" i="8"/>
  <c r="M58" i="8"/>
  <c r="I59" i="8"/>
  <c r="J59" i="8"/>
  <c r="K59" i="8"/>
  <c r="L59" i="8"/>
  <c r="M59" i="8"/>
  <c r="I60" i="8"/>
  <c r="J60" i="8"/>
  <c r="K60" i="8"/>
  <c r="L60" i="8"/>
  <c r="M60" i="8"/>
  <c r="I61" i="8"/>
  <c r="J61" i="8"/>
  <c r="K61" i="8"/>
  <c r="L61" i="8"/>
  <c r="M61" i="8"/>
  <c r="I62" i="8"/>
  <c r="J62" i="8"/>
  <c r="K62" i="8"/>
  <c r="L62" i="8"/>
  <c r="M62" i="8"/>
  <c r="I63" i="8"/>
  <c r="J63" i="8"/>
  <c r="K63" i="8"/>
  <c r="L63" i="8"/>
  <c r="M63" i="8"/>
  <c r="I64" i="8"/>
  <c r="J64" i="8"/>
  <c r="K64" i="8"/>
  <c r="L64" i="8"/>
  <c r="M64" i="8"/>
  <c r="I65" i="8"/>
  <c r="J65" i="8"/>
  <c r="K65" i="8"/>
  <c r="L65" i="8"/>
  <c r="M65" i="8"/>
  <c r="I66" i="8"/>
  <c r="J66" i="8"/>
  <c r="K66" i="8"/>
  <c r="L66" i="8"/>
  <c r="M66" i="8"/>
  <c r="I67" i="8"/>
  <c r="J67" i="8"/>
  <c r="K67" i="8"/>
  <c r="L67" i="8"/>
  <c r="M67" i="8"/>
  <c r="I68" i="8"/>
  <c r="J68" i="8"/>
  <c r="K68" i="8"/>
  <c r="L68" i="8"/>
  <c r="M68" i="8"/>
  <c r="I69" i="8"/>
  <c r="J69" i="8"/>
  <c r="K69" i="8"/>
  <c r="L69" i="8"/>
  <c r="M69" i="8"/>
  <c r="I70" i="8"/>
  <c r="J70" i="8"/>
  <c r="K70" i="8"/>
  <c r="L70" i="8"/>
  <c r="M70" i="8"/>
  <c r="I71" i="8"/>
  <c r="J71" i="8"/>
  <c r="K71" i="8"/>
  <c r="L71" i="8"/>
  <c r="M71" i="8"/>
  <c r="I72" i="8"/>
  <c r="J72" i="8"/>
  <c r="K72" i="8"/>
  <c r="L72" i="8"/>
  <c r="M72" i="8"/>
  <c r="I73" i="8"/>
  <c r="J73" i="8"/>
  <c r="K73" i="8"/>
  <c r="L73" i="8"/>
  <c r="M73" i="8"/>
  <c r="I74" i="8"/>
  <c r="J74" i="8"/>
  <c r="K74" i="8"/>
  <c r="L74" i="8"/>
  <c r="M74" i="8"/>
  <c r="I75" i="8"/>
  <c r="J75" i="8"/>
  <c r="K75" i="8"/>
  <c r="L75" i="8"/>
  <c r="M75" i="8"/>
  <c r="I76" i="8"/>
  <c r="J76" i="8"/>
  <c r="K76" i="8"/>
  <c r="L76" i="8"/>
  <c r="M76" i="8"/>
  <c r="I77" i="8"/>
  <c r="J77" i="8"/>
  <c r="K77" i="8"/>
  <c r="L77" i="8"/>
  <c r="M77" i="8"/>
  <c r="I78" i="8"/>
  <c r="J78" i="8"/>
  <c r="K78" i="8"/>
  <c r="L78" i="8"/>
  <c r="M78" i="8"/>
  <c r="I79" i="8"/>
  <c r="J79" i="8"/>
  <c r="K79" i="8"/>
  <c r="L79" i="8"/>
  <c r="M79" i="8"/>
  <c r="I80" i="8"/>
  <c r="J80" i="8"/>
  <c r="K80" i="8"/>
  <c r="L80" i="8"/>
  <c r="M80" i="8"/>
  <c r="I81" i="8"/>
  <c r="J81" i="8"/>
  <c r="K81" i="8"/>
  <c r="L81" i="8"/>
  <c r="M81" i="8"/>
  <c r="I82" i="8"/>
  <c r="J82" i="8"/>
  <c r="K82" i="8"/>
  <c r="L82" i="8"/>
  <c r="M82" i="8"/>
  <c r="I83" i="8"/>
  <c r="J83" i="8"/>
  <c r="K83" i="8"/>
  <c r="L83" i="8"/>
  <c r="M83" i="8"/>
  <c r="I84" i="8"/>
  <c r="J84" i="8"/>
  <c r="K84" i="8"/>
  <c r="L84" i="8"/>
  <c r="M84" i="8"/>
  <c r="I85" i="8"/>
  <c r="J85" i="8"/>
  <c r="K85" i="8"/>
  <c r="L85" i="8"/>
  <c r="M85" i="8"/>
  <c r="I86" i="8"/>
  <c r="J86" i="8"/>
  <c r="K86" i="8"/>
  <c r="L86" i="8"/>
  <c r="M86" i="8"/>
  <c r="I87" i="8"/>
  <c r="J87" i="8"/>
  <c r="K87" i="8"/>
  <c r="L87" i="8"/>
  <c r="M87" i="8"/>
  <c r="I88" i="8"/>
  <c r="J88" i="8"/>
  <c r="K88" i="8"/>
  <c r="L88" i="8"/>
  <c r="M88" i="8"/>
  <c r="I89" i="8"/>
  <c r="J89" i="8"/>
  <c r="K89" i="8"/>
  <c r="L89" i="8"/>
  <c r="M89" i="8"/>
  <c r="I90" i="8"/>
  <c r="J90" i="8"/>
  <c r="K90" i="8"/>
  <c r="L90" i="8"/>
  <c r="M90" i="8"/>
  <c r="I91" i="8"/>
  <c r="J91" i="8"/>
  <c r="K91" i="8"/>
  <c r="L91" i="8"/>
  <c r="M91" i="8"/>
  <c r="I92" i="8"/>
  <c r="J92" i="8"/>
  <c r="K92" i="8"/>
  <c r="L92" i="8"/>
  <c r="M92" i="8"/>
  <c r="I93" i="8"/>
  <c r="J93" i="8"/>
  <c r="K93" i="8"/>
  <c r="L93" i="8"/>
  <c r="M93" i="8"/>
  <c r="I94" i="8"/>
  <c r="J94" i="8"/>
  <c r="K94" i="8"/>
  <c r="L94" i="8"/>
  <c r="M94" i="8"/>
  <c r="I95" i="8"/>
  <c r="J95" i="8"/>
  <c r="K95" i="8"/>
  <c r="L95" i="8"/>
  <c r="M95" i="8"/>
  <c r="I96" i="8"/>
  <c r="J96" i="8"/>
  <c r="K96" i="8"/>
  <c r="L96" i="8"/>
  <c r="M96" i="8"/>
  <c r="I97" i="8"/>
  <c r="J97" i="8"/>
  <c r="K97" i="8"/>
  <c r="L97" i="8"/>
  <c r="M97" i="8"/>
  <c r="I98" i="8"/>
  <c r="J98" i="8"/>
  <c r="K98" i="8"/>
  <c r="L98" i="8"/>
  <c r="M98" i="8"/>
  <c r="I99" i="8"/>
  <c r="J99" i="8"/>
  <c r="K99" i="8"/>
  <c r="L99" i="8"/>
  <c r="M99" i="8"/>
  <c r="J4" i="8"/>
  <c r="K4" i="8"/>
  <c r="L4" i="8"/>
  <c r="M4" i="8"/>
  <c r="N4" i="8"/>
  <c r="AI2" i="1"/>
  <c r="AL2" i="1"/>
  <c r="AM2" i="1"/>
  <c r="AK3" i="1"/>
  <c r="AJ3" i="1"/>
  <c r="BM3" i="1"/>
  <c r="AT3" i="8"/>
  <c r="AT4" i="8" s="1"/>
  <c r="AG4" i="8"/>
  <c r="AH4" i="8"/>
  <c r="AI4" i="8" s="1"/>
  <c r="A5" i="1" l="1"/>
  <c r="S851" i="1" l="1"/>
  <c r="S852" i="1"/>
  <c r="AA852" i="1" s="1"/>
  <c r="S853" i="1"/>
  <c r="AA853" i="1" s="1"/>
  <c r="S854" i="1"/>
  <c r="AA854" i="1" s="1"/>
  <c r="S855" i="1"/>
  <c r="AA855" i="1" s="1"/>
  <c r="S856" i="1"/>
  <c r="AA856" i="1" s="1"/>
  <c r="S857" i="1"/>
  <c r="AA857" i="1" s="1"/>
  <c r="S858" i="1"/>
  <c r="AA858" i="1" s="1"/>
  <c r="S859" i="1"/>
  <c r="AA859" i="1" s="1"/>
  <c r="S860" i="1"/>
  <c r="S5" i="1"/>
  <c r="S6" i="1"/>
  <c r="S7" i="1"/>
  <c r="AA7" i="1" s="1"/>
  <c r="S8" i="1"/>
  <c r="S9" i="1"/>
  <c r="AA9" i="1" s="1"/>
  <c r="S10" i="1"/>
  <c r="S11" i="1"/>
  <c r="S12" i="1"/>
  <c r="AA12" i="1" s="1"/>
  <c r="S13" i="1"/>
  <c r="AA13" i="1" s="1"/>
  <c r="S14" i="1"/>
  <c r="AA14" i="1" s="1"/>
  <c r="S15" i="1"/>
  <c r="AA15" i="1" s="1"/>
  <c r="S16" i="1"/>
  <c r="AA16" i="1" s="1"/>
  <c r="S17" i="1"/>
  <c r="AA17" i="1" s="1"/>
  <c r="S18" i="1"/>
  <c r="AA18" i="1" s="1"/>
  <c r="S19" i="1"/>
  <c r="AA19" i="1" s="1"/>
  <c r="S20" i="1"/>
  <c r="S21" i="1"/>
  <c r="AA21" i="1" s="1"/>
  <c r="S22" i="1"/>
  <c r="S23" i="1"/>
  <c r="AA23" i="1" s="1"/>
  <c r="S24" i="1"/>
  <c r="S25" i="1"/>
  <c r="AA25" i="1" s="1"/>
  <c r="S26" i="1"/>
  <c r="S27" i="1"/>
  <c r="S28" i="1"/>
  <c r="S29" i="1"/>
  <c r="AA29" i="1" s="1"/>
  <c r="S30" i="1"/>
  <c r="AA30" i="1" s="1"/>
  <c r="S31" i="1"/>
  <c r="AA31" i="1" s="1"/>
  <c r="S32" i="1"/>
  <c r="AA32" i="1" s="1"/>
  <c r="S33" i="1"/>
  <c r="AA33" i="1" s="1"/>
  <c r="S34" i="1"/>
  <c r="AA34" i="1" s="1"/>
  <c r="S35" i="1"/>
  <c r="AA35" i="1" s="1"/>
  <c r="S36" i="1"/>
  <c r="S37" i="1"/>
  <c r="AA37" i="1" s="1"/>
  <c r="S38" i="1"/>
  <c r="S39" i="1"/>
  <c r="AA39" i="1" s="1"/>
  <c r="S40" i="1"/>
  <c r="S41" i="1"/>
  <c r="AA41" i="1" s="1"/>
  <c r="S42" i="1"/>
  <c r="S43" i="1"/>
  <c r="S44" i="1"/>
  <c r="S45" i="1"/>
  <c r="AA45" i="1" s="1"/>
  <c r="S46" i="1"/>
  <c r="AA46" i="1" s="1"/>
  <c r="S47" i="1"/>
  <c r="AA47" i="1" s="1"/>
  <c r="S48" i="1"/>
  <c r="AA48" i="1" s="1"/>
  <c r="S49" i="1"/>
  <c r="AA49" i="1" s="1"/>
  <c r="S50" i="1"/>
  <c r="AA50" i="1" s="1"/>
  <c r="S51" i="1"/>
  <c r="AA51" i="1" s="1"/>
  <c r="S52" i="1"/>
  <c r="S53" i="1"/>
  <c r="AA53" i="1" s="1"/>
  <c r="S54" i="1"/>
  <c r="S55" i="1"/>
  <c r="AA55" i="1" s="1"/>
  <c r="S56" i="1"/>
  <c r="S57" i="1"/>
  <c r="AA57" i="1" s="1"/>
  <c r="S58" i="1"/>
  <c r="S59" i="1"/>
  <c r="S60" i="1"/>
  <c r="S61" i="1"/>
  <c r="AA61" i="1" s="1"/>
  <c r="S62" i="1"/>
  <c r="AA62" i="1" s="1"/>
  <c r="S63" i="1"/>
  <c r="AA63" i="1" s="1"/>
  <c r="S64" i="1"/>
  <c r="AA64" i="1" s="1"/>
  <c r="S65" i="1"/>
  <c r="S66" i="1"/>
  <c r="AA66" i="1" s="1"/>
  <c r="S67" i="1"/>
  <c r="AA67" i="1" s="1"/>
  <c r="S68" i="1"/>
  <c r="S69" i="1"/>
  <c r="AA69" i="1" s="1"/>
  <c r="S70" i="1"/>
  <c r="S71" i="1"/>
  <c r="AA71" i="1" s="1"/>
  <c r="S72" i="1"/>
  <c r="S73" i="1"/>
  <c r="AA73" i="1" s="1"/>
  <c r="S74" i="1"/>
  <c r="S75" i="1"/>
  <c r="S76" i="1"/>
  <c r="S77" i="1"/>
  <c r="AA77" i="1" s="1"/>
  <c r="S78" i="1"/>
  <c r="AA78" i="1" s="1"/>
  <c r="S79" i="1"/>
  <c r="AA79" i="1" s="1"/>
  <c r="S80" i="1"/>
  <c r="AA80" i="1" s="1"/>
  <c r="S81" i="1"/>
  <c r="S82" i="1"/>
  <c r="S83" i="1"/>
  <c r="AA83" i="1" s="1"/>
  <c r="S84" i="1"/>
  <c r="S85" i="1"/>
  <c r="AA85" i="1" s="1"/>
  <c r="S86" i="1"/>
  <c r="S87" i="1"/>
  <c r="AA87" i="1" s="1"/>
  <c r="S88" i="1"/>
  <c r="S89" i="1"/>
  <c r="AA89" i="1" s="1"/>
  <c r="S90" i="1"/>
  <c r="S91" i="1"/>
  <c r="S92" i="1"/>
  <c r="S93" i="1"/>
  <c r="AA93" i="1" s="1"/>
  <c r="S94" i="1"/>
  <c r="AA94" i="1" s="1"/>
  <c r="S95" i="1"/>
  <c r="AA95" i="1" s="1"/>
  <c r="S96" i="1"/>
  <c r="AA96" i="1" s="1"/>
  <c r="S97" i="1"/>
  <c r="S98" i="1"/>
  <c r="S99" i="1"/>
  <c r="AA99" i="1" s="1"/>
  <c r="S100" i="1"/>
  <c r="S101" i="1"/>
  <c r="AA101" i="1" s="1"/>
  <c r="S102" i="1"/>
  <c r="S103" i="1"/>
  <c r="AA103" i="1" s="1"/>
  <c r="S104" i="1"/>
  <c r="S105" i="1"/>
  <c r="AA105" i="1" s="1"/>
  <c r="S106" i="1"/>
  <c r="S107" i="1"/>
  <c r="S108" i="1"/>
  <c r="S109" i="1"/>
  <c r="AA109" i="1" s="1"/>
  <c r="S110" i="1"/>
  <c r="AA110" i="1" s="1"/>
  <c r="S111" i="1"/>
  <c r="AA111" i="1" s="1"/>
  <c r="S112" i="1"/>
  <c r="AA112" i="1" s="1"/>
  <c r="S113" i="1"/>
  <c r="S114" i="1"/>
  <c r="S115" i="1"/>
  <c r="AA115" i="1" s="1"/>
  <c r="S116" i="1"/>
  <c r="S117" i="1"/>
  <c r="AA117" i="1" s="1"/>
  <c r="S118" i="1"/>
  <c r="S119" i="1"/>
  <c r="AA119" i="1" s="1"/>
  <c r="S120" i="1"/>
  <c r="S121" i="1"/>
  <c r="AA121" i="1" s="1"/>
  <c r="S122" i="1"/>
  <c r="S123" i="1"/>
  <c r="S124" i="1"/>
  <c r="S125" i="1"/>
  <c r="AA125" i="1" s="1"/>
  <c r="S126" i="1"/>
  <c r="S127" i="1"/>
  <c r="AA127" i="1" s="1"/>
  <c r="S128" i="1"/>
  <c r="AA128" i="1" s="1"/>
  <c r="S129" i="1"/>
  <c r="S130" i="1"/>
  <c r="S131" i="1"/>
  <c r="AA131" i="1" s="1"/>
  <c r="S132" i="1"/>
  <c r="S133" i="1"/>
  <c r="AA133" i="1" s="1"/>
  <c r="S134" i="1"/>
  <c r="S135" i="1"/>
  <c r="AA135" i="1" s="1"/>
  <c r="S136" i="1"/>
  <c r="S137" i="1"/>
  <c r="AA137" i="1" s="1"/>
  <c r="S138" i="1"/>
  <c r="S139" i="1"/>
  <c r="S140" i="1"/>
  <c r="S141" i="1"/>
  <c r="AA141" i="1" s="1"/>
  <c r="S142" i="1"/>
  <c r="AA142" i="1" s="1"/>
  <c r="S143" i="1"/>
  <c r="AA143" i="1" s="1"/>
  <c r="S144" i="1"/>
  <c r="AA144" i="1" s="1"/>
  <c r="S145" i="1"/>
  <c r="S146" i="1"/>
  <c r="S147" i="1"/>
  <c r="AA147" i="1" s="1"/>
  <c r="S148" i="1"/>
  <c r="S149" i="1"/>
  <c r="AA149" i="1" s="1"/>
  <c r="S150" i="1"/>
  <c r="S151" i="1"/>
  <c r="AA151" i="1" s="1"/>
  <c r="S152" i="1"/>
  <c r="S153" i="1"/>
  <c r="AA153" i="1" s="1"/>
  <c r="S154" i="1"/>
  <c r="S155" i="1"/>
  <c r="S156" i="1"/>
  <c r="S157" i="1"/>
  <c r="AA157" i="1" s="1"/>
  <c r="S158" i="1"/>
  <c r="S159" i="1"/>
  <c r="AA159" i="1" s="1"/>
  <c r="S160" i="1"/>
  <c r="AA160" i="1" s="1"/>
  <c r="S161" i="1"/>
  <c r="S162" i="1"/>
  <c r="S163" i="1"/>
  <c r="AA163" i="1" s="1"/>
  <c r="S164" i="1"/>
  <c r="S165" i="1"/>
  <c r="AA165" i="1" s="1"/>
  <c r="S166" i="1"/>
  <c r="S167" i="1"/>
  <c r="AA167" i="1" s="1"/>
  <c r="S168" i="1"/>
  <c r="S169" i="1"/>
  <c r="AA169" i="1" s="1"/>
  <c r="S170" i="1"/>
  <c r="S171" i="1"/>
  <c r="S172" i="1"/>
  <c r="S173" i="1"/>
  <c r="AA173" i="1" s="1"/>
  <c r="S174" i="1"/>
  <c r="S175" i="1"/>
  <c r="AA175" i="1" s="1"/>
  <c r="S176" i="1"/>
  <c r="AA176" i="1" s="1"/>
  <c r="S177" i="1"/>
  <c r="S178" i="1"/>
  <c r="S179" i="1"/>
  <c r="AA179" i="1" s="1"/>
  <c r="S180" i="1"/>
  <c r="S181" i="1"/>
  <c r="AA181" i="1" s="1"/>
  <c r="S182" i="1"/>
  <c r="S183" i="1"/>
  <c r="AA183" i="1" s="1"/>
  <c r="S184" i="1"/>
  <c r="S185" i="1"/>
  <c r="AA185" i="1" s="1"/>
  <c r="S186" i="1"/>
  <c r="S187" i="1"/>
  <c r="S188" i="1"/>
  <c r="S189" i="1"/>
  <c r="AA189" i="1" s="1"/>
  <c r="S190" i="1"/>
  <c r="AA190" i="1" s="1"/>
  <c r="S191" i="1"/>
  <c r="AA191" i="1" s="1"/>
  <c r="S192" i="1"/>
  <c r="AA192" i="1" s="1"/>
  <c r="S193" i="1"/>
  <c r="S194" i="1"/>
  <c r="S195" i="1"/>
  <c r="AA195" i="1" s="1"/>
  <c r="S196" i="1"/>
  <c r="S197" i="1"/>
  <c r="AA197" i="1" s="1"/>
  <c r="S198" i="1"/>
  <c r="S199" i="1"/>
  <c r="AA199" i="1" s="1"/>
  <c r="S200" i="1"/>
  <c r="S201" i="1"/>
  <c r="AA201" i="1" s="1"/>
  <c r="S202" i="1"/>
  <c r="S203" i="1"/>
  <c r="S204" i="1"/>
  <c r="S205" i="1"/>
  <c r="AA205" i="1" s="1"/>
  <c r="S206" i="1"/>
  <c r="AA206" i="1" s="1"/>
  <c r="S207" i="1"/>
  <c r="AA207" i="1" s="1"/>
  <c r="S208" i="1"/>
  <c r="AA208" i="1" s="1"/>
  <c r="S209" i="1"/>
  <c r="S210" i="1"/>
  <c r="S211" i="1"/>
  <c r="AA211" i="1" s="1"/>
  <c r="S212" i="1"/>
  <c r="S213" i="1"/>
  <c r="AA213" i="1" s="1"/>
  <c r="S214" i="1"/>
  <c r="S215" i="1"/>
  <c r="AA215" i="1" s="1"/>
  <c r="S216" i="1"/>
  <c r="S217" i="1"/>
  <c r="AA217" i="1" s="1"/>
  <c r="S218" i="1"/>
  <c r="S219" i="1"/>
  <c r="S220" i="1"/>
  <c r="S221" i="1"/>
  <c r="AA221" i="1" s="1"/>
  <c r="S222" i="1"/>
  <c r="S223" i="1"/>
  <c r="AA223" i="1" s="1"/>
  <c r="S224" i="1"/>
  <c r="AA224" i="1" s="1"/>
  <c r="S225" i="1"/>
  <c r="S226" i="1"/>
  <c r="S227" i="1"/>
  <c r="AA227" i="1" s="1"/>
  <c r="S228" i="1"/>
  <c r="S229" i="1"/>
  <c r="AA229" i="1" s="1"/>
  <c r="S230" i="1"/>
  <c r="S231" i="1"/>
  <c r="AA231" i="1" s="1"/>
  <c r="S232" i="1"/>
  <c r="S233" i="1"/>
  <c r="AA233" i="1" s="1"/>
  <c r="S234" i="1"/>
  <c r="S235" i="1"/>
  <c r="S236" i="1"/>
  <c r="S237" i="1"/>
  <c r="AA237" i="1" s="1"/>
  <c r="S238" i="1"/>
  <c r="S239" i="1"/>
  <c r="AA239" i="1" s="1"/>
  <c r="S240" i="1"/>
  <c r="AA240" i="1" s="1"/>
  <c r="S241" i="1"/>
  <c r="S242" i="1"/>
  <c r="S243" i="1"/>
  <c r="AA243" i="1" s="1"/>
  <c r="S244" i="1"/>
  <c r="S245" i="1"/>
  <c r="AA245" i="1" s="1"/>
  <c r="S246" i="1"/>
  <c r="S247" i="1"/>
  <c r="AA247" i="1" s="1"/>
  <c r="S248" i="1"/>
  <c r="S249" i="1"/>
  <c r="AA249" i="1" s="1"/>
  <c r="S250" i="1"/>
  <c r="S251" i="1"/>
  <c r="S252" i="1"/>
  <c r="S253" i="1"/>
  <c r="AA253" i="1" s="1"/>
  <c r="S254" i="1"/>
  <c r="AA254" i="1" s="1"/>
  <c r="S255" i="1"/>
  <c r="AA255" i="1" s="1"/>
  <c r="S256" i="1"/>
  <c r="AA256" i="1" s="1"/>
  <c r="S257" i="1"/>
  <c r="S258" i="1"/>
  <c r="S259" i="1"/>
  <c r="AA259" i="1" s="1"/>
  <c r="S260" i="1"/>
  <c r="S261" i="1"/>
  <c r="AA261" i="1" s="1"/>
  <c r="S262" i="1"/>
  <c r="S263" i="1"/>
  <c r="AA263" i="1" s="1"/>
  <c r="S264" i="1"/>
  <c r="S265" i="1"/>
  <c r="AA265" i="1" s="1"/>
  <c r="S266" i="1"/>
  <c r="S267" i="1"/>
  <c r="S268" i="1"/>
  <c r="S269" i="1"/>
  <c r="AA269" i="1" s="1"/>
  <c r="S270" i="1"/>
  <c r="AA270" i="1" s="1"/>
  <c r="S271" i="1"/>
  <c r="S272" i="1"/>
  <c r="AA272" i="1" s="1"/>
  <c r="S273" i="1"/>
  <c r="S274" i="1"/>
  <c r="S275" i="1"/>
  <c r="AA275" i="1" s="1"/>
  <c r="S276" i="1"/>
  <c r="S277" i="1"/>
  <c r="AA277" i="1" s="1"/>
  <c r="S278" i="1"/>
  <c r="S279" i="1"/>
  <c r="AA279" i="1" s="1"/>
  <c r="S280" i="1"/>
  <c r="S281" i="1"/>
  <c r="AA281" i="1" s="1"/>
  <c r="S282" i="1"/>
  <c r="S283" i="1"/>
  <c r="S284" i="1"/>
  <c r="S285" i="1"/>
  <c r="AA285" i="1" s="1"/>
  <c r="S286" i="1"/>
  <c r="AA286" i="1" s="1"/>
  <c r="S287" i="1"/>
  <c r="S288" i="1"/>
  <c r="AA288" i="1" s="1"/>
  <c r="S289" i="1"/>
  <c r="S290" i="1"/>
  <c r="S291" i="1"/>
  <c r="AA291" i="1" s="1"/>
  <c r="S292" i="1"/>
  <c r="S293" i="1"/>
  <c r="AA293" i="1" s="1"/>
  <c r="S294" i="1"/>
  <c r="S295" i="1"/>
  <c r="AA295" i="1" s="1"/>
  <c r="S296" i="1"/>
  <c r="S297" i="1"/>
  <c r="AA297" i="1" s="1"/>
  <c r="S298" i="1"/>
  <c r="S299" i="1"/>
  <c r="S300" i="1"/>
  <c r="S301" i="1"/>
  <c r="AA301" i="1" s="1"/>
  <c r="S302" i="1"/>
  <c r="AA302" i="1" s="1"/>
  <c r="S303" i="1"/>
  <c r="S304" i="1"/>
  <c r="AA304" i="1" s="1"/>
  <c r="S305" i="1"/>
  <c r="S306" i="1"/>
  <c r="S307" i="1"/>
  <c r="AA307" i="1" s="1"/>
  <c r="S308" i="1"/>
  <c r="S309" i="1"/>
  <c r="AA309" i="1" s="1"/>
  <c r="S310" i="1"/>
  <c r="S311" i="1"/>
  <c r="AA311" i="1" s="1"/>
  <c r="S312" i="1"/>
  <c r="S313" i="1"/>
  <c r="AA313" i="1" s="1"/>
  <c r="S314" i="1"/>
  <c r="S315" i="1"/>
  <c r="S316" i="1"/>
  <c r="S317" i="1"/>
  <c r="AA317" i="1" s="1"/>
  <c r="S318" i="1"/>
  <c r="AA318" i="1" s="1"/>
  <c r="S319" i="1"/>
  <c r="S320" i="1"/>
  <c r="AA320" i="1" s="1"/>
  <c r="S321" i="1"/>
  <c r="S322" i="1"/>
  <c r="S323" i="1"/>
  <c r="AA323" i="1" s="1"/>
  <c r="S324" i="1"/>
  <c r="S325" i="1"/>
  <c r="AA325" i="1" s="1"/>
  <c r="S326" i="1"/>
  <c r="S327" i="1"/>
  <c r="AA327" i="1" s="1"/>
  <c r="S328" i="1"/>
  <c r="S329" i="1"/>
  <c r="AA329" i="1" s="1"/>
  <c r="S330" i="1"/>
  <c r="S331" i="1"/>
  <c r="S332" i="1"/>
  <c r="S333" i="1"/>
  <c r="AA333" i="1" s="1"/>
  <c r="S334" i="1"/>
  <c r="S335" i="1"/>
  <c r="S336" i="1"/>
  <c r="AA336" i="1" s="1"/>
  <c r="S337" i="1"/>
  <c r="S338" i="1"/>
  <c r="S339" i="1"/>
  <c r="AA339" i="1" s="1"/>
  <c r="S340" i="1"/>
  <c r="S341" i="1"/>
  <c r="AA341" i="1" s="1"/>
  <c r="S342" i="1"/>
  <c r="S343" i="1"/>
  <c r="AA343" i="1" s="1"/>
  <c r="S344" i="1"/>
  <c r="S345" i="1"/>
  <c r="AA345" i="1" s="1"/>
  <c r="S346" i="1"/>
  <c r="S347" i="1"/>
  <c r="S348" i="1"/>
  <c r="S349" i="1"/>
  <c r="AA349" i="1" s="1"/>
  <c r="S350" i="1"/>
  <c r="AA350" i="1" s="1"/>
  <c r="S351" i="1"/>
  <c r="S352" i="1"/>
  <c r="AA352" i="1" s="1"/>
  <c r="S353" i="1"/>
  <c r="S354" i="1"/>
  <c r="S355" i="1"/>
  <c r="AA355" i="1" s="1"/>
  <c r="S356" i="1"/>
  <c r="S357" i="1"/>
  <c r="AA357" i="1" s="1"/>
  <c r="S358" i="1"/>
  <c r="S359" i="1"/>
  <c r="AA359" i="1" s="1"/>
  <c r="S360" i="1"/>
  <c r="S361" i="1"/>
  <c r="AA361" i="1" s="1"/>
  <c r="S362" i="1"/>
  <c r="S363" i="1"/>
  <c r="S364" i="1"/>
  <c r="S365" i="1"/>
  <c r="AA365" i="1" s="1"/>
  <c r="S366" i="1"/>
  <c r="AA366" i="1" s="1"/>
  <c r="S367" i="1"/>
  <c r="S368" i="1"/>
  <c r="AA368" i="1" s="1"/>
  <c r="S369" i="1"/>
  <c r="S370" i="1"/>
  <c r="S371" i="1"/>
  <c r="AA371" i="1" s="1"/>
  <c r="S372" i="1"/>
  <c r="S373" i="1"/>
  <c r="AA373" i="1" s="1"/>
  <c r="S374" i="1"/>
  <c r="S375" i="1"/>
  <c r="AA375" i="1" s="1"/>
  <c r="S376" i="1"/>
  <c r="S377" i="1"/>
  <c r="AA377" i="1" s="1"/>
  <c r="S378" i="1"/>
  <c r="S379" i="1"/>
  <c r="S380" i="1"/>
  <c r="S381" i="1"/>
  <c r="AA381" i="1" s="1"/>
  <c r="S382" i="1"/>
  <c r="AA382" i="1" s="1"/>
  <c r="S383" i="1"/>
  <c r="S384" i="1"/>
  <c r="AA384" i="1" s="1"/>
  <c r="S385" i="1"/>
  <c r="S386" i="1"/>
  <c r="S387" i="1"/>
  <c r="AA387" i="1" s="1"/>
  <c r="S388" i="1"/>
  <c r="S389" i="1"/>
  <c r="AA389" i="1" s="1"/>
  <c r="S390" i="1"/>
  <c r="S391" i="1"/>
  <c r="AA391" i="1" s="1"/>
  <c r="S392" i="1"/>
  <c r="S393" i="1"/>
  <c r="AA393" i="1" s="1"/>
  <c r="S394" i="1"/>
  <c r="S395" i="1"/>
  <c r="S396" i="1"/>
  <c r="S397" i="1"/>
  <c r="AA397" i="1" s="1"/>
  <c r="S398" i="1"/>
  <c r="AA398" i="1" s="1"/>
  <c r="S399" i="1"/>
  <c r="S400" i="1"/>
  <c r="AA400" i="1" s="1"/>
  <c r="S401" i="1"/>
  <c r="S402" i="1"/>
  <c r="S403" i="1"/>
  <c r="AA403" i="1" s="1"/>
  <c r="S404" i="1"/>
  <c r="S405" i="1"/>
  <c r="AA405" i="1" s="1"/>
  <c r="S406" i="1"/>
  <c r="S407" i="1"/>
  <c r="AA407" i="1" s="1"/>
  <c r="S408" i="1"/>
  <c r="S409" i="1"/>
  <c r="AA409" i="1" s="1"/>
  <c r="S410" i="1"/>
  <c r="S411" i="1"/>
  <c r="S412" i="1"/>
  <c r="S413" i="1"/>
  <c r="AA413" i="1" s="1"/>
  <c r="S414" i="1"/>
  <c r="AA414" i="1" s="1"/>
  <c r="S415" i="1"/>
  <c r="S416" i="1"/>
  <c r="AA416" i="1" s="1"/>
  <c r="S417" i="1"/>
  <c r="S418" i="1"/>
  <c r="S419" i="1"/>
  <c r="AA419" i="1" s="1"/>
  <c r="S420" i="1"/>
  <c r="S421" i="1"/>
  <c r="AA421" i="1" s="1"/>
  <c r="S422" i="1"/>
  <c r="S423" i="1"/>
  <c r="AA423" i="1" s="1"/>
  <c r="S424" i="1"/>
  <c r="S425" i="1"/>
  <c r="AA425" i="1" s="1"/>
  <c r="S426" i="1"/>
  <c r="S427" i="1"/>
  <c r="S428" i="1"/>
  <c r="S429" i="1"/>
  <c r="AA429" i="1" s="1"/>
  <c r="S430" i="1"/>
  <c r="AA430" i="1" s="1"/>
  <c r="S431" i="1"/>
  <c r="S432" i="1"/>
  <c r="AA432" i="1" s="1"/>
  <c r="S433" i="1"/>
  <c r="S434" i="1"/>
  <c r="S435" i="1"/>
  <c r="AA435" i="1" s="1"/>
  <c r="S436" i="1"/>
  <c r="S437" i="1"/>
  <c r="AA437" i="1" s="1"/>
  <c r="S438" i="1"/>
  <c r="S439" i="1"/>
  <c r="AA439" i="1" s="1"/>
  <c r="S440" i="1"/>
  <c r="S441" i="1"/>
  <c r="AA441" i="1" s="1"/>
  <c r="S442" i="1"/>
  <c r="S443" i="1"/>
  <c r="S444" i="1"/>
  <c r="S445" i="1"/>
  <c r="AA445" i="1" s="1"/>
  <c r="S446" i="1"/>
  <c r="AA446" i="1" s="1"/>
  <c r="S447" i="1"/>
  <c r="S448" i="1"/>
  <c r="AA448" i="1" s="1"/>
  <c r="S449" i="1"/>
  <c r="S450" i="1"/>
  <c r="S451" i="1"/>
  <c r="AA451" i="1" s="1"/>
  <c r="S452" i="1"/>
  <c r="S453" i="1"/>
  <c r="AA453" i="1" s="1"/>
  <c r="S454" i="1"/>
  <c r="S455" i="1"/>
  <c r="AA455" i="1" s="1"/>
  <c r="S456" i="1"/>
  <c r="S457" i="1"/>
  <c r="AA457" i="1" s="1"/>
  <c r="S458" i="1"/>
  <c r="S459" i="1"/>
  <c r="S460" i="1"/>
  <c r="S461" i="1"/>
  <c r="AA461" i="1" s="1"/>
  <c r="S462" i="1"/>
  <c r="AA462" i="1" s="1"/>
  <c r="S463" i="1"/>
  <c r="S464" i="1"/>
  <c r="AA464" i="1" s="1"/>
  <c r="S465" i="1"/>
  <c r="S466" i="1"/>
  <c r="S467" i="1"/>
  <c r="AA467" i="1" s="1"/>
  <c r="S468" i="1"/>
  <c r="S469" i="1"/>
  <c r="AA469" i="1" s="1"/>
  <c r="S470" i="1"/>
  <c r="S471" i="1"/>
  <c r="AA471" i="1" s="1"/>
  <c r="S472" i="1"/>
  <c r="S473" i="1"/>
  <c r="AA473" i="1" s="1"/>
  <c r="S474" i="1"/>
  <c r="S475" i="1"/>
  <c r="S476" i="1"/>
  <c r="S477" i="1"/>
  <c r="AA477" i="1" s="1"/>
  <c r="S478" i="1"/>
  <c r="AA478" i="1" s="1"/>
  <c r="S479" i="1"/>
  <c r="S480" i="1"/>
  <c r="AA480" i="1" s="1"/>
  <c r="S481" i="1"/>
  <c r="S482" i="1"/>
  <c r="S483" i="1"/>
  <c r="AA483" i="1" s="1"/>
  <c r="S484" i="1"/>
  <c r="S485" i="1"/>
  <c r="AA485" i="1" s="1"/>
  <c r="S486" i="1"/>
  <c r="S487" i="1"/>
  <c r="AA487" i="1" s="1"/>
  <c r="S488" i="1"/>
  <c r="S489" i="1"/>
  <c r="AA489" i="1" s="1"/>
  <c r="S490" i="1"/>
  <c r="S491" i="1"/>
  <c r="S492" i="1"/>
  <c r="S493" i="1"/>
  <c r="AA493" i="1" s="1"/>
  <c r="S494" i="1"/>
  <c r="S495" i="1"/>
  <c r="S496" i="1"/>
  <c r="AA496" i="1" s="1"/>
  <c r="S497" i="1"/>
  <c r="S498" i="1"/>
  <c r="S499" i="1"/>
  <c r="AA499" i="1" s="1"/>
  <c r="S500" i="1"/>
  <c r="S501" i="1"/>
  <c r="AA501" i="1" s="1"/>
  <c r="S502" i="1"/>
  <c r="S503" i="1"/>
  <c r="AA503" i="1" s="1"/>
  <c r="S504" i="1"/>
  <c r="S505" i="1"/>
  <c r="AA505" i="1" s="1"/>
  <c r="S506" i="1"/>
  <c r="S507" i="1"/>
  <c r="S508" i="1"/>
  <c r="S509" i="1"/>
  <c r="AA509" i="1" s="1"/>
  <c r="S510" i="1"/>
  <c r="AA510" i="1" s="1"/>
  <c r="S511" i="1"/>
  <c r="S512" i="1"/>
  <c r="AA512" i="1" s="1"/>
  <c r="S513" i="1"/>
  <c r="S514" i="1"/>
  <c r="S515" i="1"/>
  <c r="AA515" i="1" s="1"/>
  <c r="S516" i="1"/>
  <c r="S517" i="1"/>
  <c r="AA517" i="1" s="1"/>
  <c r="S518" i="1"/>
  <c r="S519" i="1"/>
  <c r="AA519" i="1" s="1"/>
  <c r="S520" i="1"/>
  <c r="S521" i="1"/>
  <c r="AA521" i="1" s="1"/>
  <c r="S522" i="1"/>
  <c r="S523" i="1"/>
  <c r="S524" i="1"/>
  <c r="S525" i="1"/>
  <c r="AA525" i="1" s="1"/>
  <c r="S526" i="1"/>
  <c r="AA526" i="1" s="1"/>
  <c r="S527" i="1"/>
  <c r="S528" i="1"/>
  <c r="AA528" i="1" s="1"/>
  <c r="S529" i="1"/>
  <c r="S530" i="1"/>
  <c r="S531" i="1"/>
  <c r="AA531" i="1" s="1"/>
  <c r="S532" i="1"/>
  <c r="S533" i="1"/>
  <c r="AA533" i="1" s="1"/>
  <c r="S534" i="1"/>
  <c r="S535" i="1"/>
  <c r="AA535" i="1" s="1"/>
  <c r="S536" i="1"/>
  <c r="S537" i="1"/>
  <c r="AA537" i="1" s="1"/>
  <c r="S538" i="1"/>
  <c r="S539" i="1"/>
  <c r="S540" i="1"/>
  <c r="S541" i="1"/>
  <c r="AA541" i="1" s="1"/>
  <c r="S542" i="1"/>
  <c r="AA542" i="1" s="1"/>
  <c r="S543" i="1"/>
  <c r="S544" i="1"/>
  <c r="AA544" i="1" s="1"/>
  <c r="S545" i="1"/>
  <c r="S546" i="1"/>
  <c r="S547" i="1"/>
  <c r="AA547" i="1" s="1"/>
  <c r="S548" i="1"/>
  <c r="S549" i="1"/>
  <c r="AA549" i="1" s="1"/>
  <c r="S550" i="1"/>
  <c r="S551" i="1"/>
  <c r="AA551" i="1" s="1"/>
  <c r="S552" i="1"/>
  <c r="AA552" i="1" s="1"/>
  <c r="S553" i="1"/>
  <c r="AA553" i="1" s="1"/>
  <c r="S554" i="1"/>
  <c r="S555" i="1"/>
  <c r="S556" i="1"/>
  <c r="S557" i="1"/>
  <c r="AA557" i="1" s="1"/>
  <c r="S558" i="1"/>
  <c r="AA558" i="1" s="1"/>
  <c r="S559" i="1"/>
  <c r="S560" i="1"/>
  <c r="AA560" i="1" s="1"/>
  <c r="S561" i="1"/>
  <c r="S562" i="1"/>
  <c r="S563" i="1"/>
  <c r="AA563" i="1" s="1"/>
  <c r="S564" i="1"/>
  <c r="S565" i="1"/>
  <c r="AA565" i="1" s="1"/>
  <c r="S566" i="1"/>
  <c r="S567" i="1"/>
  <c r="AA567" i="1" s="1"/>
  <c r="S568" i="1"/>
  <c r="AA568" i="1" s="1"/>
  <c r="S569" i="1"/>
  <c r="AA569" i="1" s="1"/>
  <c r="S570" i="1"/>
  <c r="S571" i="1"/>
  <c r="S572" i="1"/>
  <c r="S573" i="1"/>
  <c r="AA573" i="1" s="1"/>
  <c r="S574" i="1"/>
  <c r="AA574" i="1" s="1"/>
  <c r="S575" i="1"/>
  <c r="S576" i="1"/>
  <c r="AA576" i="1" s="1"/>
  <c r="S577" i="1"/>
  <c r="S578" i="1"/>
  <c r="S579" i="1"/>
  <c r="AA579" i="1" s="1"/>
  <c r="S580" i="1"/>
  <c r="S581" i="1"/>
  <c r="AA581" i="1" s="1"/>
  <c r="S582" i="1"/>
  <c r="S583" i="1"/>
  <c r="AA583" i="1" s="1"/>
  <c r="S584" i="1"/>
  <c r="AA584" i="1" s="1"/>
  <c r="S585" i="1"/>
  <c r="AA585" i="1" s="1"/>
  <c r="S586" i="1"/>
  <c r="S587" i="1"/>
  <c r="S588" i="1"/>
  <c r="S589" i="1"/>
  <c r="AA589" i="1" s="1"/>
  <c r="S590" i="1"/>
  <c r="AA590" i="1" s="1"/>
  <c r="S591" i="1"/>
  <c r="S592" i="1"/>
  <c r="AA592" i="1" s="1"/>
  <c r="S593" i="1"/>
  <c r="S594" i="1"/>
  <c r="S595" i="1"/>
  <c r="AA595" i="1" s="1"/>
  <c r="S596" i="1"/>
  <c r="S597" i="1"/>
  <c r="AA597" i="1" s="1"/>
  <c r="S598" i="1"/>
  <c r="S599" i="1"/>
  <c r="AA599" i="1" s="1"/>
  <c r="S600" i="1"/>
  <c r="AA600" i="1" s="1"/>
  <c r="S601" i="1"/>
  <c r="AA601" i="1" s="1"/>
  <c r="S602" i="1"/>
  <c r="S603" i="1"/>
  <c r="S604" i="1"/>
  <c r="S605" i="1"/>
  <c r="AA605" i="1" s="1"/>
  <c r="S606" i="1"/>
  <c r="AA606" i="1" s="1"/>
  <c r="S607" i="1"/>
  <c r="S608" i="1"/>
  <c r="AA608" i="1" s="1"/>
  <c r="S609" i="1"/>
  <c r="S610" i="1"/>
  <c r="S611" i="1"/>
  <c r="AA611" i="1" s="1"/>
  <c r="S612" i="1"/>
  <c r="S613" i="1"/>
  <c r="AA613" i="1" s="1"/>
  <c r="S614" i="1"/>
  <c r="S615" i="1"/>
  <c r="AA615" i="1" s="1"/>
  <c r="S616" i="1"/>
  <c r="AA616" i="1" s="1"/>
  <c r="S617" i="1"/>
  <c r="AA617" i="1" s="1"/>
  <c r="S618" i="1"/>
  <c r="S619" i="1"/>
  <c r="S620" i="1"/>
  <c r="S621" i="1"/>
  <c r="AA621" i="1" s="1"/>
  <c r="S622" i="1"/>
  <c r="AA622" i="1" s="1"/>
  <c r="S623" i="1"/>
  <c r="S624" i="1"/>
  <c r="AA624" i="1" s="1"/>
  <c r="S625" i="1"/>
  <c r="S626" i="1"/>
  <c r="S627" i="1"/>
  <c r="AA627" i="1" s="1"/>
  <c r="S628" i="1"/>
  <c r="S629" i="1"/>
  <c r="AA629" i="1" s="1"/>
  <c r="S630" i="1"/>
  <c r="S631" i="1"/>
  <c r="AA631" i="1" s="1"/>
  <c r="S632" i="1"/>
  <c r="AA632" i="1" s="1"/>
  <c r="S633" i="1"/>
  <c r="AA633" i="1" s="1"/>
  <c r="S634" i="1"/>
  <c r="S635" i="1"/>
  <c r="S636" i="1"/>
  <c r="S637" i="1"/>
  <c r="AA637" i="1" s="1"/>
  <c r="S638" i="1"/>
  <c r="AA638" i="1" s="1"/>
  <c r="S639" i="1"/>
  <c r="S640" i="1"/>
  <c r="AA640" i="1" s="1"/>
  <c r="S641" i="1"/>
  <c r="S642" i="1"/>
  <c r="S643" i="1"/>
  <c r="AA643" i="1" s="1"/>
  <c r="S644" i="1"/>
  <c r="S645" i="1"/>
  <c r="AA645" i="1" s="1"/>
  <c r="S646" i="1"/>
  <c r="S647" i="1"/>
  <c r="AA647" i="1" s="1"/>
  <c r="S648" i="1"/>
  <c r="AA648" i="1" s="1"/>
  <c r="S649" i="1"/>
  <c r="AA649" i="1" s="1"/>
  <c r="S650" i="1"/>
  <c r="S651" i="1"/>
  <c r="S652" i="1"/>
  <c r="S653" i="1"/>
  <c r="AA653" i="1" s="1"/>
  <c r="S654" i="1"/>
  <c r="AA654" i="1" s="1"/>
  <c r="S655" i="1"/>
  <c r="S656" i="1"/>
  <c r="AA656" i="1" s="1"/>
  <c r="S657" i="1"/>
  <c r="S658" i="1"/>
  <c r="S659" i="1"/>
  <c r="AA659" i="1" s="1"/>
  <c r="S660" i="1"/>
  <c r="S661" i="1"/>
  <c r="AA661" i="1" s="1"/>
  <c r="S662" i="1"/>
  <c r="S663" i="1"/>
  <c r="AA663" i="1" s="1"/>
  <c r="S664" i="1"/>
  <c r="AA664" i="1" s="1"/>
  <c r="S665" i="1"/>
  <c r="AA665" i="1" s="1"/>
  <c r="S666" i="1"/>
  <c r="S667" i="1"/>
  <c r="S668" i="1"/>
  <c r="S669" i="1"/>
  <c r="AA669" i="1" s="1"/>
  <c r="S670" i="1"/>
  <c r="AA670" i="1" s="1"/>
  <c r="S671" i="1"/>
  <c r="S672" i="1"/>
  <c r="AA672" i="1" s="1"/>
  <c r="S673" i="1"/>
  <c r="S674" i="1"/>
  <c r="S675" i="1"/>
  <c r="AA675" i="1" s="1"/>
  <c r="S676" i="1"/>
  <c r="S677" i="1"/>
  <c r="AA677" i="1" s="1"/>
  <c r="S678" i="1"/>
  <c r="S679" i="1"/>
  <c r="AA679" i="1" s="1"/>
  <c r="S680" i="1"/>
  <c r="AA680" i="1" s="1"/>
  <c r="S681" i="1"/>
  <c r="AA681" i="1" s="1"/>
  <c r="S682" i="1"/>
  <c r="S683" i="1"/>
  <c r="S684" i="1"/>
  <c r="S685" i="1"/>
  <c r="AA685" i="1" s="1"/>
  <c r="S686" i="1"/>
  <c r="AA686" i="1" s="1"/>
  <c r="S687" i="1"/>
  <c r="S688" i="1"/>
  <c r="AA688" i="1" s="1"/>
  <c r="S689" i="1"/>
  <c r="S690" i="1"/>
  <c r="S691" i="1"/>
  <c r="AA691" i="1" s="1"/>
  <c r="S692" i="1"/>
  <c r="S693" i="1"/>
  <c r="AA693" i="1" s="1"/>
  <c r="S694" i="1"/>
  <c r="S695" i="1"/>
  <c r="AA695" i="1" s="1"/>
  <c r="S696" i="1"/>
  <c r="AA696" i="1" s="1"/>
  <c r="S697" i="1"/>
  <c r="AA697" i="1" s="1"/>
  <c r="S698" i="1"/>
  <c r="S699" i="1"/>
  <c r="S700" i="1"/>
  <c r="S701" i="1"/>
  <c r="AA701" i="1" s="1"/>
  <c r="S702" i="1"/>
  <c r="AA702" i="1" s="1"/>
  <c r="S703" i="1"/>
  <c r="S704" i="1"/>
  <c r="AA704" i="1" s="1"/>
  <c r="S705" i="1"/>
  <c r="S706" i="1"/>
  <c r="S707" i="1"/>
  <c r="AA707" i="1" s="1"/>
  <c r="S708" i="1"/>
  <c r="S709" i="1"/>
  <c r="AA709" i="1" s="1"/>
  <c r="S710" i="1"/>
  <c r="S711" i="1"/>
  <c r="AA711" i="1" s="1"/>
  <c r="S712" i="1"/>
  <c r="AA712" i="1" s="1"/>
  <c r="S713" i="1"/>
  <c r="AA713" i="1" s="1"/>
  <c r="S714" i="1"/>
  <c r="S715" i="1"/>
  <c r="S716" i="1"/>
  <c r="S717" i="1"/>
  <c r="AA717" i="1" s="1"/>
  <c r="S718" i="1"/>
  <c r="S719" i="1"/>
  <c r="S720" i="1"/>
  <c r="AA720" i="1" s="1"/>
  <c r="S721" i="1"/>
  <c r="S722" i="1"/>
  <c r="S723" i="1"/>
  <c r="AA723" i="1" s="1"/>
  <c r="S724" i="1"/>
  <c r="S725" i="1"/>
  <c r="AA725" i="1" s="1"/>
  <c r="S726" i="1"/>
  <c r="S727" i="1"/>
  <c r="AA727" i="1" s="1"/>
  <c r="S728" i="1"/>
  <c r="AA728" i="1" s="1"/>
  <c r="S729" i="1"/>
  <c r="AA729" i="1" s="1"/>
  <c r="S730" i="1"/>
  <c r="S731" i="1"/>
  <c r="S732" i="1"/>
  <c r="S733" i="1"/>
  <c r="AA733" i="1" s="1"/>
  <c r="S734" i="1"/>
  <c r="AA734" i="1" s="1"/>
  <c r="S735" i="1"/>
  <c r="S736" i="1"/>
  <c r="AA736" i="1" s="1"/>
  <c r="S737" i="1"/>
  <c r="S738" i="1"/>
  <c r="S739" i="1"/>
  <c r="AA739" i="1" s="1"/>
  <c r="S740" i="1"/>
  <c r="S741" i="1"/>
  <c r="AA741" i="1" s="1"/>
  <c r="S742" i="1"/>
  <c r="S743" i="1"/>
  <c r="AA743" i="1" s="1"/>
  <c r="S744" i="1"/>
  <c r="AA744" i="1" s="1"/>
  <c r="S745" i="1"/>
  <c r="AA745" i="1" s="1"/>
  <c r="S746" i="1"/>
  <c r="S747" i="1"/>
  <c r="S748" i="1"/>
  <c r="S749" i="1"/>
  <c r="AA749" i="1" s="1"/>
  <c r="S750" i="1"/>
  <c r="AA750" i="1" s="1"/>
  <c r="S751" i="1"/>
  <c r="S752" i="1"/>
  <c r="AA752" i="1" s="1"/>
  <c r="S753" i="1"/>
  <c r="S754" i="1"/>
  <c r="S755" i="1"/>
  <c r="AA755" i="1" s="1"/>
  <c r="S756" i="1"/>
  <c r="S757" i="1"/>
  <c r="AA757" i="1" s="1"/>
  <c r="S758" i="1"/>
  <c r="S759" i="1"/>
  <c r="AA759" i="1" s="1"/>
  <c r="S760" i="1"/>
  <c r="AA760" i="1" s="1"/>
  <c r="S761" i="1"/>
  <c r="AA761" i="1" s="1"/>
  <c r="S762" i="1"/>
  <c r="S763" i="1"/>
  <c r="S764" i="1"/>
  <c r="S765" i="1"/>
  <c r="AA765" i="1" s="1"/>
  <c r="S766" i="1"/>
  <c r="AA766" i="1" s="1"/>
  <c r="S767" i="1"/>
  <c r="S768" i="1"/>
  <c r="AA768" i="1" s="1"/>
  <c r="S769" i="1"/>
  <c r="S770" i="1"/>
  <c r="S771" i="1"/>
  <c r="AA771" i="1" s="1"/>
  <c r="S772" i="1"/>
  <c r="S773" i="1"/>
  <c r="AA773" i="1" s="1"/>
  <c r="S774" i="1"/>
  <c r="S775" i="1"/>
  <c r="AA775" i="1" s="1"/>
  <c r="S776" i="1"/>
  <c r="AA776" i="1" s="1"/>
  <c r="S777" i="1"/>
  <c r="AA777" i="1" s="1"/>
  <c r="S778" i="1"/>
  <c r="S779" i="1"/>
  <c r="S780" i="1"/>
  <c r="S781" i="1"/>
  <c r="AA781" i="1" s="1"/>
  <c r="S782" i="1"/>
  <c r="AA782" i="1" s="1"/>
  <c r="S783" i="1"/>
  <c r="S784" i="1"/>
  <c r="AA784" i="1" s="1"/>
  <c r="S785" i="1"/>
  <c r="S786" i="1"/>
  <c r="S787" i="1"/>
  <c r="AA787" i="1" s="1"/>
  <c r="S788" i="1"/>
  <c r="S789" i="1"/>
  <c r="AA789" i="1" s="1"/>
  <c r="S790" i="1"/>
  <c r="S791" i="1"/>
  <c r="AA791" i="1" s="1"/>
  <c r="S792" i="1"/>
  <c r="AA792" i="1" s="1"/>
  <c r="S793" i="1"/>
  <c r="AA793" i="1" s="1"/>
  <c r="S794" i="1"/>
  <c r="S795" i="1"/>
  <c r="S796" i="1"/>
  <c r="S797" i="1"/>
  <c r="AA797" i="1" s="1"/>
  <c r="S798" i="1"/>
  <c r="AA798" i="1" s="1"/>
  <c r="S799" i="1"/>
  <c r="S800" i="1"/>
  <c r="AA800" i="1" s="1"/>
  <c r="S801" i="1"/>
  <c r="S802" i="1"/>
  <c r="S803" i="1"/>
  <c r="AA803" i="1" s="1"/>
  <c r="S804" i="1"/>
  <c r="S805" i="1"/>
  <c r="AA805" i="1" s="1"/>
  <c r="S806" i="1"/>
  <c r="S807" i="1"/>
  <c r="AA807" i="1" s="1"/>
  <c r="S808" i="1"/>
  <c r="AA808" i="1" s="1"/>
  <c r="S809" i="1"/>
  <c r="AA809" i="1" s="1"/>
  <c r="S810" i="1"/>
  <c r="S811" i="1"/>
  <c r="S812" i="1"/>
  <c r="S813" i="1"/>
  <c r="AA813" i="1" s="1"/>
  <c r="S814" i="1"/>
  <c r="AA814" i="1" s="1"/>
  <c r="S815" i="1"/>
  <c r="S816" i="1"/>
  <c r="AA816" i="1" s="1"/>
  <c r="S817" i="1"/>
  <c r="S818" i="1"/>
  <c r="S819" i="1"/>
  <c r="AA819" i="1" s="1"/>
  <c r="S820" i="1"/>
  <c r="S821" i="1"/>
  <c r="AA821" i="1" s="1"/>
  <c r="S822" i="1"/>
  <c r="S823" i="1"/>
  <c r="AA823" i="1" s="1"/>
  <c r="S824" i="1"/>
  <c r="AA824" i="1" s="1"/>
  <c r="S825" i="1"/>
  <c r="AA825" i="1" s="1"/>
  <c r="S826" i="1"/>
  <c r="S827" i="1"/>
  <c r="S828" i="1"/>
  <c r="S829" i="1"/>
  <c r="AA829" i="1" s="1"/>
  <c r="S830" i="1"/>
  <c r="AA830" i="1" s="1"/>
  <c r="S831" i="1"/>
  <c r="S832" i="1"/>
  <c r="AA832" i="1" s="1"/>
  <c r="S833" i="1"/>
  <c r="S834" i="1"/>
  <c r="S835" i="1"/>
  <c r="AA835" i="1" s="1"/>
  <c r="S836" i="1"/>
  <c r="S837" i="1"/>
  <c r="AA837" i="1" s="1"/>
  <c r="S838" i="1"/>
  <c r="S839" i="1"/>
  <c r="AA839" i="1" s="1"/>
  <c r="S840" i="1"/>
  <c r="AA840" i="1" s="1"/>
  <c r="S841" i="1"/>
  <c r="AA841" i="1" s="1"/>
  <c r="S842" i="1"/>
  <c r="S843" i="1"/>
  <c r="S844" i="1"/>
  <c r="S845" i="1"/>
  <c r="AA845" i="1" s="1"/>
  <c r="S846" i="1"/>
  <c r="AA846" i="1" s="1"/>
  <c r="S847" i="1"/>
  <c r="S848" i="1"/>
  <c r="AA848" i="1" s="1"/>
  <c r="S849" i="1"/>
  <c r="S850" i="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" i="11"/>
  <c r="D44" i="11" a="1"/>
  <c r="D44" i="11" s="1"/>
  <c r="C44" i="11" a="1"/>
  <c r="AF3" i="1"/>
  <c r="AE3" i="1"/>
  <c r="AV2" i="1"/>
  <c r="AU2" i="1"/>
  <c r="AZ2" i="1" a="1"/>
  <c r="AZ2" i="1" s="1"/>
  <c r="AY2" i="1" a="1"/>
  <c r="AY2" i="1" s="1"/>
  <c r="AX2" i="1" a="1"/>
  <c r="AX2" i="1" s="1"/>
  <c r="AW2" i="1" a="1"/>
  <c r="AW2" i="1" s="1"/>
  <c r="N5" i="1"/>
  <c r="Q5" i="1"/>
  <c r="N6" i="1"/>
  <c r="Q6" i="1"/>
  <c r="N7" i="1"/>
  <c r="Q7" i="1"/>
  <c r="N8" i="1"/>
  <c r="Q8" i="1"/>
  <c r="N9" i="1"/>
  <c r="Q9" i="1"/>
  <c r="N10" i="1"/>
  <c r="Q10" i="1"/>
  <c r="N11" i="1"/>
  <c r="Q11" i="1"/>
  <c r="N12" i="1"/>
  <c r="Q12" i="1"/>
  <c r="N13" i="1"/>
  <c r="Q13" i="1"/>
  <c r="N14" i="1"/>
  <c r="Q14" i="1"/>
  <c r="N15" i="1"/>
  <c r="Q15" i="1"/>
  <c r="N16" i="1"/>
  <c r="Q16" i="1"/>
  <c r="N17" i="1"/>
  <c r="Q17" i="1"/>
  <c r="N18" i="1"/>
  <c r="Q18" i="1"/>
  <c r="N19" i="1"/>
  <c r="Q19" i="1"/>
  <c r="N20" i="1"/>
  <c r="Q20" i="1"/>
  <c r="N21" i="1"/>
  <c r="Q21" i="1"/>
  <c r="N22" i="1"/>
  <c r="Q22" i="1"/>
  <c r="N23" i="1"/>
  <c r="Q23" i="1"/>
  <c r="N24" i="1"/>
  <c r="Q24" i="1"/>
  <c r="N25" i="1"/>
  <c r="Q25" i="1"/>
  <c r="N26" i="1"/>
  <c r="Q26" i="1"/>
  <c r="N27" i="1"/>
  <c r="Q27" i="1"/>
  <c r="N28" i="1"/>
  <c r="Q28" i="1"/>
  <c r="N29" i="1"/>
  <c r="Q29" i="1"/>
  <c r="N30" i="1"/>
  <c r="Q30" i="1"/>
  <c r="N31" i="1"/>
  <c r="Q31" i="1"/>
  <c r="N32" i="1"/>
  <c r="Q32" i="1"/>
  <c r="N33" i="1"/>
  <c r="Q33" i="1"/>
  <c r="N34" i="1"/>
  <c r="Q34" i="1"/>
  <c r="N35" i="1"/>
  <c r="Q35" i="1"/>
  <c r="N36" i="1"/>
  <c r="Q36" i="1"/>
  <c r="N37" i="1"/>
  <c r="Q37" i="1"/>
  <c r="N38" i="1"/>
  <c r="Q38" i="1"/>
  <c r="N39" i="1"/>
  <c r="Q39" i="1"/>
  <c r="N40" i="1"/>
  <c r="Q40" i="1"/>
  <c r="N41" i="1"/>
  <c r="Q41" i="1"/>
  <c r="N42" i="1"/>
  <c r="Q42" i="1"/>
  <c r="N43" i="1"/>
  <c r="Q43" i="1"/>
  <c r="N44" i="1"/>
  <c r="Q44" i="1"/>
  <c r="N45" i="1"/>
  <c r="Q45" i="1"/>
  <c r="N46" i="1"/>
  <c r="Q46" i="1"/>
  <c r="N47" i="1"/>
  <c r="Q47" i="1"/>
  <c r="N48" i="1"/>
  <c r="Q48" i="1"/>
  <c r="N49" i="1"/>
  <c r="Q49" i="1"/>
  <c r="N50" i="1"/>
  <c r="Q50" i="1"/>
  <c r="N51" i="1"/>
  <c r="Q51" i="1"/>
  <c r="N52" i="1"/>
  <c r="Q52" i="1"/>
  <c r="N53" i="1"/>
  <c r="Q53" i="1"/>
  <c r="N54" i="1"/>
  <c r="Q54" i="1"/>
  <c r="N55" i="1"/>
  <c r="Q55" i="1"/>
  <c r="N56" i="1"/>
  <c r="Q56" i="1"/>
  <c r="N57" i="1"/>
  <c r="Q57" i="1"/>
  <c r="N58" i="1"/>
  <c r="Q58" i="1"/>
  <c r="N59" i="1"/>
  <c r="Q59" i="1"/>
  <c r="N60" i="1"/>
  <c r="Q60" i="1"/>
  <c r="N61" i="1"/>
  <c r="Q61" i="1"/>
  <c r="N62" i="1"/>
  <c r="Q62" i="1"/>
  <c r="N63" i="1"/>
  <c r="Q63" i="1"/>
  <c r="N64" i="1"/>
  <c r="Q64" i="1"/>
  <c r="N65" i="1"/>
  <c r="Q65" i="1"/>
  <c r="N66" i="1"/>
  <c r="Q66" i="1"/>
  <c r="N67" i="1"/>
  <c r="Q67" i="1"/>
  <c r="N68" i="1"/>
  <c r="Q68" i="1"/>
  <c r="N69" i="1"/>
  <c r="Q69" i="1"/>
  <c r="N70" i="1"/>
  <c r="Q70" i="1"/>
  <c r="N71" i="1"/>
  <c r="Q71" i="1"/>
  <c r="N72" i="1"/>
  <c r="Q72" i="1"/>
  <c r="N73" i="1"/>
  <c r="Q73" i="1"/>
  <c r="N74" i="1"/>
  <c r="Q74" i="1"/>
  <c r="N75" i="1"/>
  <c r="Q75" i="1"/>
  <c r="N76" i="1"/>
  <c r="Q76" i="1"/>
  <c r="N77" i="1"/>
  <c r="Q77" i="1"/>
  <c r="N78" i="1"/>
  <c r="Q78" i="1"/>
  <c r="N79" i="1"/>
  <c r="Q79" i="1"/>
  <c r="N80" i="1"/>
  <c r="Q80" i="1"/>
  <c r="N81" i="1"/>
  <c r="Q81" i="1"/>
  <c r="N82" i="1"/>
  <c r="Q82" i="1"/>
  <c r="N83" i="1"/>
  <c r="Q83" i="1"/>
  <c r="N84" i="1"/>
  <c r="Q84" i="1"/>
  <c r="N85" i="1"/>
  <c r="Q85" i="1"/>
  <c r="N86" i="1"/>
  <c r="Q86" i="1"/>
  <c r="N87" i="1"/>
  <c r="Q87" i="1"/>
  <c r="N88" i="1"/>
  <c r="Q88" i="1"/>
  <c r="N89" i="1"/>
  <c r="Q89" i="1"/>
  <c r="N90" i="1"/>
  <c r="Q90" i="1"/>
  <c r="N91" i="1"/>
  <c r="Q91" i="1"/>
  <c r="N92" i="1"/>
  <c r="Q92" i="1"/>
  <c r="N93" i="1"/>
  <c r="Q93" i="1"/>
  <c r="N94" i="1"/>
  <c r="Q94" i="1"/>
  <c r="N95" i="1"/>
  <c r="Q95" i="1"/>
  <c r="N96" i="1"/>
  <c r="Q96" i="1"/>
  <c r="N97" i="1"/>
  <c r="Q97" i="1"/>
  <c r="N98" i="1"/>
  <c r="Q98" i="1"/>
  <c r="N99" i="1"/>
  <c r="Q99" i="1"/>
  <c r="N100" i="1"/>
  <c r="Q100" i="1"/>
  <c r="N101" i="1"/>
  <c r="Q101" i="1"/>
  <c r="N102" i="1"/>
  <c r="Q102" i="1"/>
  <c r="N103" i="1"/>
  <c r="Q103" i="1"/>
  <c r="N104" i="1"/>
  <c r="Q104" i="1"/>
  <c r="N105" i="1"/>
  <c r="Q105" i="1"/>
  <c r="N106" i="1"/>
  <c r="Q106" i="1"/>
  <c r="N107" i="1"/>
  <c r="Q107" i="1"/>
  <c r="N108" i="1"/>
  <c r="Q108" i="1"/>
  <c r="N109" i="1"/>
  <c r="Q109" i="1"/>
  <c r="N110" i="1"/>
  <c r="Q110" i="1"/>
  <c r="N111" i="1"/>
  <c r="Q111" i="1"/>
  <c r="N112" i="1"/>
  <c r="Q112" i="1"/>
  <c r="N113" i="1"/>
  <c r="Q113" i="1"/>
  <c r="N114" i="1"/>
  <c r="Q114" i="1"/>
  <c r="N115" i="1"/>
  <c r="Q115" i="1"/>
  <c r="N116" i="1"/>
  <c r="Q116" i="1"/>
  <c r="N117" i="1"/>
  <c r="Q117" i="1"/>
  <c r="N118" i="1"/>
  <c r="Q118" i="1"/>
  <c r="N119" i="1"/>
  <c r="Q119" i="1"/>
  <c r="N120" i="1"/>
  <c r="Q120" i="1"/>
  <c r="N121" i="1"/>
  <c r="Q121" i="1"/>
  <c r="N122" i="1"/>
  <c r="Q122" i="1"/>
  <c r="N123" i="1"/>
  <c r="Q123" i="1"/>
  <c r="N124" i="1"/>
  <c r="Q124" i="1"/>
  <c r="N125" i="1"/>
  <c r="Q125" i="1"/>
  <c r="N126" i="1"/>
  <c r="Q126" i="1"/>
  <c r="N127" i="1"/>
  <c r="Q127" i="1"/>
  <c r="N128" i="1"/>
  <c r="Q128" i="1"/>
  <c r="N129" i="1"/>
  <c r="Q129" i="1"/>
  <c r="N130" i="1"/>
  <c r="Q130" i="1"/>
  <c r="N131" i="1"/>
  <c r="Q131" i="1"/>
  <c r="N132" i="1"/>
  <c r="Q132" i="1"/>
  <c r="N133" i="1"/>
  <c r="Q133" i="1"/>
  <c r="N134" i="1"/>
  <c r="Q134" i="1"/>
  <c r="N135" i="1"/>
  <c r="Q135" i="1"/>
  <c r="N136" i="1"/>
  <c r="Q136" i="1"/>
  <c r="N137" i="1"/>
  <c r="Q137" i="1"/>
  <c r="N138" i="1"/>
  <c r="Q138" i="1"/>
  <c r="N139" i="1"/>
  <c r="Q139" i="1"/>
  <c r="N140" i="1"/>
  <c r="Q140" i="1"/>
  <c r="N141" i="1"/>
  <c r="Q141" i="1"/>
  <c r="N142" i="1"/>
  <c r="Q142" i="1"/>
  <c r="N143" i="1"/>
  <c r="Q143" i="1"/>
  <c r="N144" i="1"/>
  <c r="Q144" i="1"/>
  <c r="N145" i="1"/>
  <c r="Q145" i="1"/>
  <c r="N146" i="1"/>
  <c r="Q146" i="1"/>
  <c r="N147" i="1"/>
  <c r="Q147" i="1"/>
  <c r="N148" i="1"/>
  <c r="Q148" i="1"/>
  <c r="N149" i="1"/>
  <c r="Q149" i="1"/>
  <c r="N150" i="1"/>
  <c r="Q150" i="1"/>
  <c r="N151" i="1"/>
  <c r="Q151" i="1"/>
  <c r="N152" i="1"/>
  <c r="Q152" i="1"/>
  <c r="N153" i="1"/>
  <c r="Q153" i="1"/>
  <c r="N154" i="1"/>
  <c r="Q154" i="1"/>
  <c r="N155" i="1"/>
  <c r="Q155" i="1"/>
  <c r="N156" i="1"/>
  <c r="Q156" i="1"/>
  <c r="N157" i="1"/>
  <c r="Q157" i="1"/>
  <c r="N158" i="1"/>
  <c r="Q158" i="1"/>
  <c r="N159" i="1"/>
  <c r="Q159" i="1"/>
  <c r="N160" i="1"/>
  <c r="Q160" i="1"/>
  <c r="N161" i="1"/>
  <c r="Q161" i="1"/>
  <c r="N162" i="1"/>
  <c r="Q162" i="1"/>
  <c r="N163" i="1"/>
  <c r="Q163" i="1"/>
  <c r="N164" i="1"/>
  <c r="Q164" i="1"/>
  <c r="N165" i="1"/>
  <c r="Q165" i="1"/>
  <c r="N166" i="1"/>
  <c r="Q166" i="1"/>
  <c r="N167" i="1"/>
  <c r="Q167" i="1"/>
  <c r="N168" i="1"/>
  <c r="Q168" i="1"/>
  <c r="N169" i="1"/>
  <c r="Q169" i="1"/>
  <c r="N170" i="1"/>
  <c r="Q170" i="1"/>
  <c r="N171" i="1"/>
  <c r="Q171" i="1"/>
  <c r="N172" i="1"/>
  <c r="Q172" i="1"/>
  <c r="N173" i="1"/>
  <c r="Q173" i="1"/>
  <c r="N174" i="1"/>
  <c r="Q174" i="1"/>
  <c r="N175" i="1"/>
  <c r="Q175" i="1"/>
  <c r="N176" i="1"/>
  <c r="Q176" i="1"/>
  <c r="N177" i="1"/>
  <c r="Q177" i="1"/>
  <c r="N178" i="1"/>
  <c r="Q178" i="1"/>
  <c r="N179" i="1"/>
  <c r="Q179" i="1"/>
  <c r="N180" i="1"/>
  <c r="Q180" i="1"/>
  <c r="N181" i="1"/>
  <c r="Q181" i="1"/>
  <c r="N182" i="1"/>
  <c r="Q182" i="1"/>
  <c r="N183" i="1"/>
  <c r="Q183" i="1"/>
  <c r="N184" i="1"/>
  <c r="Q184" i="1"/>
  <c r="N185" i="1"/>
  <c r="Q185" i="1"/>
  <c r="N186" i="1"/>
  <c r="Q186" i="1"/>
  <c r="N187" i="1"/>
  <c r="Q187" i="1"/>
  <c r="N188" i="1"/>
  <c r="Q188" i="1"/>
  <c r="N189" i="1"/>
  <c r="Q189" i="1"/>
  <c r="N190" i="1"/>
  <c r="Q190" i="1"/>
  <c r="N191" i="1"/>
  <c r="Q191" i="1"/>
  <c r="N192" i="1"/>
  <c r="Q192" i="1"/>
  <c r="N193" i="1"/>
  <c r="Q193" i="1"/>
  <c r="N194" i="1"/>
  <c r="Q194" i="1"/>
  <c r="N195" i="1"/>
  <c r="Q195" i="1"/>
  <c r="N196" i="1"/>
  <c r="Q196" i="1"/>
  <c r="N197" i="1"/>
  <c r="Q197" i="1"/>
  <c r="N198" i="1"/>
  <c r="Q198" i="1"/>
  <c r="N199" i="1"/>
  <c r="Q199" i="1"/>
  <c r="N200" i="1"/>
  <c r="Q200" i="1"/>
  <c r="N201" i="1"/>
  <c r="Q201" i="1"/>
  <c r="N202" i="1"/>
  <c r="Q202" i="1"/>
  <c r="N203" i="1"/>
  <c r="Q203" i="1"/>
  <c r="N204" i="1"/>
  <c r="Q204" i="1"/>
  <c r="N205" i="1"/>
  <c r="Q205" i="1"/>
  <c r="N206" i="1"/>
  <c r="Q206" i="1"/>
  <c r="N207" i="1"/>
  <c r="Q207" i="1"/>
  <c r="N208" i="1"/>
  <c r="Q208" i="1"/>
  <c r="N209" i="1"/>
  <c r="Q209" i="1"/>
  <c r="N210" i="1"/>
  <c r="Q210" i="1"/>
  <c r="N211" i="1"/>
  <c r="Q211" i="1"/>
  <c r="N212" i="1"/>
  <c r="Q212" i="1"/>
  <c r="N213" i="1"/>
  <c r="Q213" i="1"/>
  <c r="N214" i="1"/>
  <c r="Q214" i="1"/>
  <c r="N215" i="1"/>
  <c r="Q215" i="1"/>
  <c r="N216" i="1"/>
  <c r="Q216" i="1"/>
  <c r="N217" i="1"/>
  <c r="Q217" i="1"/>
  <c r="N218" i="1"/>
  <c r="Q218" i="1"/>
  <c r="N219" i="1"/>
  <c r="Q219" i="1"/>
  <c r="N220" i="1"/>
  <c r="Q220" i="1"/>
  <c r="N221" i="1"/>
  <c r="Q221" i="1"/>
  <c r="N222" i="1"/>
  <c r="Q222" i="1"/>
  <c r="N223" i="1"/>
  <c r="Q223" i="1"/>
  <c r="N224" i="1"/>
  <c r="Q224" i="1"/>
  <c r="N225" i="1"/>
  <c r="Q225" i="1"/>
  <c r="N226" i="1"/>
  <c r="Q226" i="1"/>
  <c r="N227" i="1"/>
  <c r="Q227" i="1"/>
  <c r="N228" i="1"/>
  <c r="Q228" i="1"/>
  <c r="N229" i="1"/>
  <c r="Q229" i="1"/>
  <c r="N230" i="1"/>
  <c r="Q230" i="1"/>
  <c r="N231" i="1"/>
  <c r="Q231" i="1"/>
  <c r="N232" i="1"/>
  <c r="Q232" i="1"/>
  <c r="N233" i="1"/>
  <c r="Q233" i="1"/>
  <c r="N234" i="1"/>
  <c r="Q234" i="1"/>
  <c r="N235" i="1"/>
  <c r="Q235" i="1"/>
  <c r="N236" i="1"/>
  <c r="Q236" i="1"/>
  <c r="N237" i="1"/>
  <c r="Q237" i="1"/>
  <c r="N238" i="1"/>
  <c r="Q238" i="1"/>
  <c r="N239" i="1"/>
  <c r="Q239" i="1"/>
  <c r="N240" i="1"/>
  <c r="Q240" i="1"/>
  <c r="N241" i="1"/>
  <c r="Q241" i="1"/>
  <c r="N242" i="1"/>
  <c r="Q242" i="1"/>
  <c r="N243" i="1"/>
  <c r="Q243" i="1"/>
  <c r="N244" i="1"/>
  <c r="Q244" i="1"/>
  <c r="N245" i="1"/>
  <c r="Q245" i="1"/>
  <c r="N246" i="1"/>
  <c r="Q246" i="1"/>
  <c r="N247" i="1"/>
  <c r="Q247" i="1"/>
  <c r="N248" i="1"/>
  <c r="Q248" i="1"/>
  <c r="N249" i="1"/>
  <c r="Q249" i="1"/>
  <c r="N250" i="1"/>
  <c r="Q250" i="1"/>
  <c r="N251" i="1"/>
  <c r="Q251" i="1"/>
  <c r="N252" i="1"/>
  <c r="Q252" i="1"/>
  <c r="N253" i="1"/>
  <c r="Q253" i="1"/>
  <c r="N254" i="1"/>
  <c r="Q254" i="1"/>
  <c r="N255" i="1"/>
  <c r="Q255" i="1"/>
  <c r="N256" i="1"/>
  <c r="Q256" i="1"/>
  <c r="N257" i="1"/>
  <c r="Q257" i="1"/>
  <c r="N258" i="1"/>
  <c r="Q258" i="1"/>
  <c r="N259" i="1"/>
  <c r="Q259" i="1"/>
  <c r="N260" i="1"/>
  <c r="Q260" i="1"/>
  <c r="N261" i="1"/>
  <c r="Q261" i="1"/>
  <c r="N262" i="1"/>
  <c r="Q262" i="1"/>
  <c r="N263" i="1"/>
  <c r="Q263" i="1"/>
  <c r="N264" i="1"/>
  <c r="Q264" i="1"/>
  <c r="N265" i="1"/>
  <c r="Q265" i="1"/>
  <c r="N266" i="1"/>
  <c r="Q266" i="1"/>
  <c r="N267" i="1"/>
  <c r="Q267" i="1"/>
  <c r="N268" i="1"/>
  <c r="Q268" i="1"/>
  <c r="N269" i="1"/>
  <c r="Q269" i="1"/>
  <c r="N270" i="1"/>
  <c r="Q270" i="1"/>
  <c r="N271" i="1"/>
  <c r="Q271" i="1"/>
  <c r="N272" i="1"/>
  <c r="Q272" i="1"/>
  <c r="N273" i="1"/>
  <c r="Q273" i="1"/>
  <c r="N274" i="1"/>
  <c r="Q274" i="1"/>
  <c r="N275" i="1"/>
  <c r="Q275" i="1"/>
  <c r="N276" i="1"/>
  <c r="Q276" i="1"/>
  <c r="N277" i="1"/>
  <c r="Q277" i="1"/>
  <c r="N278" i="1"/>
  <c r="Q278" i="1"/>
  <c r="N279" i="1"/>
  <c r="Q279" i="1"/>
  <c r="N280" i="1"/>
  <c r="Q280" i="1"/>
  <c r="N281" i="1"/>
  <c r="Q281" i="1"/>
  <c r="N282" i="1"/>
  <c r="Q282" i="1"/>
  <c r="N283" i="1"/>
  <c r="Q283" i="1"/>
  <c r="N284" i="1"/>
  <c r="Q284" i="1"/>
  <c r="N285" i="1"/>
  <c r="Q285" i="1"/>
  <c r="N286" i="1"/>
  <c r="Q286" i="1"/>
  <c r="N287" i="1"/>
  <c r="Q287" i="1"/>
  <c r="N288" i="1"/>
  <c r="Q288" i="1"/>
  <c r="N289" i="1"/>
  <c r="Q289" i="1"/>
  <c r="N290" i="1"/>
  <c r="Q290" i="1"/>
  <c r="N291" i="1"/>
  <c r="Q291" i="1"/>
  <c r="N292" i="1"/>
  <c r="Q292" i="1"/>
  <c r="N293" i="1"/>
  <c r="Q293" i="1"/>
  <c r="N294" i="1"/>
  <c r="Q294" i="1"/>
  <c r="N295" i="1"/>
  <c r="Q295" i="1"/>
  <c r="N296" i="1"/>
  <c r="Q296" i="1"/>
  <c r="N297" i="1"/>
  <c r="Q297" i="1"/>
  <c r="N298" i="1"/>
  <c r="Q298" i="1"/>
  <c r="N299" i="1"/>
  <c r="Q299" i="1"/>
  <c r="N300" i="1"/>
  <c r="Q300" i="1"/>
  <c r="N301" i="1"/>
  <c r="Q301" i="1"/>
  <c r="N302" i="1"/>
  <c r="Q302" i="1"/>
  <c r="N303" i="1"/>
  <c r="Q303" i="1"/>
  <c r="N304" i="1"/>
  <c r="Q304" i="1"/>
  <c r="N305" i="1"/>
  <c r="Q305" i="1"/>
  <c r="N306" i="1"/>
  <c r="Q306" i="1"/>
  <c r="N307" i="1"/>
  <c r="Q307" i="1"/>
  <c r="N308" i="1"/>
  <c r="Q308" i="1"/>
  <c r="N309" i="1"/>
  <c r="Q309" i="1"/>
  <c r="N310" i="1"/>
  <c r="Q310" i="1"/>
  <c r="N311" i="1"/>
  <c r="Q311" i="1"/>
  <c r="N312" i="1"/>
  <c r="Q312" i="1"/>
  <c r="N313" i="1"/>
  <c r="Q313" i="1"/>
  <c r="N314" i="1"/>
  <c r="Q314" i="1"/>
  <c r="N315" i="1"/>
  <c r="Q315" i="1"/>
  <c r="N316" i="1"/>
  <c r="Q316" i="1"/>
  <c r="N317" i="1"/>
  <c r="Q317" i="1"/>
  <c r="N318" i="1"/>
  <c r="Q318" i="1"/>
  <c r="N319" i="1"/>
  <c r="Q319" i="1"/>
  <c r="N320" i="1"/>
  <c r="Q320" i="1"/>
  <c r="N321" i="1"/>
  <c r="Q321" i="1"/>
  <c r="N322" i="1"/>
  <c r="Q322" i="1"/>
  <c r="N323" i="1"/>
  <c r="Q323" i="1"/>
  <c r="N324" i="1"/>
  <c r="Q324" i="1"/>
  <c r="N325" i="1"/>
  <c r="Q325" i="1"/>
  <c r="N326" i="1"/>
  <c r="Q326" i="1"/>
  <c r="N327" i="1"/>
  <c r="Q327" i="1"/>
  <c r="N328" i="1"/>
  <c r="Q328" i="1"/>
  <c r="N329" i="1"/>
  <c r="Q329" i="1"/>
  <c r="N330" i="1"/>
  <c r="Q330" i="1"/>
  <c r="N331" i="1"/>
  <c r="Q331" i="1"/>
  <c r="N332" i="1"/>
  <c r="Q332" i="1"/>
  <c r="N333" i="1"/>
  <c r="Q333" i="1"/>
  <c r="N334" i="1"/>
  <c r="Q334" i="1"/>
  <c r="N335" i="1"/>
  <c r="Q335" i="1"/>
  <c r="N336" i="1"/>
  <c r="Q336" i="1"/>
  <c r="N337" i="1"/>
  <c r="Q337" i="1"/>
  <c r="N338" i="1"/>
  <c r="Q338" i="1"/>
  <c r="N339" i="1"/>
  <c r="Q339" i="1"/>
  <c r="N340" i="1"/>
  <c r="Q340" i="1"/>
  <c r="N341" i="1"/>
  <c r="Q341" i="1"/>
  <c r="N342" i="1"/>
  <c r="Q342" i="1"/>
  <c r="N343" i="1"/>
  <c r="Q343" i="1"/>
  <c r="N344" i="1"/>
  <c r="Q344" i="1"/>
  <c r="N345" i="1"/>
  <c r="Q345" i="1"/>
  <c r="N346" i="1"/>
  <c r="Q346" i="1"/>
  <c r="N347" i="1"/>
  <c r="Q347" i="1"/>
  <c r="N348" i="1"/>
  <c r="Q348" i="1"/>
  <c r="N349" i="1"/>
  <c r="Q349" i="1"/>
  <c r="N350" i="1"/>
  <c r="Q350" i="1"/>
  <c r="N351" i="1"/>
  <c r="Q351" i="1"/>
  <c r="N352" i="1"/>
  <c r="Q352" i="1"/>
  <c r="N353" i="1"/>
  <c r="Q353" i="1"/>
  <c r="N354" i="1"/>
  <c r="Q354" i="1"/>
  <c r="N355" i="1"/>
  <c r="Q355" i="1"/>
  <c r="N356" i="1"/>
  <c r="Q356" i="1"/>
  <c r="N357" i="1"/>
  <c r="Q357" i="1"/>
  <c r="N358" i="1"/>
  <c r="Q358" i="1"/>
  <c r="N359" i="1"/>
  <c r="Q359" i="1"/>
  <c r="N360" i="1"/>
  <c r="Q360" i="1"/>
  <c r="N361" i="1"/>
  <c r="Q361" i="1"/>
  <c r="N362" i="1"/>
  <c r="Q362" i="1"/>
  <c r="N363" i="1"/>
  <c r="Q363" i="1"/>
  <c r="N364" i="1"/>
  <c r="Q364" i="1"/>
  <c r="N365" i="1"/>
  <c r="Q365" i="1"/>
  <c r="N366" i="1"/>
  <c r="Q366" i="1"/>
  <c r="N367" i="1"/>
  <c r="Q367" i="1"/>
  <c r="N368" i="1"/>
  <c r="Q368" i="1"/>
  <c r="N369" i="1"/>
  <c r="Q369" i="1"/>
  <c r="N370" i="1"/>
  <c r="Q370" i="1"/>
  <c r="N371" i="1"/>
  <c r="Q371" i="1"/>
  <c r="N372" i="1"/>
  <c r="Q372" i="1"/>
  <c r="N373" i="1"/>
  <c r="Q373" i="1"/>
  <c r="N374" i="1"/>
  <c r="Q374" i="1"/>
  <c r="N375" i="1"/>
  <c r="Q375" i="1"/>
  <c r="N376" i="1"/>
  <c r="Q376" i="1"/>
  <c r="N377" i="1"/>
  <c r="Q377" i="1"/>
  <c r="N378" i="1"/>
  <c r="Q378" i="1"/>
  <c r="N379" i="1"/>
  <c r="Q379" i="1"/>
  <c r="N380" i="1"/>
  <c r="Q380" i="1"/>
  <c r="N381" i="1"/>
  <c r="Q381" i="1"/>
  <c r="N382" i="1"/>
  <c r="Q382" i="1"/>
  <c r="N383" i="1"/>
  <c r="Q383" i="1"/>
  <c r="N384" i="1"/>
  <c r="Q384" i="1"/>
  <c r="N385" i="1"/>
  <c r="Q385" i="1"/>
  <c r="N386" i="1"/>
  <c r="Q386" i="1"/>
  <c r="N387" i="1"/>
  <c r="Q387" i="1"/>
  <c r="N388" i="1"/>
  <c r="Q388" i="1"/>
  <c r="N389" i="1"/>
  <c r="Q389" i="1"/>
  <c r="N390" i="1"/>
  <c r="Q390" i="1"/>
  <c r="N391" i="1"/>
  <c r="Q391" i="1"/>
  <c r="N392" i="1"/>
  <c r="Q392" i="1"/>
  <c r="N393" i="1"/>
  <c r="Q393" i="1"/>
  <c r="N394" i="1"/>
  <c r="Q394" i="1"/>
  <c r="N395" i="1"/>
  <c r="Q395" i="1"/>
  <c r="N396" i="1"/>
  <c r="Q396" i="1"/>
  <c r="N397" i="1"/>
  <c r="Q397" i="1"/>
  <c r="N398" i="1"/>
  <c r="Q398" i="1"/>
  <c r="N399" i="1"/>
  <c r="Q399" i="1"/>
  <c r="N400" i="1"/>
  <c r="Q400" i="1"/>
  <c r="N401" i="1"/>
  <c r="Q401" i="1"/>
  <c r="N402" i="1"/>
  <c r="Q402" i="1"/>
  <c r="N403" i="1"/>
  <c r="Q403" i="1"/>
  <c r="N404" i="1"/>
  <c r="Q404" i="1"/>
  <c r="N405" i="1"/>
  <c r="Q405" i="1"/>
  <c r="N406" i="1"/>
  <c r="Q406" i="1"/>
  <c r="N407" i="1"/>
  <c r="Q407" i="1"/>
  <c r="N408" i="1"/>
  <c r="Q408" i="1"/>
  <c r="N409" i="1"/>
  <c r="Q409" i="1"/>
  <c r="N410" i="1"/>
  <c r="Q410" i="1"/>
  <c r="N411" i="1"/>
  <c r="Q411" i="1"/>
  <c r="N412" i="1"/>
  <c r="Q412" i="1"/>
  <c r="N413" i="1"/>
  <c r="Q413" i="1"/>
  <c r="N414" i="1"/>
  <c r="Q414" i="1"/>
  <c r="N415" i="1"/>
  <c r="Q415" i="1"/>
  <c r="N416" i="1"/>
  <c r="Q416" i="1"/>
  <c r="N417" i="1"/>
  <c r="Q417" i="1"/>
  <c r="N418" i="1"/>
  <c r="Q418" i="1"/>
  <c r="N419" i="1"/>
  <c r="Q419" i="1"/>
  <c r="N420" i="1"/>
  <c r="Q420" i="1"/>
  <c r="N421" i="1"/>
  <c r="Q421" i="1"/>
  <c r="N422" i="1"/>
  <c r="Q422" i="1"/>
  <c r="N423" i="1"/>
  <c r="Q423" i="1"/>
  <c r="N424" i="1"/>
  <c r="Q424" i="1"/>
  <c r="N425" i="1"/>
  <c r="Q425" i="1"/>
  <c r="N426" i="1"/>
  <c r="Q426" i="1"/>
  <c r="N427" i="1"/>
  <c r="Q427" i="1"/>
  <c r="N428" i="1"/>
  <c r="Q428" i="1"/>
  <c r="N429" i="1"/>
  <c r="Q429" i="1"/>
  <c r="N430" i="1"/>
  <c r="Q430" i="1"/>
  <c r="N431" i="1"/>
  <c r="Q431" i="1"/>
  <c r="N432" i="1"/>
  <c r="Q432" i="1"/>
  <c r="N433" i="1"/>
  <c r="Q433" i="1"/>
  <c r="N434" i="1"/>
  <c r="Q434" i="1"/>
  <c r="N435" i="1"/>
  <c r="Q435" i="1"/>
  <c r="N436" i="1"/>
  <c r="Q436" i="1"/>
  <c r="N437" i="1"/>
  <c r="Q437" i="1"/>
  <c r="N438" i="1"/>
  <c r="Q438" i="1"/>
  <c r="N439" i="1"/>
  <c r="Q439" i="1"/>
  <c r="N440" i="1"/>
  <c r="Q440" i="1"/>
  <c r="N441" i="1"/>
  <c r="Q441" i="1"/>
  <c r="N442" i="1"/>
  <c r="Q442" i="1"/>
  <c r="N443" i="1"/>
  <c r="Q443" i="1"/>
  <c r="N444" i="1"/>
  <c r="Q444" i="1"/>
  <c r="N445" i="1"/>
  <c r="Q445" i="1"/>
  <c r="N446" i="1"/>
  <c r="Q446" i="1"/>
  <c r="N447" i="1"/>
  <c r="Q447" i="1"/>
  <c r="N448" i="1"/>
  <c r="Q448" i="1"/>
  <c r="N449" i="1"/>
  <c r="Q449" i="1"/>
  <c r="N450" i="1"/>
  <c r="Q450" i="1"/>
  <c r="N451" i="1"/>
  <c r="Q451" i="1"/>
  <c r="N452" i="1"/>
  <c r="Q452" i="1"/>
  <c r="N453" i="1"/>
  <c r="Q453" i="1"/>
  <c r="N454" i="1"/>
  <c r="Q454" i="1"/>
  <c r="N455" i="1"/>
  <c r="Q455" i="1"/>
  <c r="N456" i="1"/>
  <c r="Q456" i="1"/>
  <c r="N457" i="1"/>
  <c r="Q457" i="1"/>
  <c r="N458" i="1"/>
  <c r="Q458" i="1"/>
  <c r="N459" i="1"/>
  <c r="Q459" i="1"/>
  <c r="N460" i="1"/>
  <c r="Q460" i="1"/>
  <c r="N461" i="1"/>
  <c r="Q461" i="1"/>
  <c r="N462" i="1"/>
  <c r="Q462" i="1"/>
  <c r="N463" i="1"/>
  <c r="Q463" i="1"/>
  <c r="N464" i="1"/>
  <c r="Q464" i="1"/>
  <c r="N465" i="1"/>
  <c r="Q465" i="1"/>
  <c r="N466" i="1"/>
  <c r="Q466" i="1"/>
  <c r="N467" i="1"/>
  <c r="Q467" i="1"/>
  <c r="N468" i="1"/>
  <c r="Q468" i="1"/>
  <c r="N469" i="1"/>
  <c r="Q469" i="1"/>
  <c r="N470" i="1"/>
  <c r="Q470" i="1"/>
  <c r="N471" i="1"/>
  <c r="Q471" i="1"/>
  <c r="N472" i="1"/>
  <c r="Q472" i="1"/>
  <c r="N473" i="1"/>
  <c r="Q473" i="1"/>
  <c r="N474" i="1"/>
  <c r="Q474" i="1"/>
  <c r="N475" i="1"/>
  <c r="Q475" i="1"/>
  <c r="N476" i="1"/>
  <c r="Q476" i="1"/>
  <c r="N477" i="1"/>
  <c r="Q477" i="1"/>
  <c r="N478" i="1"/>
  <c r="Q478" i="1"/>
  <c r="N479" i="1"/>
  <c r="Q479" i="1"/>
  <c r="N480" i="1"/>
  <c r="Q480" i="1"/>
  <c r="N481" i="1"/>
  <c r="Q481" i="1"/>
  <c r="N482" i="1"/>
  <c r="Q482" i="1"/>
  <c r="N483" i="1"/>
  <c r="Q483" i="1"/>
  <c r="N484" i="1"/>
  <c r="Q484" i="1"/>
  <c r="N485" i="1"/>
  <c r="Q485" i="1"/>
  <c r="N486" i="1"/>
  <c r="Q486" i="1"/>
  <c r="N487" i="1"/>
  <c r="Q487" i="1"/>
  <c r="N488" i="1"/>
  <c r="Q488" i="1"/>
  <c r="N489" i="1"/>
  <c r="Q489" i="1"/>
  <c r="N490" i="1"/>
  <c r="Q490" i="1"/>
  <c r="N491" i="1"/>
  <c r="Q491" i="1"/>
  <c r="N492" i="1"/>
  <c r="Q492" i="1"/>
  <c r="N493" i="1"/>
  <c r="Q493" i="1"/>
  <c r="N494" i="1"/>
  <c r="Q494" i="1"/>
  <c r="N495" i="1"/>
  <c r="Q495" i="1"/>
  <c r="N496" i="1"/>
  <c r="Q496" i="1"/>
  <c r="N497" i="1"/>
  <c r="Q497" i="1"/>
  <c r="N498" i="1"/>
  <c r="Q498" i="1"/>
  <c r="N499" i="1"/>
  <c r="Q499" i="1"/>
  <c r="N500" i="1"/>
  <c r="Q500" i="1"/>
  <c r="N501" i="1"/>
  <c r="Q501" i="1"/>
  <c r="N502" i="1"/>
  <c r="Q502" i="1"/>
  <c r="N503" i="1"/>
  <c r="Q503" i="1"/>
  <c r="N504" i="1"/>
  <c r="Q504" i="1"/>
  <c r="N505" i="1"/>
  <c r="Q505" i="1"/>
  <c r="N506" i="1"/>
  <c r="Q506" i="1"/>
  <c r="N507" i="1"/>
  <c r="Q507" i="1"/>
  <c r="N508" i="1"/>
  <c r="Q508" i="1"/>
  <c r="N509" i="1"/>
  <c r="Q509" i="1"/>
  <c r="N510" i="1"/>
  <c r="Q510" i="1"/>
  <c r="N511" i="1"/>
  <c r="Q511" i="1"/>
  <c r="N512" i="1"/>
  <c r="Q512" i="1"/>
  <c r="N513" i="1"/>
  <c r="Q513" i="1"/>
  <c r="N514" i="1"/>
  <c r="Q514" i="1"/>
  <c r="N515" i="1"/>
  <c r="Q515" i="1"/>
  <c r="N516" i="1"/>
  <c r="Q516" i="1"/>
  <c r="N517" i="1"/>
  <c r="Q517" i="1"/>
  <c r="N518" i="1"/>
  <c r="Q518" i="1"/>
  <c r="N519" i="1"/>
  <c r="Q519" i="1"/>
  <c r="N520" i="1"/>
  <c r="Q520" i="1"/>
  <c r="N521" i="1"/>
  <c r="Q521" i="1"/>
  <c r="N522" i="1"/>
  <c r="Q522" i="1"/>
  <c r="N523" i="1"/>
  <c r="Q523" i="1"/>
  <c r="N524" i="1"/>
  <c r="Q524" i="1"/>
  <c r="N525" i="1"/>
  <c r="Q525" i="1"/>
  <c r="N526" i="1"/>
  <c r="Q526" i="1"/>
  <c r="N527" i="1"/>
  <c r="Q527" i="1"/>
  <c r="N528" i="1"/>
  <c r="Q528" i="1"/>
  <c r="N529" i="1"/>
  <c r="Q529" i="1"/>
  <c r="N530" i="1"/>
  <c r="Q530" i="1"/>
  <c r="N531" i="1"/>
  <c r="Q531" i="1"/>
  <c r="N532" i="1"/>
  <c r="Q532" i="1"/>
  <c r="N533" i="1"/>
  <c r="Q533" i="1"/>
  <c r="N534" i="1"/>
  <c r="Q534" i="1"/>
  <c r="N535" i="1"/>
  <c r="Q535" i="1"/>
  <c r="N536" i="1"/>
  <c r="Q536" i="1"/>
  <c r="N537" i="1"/>
  <c r="Q537" i="1"/>
  <c r="N538" i="1"/>
  <c r="Q538" i="1"/>
  <c r="N539" i="1"/>
  <c r="Q539" i="1"/>
  <c r="N540" i="1"/>
  <c r="Q540" i="1"/>
  <c r="N541" i="1"/>
  <c r="Q541" i="1"/>
  <c r="N542" i="1"/>
  <c r="Q542" i="1"/>
  <c r="N543" i="1"/>
  <c r="Q543" i="1"/>
  <c r="N544" i="1"/>
  <c r="Q544" i="1"/>
  <c r="N545" i="1"/>
  <c r="Q545" i="1"/>
  <c r="N546" i="1"/>
  <c r="Q546" i="1"/>
  <c r="N547" i="1"/>
  <c r="Q547" i="1"/>
  <c r="N548" i="1"/>
  <c r="Q548" i="1"/>
  <c r="N549" i="1"/>
  <c r="Q549" i="1"/>
  <c r="N550" i="1"/>
  <c r="Q550" i="1"/>
  <c r="N551" i="1"/>
  <c r="Q551" i="1"/>
  <c r="N552" i="1"/>
  <c r="Q552" i="1"/>
  <c r="N553" i="1"/>
  <c r="Q553" i="1"/>
  <c r="N554" i="1"/>
  <c r="Q554" i="1"/>
  <c r="N555" i="1"/>
  <c r="Q555" i="1"/>
  <c r="N556" i="1"/>
  <c r="Q556" i="1"/>
  <c r="N557" i="1"/>
  <c r="Q557" i="1"/>
  <c r="N558" i="1"/>
  <c r="Q558" i="1"/>
  <c r="N559" i="1"/>
  <c r="Q559" i="1"/>
  <c r="N560" i="1"/>
  <c r="Q560" i="1"/>
  <c r="N561" i="1"/>
  <c r="Q561" i="1"/>
  <c r="N562" i="1"/>
  <c r="Q562" i="1"/>
  <c r="N563" i="1"/>
  <c r="Q563" i="1"/>
  <c r="N564" i="1"/>
  <c r="Q564" i="1"/>
  <c r="N565" i="1"/>
  <c r="Q565" i="1"/>
  <c r="N566" i="1"/>
  <c r="Q566" i="1"/>
  <c r="N567" i="1"/>
  <c r="Q567" i="1"/>
  <c r="N568" i="1"/>
  <c r="Q568" i="1"/>
  <c r="N569" i="1"/>
  <c r="Q569" i="1"/>
  <c r="N570" i="1"/>
  <c r="Q570" i="1"/>
  <c r="N571" i="1"/>
  <c r="Q571" i="1"/>
  <c r="N572" i="1"/>
  <c r="Q572" i="1"/>
  <c r="N573" i="1"/>
  <c r="Q573" i="1"/>
  <c r="N574" i="1"/>
  <c r="Q574" i="1"/>
  <c r="N575" i="1"/>
  <c r="Q575" i="1"/>
  <c r="N576" i="1"/>
  <c r="Q576" i="1"/>
  <c r="N577" i="1"/>
  <c r="Q577" i="1"/>
  <c r="N578" i="1"/>
  <c r="Q578" i="1"/>
  <c r="N579" i="1"/>
  <c r="Q579" i="1"/>
  <c r="N580" i="1"/>
  <c r="Q580" i="1"/>
  <c r="N581" i="1"/>
  <c r="Q581" i="1"/>
  <c r="N582" i="1"/>
  <c r="Q582" i="1"/>
  <c r="N583" i="1"/>
  <c r="Q583" i="1"/>
  <c r="N584" i="1"/>
  <c r="Q584" i="1"/>
  <c r="N585" i="1"/>
  <c r="Q585" i="1"/>
  <c r="N586" i="1"/>
  <c r="Q586" i="1"/>
  <c r="N587" i="1"/>
  <c r="Q587" i="1"/>
  <c r="N588" i="1"/>
  <c r="Q588" i="1"/>
  <c r="N589" i="1"/>
  <c r="Q589" i="1"/>
  <c r="N590" i="1"/>
  <c r="Q590" i="1"/>
  <c r="N591" i="1"/>
  <c r="Q591" i="1"/>
  <c r="N592" i="1"/>
  <c r="Q592" i="1"/>
  <c r="N593" i="1"/>
  <c r="Q593" i="1"/>
  <c r="N594" i="1"/>
  <c r="Q594" i="1"/>
  <c r="N595" i="1"/>
  <c r="Q595" i="1"/>
  <c r="N596" i="1"/>
  <c r="Q596" i="1"/>
  <c r="N597" i="1"/>
  <c r="Q597" i="1"/>
  <c r="N598" i="1"/>
  <c r="Q598" i="1"/>
  <c r="N599" i="1"/>
  <c r="Q599" i="1"/>
  <c r="N600" i="1"/>
  <c r="Q600" i="1"/>
  <c r="N601" i="1"/>
  <c r="Q601" i="1"/>
  <c r="N602" i="1"/>
  <c r="Q602" i="1"/>
  <c r="N603" i="1"/>
  <c r="Q603" i="1"/>
  <c r="N604" i="1"/>
  <c r="Q604" i="1"/>
  <c r="N605" i="1"/>
  <c r="Q605" i="1"/>
  <c r="N606" i="1"/>
  <c r="Q606" i="1"/>
  <c r="N607" i="1"/>
  <c r="Q607" i="1"/>
  <c r="N608" i="1"/>
  <c r="Q608" i="1"/>
  <c r="N609" i="1"/>
  <c r="Q609" i="1"/>
  <c r="N610" i="1"/>
  <c r="Q610" i="1"/>
  <c r="N611" i="1"/>
  <c r="Q611" i="1"/>
  <c r="N612" i="1"/>
  <c r="Q612" i="1"/>
  <c r="N613" i="1"/>
  <c r="Q613" i="1"/>
  <c r="N614" i="1"/>
  <c r="Q614" i="1"/>
  <c r="N615" i="1"/>
  <c r="Q615" i="1"/>
  <c r="N616" i="1"/>
  <c r="Q616" i="1"/>
  <c r="N617" i="1"/>
  <c r="Q617" i="1"/>
  <c r="N618" i="1"/>
  <c r="Q618" i="1"/>
  <c r="N619" i="1"/>
  <c r="Q619" i="1"/>
  <c r="N620" i="1"/>
  <c r="Q620" i="1"/>
  <c r="N621" i="1"/>
  <c r="Q621" i="1"/>
  <c r="N622" i="1"/>
  <c r="Q622" i="1"/>
  <c r="N623" i="1"/>
  <c r="Q623" i="1"/>
  <c r="N624" i="1"/>
  <c r="Q624" i="1"/>
  <c r="N625" i="1"/>
  <c r="Q625" i="1"/>
  <c r="N626" i="1"/>
  <c r="Q626" i="1"/>
  <c r="N627" i="1"/>
  <c r="Q627" i="1"/>
  <c r="N628" i="1"/>
  <c r="Q628" i="1"/>
  <c r="N629" i="1"/>
  <c r="Q629" i="1"/>
  <c r="N630" i="1"/>
  <c r="Q630" i="1"/>
  <c r="N631" i="1"/>
  <c r="Q631" i="1"/>
  <c r="N632" i="1"/>
  <c r="Q632" i="1"/>
  <c r="N633" i="1"/>
  <c r="Q633" i="1"/>
  <c r="N634" i="1"/>
  <c r="Q634" i="1"/>
  <c r="N635" i="1"/>
  <c r="Q635" i="1"/>
  <c r="N636" i="1"/>
  <c r="Q636" i="1"/>
  <c r="N637" i="1"/>
  <c r="Q637" i="1"/>
  <c r="N638" i="1"/>
  <c r="Q638" i="1"/>
  <c r="N639" i="1"/>
  <c r="Q639" i="1"/>
  <c r="N640" i="1"/>
  <c r="Q640" i="1"/>
  <c r="N641" i="1"/>
  <c r="Q641" i="1"/>
  <c r="N642" i="1"/>
  <c r="Q642" i="1"/>
  <c r="N643" i="1"/>
  <c r="Q643" i="1"/>
  <c r="N644" i="1"/>
  <c r="Q644" i="1"/>
  <c r="N645" i="1"/>
  <c r="Q645" i="1"/>
  <c r="N646" i="1"/>
  <c r="Q646" i="1"/>
  <c r="N647" i="1"/>
  <c r="Q647" i="1"/>
  <c r="N648" i="1"/>
  <c r="Q648" i="1"/>
  <c r="N649" i="1"/>
  <c r="Q649" i="1"/>
  <c r="N650" i="1"/>
  <c r="Q650" i="1"/>
  <c r="N651" i="1"/>
  <c r="Q651" i="1"/>
  <c r="N652" i="1"/>
  <c r="Q652" i="1"/>
  <c r="N653" i="1"/>
  <c r="Q653" i="1"/>
  <c r="N654" i="1"/>
  <c r="Q654" i="1"/>
  <c r="N655" i="1"/>
  <c r="Q655" i="1"/>
  <c r="N656" i="1"/>
  <c r="Q656" i="1"/>
  <c r="N657" i="1"/>
  <c r="Q657" i="1"/>
  <c r="N658" i="1"/>
  <c r="Q658" i="1"/>
  <c r="N659" i="1"/>
  <c r="Q659" i="1"/>
  <c r="N660" i="1"/>
  <c r="Q660" i="1"/>
  <c r="N661" i="1"/>
  <c r="Q661" i="1"/>
  <c r="N662" i="1"/>
  <c r="Q662" i="1"/>
  <c r="N663" i="1"/>
  <c r="Q663" i="1"/>
  <c r="N664" i="1"/>
  <c r="Q664" i="1"/>
  <c r="N665" i="1"/>
  <c r="Q665" i="1"/>
  <c r="N666" i="1"/>
  <c r="Q666" i="1"/>
  <c r="N667" i="1"/>
  <c r="Q667" i="1"/>
  <c r="N668" i="1"/>
  <c r="Q668" i="1"/>
  <c r="N669" i="1"/>
  <c r="Q669" i="1"/>
  <c r="N670" i="1"/>
  <c r="Q670" i="1"/>
  <c r="N671" i="1"/>
  <c r="Q671" i="1"/>
  <c r="N672" i="1"/>
  <c r="Q672" i="1"/>
  <c r="N673" i="1"/>
  <c r="Q673" i="1"/>
  <c r="N674" i="1"/>
  <c r="Q674" i="1"/>
  <c r="N675" i="1"/>
  <c r="Q675" i="1"/>
  <c r="N676" i="1"/>
  <c r="Q676" i="1"/>
  <c r="N677" i="1"/>
  <c r="Q677" i="1"/>
  <c r="N678" i="1"/>
  <c r="Q678" i="1"/>
  <c r="N679" i="1"/>
  <c r="Q679" i="1"/>
  <c r="N680" i="1"/>
  <c r="Q680" i="1"/>
  <c r="N681" i="1"/>
  <c r="Q681" i="1"/>
  <c r="N682" i="1"/>
  <c r="Q682" i="1"/>
  <c r="N683" i="1"/>
  <c r="Q683" i="1"/>
  <c r="N684" i="1"/>
  <c r="Q684" i="1"/>
  <c r="N685" i="1"/>
  <c r="Q685" i="1"/>
  <c r="N686" i="1"/>
  <c r="Q686" i="1"/>
  <c r="N687" i="1"/>
  <c r="Q687" i="1"/>
  <c r="N688" i="1"/>
  <c r="Q688" i="1"/>
  <c r="N689" i="1"/>
  <c r="Q689" i="1"/>
  <c r="N690" i="1"/>
  <c r="Q690" i="1"/>
  <c r="N691" i="1"/>
  <c r="Q691" i="1"/>
  <c r="N692" i="1"/>
  <c r="Q692" i="1"/>
  <c r="N693" i="1"/>
  <c r="Q693" i="1"/>
  <c r="N694" i="1"/>
  <c r="Q694" i="1"/>
  <c r="N695" i="1"/>
  <c r="Q695" i="1"/>
  <c r="N696" i="1"/>
  <c r="Q696" i="1"/>
  <c r="N697" i="1"/>
  <c r="Q697" i="1"/>
  <c r="N698" i="1"/>
  <c r="Q698" i="1"/>
  <c r="N699" i="1"/>
  <c r="Q699" i="1"/>
  <c r="N700" i="1"/>
  <c r="Q700" i="1"/>
  <c r="N701" i="1"/>
  <c r="Q701" i="1"/>
  <c r="N702" i="1"/>
  <c r="Q702" i="1"/>
  <c r="N703" i="1"/>
  <c r="Q703" i="1"/>
  <c r="N704" i="1"/>
  <c r="Q704" i="1"/>
  <c r="N705" i="1"/>
  <c r="Q705" i="1"/>
  <c r="N706" i="1"/>
  <c r="Q706" i="1"/>
  <c r="N707" i="1"/>
  <c r="Q707" i="1"/>
  <c r="N708" i="1"/>
  <c r="Q708" i="1"/>
  <c r="N709" i="1"/>
  <c r="Q709" i="1"/>
  <c r="N710" i="1"/>
  <c r="Q710" i="1"/>
  <c r="N711" i="1"/>
  <c r="Q711" i="1"/>
  <c r="N712" i="1"/>
  <c r="Q712" i="1"/>
  <c r="N713" i="1"/>
  <c r="Q713" i="1"/>
  <c r="N714" i="1"/>
  <c r="Q714" i="1"/>
  <c r="N715" i="1"/>
  <c r="Q715" i="1"/>
  <c r="N716" i="1"/>
  <c r="Q716" i="1"/>
  <c r="N717" i="1"/>
  <c r="Q717" i="1"/>
  <c r="N718" i="1"/>
  <c r="Q718" i="1"/>
  <c r="N719" i="1"/>
  <c r="Q719" i="1"/>
  <c r="N720" i="1"/>
  <c r="Q720" i="1"/>
  <c r="N721" i="1"/>
  <c r="Q721" i="1"/>
  <c r="N722" i="1"/>
  <c r="Q722" i="1"/>
  <c r="N723" i="1"/>
  <c r="Q723" i="1"/>
  <c r="N724" i="1"/>
  <c r="Q724" i="1"/>
  <c r="N725" i="1"/>
  <c r="Q725" i="1"/>
  <c r="N726" i="1"/>
  <c r="Q726" i="1"/>
  <c r="N727" i="1"/>
  <c r="Q727" i="1"/>
  <c r="N728" i="1"/>
  <c r="Q728" i="1"/>
  <c r="N729" i="1"/>
  <c r="Q729" i="1"/>
  <c r="N730" i="1"/>
  <c r="Q730" i="1"/>
  <c r="N731" i="1"/>
  <c r="Q731" i="1"/>
  <c r="N732" i="1"/>
  <c r="Q732" i="1"/>
  <c r="N733" i="1"/>
  <c r="Q733" i="1"/>
  <c r="N734" i="1"/>
  <c r="Q734" i="1"/>
  <c r="N735" i="1"/>
  <c r="Q735" i="1"/>
  <c r="N736" i="1"/>
  <c r="Q736" i="1"/>
  <c r="N737" i="1"/>
  <c r="Q737" i="1"/>
  <c r="N738" i="1"/>
  <c r="Q738" i="1"/>
  <c r="N739" i="1"/>
  <c r="Q739" i="1"/>
  <c r="N740" i="1"/>
  <c r="Q740" i="1"/>
  <c r="N741" i="1"/>
  <c r="Q741" i="1"/>
  <c r="N742" i="1"/>
  <c r="Q742" i="1"/>
  <c r="N743" i="1"/>
  <c r="Q743" i="1"/>
  <c r="N744" i="1"/>
  <c r="Q744" i="1"/>
  <c r="N745" i="1"/>
  <c r="Q745" i="1"/>
  <c r="N746" i="1"/>
  <c r="Q746" i="1"/>
  <c r="N747" i="1"/>
  <c r="Q747" i="1"/>
  <c r="N748" i="1"/>
  <c r="Q748" i="1"/>
  <c r="N749" i="1"/>
  <c r="Q749" i="1"/>
  <c r="N750" i="1"/>
  <c r="Q750" i="1"/>
  <c r="N751" i="1"/>
  <c r="Q751" i="1"/>
  <c r="N752" i="1"/>
  <c r="Q752" i="1"/>
  <c r="N753" i="1"/>
  <c r="Q753" i="1"/>
  <c r="N754" i="1"/>
  <c r="Q754" i="1"/>
  <c r="N755" i="1"/>
  <c r="Q755" i="1"/>
  <c r="N756" i="1"/>
  <c r="Q756" i="1"/>
  <c r="N757" i="1"/>
  <c r="Q757" i="1"/>
  <c r="N758" i="1"/>
  <c r="Q758" i="1"/>
  <c r="N759" i="1"/>
  <c r="Q759" i="1"/>
  <c r="N760" i="1"/>
  <c r="Q760" i="1"/>
  <c r="N761" i="1"/>
  <c r="Q761" i="1"/>
  <c r="N762" i="1"/>
  <c r="Q762" i="1"/>
  <c r="N763" i="1"/>
  <c r="Q763" i="1"/>
  <c r="N764" i="1"/>
  <c r="Q764" i="1"/>
  <c r="N765" i="1"/>
  <c r="Q765" i="1"/>
  <c r="N766" i="1"/>
  <c r="Q766" i="1"/>
  <c r="N767" i="1"/>
  <c r="Q767" i="1"/>
  <c r="N768" i="1"/>
  <c r="Q768" i="1"/>
  <c r="N769" i="1"/>
  <c r="Q769" i="1"/>
  <c r="N770" i="1"/>
  <c r="Q770" i="1"/>
  <c r="N771" i="1"/>
  <c r="Q771" i="1"/>
  <c r="N772" i="1"/>
  <c r="Q772" i="1"/>
  <c r="N773" i="1"/>
  <c r="Q773" i="1"/>
  <c r="N774" i="1"/>
  <c r="Q774" i="1"/>
  <c r="N775" i="1"/>
  <c r="Q775" i="1"/>
  <c r="N776" i="1"/>
  <c r="Q776" i="1"/>
  <c r="N777" i="1"/>
  <c r="Q777" i="1"/>
  <c r="N778" i="1"/>
  <c r="Q778" i="1"/>
  <c r="N779" i="1"/>
  <c r="Q779" i="1"/>
  <c r="N780" i="1"/>
  <c r="Q780" i="1"/>
  <c r="N781" i="1"/>
  <c r="Q781" i="1"/>
  <c r="N782" i="1"/>
  <c r="Q782" i="1"/>
  <c r="N783" i="1"/>
  <c r="Q783" i="1"/>
  <c r="N784" i="1"/>
  <c r="Q784" i="1"/>
  <c r="N785" i="1"/>
  <c r="Q785" i="1"/>
  <c r="N786" i="1"/>
  <c r="Q786" i="1"/>
  <c r="N787" i="1"/>
  <c r="Q787" i="1"/>
  <c r="N788" i="1"/>
  <c r="Q788" i="1"/>
  <c r="N789" i="1"/>
  <c r="Q789" i="1"/>
  <c r="N790" i="1"/>
  <c r="Q790" i="1"/>
  <c r="N791" i="1"/>
  <c r="Q791" i="1"/>
  <c r="N792" i="1"/>
  <c r="Q792" i="1"/>
  <c r="N793" i="1"/>
  <c r="Q793" i="1"/>
  <c r="N794" i="1"/>
  <c r="Q794" i="1"/>
  <c r="N795" i="1"/>
  <c r="Q795" i="1"/>
  <c r="N796" i="1"/>
  <c r="Q796" i="1"/>
  <c r="N797" i="1"/>
  <c r="Q797" i="1"/>
  <c r="N798" i="1"/>
  <c r="Q798" i="1"/>
  <c r="N799" i="1"/>
  <c r="Q799" i="1"/>
  <c r="N800" i="1"/>
  <c r="Q800" i="1"/>
  <c r="N801" i="1"/>
  <c r="Q801" i="1"/>
  <c r="N802" i="1"/>
  <c r="Q802" i="1"/>
  <c r="N803" i="1"/>
  <c r="Q803" i="1"/>
  <c r="N804" i="1"/>
  <c r="Q804" i="1"/>
  <c r="N805" i="1"/>
  <c r="Q805" i="1"/>
  <c r="N806" i="1"/>
  <c r="Q806" i="1"/>
  <c r="N807" i="1"/>
  <c r="Q807" i="1"/>
  <c r="N808" i="1"/>
  <c r="Q808" i="1"/>
  <c r="N809" i="1"/>
  <c r="Q809" i="1"/>
  <c r="N810" i="1"/>
  <c r="Q810" i="1"/>
  <c r="N811" i="1"/>
  <c r="Q811" i="1"/>
  <c r="N812" i="1"/>
  <c r="Q812" i="1"/>
  <c r="N813" i="1"/>
  <c r="Q813" i="1"/>
  <c r="N814" i="1"/>
  <c r="Q814" i="1"/>
  <c r="N815" i="1"/>
  <c r="Q815" i="1"/>
  <c r="N816" i="1"/>
  <c r="Q816" i="1"/>
  <c r="N817" i="1"/>
  <c r="Q817" i="1"/>
  <c r="N818" i="1"/>
  <c r="Q818" i="1"/>
  <c r="N819" i="1"/>
  <c r="Q819" i="1"/>
  <c r="N820" i="1"/>
  <c r="Q820" i="1"/>
  <c r="N821" i="1"/>
  <c r="Q821" i="1"/>
  <c r="N822" i="1"/>
  <c r="Q822" i="1"/>
  <c r="N823" i="1"/>
  <c r="Q823" i="1"/>
  <c r="N824" i="1"/>
  <c r="Q824" i="1"/>
  <c r="N825" i="1"/>
  <c r="Q825" i="1"/>
  <c r="N826" i="1"/>
  <c r="Q826" i="1"/>
  <c r="N827" i="1"/>
  <c r="Q827" i="1"/>
  <c r="N828" i="1"/>
  <c r="Q828" i="1"/>
  <c r="N829" i="1"/>
  <c r="Q829" i="1"/>
  <c r="N830" i="1"/>
  <c r="Q830" i="1"/>
  <c r="N831" i="1"/>
  <c r="Q831" i="1"/>
  <c r="N832" i="1"/>
  <c r="Q832" i="1"/>
  <c r="N833" i="1"/>
  <c r="Q833" i="1"/>
  <c r="N834" i="1"/>
  <c r="Q834" i="1"/>
  <c r="N835" i="1"/>
  <c r="Q835" i="1"/>
  <c r="N836" i="1"/>
  <c r="Q836" i="1"/>
  <c r="N837" i="1"/>
  <c r="Q837" i="1"/>
  <c r="N838" i="1"/>
  <c r="Q838" i="1"/>
  <c r="N839" i="1"/>
  <c r="Q839" i="1"/>
  <c r="N840" i="1"/>
  <c r="Q840" i="1"/>
  <c r="N841" i="1"/>
  <c r="Q841" i="1"/>
  <c r="N842" i="1"/>
  <c r="Q842" i="1"/>
  <c r="N843" i="1"/>
  <c r="Q843" i="1"/>
  <c r="N844" i="1"/>
  <c r="Q844" i="1"/>
  <c r="N845" i="1"/>
  <c r="Q845" i="1"/>
  <c r="N846" i="1"/>
  <c r="Q846" i="1"/>
  <c r="N847" i="1"/>
  <c r="Q847" i="1"/>
  <c r="N848" i="1"/>
  <c r="Q848" i="1"/>
  <c r="N849" i="1"/>
  <c r="Q849" i="1"/>
  <c r="N850" i="1"/>
  <c r="Q850" i="1"/>
  <c r="N851" i="1"/>
  <c r="Q851" i="1"/>
  <c r="N852" i="1"/>
  <c r="Q852" i="1"/>
  <c r="N853" i="1"/>
  <c r="Q853" i="1"/>
  <c r="N854" i="1"/>
  <c r="Q854" i="1"/>
  <c r="N855" i="1"/>
  <c r="Q855" i="1"/>
  <c r="N856" i="1"/>
  <c r="Q856" i="1"/>
  <c r="N857" i="1"/>
  <c r="Q857" i="1"/>
  <c r="N858" i="1"/>
  <c r="Q858" i="1"/>
  <c r="N859" i="1"/>
  <c r="Q859" i="1"/>
  <c r="N860" i="1"/>
  <c r="Q860" i="1"/>
  <c r="S3" i="1"/>
  <c r="Q3" i="1"/>
  <c r="Q4" i="1"/>
  <c r="N3" i="1"/>
  <c r="N4" i="1"/>
  <c r="AE2" i="8"/>
  <c r="AE3" i="8" s="1"/>
  <c r="AE4" i="8" s="1"/>
  <c r="AF2" i="8"/>
  <c r="AF3" i="8" s="1"/>
  <c r="AF4" i="8" s="1"/>
  <c r="AD2" i="8"/>
  <c r="AD3" i="8" s="1"/>
  <c r="AD4" i="8" s="1"/>
  <c r="AL3" i="8"/>
  <c r="X3" i="8"/>
  <c r="Z3" i="8"/>
  <c r="AB3" i="8"/>
  <c r="AH3" i="8"/>
  <c r="AU3" i="8"/>
  <c r="AU4" i="8" s="1"/>
  <c r="BC3" i="1"/>
  <c r="BC4" i="1" s="1"/>
  <c r="BD3" i="1"/>
  <c r="BD4" i="1" s="1"/>
  <c r="BB3" i="1"/>
  <c r="BB4" i="1" s="1"/>
  <c r="X842" i="1" l="1" a="1"/>
  <c r="X842" i="1" s="1"/>
  <c r="AA842" i="1"/>
  <c r="X826" i="1" a="1"/>
  <c r="X826" i="1" s="1"/>
  <c r="AA826" i="1"/>
  <c r="X810" i="1" a="1"/>
  <c r="X810" i="1" s="1"/>
  <c r="AA810" i="1"/>
  <c r="X794" i="1" a="1"/>
  <c r="X794" i="1" s="1"/>
  <c r="AA794" i="1"/>
  <c r="X778" i="1" a="1"/>
  <c r="X778" i="1" s="1"/>
  <c r="AA778" i="1"/>
  <c r="X762" i="1" a="1"/>
  <c r="X762" i="1" s="1"/>
  <c r="AA762" i="1"/>
  <c r="X746" i="1" a="1"/>
  <c r="X746" i="1" s="1"/>
  <c r="AA746" i="1"/>
  <c r="X730" i="1" a="1"/>
  <c r="X730" i="1" s="1"/>
  <c r="AA730" i="1"/>
  <c r="X714" i="1" a="1"/>
  <c r="X714" i="1" s="1"/>
  <c r="AA714" i="1"/>
  <c r="X698" i="1" a="1"/>
  <c r="X698" i="1" s="1"/>
  <c r="AA698" i="1"/>
  <c r="X682" i="1" a="1"/>
  <c r="X682" i="1" s="1"/>
  <c r="AA682" i="1"/>
  <c r="X666" i="1" a="1"/>
  <c r="X666" i="1" s="1"/>
  <c r="AA666" i="1"/>
  <c r="X650" i="1" a="1"/>
  <c r="X650" i="1" s="1"/>
  <c r="AA650" i="1"/>
  <c r="X634" i="1" a="1"/>
  <c r="X634" i="1" s="1"/>
  <c r="AA634" i="1"/>
  <c r="X618" i="1" a="1"/>
  <c r="X618" i="1" s="1"/>
  <c r="AA618" i="1"/>
  <c r="X602" i="1" a="1"/>
  <c r="X602" i="1" s="1"/>
  <c r="AA602" i="1"/>
  <c r="X586" i="1" a="1"/>
  <c r="X586" i="1" s="1"/>
  <c r="AA586" i="1"/>
  <c r="X570" i="1" a="1"/>
  <c r="X570" i="1" s="1"/>
  <c r="AA570" i="1"/>
  <c r="X554" i="1" a="1"/>
  <c r="X554" i="1" s="1"/>
  <c r="AA554" i="1"/>
  <c r="X538" i="1" a="1"/>
  <c r="X538" i="1" s="1"/>
  <c r="AA538" i="1"/>
  <c r="X522" i="1" a="1"/>
  <c r="X522" i="1" s="1"/>
  <c r="AA522" i="1"/>
  <c r="X506" i="1" a="1"/>
  <c r="X506" i="1" s="1"/>
  <c r="AA506" i="1"/>
  <c r="X490" i="1" a="1"/>
  <c r="X490" i="1" s="1"/>
  <c r="AA490" i="1"/>
  <c r="X474" i="1" a="1"/>
  <c r="X474" i="1" s="1"/>
  <c r="AA474" i="1"/>
  <c r="X458" i="1" a="1"/>
  <c r="X458" i="1" s="1"/>
  <c r="AA458" i="1"/>
  <c r="X442" i="1" a="1"/>
  <c r="X442" i="1" s="1"/>
  <c r="AA442" i="1"/>
  <c r="X426" i="1" a="1"/>
  <c r="X426" i="1" s="1"/>
  <c r="AA426" i="1"/>
  <c r="X410" i="1" a="1"/>
  <c r="X410" i="1" s="1"/>
  <c r="AA410" i="1"/>
  <c r="X394" i="1" a="1"/>
  <c r="X394" i="1" s="1"/>
  <c r="AA394" i="1"/>
  <c r="X378" i="1" a="1"/>
  <c r="X378" i="1" s="1"/>
  <c r="AA378" i="1"/>
  <c r="X362" i="1" a="1"/>
  <c r="X362" i="1" s="1"/>
  <c r="AA362" i="1"/>
  <c r="X346" i="1" a="1"/>
  <c r="X346" i="1" s="1"/>
  <c r="AA346" i="1"/>
  <c r="X330" i="1" a="1"/>
  <c r="X330" i="1" s="1"/>
  <c r="AA330" i="1"/>
  <c r="X314" i="1" a="1"/>
  <c r="X314" i="1" s="1"/>
  <c r="AA314" i="1"/>
  <c r="X298" i="1" a="1"/>
  <c r="X298" i="1" s="1"/>
  <c r="AA298" i="1"/>
  <c r="X282" i="1" a="1"/>
  <c r="X282" i="1" s="1"/>
  <c r="AA282" i="1"/>
  <c r="X266" i="1" a="1"/>
  <c r="X266" i="1" s="1"/>
  <c r="AA266" i="1"/>
  <c r="X250" i="1" a="1"/>
  <c r="X250" i="1" s="1"/>
  <c r="AA250" i="1"/>
  <c r="X234" i="1" a="1"/>
  <c r="X234" i="1" s="1"/>
  <c r="AA234" i="1"/>
  <c r="X218" i="1" a="1"/>
  <c r="X218" i="1" s="1"/>
  <c r="AA218" i="1"/>
  <c r="X202" i="1" a="1"/>
  <c r="X202" i="1" s="1"/>
  <c r="AA202" i="1"/>
  <c r="X186" i="1" a="1"/>
  <c r="X186" i="1" s="1"/>
  <c r="AA186" i="1"/>
  <c r="X170" i="1" a="1"/>
  <c r="X170" i="1" s="1"/>
  <c r="AA170" i="1"/>
  <c r="X154" i="1" a="1"/>
  <c r="X154" i="1" s="1"/>
  <c r="AA154" i="1"/>
  <c r="X138" i="1" a="1"/>
  <c r="X138" i="1" s="1"/>
  <c r="AA138" i="1"/>
  <c r="X122" i="1" a="1"/>
  <c r="X122" i="1" s="1"/>
  <c r="AA122" i="1"/>
  <c r="X106" i="1" a="1"/>
  <c r="X106" i="1" s="1"/>
  <c r="AA106" i="1"/>
  <c r="X90" i="1" a="1"/>
  <c r="X90" i="1" s="1"/>
  <c r="AA90" i="1"/>
  <c r="X74" i="1" a="1"/>
  <c r="X74" i="1" s="1"/>
  <c r="AA74" i="1"/>
  <c r="X58" i="1" a="1"/>
  <c r="X58" i="1" s="1"/>
  <c r="AA58" i="1"/>
  <c r="X42" i="1" a="1"/>
  <c r="X42" i="1" s="1"/>
  <c r="AA42" i="1"/>
  <c r="X26" i="1" a="1"/>
  <c r="X26" i="1" s="1"/>
  <c r="AA26" i="1"/>
  <c r="X10" i="1" a="1"/>
  <c r="X10" i="1" s="1"/>
  <c r="AA10" i="1"/>
  <c r="X536" i="1" a="1"/>
  <c r="X536" i="1" s="1"/>
  <c r="AA536" i="1"/>
  <c r="X520" i="1" a="1"/>
  <c r="X520" i="1" s="1"/>
  <c r="AA520" i="1"/>
  <c r="X504" i="1" a="1"/>
  <c r="X504" i="1" s="1"/>
  <c r="AA504" i="1"/>
  <c r="X488" i="1" a="1"/>
  <c r="X488" i="1" s="1"/>
  <c r="AA488" i="1"/>
  <c r="X472" i="1" a="1"/>
  <c r="X472" i="1" s="1"/>
  <c r="AA472" i="1"/>
  <c r="X456" i="1" a="1"/>
  <c r="X456" i="1" s="1"/>
  <c r="AA456" i="1"/>
  <c r="X440" i="1" a="1"/>
  <c r="X440" i="1" s="1"/>
  <c r="AA440" i="1"/>
  <c r="X424" i="1" a="1"/>
  <c r="X424" i="1" s="1"/>
  <c r="AA424" i="1"/>
  <c r="X408" i="1" a="1"/>
  <c r="X408" i="1" s="1"/>
  <c r="AA408" i="1"/>
  <c r="X392" i="1" a="1"/>
  <c r="X392" i="1" s="1"/>
  <c r="AA392" i="1"/>
  <c r="X376" i="1" a="1"/>
  <c r="X376" i="1" s="1"/>
  <c r="AA376" i="1"/>
  <c r="X360" i="1" a="1"/>
  <c r="X360" i="1" s="1"/>
  <c r="AA360" i="1"/>
  <c r="X344" i="1" a="1"/>
  <c r="X344" i="1" s="1"/>
  <c r="AA344" i="1"/>
  <c r="X328" i="1" a="1"/>
  <c r="X328" i="1" s="1"/>
  <c r="AA328" i="1"/>
  <c r="X312" i="1" a="1"/>
  <c r="X312" i="1" s="1"/>
  <c r="AA312" i="1"/>
  <c r="X296" i="1" a="1"/>
  <c r="X296" i="1" s="1"/>
  <c r="AA296" i="1"/>
  <c r="X280" i="1" a="1"/>
  <c r="X280" i="1" s="1"/>
  <c r="AA280" i="1"/>
  <c r="X264" i="1" a="1"/>
  <c r="X264" i="1" s="1"/>
  <c r="AA264" i="1"/>
  <c r="X248" i="1" a="1"/>
  <c r="X248" i="1" s="1"/>
  <c r="AA248" i="1"/>
  <c r="X232" i="1" a="1"/>
  <c r="X232" i="1" s="1"/>
  <c r="AA232" i="1"/>
  <c r="X216" i="1" a="1"/>
  <c r="X216" i="1" s="1"/>
  <c r="AA216" i="1"/>
  <c r="X200" i="1" a="1"/>
  <c r="X200" i="1" s="1"/>
  <c r="AA200" i="1"/>
  <c r="X184" i="1" a="1"/>
  <c r="X184" i="1" s="1"/>
  <c r="AA184" i="1"/>
  <c r="X168" i="1" a="1"/>
  <c r="X168" i="1" s="1"/>
  <c r="AA168" i="1"/>
  <c r="X152" i="1" a="1"/>
  <c r="X152" i="1" s="1"/>
  <c r="AA152" i="1"/>
  <c r="X136" i="1" a="1"/>
  <c r="X136" i="1" s="1"/>
  <c r="AA136" i="1"/>
  <c r="X120" i="1" a="1"/>
  <c r="X120" i="1" s="1"/>
  <c r="AA120" i="1"/>
  <c r="X104" i="1" a="1"/>
  <c r="X104" i="1" s="1"/>
  <c r="AA104" i="1"/>
  <c r="X88" i="1" a="1"/>
  <c r="X88" i="1" s="1"/>
  <c r="AA88" i="1"/>
  <c r="X72" i="1" a="1"/>
  <c r="X72" i="1" s="1"/>
  <c r="AA72" i="1"/>
  <c r="X56" i="1" a="1"/>
  <c r="X56" i="1" s="1"/>
  <c r="AA56" i="1"/>
  <c r="X40" i="1" a="1"/>
  <c r="X40" i="1" s="1"/>
  <c r="AA40" i="1"/>
  <c r="X24" i="1" a="1"/>
  <c r="X24" i="1" s="1"/>
  <c r="AA24" i="1"/>
  <c r="X8" i="1" a="1"/>
  <c r="X8" i="1" s="1"/>
  <c r="AA8" i="1"/>
  <c r="X38" i="1" a="1"/>
  <c r="X38" i="1" s="1"/>
  <c r="AA38" i="1"/>
  <c r="X5" i="1" a="1"/>
  <c r="X5" i="1" s="1"/>
  <c r="AA5" i="1"/>
  <c r="X822" i="1" a="1"/>
  <c r="X822" i="1" s="1"/>
  <c r="AA822" i="1"/>
  <c r="X758" i="1" a="1"/>
  <c r="X758" i="1" s="1"/>
  <c r="AA758" i="1"/>
  <c r="X710" i="1" a="1"/>
  <c r="X710" i="1" s="1"/>
  <c r="AA710" i="1"/>
  <c r="X646" i="1" a="1"/>
  <c r="X646" i="1" s="1"/>
  <c r="AA646" i="1"/>
  <c r="X598" i="1" a="1"/>
  <c r="X598" i="1" s="1"/>
  <c r="AA598" i="1"/>
  <c r="X550" i="1" a="1"/>
  <c r="X550" i="1" s="1"/>
  <c r="AA550" i="1"/>
  <c r="X486" i="1" a="1"/>
  <c r="X486" i="1" s="1"/>
  <c r="AA486" i="1"/>
  <c r="X406" i="1" a="1"/>
  <c r="X406" i="1" s="1"/>
  <c r="AA406" i="1"/>
  <c r="X326" i="1" a="1"/>
  <c r="X326" i="1" s="1"/>
  <c r="AA326" i="1"/>
  <c r="X262" i="1" a="1"/>
  <c r="X262" i="1" s="1"/>
  <c r="AA262" i="1"/>
  <c r="X214" i="1" a="1"/>
  <c r="X214" i="1" s="1"/>
  <c r="AA214" i="1"/>
  <c r="X166" i="1" a="1"/>
  <c r="X166" i="1" s="1"/>
  <c r="AA166" i="1"/>
  <c r="X118" i="1" a="1"/>
  <c r="X118" i="1" s="1"/>
  <c r="AA118" i="1"/>
  <c r="X86" i="1" a="1"/>
  <c r="X86" i="1" s="1"/>
  <c r="AA86" i="1"/>
  <c r="X70" i="1" a="1"/>
  <c r="X70" i="1" s="1"/>
  <c r="AA70" i="1"/>
  <c r="X836" i="1" a="1"/>
  <c r="X836" i="1" s="1"/>
  <c r="AA836" i="1"/>
  <c r="X820" i="1" a="1"/>
  <c r="X820" i="1" s="1"/>
  <c r="AA820" i="1"/>
  <c r="X804" i="1" a="1"/>
  <c r="X804" i="1" s="1"/>
  <c r="AA804" i="1"/>
  <c r="X788" i="1" a="1"/>
  <c r="X788" i="1" s="1"/>
  <c r="AA788" i="1"/>
  <c r="X772" i="1" a="1"/>
  <c r="X772" i="1" s="1"/>
  <c r="AA772" i="1"/>
  <c r="X756" i="1" a="1"/>
  <c r="X756" i="1" s="1"/>
  <c r="AA756" i="1"/>
  <c r="X740" i="1" a="1"/>
  <c r="X740" i="1" s="1"/>
  <c r="AA740" i="1"/>
  <c r="X724" i="1" a="1"/>
  <c r="X724" i="1" s="1"/>
  <c r="AA724" i="1"/>
  <c r="X708" i="1" a="1"/>
  <c r="X708" i="1" s="1"/>
  <c r="AA708" i="1"/>
  <c r="X692" i="1" a="1"/>
  <c r="X692" i="1" s="1"/>
  <c r="AA692" i="1"/>
  <c r="X676" i="1" a="1"/>
  <c r="X676" i="1" s="1"/>
  <c r="AA676" i="1"/>
  <c r="X660" i="1" a="1"/>
  <c r="X660" i="1" s="1"/>
  <c r="AA660" i="1"/>
  <c r="X644" i="1" a="1"/>
  <c r="X644" i="1" s="1"/>
  <c r="AA644" i="1"/>
  <c r="X628" i="1" a="1"/>
  <c r="X628" i="1" s="1"/>
  <c r="AA628" i="1"/>
  <c r="X612" i="1" a="1"/>
  <c r="X612" i="1" s="1"/>
  <c r="AA612" i="1"/>
  <c r="X596" i="1" a="1"/>
  <c r="X596" i="1" s="1"/>
  <c r="AA596" i="1"/>
  <c r="X580" i="1" a="1"/>
  <c r="X580" i="1" s="1"/>
  <c r="AA580" i="1"/>
  <c r="X564" i="1" a="1"/>
  <c r="X564" i="1" s="1"/>
  <c r="AA564" i="1"/>
  <c r="X548" i="1" a="1"/>
  <c r="X548" i="1" s="1"/>
  <c r="AA548" i="1"/>
  <c r="X532" i="1" a="1"/>
  <c r="X532" i="1" s="1"/>
  <c r="AA532" i="1"/>
  <c r="X516" i="1" a="1"/>
  <c r="X516" i="1" s="1"/>
  <c r="AA516" i="1"/>
  <c r="X500" i="1" a="1"/>
  <c r="X500" i="1" s="1"/>
  <c r="AA500" i="1"/>
  <c r="X484" i="1" a="1"/>
  <c r="X484" i="1" s="1"/>
  <c r="AA484" i="1"/>
  <c r="X468" i="1" a="1"/>
  <c r="X468" i="1" s="1"/>
  <c r="AA468" i="1"/>
  <c r="X452" i="1" a="1"/>
  <c r="X452" i="1" s="1"/>
  <c r="AA452" i="1"/>
  <c r="X436" i="1" a="1"/>
  <c r="X436" i="1" s="1"/>
  <c r="AA436" i="1"/>
  <c r="X420" i="1" a="1"/>
  <c r="X420" i="1" s="1"/>
  <c r="AA420" i="1"/>
  <c r="X404" i="1" a="1"/>
  <c r="X404" i="1" s="1"/>
  <c r="AA404" i="1"/>
  <c r="X388" i="1" a="1"/>
  <c r="X388" i="1" s="1"/>
  <c r="AA388" i="1"/>
  <c r="X372" i="1" a="1"/>
  <c r="X372" i="1" s="1"/>
  <c r="AA372" i="1"/>
  <c r="X356" i="1" a="1"/>
  <c r="X356" i="1" s="1"/>
  <c r="AA356" i="1"/>
  <c r="X340" i="1" a="1"/>
  <c r="X340" i="1" s="1"/>
  <c r="AA340" i="1"/>
  <c r="X324" i="1" a="1"/>
  <c r="X324" i="1" s="1"/>
  <c r="AA324" i="1"/>
  <c r="X308" i="1" a="1"/>
  <c r="X308" i="1" s="1"/>
  <c r="AA308" i="1"/>
  <c r="X292" i="1" a="1"/>
  <c r="X292" i="1" s="1"/>
  <c r="AA292" i="1"/>
  <c r="X276" i="1" a="1"/>
  <c r="X276" i="1" s="1"/>
  <c r="AA276" i="1"/>
  <c r="X260" i="1" a="1"/>
  <c r="X260" i="1" s="1"/>
  <c r="AA260" i="1"/>
  <c r="X244" i="1" a="1"/>
  <c r="X244" i="1" s="1"/>
  <c r="AA244" i="1"/>
  <c r="X228" i="1" a="1"/>
  <c r="X228" i="1" s="1"/>
  <c r="AA228" i="1"/>
  <c r="X212" i="1" a="1"/>
  <c r="X212" i="1" s="1"/>
  <c r="AA212" i="1"/>
  <c r="X196" i="1" a="1"/>
  <c r="X196" i="1" s="1"/>
  <c r="AA196" i="1"/>
  <c r="X180" i="1" a="1"/>
  <c r="X180" i="1" s="1"/>
  <c r="AA180" i="1"/>
  <c r="X164" i="1" a="1"/>
  <c r="X164" i="1" s="1"/>
  <c r="AA164" i="1"/>
  <c r="X148" i="1" a="1"/>
  <c r="X148" i="1" s="1"/>
  <c r="AA148" i="1"/>
  <c r="X132" i="1" a="1"/>
  <c r="X132" i="1" s="1"/>
  <c r="AA132" i="1"/>
  <c r="X116" i="1" a="1"/>
  <c r="X116" i="1" s="1"/>
  <c r="AA116" i="1"/>
  <c r="X100" i="1" a="1"/>
  <c r="X100" i="1" s="1"/>
  <c r="AA100" i="1"/>
  <c r="X84" i="1" a="1"/>
  <c r="X84" i="1" s="1"/>
  <c r="AA84" i="1"/>
  <c r="X68" i="1" a="1"/>
  <c r="X68" i="1" s="1"/>
  <c r="AA68" i="1"/>
  <c r="X52" i="1" a="1"/>
  <c r="X52" i="1" s="1"/>
  <c r="AA52" i="1"/>
  <c r="X36" i="1" a="1"/>
  <c r="X36" i="1" s="1"/>
  <c r="AA36" i="1"/>
  <c r="X20" i="1" a="1"/>
  <c r="X20" i="1" s="1"/>
  <c r="AA20" i="1"/>
  <c r="X860" i="1" a="1"/>
  <c r="X860" i="1" s="1"/>
  <c r="AA860" i="1"/>
  <c r="X54" i="1" a="1"/>
  <c r="X54" i="1" s="1"/>
  <c r="AA54" i="1"/>
  <c r="X806" i="1" a="1"/>
  <c r="X806" i="1" s="1"/>
  <c r="AA806" i="1"/>
  <c r="X774" i="1" a="1"/>
  <c r="X774" i="1" s="1"/>
  <c r="AA774" i="1"/>
  <c r="X726" i="1" a="1"/>
  <c r="X726" i="1" s="1"/>
  <c r="AA726" i="1"/>
  <c r="X678" i="1" a="1"/>
  <c r="X678" i="1" s="1"/>
  <c r="AA678" i="1"/>
  <c r="X630" i="1" a="1"/>
  <c r="X630" i="1" s="1"/>
  <c r="AA630" i="1"/>
  <c r="X566" i="1" a="1"/>
  <c r="X566" i="1" s="1"/>
  <c r="AA566" i="1"/>
  <c r="X518" i="1" a="1"/>
  <c r="X518" i="1" s="1"/>
  <c r="AA518" i="1"/>
  <c r="X454" i="1" a="1"/>
  <c r="X454" i="1" s="1"/>
  <c r="AA454" i="1"/>
  <c r="X422" i="1" a="1"/>
  <c r="X422" i="1" s="1"/>
  <c r="AA422" i="1"/>
  <c r="X374" i="1" a="1"/>
  <c r="X374" i="1" s="1"/>
  <c r="AA374" i="1"/>
  <c r="X342" i="1" a="1"/>
  <c r="X342" i="1" s="1"/>
  <c r="AA342" i="1"/>
  <c r="X294" i="1" a="1"/>
  <c r="X294" i="1" s="1"/>
  <c r="AA294" i="1"/>
  <c r="X246" i="1" a="1"/>
  <c r="X246" i="1" s="1"/>
  <c r="AA246" i="1"/>
  <c r="X198" i="1" a="1"/>
  <c r="X198" i="1" s="1"/>
  <c r="AA198" i="1"/>
  <c r="X150" i="1" a="1"/>
  <c r="X150" i="1" s="1"/>
  <c r="AA150" i="1"/>
  <c r="X102" i="1" a="1"/>
  <c r="X102" i="1" s="1"/>
  <c r="AA102" i="1"/>
  <c r="X22" i="1" a="1"/>
  <c r="X22" i="1" s="1"/>
  <c r="AA22" i="1"/>
  <c r="X850" i="1" a="1"/>
  <c r="X850" i="1" s="1"/>
  <c r="AA850" i="1"/>
  <c r="X834" i="1" a="1"/>
  <c r="X834" i="1" s="1"/>
  <c r="AA834" i="1"/>
  <c r="X818" i="1" a="1"/>
  <c r="X818" i="1" s="1"/>
  <c r="AA818" i="1"/>
  <c r="X802" i="1" a="1"/>
  <c r="X802" i="1" s="1"/>
  <c r="AA802" i="1"/>
  <c r="X786" i="1" a="1"/>
  <c r="X786" i="1" s="1"/>
  <c r="AA786" i="1"/>
  <c r="X770" i="1" a="1"/>
  <c r="X770" i="1" s="1"/>
  <c r="AA770" i="1"/>
  <c r="X754" i="1" a="1"/>
  <c r="X754" i="1" s="1"/>
  <c r="AA754" i="1"/>
  <c r="X738" i="1" a="1"/>
  <c r="X738" i="1" s="1"/>
  <c r="AA738" i="1"/>
  <c r="X722" i="1" a="1"/>
  <c r="X722" i="1" s="1"/>
  <c r="AA722" i="1"/>
  <c r="X706" i="1" a="1"/>
  <c r="X706" i="1" s="1"/>
  <c r="AA706" i="1"/>
  <c r="X690" i="1" a="1"/>
  <c r="X690" i="1" s="1"/>
  <c r="AA690" i="1"/>
  <c r="X674" i="1" a="1"/>
  <c r="X674" i="1" s="1"/>
  <c r="AA674" i="1"/>
  <c r="X658" i="1" a="1"/>
  <c r="X658" i="1" s="1"/>
  <c r="AA658" i="1"/>
  <c r="X642" i="1" a="1"/>
  <c r="X642" i="1" s="1"/>
  <c r="AA642" i="1"/>
  <c r="X626" i="1" a="1"/>
  <c r="X626" i="1" s="1"/>
  <c r="AA626" i="1"/>
  <c r="X610" i="1" a="1"/>
  <c r="X610" i="1" s="1"/>
  <c r="AA610" i="1"/>
  <c r="X594" i="1" a="1"/>
  <c r="X594" i="1" s="1"/>
  <c r="AA594" i="1"/>
  <c r="X578" i="1" a="1"/>
  <c r="X578" i="1" s="1"/>
  <c r="AA578" i="1"/>
  <c r="X562" i="1" a="1"/>
  <c r="X562" i="1" s="1"/>
  <c r="AA562" i="1"/>
  <c r="X546" i="1" a="1"/>
  <c r="X546" i="1" s="1"/>
  <c r="AA546" i="1"/>
  <c r="X530" i="1" a="1"/>
  <c r="X530" i="1" s="1"/>
  <c r="AA530" i="1"/>
  <c r="X514" i="1" a="1"/>
  <c r="X514" i="1" s="1"/>
  <c r="AA514" i="1"/>
  <c r="X498" i="1" a="1"/>
  <c r="X498" i="1" s="1"/>
  <c r="AA498" i="1"/>
  <c r="X482" i="1" a="1"/>
  <c r="X482" i="1" s="1"/>
  <c r="AA482" i="1"/>
  <c r="X466" i="1" a="1"/>
  <c r="X466" i="1" s="1"/>
  <c r="AA466" i="1"/>
  <c r="X450" i="1" a="1"/>
  <c r="X450" i="1" s="1"/>
  <c r="AA450" i="1"/>
  <c r="X434" i="1" a="1"/>
  <c r="X434" i="1" s="1"/>
  <c r="AA434" i="1"/>
  <c r="X418" i="1" a="1"/>
  <c r="X418" i="1" s="1"/>
  <c r="AA418" i="1"/>
  <c r="X402" i="1" a="1"/>
  <c r="X402" i="1" s="1"/>
  <c r="AA402" i="1"/>
  <c r="X386" i="1" a="1"/>
  <c r="X386" i="1" s="1"/>
  <c r="AA386" i="1"/>
  <c r="X370" i="1" a="1"/>
  <c r="X370" i="1" s="1"/>
  <c r="AA370" i="1"/>
  <c r="X354" i="1" a="1"/>
  <c r="X354" i="1" s="1"/>
  <c r="AA354" i="1"/>
  <c r="X338" i="1" a="1"/>
  <c r="X338" i="1" s="1"/>
  <c r="AA338" i="1"/>
  <c r="X322" i="1" a="1"/>
  <c r="X322" i="1" s="1"/>
  <c r="AA322" i="1"/>
  <c r="X306" i="1" a="1"/>
  <c r="X306" i="1" s="1"/>
  <c r="AA306" i="1"/>
  <c r="X290" i="1" a="1"/>
  <c r="X290" i="1" s="1"/>
  <c r="AA290" i="1"/>
  <c r="X274" i="1" a="1"/>
  <c r="X274" i="1" s="1"/>
  <c r="AA274" i="1"/>
  <c r="X258" i="1" a="1"/>
  <c r="X258" i="1" s="1"/>
  <c r="AA258" i="1"/>
  <c r="X242" i="1" a="1"/>
  <c r="X242" i="1" s="1"/>
  <c r="AA242" i="1"/>
  <c r="X226" i="1" a="1"/>
  <c r="X226" i="1" s="1"/>
  <c r="AA226" i="1"/>
  <c r="X210" i="1" a="1"/>
  <c r="X210" i="1" s="1"/>
  <c r="AA210" i="1"/>
  <c r="X194" i="1" a="1"/>
  <c r="X194" i="1" s="1"/>
  <c r="AA194" i="1"/>
  <c r="X178" i="1" a="1"/>
  <c r="X178" i="1" s="1"/>
  <c r="AA178" i="1"/>
  <c r="X162" i="1" a="1"/>
  <c r="X162" i="1" s="1"/>
  <c r="AA162" i="1"/>
  <c r="X146" i="1" a="1"/>
  <c r="X146" i="1" s="1"/>
  <c r="AA146" i="1"/>
  <c r="X130" i="1" a="1"/>
  <c r="X130" i="1" s="1"/>
  <c r="AA130" i="1"/>
  <c r="X114" i="1" a="1"/>
  <c r="X114" i="1" s="1"/>
  <c r="AA114" i="1"/>
  <c r="X98" i="1" a="1"/>
  <c r="X98" i="1" s="1"/>
  <c r="AA98" i="1"/>
  <c r="X82" i="1" a="1"/>
  <c r="X82" i="1" s="1"/>
  <c r="AA82" i="1"/>
  <c r="X838" i="1" a="1"/>
  <c r="X838" i="1" s="1"/>
  <c r="AA838" i="1"/>
  <c r="X790" i="1" a="1"/>
  <c r="X790" i="1" s="1"/>
  <c r="AA790" i="1"/>
  <c r="X742" i="1" a="1"/>
  <c r="X742" i="1" s="1"/>
  <c r="AA742" i="1"/>
  <c r="X694" i="1" a="1"/>
  <c r="X694" i="1" s="1"/>
  <c r="AA694" i="1"/>
  <c r="X662" i="1" a="1"/>
  <c r="X662" i="1" s="1"/>
  <c r="AA662" i="1"/>
  <c r="X614" i="1" a="1"/>
  <c r="X614" i="1" s="1"/>
  <c r="AA614" i="1"/>
  <c r="X582" i="1" a="1"/>
  <c r="X582" i="1" s="1"/>
  <c r="AA582" i="1"/>
  <c r="X534" i="1" a="1"/>
  <c r="X534" i="1" s="1"/>
  <c r="AA534" i="1"/>
  <c r="X502" i="1" a="1"/>
  <c r="X502" i="1" s="1"/>
  <c r="AA502" i="1"/>
  <c r="X470" i="1" a="1"/>
  <c r="X470" i="1" s="1"/>
  <c r="AA470" i="1"/>
  <c r="X438" i="1" a="1"/>
  <c r="X438" i="1" s="1"/>
  <c r="AA438" i="1"/>
  <c r="X390" i="1" a="1"/>
  <c r="X390" i="1" s="1"/>
  <c r="AA390" i="1"/>
  <c r="X358" i="1" a="1"/>
  <c r="X358" i="1" s="1"/>
  <c r="AA358" i="1"/>
  <c r="X310" i="1" a="1"/>
  <c r="X310" i="1" s="1"/>
  <c r="AA310" i="1"/>
  <c r="X278" i="1" a="1"/>
  <c r="X278" i="1" s="1"/>
  <c r="AA278" i="1"/>
  <c r="X230" i="1" a="1"/>
  <c r="X230" i="1" s="1"/>
  <c r="AA230" i="1"/>
  <c r="X182" i="1" a="1"/>
  <c r="X182" i="1" s="1"/>
  <c r="AA182" i="1"/>
  <c r="X134" i="1" a="1"/>
  <c r="X134" i="1" s="1"/>
  <c r="AA134" i="1"/>
  <c r="X6" i="1" a="1"/>
  <c r="X6" i="1" s="1"/>
  <c r="AA6" i="1"/>
  <c r="X849" i="1" a="1"/>
  <c r="X849" i="1" s="1"/>
  <c r="AA849" i="1"/>
  <c r="X833" i="1" a="1"/>
  <c r="X833" i="1" s="1"/>
  <c r="AA833" i="1"/>
  <c r="X817" i="1" a="1"/>
  <c r="X817" i="1" s="1"/>
  <c r="AA817" i="1"/>
  <c r="X801" i="1" a="1"/>
  <c r="X801" i="1" s="1"/>
  <c r="AA801" i="1"/>
  <c r="X785" i="1" a="1"/>
  <c r="X785" i="1" s="1"/>
  <c r="AA785" i="1"/>
  <c r="X769" i="1" a="1"/>
  <c r="X769" i="1" s="1"/>
  <c r="AA769" i="1"/>
  <c r="X753" i="1" a="1"/>
  <c r="X753" i="1" s="1"/>
  <c r="AA753" i="1"/>
  <c r="X737" i="1" a="1"/>
  <c r="X737" i="1" s="1"/>
  <c r="AA737" i="1"/>
  <c r="X721" i="1" a="1"/>
  <c r="X721" i="1" s="1"/>
  <c r="AA721" i="1"/>
  <c r="X705" i="1" a="1"/>
  <c r="X705" i="1" s="1"/>
  <c r="AA705" i="1"/>
  <c r="X689" i="1" a="1"/>
  <c r="X689" i="1" s="1"/>
  <c r="AA689" i="1"/>
  <c r="X673" i="1" a="1"/>
  <c r="X673" i="1" s="1"/>
  <c r="AA673" i="1"/>
  <c r="X657" i="1" a="1"/>
  <c r="X657" i="1" s="1"/>
  <c r="AA657" i="1"/>
  <c r="X641" i="1" a="1"/>
  <c r="X641" i="1" s="1"/>
  <c r="AA641" i="1"/>
  <c r="X625" i="1" a="1"/>
  <c r="X625" i="1" s="1"/>
  <c r="AA625" i="1"/>
  <c r="X609" i="1" a="1"/>
  <c r="X609" i="1" s="1"/>
  <c r="AA609" i="1"/>
  <c r="X593" i="1" a="1"/>
  <c r="X593" i="1" s="1"/>
  <c r="AA593" i="1"/>
  <c r="X577" i="1" a="1"/>
  <c r="X577" i="1" s="1"/>
  <c r="AA577" i="1"/>
  <c r="X561" i="1" a="1"/>
  <c r="X561" i="1" s="1"/>
  <c r="AA561" i="1"/>
  <c r="X545" i="1" a="1"/>
  <c r="X545" i="1" s="1"/>
  <c r="AA545" i="1"/>
  <c r="X529" i="1" a="1"/>
  <c r="X529" i="1" s="1"/>
  <c r="AA529" i="1"/>
  <c r="X513" i="1" a="1"/>
  <c r="X513" i="1" s="1"/>
  <c r="AA513" i="1"/>
  <c r="X497" i="1" a="1"/>
  <c r="X497" i="1" s="1"/>
  <c r="AA497" i="1"/>
  <c r="X481" i="1" a="1"/>
  <c r="X481" i="1" s="1"/>
  <c r="AA481" i="1"/>
  <c r="X465" i="1" a="1"/>
  <c r="X465" i="1" s="1"/>
  <c r="AA465" i="1"/>
  <c r="X449" i="1" a="1"/>
  <c r="X449" i="1" s="1"/>
  <c r="AA449" i="1"/>
  <c r="X433" i="1" a="1"/>
  <c r="X433" i="1" s="1"/>
  <c r="AA433" i="1"/>
  <c r="X417" i="1" a="1"/>
  <c r="X417" i="1" s="1"/>
  <c r="AA417" i="1"/>
  <c r="X401" i="1" a="1"/>
  <c r="X401" i="1" s="1"/>
  <c r="AA401" i="1"/>
  <c r="X385" i="1" a="1"/>
  <c r="X385" i="1" s="1"/>
  <c r="AA385" i="1"/>
  <c r="X369" i="1" a="1"/>
  <c r="X369" i="1" s="1"/>
  <c r="AA369" i="1"/>
  <c r="X353" i="1" a="1"/>
  <c r="X353" i="1" s="1"/>
  <c r="AA353" i="1"/>
  <c r="X337" i="1" a="1"/>
  <c r="X337" i="1" s="1"/>
  <c r="AA337" i="1"/>
  <c r="X321" i="1" a="1"/>
  <c r="X321" i="1" s="1"/>
  <c r="AA321" i="1"/>
  <c r="X305" i="1" a="1"/>
  <c r="X305" i="1" s="1"/>
  <c r="AA305" i="1"/>
  <c r="X289" i="1" a="1"/>
  <c r="X289" i="1" s="1"/>
  <c r="AA289" i="1"/>
  <c r="X273" i="1" a="1"/>
  <c r="X273" i="1" s="1"/>
  <c r="AA273" i="1"/>
  <c r="X257" i="1" a="1"/>
  <c r="X257" i="1" s="1"/>
  <c r="AA257" i="1"/>
  <c r="X241" i="1" a="1"/>
  <c r="X241" i="1" s="1"/>
  <c r="AA241" i="1"/>
  <c r="X225" i="1" a="1"/>
  <c r="X225" i="1" s="1"/>
  <c r="AA225" i="1"/>
  <c r="X209" i="1" a="1"/>
  <c r="X209" i="1" s="1"/>
  <c r="AA209" i="1"/>
  <c r="X193" i="1" a="1"/>
  <c r="X193" i="1" s="1"/>
  <c r="AA193" i="1"/>
  <c r="X177" i="1" a="1"/>
  <c r="X177" i="1" s="1"/>
  <c r="AA177" i="1"/>
  <c r="X161" i="1" a="1"/>
  <c r="X161" i="1" s="1"/>
  <c r="AA161" i="1"/>
  <c r="X145" i="1" a="1"/>
  <c r="X145" i="1" s="1"/>
  <c r="AA145" i="1"/>
  <c r="X129" i="1" a="1"/>
  <c r="X129" i="1" s="1"/>
  <c r="AA129" i="1"/>
  <c r="X113" i="1" a="1"/>
  <c r="X113" i="1" s="1"/>
  <c r="AA113" i="1"/>
  <c r="X97" i="1" a="1"/>
  <c r="X97" i="1" s="1"/>
  <c r="AA97" i="1"/>
  <c r="X81" i="1" a="1"/>
  <c r="X81" i="1" s="1"/>
  <c r="AA81" i="1"/>
  <c r="X65" i="1" a="1"/>
  <c r="X65" i="1" s="1"/>
  <c r="AA65" i="1"/>
  <c r="X847" i="1" a="1"/>
  <c r="X847" i="1" s="1"/>
  <c r="AA847" i="1"/>
  <c r="X831" i="1" a="1"/>
  <c r="X831" i="1" s="1"/>
  <c r="AA831" i="1"/>
  <c r="X815" i="1" a="1"/>
  <c r="X815" i="1" s="1"/>
  <c r="AA815" i="1"/>
  <c r="X799" i="1" a="1"/>
  <c r="X799" i="1" s="1"/>
  <c r="AA799" i="1"/>
  <c r="X783" i="1" a="1"/>
  <c r="X783" i="1" s="1"/>
  <c r="AA783" i="1"/>
  <c r="X767" i="1" a="1"/>
  <c r="X767" i="1" s="1"/>
  <c r="AA767" i="1"/>
  <c r="X751" i="1" a="1"/>
  <c r="X751" i="1" s="1"/>
  <c r="AA751" i="1"/>
  <c r="X735" i="1" a="1"/>
  <c r="X735" i="1" s="1"/>
  <c r="AA735" i="1"/>
  <c r="X719" i="1" a="1"/>
  <c r="X719" i="1" s="1"/>
  <c r="AA719" i="1"/>
  <c r="X703" i="1" a="1"/>
  <c r="X703" i="1" s="1"/>
  <c r="AA703" i="1"/>
  <c r="X687" i="1" a="1"/>
  <c r="X687" i="1" s="1"/>
  <c r="AA687" i="1"/>
  <c r="X671" i="1" a="1"/>
  <c r="X671" i="1" s="1"/>
  <c r="AA671" i="1"/>
  <c r="X655" i="1" a="1"/>
  <c r="X655" i="1" s="1"/>
  <c r="AA655" i="1"/>
  <c r="X639" i="1" a="1"/>
  <c r="X639" i="1" s="1"/>
  <c r="AA639" i="1"/>
  <c r="X623" i="1" a="1"/>
  <c r="X623" i="1" s="1"/>
  <c r="AA623" i="1"/>
  <c r="X607" i="1" a="1"/>
  <c r="X607" i="1" s="1"/>
  <c r="AA607" i="1"/>
  <c r="X591" i="1" a="1"/>
  <c r="X591" i="1" s="1"/>
  <c r="AA591" i="1"/>
  <c r="X575" i="1" a="1"/>
  <c r="X575" i="1" s="1"/>
  <c r="AA575" i="1"/>
  <c r="X559" i="1" a="1"/>
  <c r="X559" i="1" s="1"/>
  <c r="AA559" i="1"/>
  <c r="X543" i="1" a="1"/>
  <c r="X543" i="1" s="1"/>
  <c r="AA543" i="1"/>
  <c r="X527" i="1" a="1"/>
  <c r="X527" i="1" s="1"/>
  <c r="AA527" i="1"/>
  <c r="X511" i="1" a="1"/>
  <c r="X511" i="1" s="1"/>
  <c r="AA511" i="1"/>
  <c r="X495" i="1" a="1"/>
  <c r="X495" i="1" s="1"/>
  <c r="AA495" i="1"/>
  <c r="X479" i="1" a="1"/>
  <c r="X479" i="1" s="1"/>
  <c r="AA479" i="1"/>
  <c r="X463" i="1" a="1"/>
  <c r="X463" i="1" s="1"/>
  <c r="AA463" i="1"/>
  <c r="X447" i="1" a="1"/>
  <c r="X447" i="1" s="1"/>
  <c r="AA447" i="1"/>
  <c r="X431" i="1" a="1"/>
  <c r="X431" i="1" s="1"/>
  <c r="AA431" i="1"/>
  <c r="X415" i="1" a="1"/>
  <c r="X415" i="1" s="1"/>
  <c r="AA415" i="1"/>
  <c r="X399" i="1" a="1"/>
  <c r="X399" i="1" s="1"/>
  <c r="AA399" i="1"/>
  <c r="X383" i="1" a="1"/>
  <c r="X383" i="1" s="1"/>
  <c r="AA383" i="1"/>
  <c r="X367" i="1" a="1"/>
  <c r="X367" i="1" s="1"/>
  <c r="AA367" i="1"/>
  <c r="X351" i="1" a="1"/>
  <c r="X351" i="1" s="1"/>
  <c r="AA351" i="1"/>
  <c r="X335" i="1" a="1"/>
  <c r="X335" i="1" s="1"/>
  <c r="AA335" i="1"/>
  <c r="X319" i="1" a="1"/>
  <c r="X319" i="1" s="1"/>
  <c r="AA319" i="1"/>
  <c r="X303" i="1" a="1"/>
  <c r="X303" i="1" s="1"/>
  <c r="AA303" i="1"/>
  <c r="X287" i="1" a="1"/>
  <c r="X287" i="1" s="1"/>
  <c r="AA287" i="1"/>
  <c r="X271" i="1" a="1"/>
  <c r="X271" i="1" s="1"/>
  <c r="AA271" i="1"/>
  <c r="X718" i="1" a="1"/>
  <c r="X718" i="1" s="1"/>
  <c r="AA718" i="1"/>
  <c r="X494" i="1" a="1"/>
  <c r="X494" i="1" s="1"/>
  <c r="AA494" i="1"/>
  <c r="X334" i="1" a="1"/>
  <c r="X334" i="1" s="1"/>
  <c r="AA334" i="1"/>
  <c r="X238" i="1" a="1"/>
  <c r="X238" i="1" s="1"/>
  <c r="AA238" i="1"/>
  <c r="X222" i="1" a="1"/>
  <c r="X222" i="1" s="1"/>
  <c r="AA222" i="1"/>
  <c r="X174" i="1" a="1"/>
  <c r="X174" i="1" s="1"/>
  <c r="AA174" i="1"/>
  <c r="X158" i="1" a="1"/>
  <c r="X158" i="1" s="1"/>
  <c r="AA158" i="1"/>
  <c r="X126" i="1" a="1"/>
  <c r="X126" i="1" s="1"/>
  <c r="AA126" i="1"/>
  <c r="X844" i="1" a="1"/>
  <c r="X844" i="1" s="1"/>
  <c r="AA844" i="1"/>
  <c r="X828" i="1" a="1"/>
  <c r="X828" i="1" s="1"/>
  <c r="AA828" i="1"/>
  <c r="X812" i="1" a="1"/>
  <c r="X812" i="1" s="1"/>
  <c r="AA812" i="1"/>
  <c r="X796" i="1" a="1"/>
  <c r="X796" i="1" s="1"/>
  <c r="AA796" i="1"/>
  <c r="X780" i="1" a="1"/>
  <c r="X780" i="1" s="1"/>
  <c r="AA780" i="1"/>
  <c r="X764" i="1" a="1"/>
  <c r="X764" i="1" s="1"/>
  <c r="AA764" i="1"/>
  <c r="X748" i="1" a="1"/>
  <c r="X748" i="1" s="1"/>
  <c r="AA748" i="1"/>
  <c r="X732" i="1" a="1"/>
  <c r="X732" i="1" s="1"/>
  <c r="AA732" i="1"/>
  <c r="X716" i="1" a="1"/>
  <c r="X716" i="1" s="1"/>
  <c r="AA716" i="1"/>
  <c r="X700" i="1" a="1"/>
  <c r="X700" i="1" s="1"/>
  <c r="AA700" i="1"/>
  <c r="X684" i="1" a="1"/>
  <c r="X684" i="1" s="1"/>
  <c r="AA684" i="1"/>
  <c r="X668" i="1" a="1"/>
  <c r="X668" i="1" s="1"/>
  <c r="AA668" i="1"/>
  <c r="X652" i="1" a="1"/>
  <c r="X652" i="1" s="1"/>
  <c r="AA652" i="1"/>
  <c r="X636" i="1" a="1"/>
  <c r="X636" i="1" s="1"/>
  <c r="AA636" i="1"/>
  <c r="X620" i="1" a="1"/>
  <c r="X620" i="1" s="1"/>
  <c r="AA620" i="1"/>
  <c r="X604" i="1" a="1"/>
  <c r="X604" i="1" s="1"/>
  <c r="AA604" i="1"/>
  <c r="X588" i="1" a="1"/>
  <c r="X588" i="1" s="1"/>
  <c r="AA588" i="1"/>
  <c r="X572" i="1" a="1"/>
  <c r="X572" i="1" s="1"/>
  <c r="AA572" i="1"/>
  <c r="X556" i="1" a="1"/>
  <c r="X556" i="1" s="1"/>
  <c r="AA556" i="1"/>
  <c r="X540" i="1" a="1"/>
  <c r="X540" i="1" s="1"/>
  <c r="AA540" i="1"/>
  <c r="X524" i="1" a="1"/>
  <c r="X524" i="1" s="1"/>
  <c r="AA524" i="1"/>
  <c r="X508" i="1" a="1"/>
  <c r="X508" i="1" s="1"/>
  <c r="AA508" i="1"/>
  <c r="X492" i="1" a="1"/>
  <c r="X492" i="1" s="1"/>
  <c r="AA492" i="1"/>
  <c r="X476" i="1" a="1"/>
  <c r="X476" i="1" s="1"/>
  <c r="AA476" i="1"/>
  <c r="X460" i="1" a="1"/>
  <c r="X460" i="1" s="1"/>
  <c r="AA460" i="1"/>
  <c r="X444" i="1" a="1"/>
  <c r="X444" i="1" s="1"/>
  <c r="AA444" i="1"/>
  <c r="X428" i="1" a="1"/>
  <c r="X428" i="1" s="1"/>
  <c r="AA428" i="1"/>
  <c r="X412" i="1" a="1"/>
  <c r="X412" i="1" s="1"/>
  <c r="AA412" i="1"/>
  <c r="X396" i="1" a="1"/>
  <c r="X396" i="1" s="1"/>
  <c r="AA396" i="1"/>
  <c r="X380" i="1" a="1"/>
  <c r="X380" i="1" s="1"/>
  <c r="AA380" i="1"/>
  <c r="X364" i="1" a="1"/>
  <c r="X364" i="1" s="1"/>
  <c r="AA364" i="1"/>
  <c r="X348" i="1" a="1"/>
  <c r="X348" i="1" s="1"/>
  <c r="AA348" i="1"/>
  <c r="X332" i="1" a="1"/>
  <c r="X332" i="1" s="1"/>
  <c r="AA332" i="1"/>
  <c r="X316" i="1" a="1"/>
  <c r="X316" i="1" s="1"/>
  <c r="AA316" i="1"/>
  <c r="X300" i="1" a="1"/>
  <c r="X300" i="1" s="1"/>
  <c r="AA300" i="1"/>
  <c r="X284" i="1" a="1"/>
  <c r="X284" i="1" s="1"/>
  <c r="AA284" i="1"/>
  <c r="X268" i="1" a="1"/>
  <c r="X268" i="1" s="1"/>
  <c r="AA268" i="1"/>
  <c r="X252" i="1" a="1"/>
  <c r="X252" i="1" s="1"/>
  <c r="AA252" i="1"/>
  <c r="X236" i="1" a="1"/>
  <c r="X236" i="1" s="1"/>
  <c r="AA236" i="1"/>
  <c r="X220" i="1" a="1"/>
  <c r="X220" i="1" s="1"/>
  <c r="AA220" i="1"/>
  <c r="X204" i="1" a="1"/>
  <c r="X204" i="1" s="1"/>
  <c r="AA204" i="1"/>
  <c r="X188" i="1" a="1"/>
  <c r="X188" i="1" s="1"/>
  <c r="AA188" i="1"/>
  <c r="X172" i="1" a="1"/>
  <c r="X172" i="1" s="1"/>
  <c r="AA172" i="1"/>
  <c r="X156" i="1" a="1"/>
  <c r="X156" i="1" s="1"/>
  <c r="AA156" i="1"/>
  <c r="X140" i="1" a="1"/>
  <c r="X140" i="1" s="1"/>
  <c r="AA140" i="1"/>
  <c r="X124" i="1" a="1"/>
  <c r="X124" i="1" s="1"/>
  <c r="AA124" i="1"/>
  <c r="X108" i="1" a="1"/>
  <c r="X108" i="1" s="1"/>
  <c r="AA108" i="1"/>
  <c r="X92" i="1" a="1"/>
  <c r="X92" i="1" s="1"/>
  <c r="AA92" i="1"/>
  <c r="X76" i="1" a="1"/>
  <c r="X76" i="1" s="1"/>
  <c r="AA76" i="1"/>
  <c r="X60" i="1" a="1"/>
  <c r="X60" i="1" s="1"/>
  <c r="AA60" i="1"/>
  <c r="X44" i="1" a="1"/>
  <c r="X44" i="1" s="1"/>
  <c r="AA44" i="1"/>
  <c r="X28" i="1" a="1"/>
  <c r="X28" i="1" s="1"/>
  <c r="AA28" i="1"/>
  <c r="BH4" i="1"/>
  <c r="X843" i="1" a="1"/>
  <c r="X843" i="1" s="1"/>
  <c r="AA843" i="1"/>
  <c r="X827" i="1" a="1"/>
  <c r="X827" i="1" s="1"/>
  <c r="AA827" i="1"/>
  <c r="X811" i="1" a="1"/>
  <c r="X811" i="1" s="1"/>
  <c r="AA811" i="1"/>
  <c r="X795" i="1" a="1"/>
  <c r="X795" i="1" s="1"/>
  <c r="AA795" i="1"/>
  <c r="X779" i="1" a="1"/>
  <c r="X779" i="1" s="1"/>
  <c r="AA779" i="1"/>
  <c r="X763" i="1" a="1"/>
  <c r="X763" i="1" s="1"/>
  <c r="AA763" i="1"/>
  <c r="X747" i="1" a="1"/>
  <c r="X747" i="1" s="1"/>
  <c r="AA747" i="1"/>
  <c r="X731" i="1" a="1"/>
  <c r="X731" i="1" s="1"/>
  <c r="AA731" i="1"/>
  <c r="X715" i="1" a="1"/>
  <c r="X715" i="1" s="1"/>
  <c r="AA715" i="1"/>
  <c r="X699" i="1" a="1"/>
  <c r="X699" i="1" s="1"/>
  <c r="AA699" i="1"/>
  <c r="X683" i="1" a="1"/>
  <c r="X683" i="1" s="1"/>
  <c r="AA683" i="1"/>
  <c r="X667" i="1" a="1"/>
  <c r="X667" i="1" s="1"/>
  <c r="AA667" i="1"/>
  <c r="X651" i="1" a="1"/>
  <c r="X651" i="1" s="1"/>
  <c r="AA651" i="1"/>
  <c r="X635" i="1" a="1"/>
  <c r="X635" i="1" s="1"/>
  <c r="AA635" i="1"/>
  <c r="X619" i="1" a="1"/>
  <c r="X619" i="1" s="1"/>
  <c r="AA619" i="1"/>
  <c r="X603" i="1" a="1"/>
  <c r="X603" i="1" s="1"/>
  <c r="AA603" i="1"/>
  <c r="X587" i="1" a="1"/>
  <c r="X587" i="1" s="1"/>
  <c r="AA587" i="1"/>
  <c r="X571" i="1" a="1"/>
  <c r="X571" i="1" s="1"/>
  <c r="AA571" i="1"/>
  <c r="X555" i="1" a="1"/>
  <c r="X555" i="1" s="1"/>
  <c r="AA555" i="1"/>
  <c r="X539" i="1" a="1"/>
  <c r="X539" i="1" s="1"/>
  <c r="AA539" i="1"/>
  <c r="X523" i="1" a="1"/>
  <c r="X523" i="1" s="1"/>
  <c r="AA523" i="1"/>
  <c r="X507" i="1" a="1"/>
  <c r="X507" i="1" s="1"/>
  <c r="AA507" i="1"/>
  <c r="X491" i="1" a="1"/>
  <c r="X491" i="1" s="1"/>
  <c r="AA491" i="1"/>
  <c r="X475" i="1" a="1"/>
  <c r="X475" i="1" s="1"/>
  <c r="AA475" i="1"/>
  <c r="X459" i="1" a="1"/>
  <c r="X459" i="1" s="1"/>
  <c r="AA459" i="1"/>
  <c r="X443" i="1" a="1"/>
  <c r="X443" i="1" s="1"/>
  <c r="AA443" i="1"/>
  <c r="X427" i="1" a="1"/>
  <c r="X427" i="1" s="1"/>
  <c r="AA427" i="1"/>
  <c r="X411" i="1" a="1"/>
  <c r="X411" i="1" s="1"/>
  <c r="AA411" i="1"/>
  <c r="X395" i="1" a="1"/>
  <c r="X395" i="1" s="1"/>
  <c r="AA395" i="1"/>
  <c r="X379" i="1" a="1"/>
  <c r="X379" i="1" s="1"/>
  <c r="AA379" i="1"/>
  <c r="X363" i="1" a="1"/>
  <c r="X363" i="1" s="1"/>
  <c r="AA363" i="1"/>
  <c r="X347" i="1" a="1"/>
  <c r="X347" i="1" s="1"/>
  <c r="AA347" i="1"/>
  <c r="X331" i="1" a="1"/>
  <c r="X331" i="1" s="1"/>
  <c r="AA331" i="1"/>
  <c r="X315" i="1" a="1"/>
  <c r="X315" i="1" s="1"/>
  <c r="AA315" i="1"/>
  <c r="X299" i="1" a="1"/>
  <c r="X299" i="1" s="1"/>
  <c r="AA299" i="1"/>
  <c r="X283" i="1" a="1"/>
  <c r="X283" i="1" s="1"/>
  <c r="AA283" i="1"/>
  <c r="X267" i="1" a="1"/>
  <c r="X267" i="1" s="1"/>
  <c r="AA267" i="1"/>
  <c r="X251" i="1" a="1"/>
  <c r="X251" i="1" s="1"/>
  <c r="AA251" i="1"/>
  <c r="X235" i="1" a="1"/>
  <c r="X235" i="1" s="1"/>
  <c r="AA235" i="1"/>
  <c r="X219" i="1" a="1"/>
  <c r="X219" i="1" s="1"/>
  <c r="AA219" i="1"/>
  <c r="X203" i="1" a="1"/>
  <c r="X203" i="1" s="1"/>
  <c r="AA203" i="1"/>
  <c r="X187" i="1" a="1"/>
  <c r="X187" i="1" s="1"/>
  <c r="AA187" i="1"/>
  <c r="X171" i="1" a="1"/>
  <c r="X171" i="1" s="1"/>
  <c r="AA171" i="1"/>
  <c r="X155" i="1" a="1"/>
  <c r="X155" i="1" s="1"/>
  <c r="AA155" i="1"/>
  <c r="X139" i="1" a="1"/>
  <c r="X139" i="1" s="1"/>
  <c r="AA139" i="1"/>
  <c r="X123" i="1" a="1"/>
  <c r="X123" i="1" s="1"/>
  <c r="AA123" i="1"/>
  <c r="X107" i="1" a="1"/>
  <c r="X107" i="1" s="1"/>
  <c r="AA107" i="1"/>
  <c r="X91" i="1" a="1"/>
  <c r="X91" i="1" s="1"/>
  <c r="AA91" i="1"/>
  <c r="X75" i="1" a="1"/>
  <c r="X75" i="1" s="1"/>
  <c r="AA75" i="1"/>
  <c r="X59" i="1" a="1"/>
  <c r="X59" i="1" s="1"/>
  <c r="AA59" i="1"/>
  <c r="X43" i="1" a="1"/>
  <c r="X43" i="1" s="1"/>
  <c r="AA43" i="1"/>
  <c r="X27" i="1" a="1"/>
  <c r="X27" i="1" s="1"/>
  <c r="AA27" i="1"/>
  <c r="X11" i="1" a="1"/>
  <c r="X11" i="1" s="1"/>
  <c r="AA11" i="1"/>
  <c r="X851" i="1" a="1"/>
  <c r="X851" i="1" s="1"/>
  <c r="AA851" i="1"/>
  <c r="T841" i="1"/>
  <c r="AB841" i="1" s="1"/>
  <c r="AC841" i="1" s="1"/>
  <c r="X841" i="1" a="1"/>
  <c r="X841" i="1" s="1"/>
  <c r="T825" i="1"/>
  <c r="AB825" i="1" s="1"/>
  <c r="AC825" i="1" s="1"/>
  <c r="X825" i="1" a="1"/>
  <c r="X825" i="1" s="1"/>
  <c r="T809" i="1"/>
  <c r="AB809" i="1" s="1"/>
  <c r="AC809" i="1" s="1"/>
  <c r="X809" i="1" a="1"/>
  <c r="X809" i="1" s="1"/>
  <c r="T793" i="1"/>
  <c r="X793" i="1" a="1"/>
  <c r="X793" i="1" s="1"/>
  <c r="T777" i="1"/>
  <c r="AB777" i="1" s="1"/>
  <c r="AC777" i="1" s="1"/>
  <c r="X777" i="1" a="1"/>
  <c r="X777" i="1" s="1"/>
  <c r="T761" i="1"/>
  <c r="AB761" i="1" s="1"/>
  <c r="AC761" i="1" s="1"/>
  <c r="X761" i="1" a="1"/>
  <c r="X761" i="1" s="1"/>
  <c r="T745" i="1"/>
  <c r="X745" i="1" a="1"/>
  <c r="X745" i="1" s="1"/>
  <c r="T729" i="1"/>
  <c r="X729" i="1" a="1"/>
  <c r="X729" i="1" s="1"/>
  <c r="T713" i="1"/>
  <c r="AB713" i="1" s="1"/>
  <c r="AC713" i="1" s="1"/>
  <c r="X713" i="1" a="1"/>
  <c r="X713" i="1" s="1"/>
  <c r="T697" i="1"/>
  <c r="AB697" i="1" s="1"/>
  <c r="AC697" i="1" s="1"/>
  <c r="X697" i="1" a="1"/>
  <c r="X697" i="1" s="1"/>
  <c r="T681" i="1"/>
  <c r="AB681" i="1" s="1"/>
  <c r="AC681" i="1" s="1"/>
  <c r="X681" i="1" a="1"/>
  <c r="X681" i="1" s="1"/>
  <c r="T665" i="1"/>
  <c r="AB665" i="1" s="1"/>
  <c r="AC665" i="1" s="1"/>
  <c r="X665" i="1" a="1"/>
  <c r="X665" i="1" s="1"/>
  <c r="T649" i="1"/>
  <c r="AB649" i="1" s="1"/>
  <c r="AC649" i="1" s="1"/>
  <c r="X649" i="1" a="1"/>
  <c r="X649" i="1" s="1"/>
  <c r="T633" i="1"/>
  <c r="X633" i="1" a="1"/>
  <c r="X633" i="1" s="1"/>
  <c r="T617" i="1"/>
  <c r="X617" i="1" a="1"/>
  <c r="X617" i="1" s="1"/>
  <c r="T601" i="1"/>
  <c r="X601" i="1" a="1"/>
  <c r="X601" i="1" s="1"/>
  <c r="T585" i="1"/>
  <c r="AB585" i="1" s="1"/>
  <c r="AC585" i="1" s="1"/>
  <c r="X585" i="1" a="1"/>
  <c r="X585" i="1" s="1"/>
  <c r="T569" i="1"/>
  <c r="AB569" i="1" s="1"/>
  <c r="AC569" i="1" s="1"/>
  <c r="X569" i="1" a="1"/>
  <c r="X569" i="1" s="1"/>
  <c r="T553" i="1"/>
  <c r="AB553" i="1" s="1"/>
  <c r="AC553" i="1" s="1"/>
  <c r="X553" i="1" a="1"/>
  <c r="X553" i="1" s="1"/>
  <c r="T537" i="1"/>
  <c r="AB537" i="1" s="1"/>
  <c r="AC537" i="1" s="1"/>
  <c r="X537" i="1" a="1"/>
  <c r="X537" i="1" s="1"/>
  <c r="T521" i="1"/>
  <c r="AB521" i="1" s="1"/>
  <c r="AC521" i="1" s="1"/>
  <c r="X521" i="1" a="1"/>
  <c r="X521" i="1" s="1"/>
  <c r="T505" i="1"/>
  <c r="X505" i="1" a="1"/>
  <c r="X505" i="1" s="1"/>
  <c r="T489" i="1"/>
  <c r="AB489" i="1" s="1"/>
  <c r="AC489" i="1" s="1"/>
  <c r="X489" i="1" a="1"/>
  <c r="X489" i="1" s="1"/>
  <c r="T473" i="1"/>
  <c r="X473" i="1" a="1"/>
  <c r="X473" i="1" s="1"/>
  <c r="T457" i="1"/>
  <c r="AB457" i="1" s="1"/>
  <c r="AC457" i="1" s="1"/>
  <c r="X457" i="1" a="1"/>
  <c r="X457" i="1" s="1"/>
  <c r="T441" i="1"/>
  <c r="AB441" i="1" s="1"/>
  <c r="AC441" i="1" s="1"/>
  <c r="X441" i="1" a="1"/>
  <c r="X441" i="1" s="1"/>
  <c r="T425" i="1"/>
  <c r="AB425" i="1" s="1"/>
  <c r="AC425" i="1" s="1"/>
  <c r="X425" i="1" a="1"/>
  <c r="X425" i="1" s="1"/>
  <c r="T409" i="1"/>
  <c r="AB409" i="1" s="1"/>
  <c r="AC409" i="1" s="1"/>
  <c r="X409" i="1" a="1"/>
  <c r="X409" i="1" s="1"/>
  <c r="T393" i="1"/>
  <c r="AB393" i="1" s="1"/>
  <c r="AC393" i="1" s="1"/>
  <c r="X393" i="1" a="1"/>
  <c r="X393" i="1" s="1"/>
  <c r="T377" i="1"/>
  <c r="AB377" i="1" s="1"/>
  <c r="AC377" i="1" s="1"/>
  <c r="X377" i="1" a="1"/>
  <c r="X377" i="1" s="1"/>
  <c r="T361" i="1"/>
  <c r="X361" i="1" a="1"/>
  <c r="X361" i="1" s="1"/>
  <c r="T345" i="1"/>
  <c r="X345" i="1" a="1"/>
  <c r="X345" i="1" s="1"/>
  <c r="T329" i="1"/>
  <c r="AB329" i="1" s="1"/>
  <c r="AC329" i="1" s="1"/>
  <c r="X329" i="1" a="1"/>
  <c r="X329" i="1" s="1"/>
  <c r="T313" i="1"/>
  <c r="AB313" i="1" s="1"/>
  <c r="AC313" i="1" s="1"/>
  <c r="X313" i="1" a="1"/>
  <c r="X313" i="1" s="1"/>
  <c r="T297" i="1"/>
  <c r="AB297" i="1" s="1"/>
  <c r="AC297" i="1" s="1"/>
  <c r="X297" i="1" a="1"/>
  <c r="X297" i="1" s="1"/>
  <c r="T281" i="1"/>
  <c r="AB281" i="1" s="1"/>
  <c r="AC281" i="1" s="1"/>
  <c r="X281" i="1" a="1"/>
  <c r="X281" i="1" s="1"/>
  <c r="T265" i="1"/>
  <c r="AB265" i="1" s="1"/>
  <c r="AC265" i="1" s="1"/>
  <c r="X265" i="1" a="1"/>
  <c r="X265" i="1" s="1"/>
  <c r="T249" i="1"/>
  <c r="X249" i="1" a="1"/>
  <c r="X249" i="1" s="1"/>
  <c r="T233" i="1"/>
  <c r="AB233" i="1" s="1"/>
  <c r="AC233" i="1" s="1"/>
  <c r="X233" i="1" a="1"/>
  <c r="X233" i="1" s="1"/>
  <c r="T217" i="1"/>
  <c r="AB217" i="1" s="1"/>
  <c r="AC217" i="1" s="1"/>
  <c r="X217" i="1" a="1"/>
  <c r="X217" i="1" s="1"/>
  <c r="T201" i="1"/>
  <c r="AB201" i="1" s="1"/>
  <c r="AC201" i="1" s="1"/>
  <c r="X201" i="1" a="1"/>
  <c r="X201" i="1" s="1"/>
  <c r="T185" i="1"/>
  <c r="AB185" i="1" s="1"/>
  <c r="AC185" i="1" s="1"/>
  <c r="X185" i="1" a="1"/>
  <c r="X185" i="1" s="1"/>
  <c r="T169" i="1"/>
  <c r="AB169" i="1" s="1"/>
  <c r="AC169" i="1" s="1"/>
  <c r="X169" i="1" a="1"/>
  <c r="X169" i="1" s="1"/>
  <c r="T153" i="1"/>
  <c r="AB153" i="1" s="1"/>
  <c r="AC153" i="1" s="1"/>
  <c r="X153" i="1" a="1"/>
  <c r="X153" i="1" s="1"/>
  <c r="T137" i="1"/>
  <c r="AB137" i="1" s="1"/>
  <c r="AC137" i="1" s="1"/>
  <c r="X137" i="1" a="1"/>
  <c r="X137" i="1" s="1"/>
  <c r="T121" i="1"/>
  <c r="X121" i="1" a="1"/>
  <c r="X121" i="1" s="1"/>
  <c r="T105" i="1"/>
  <c r="X105" i="1" a="1"/>
  <c r="X105" i="1" s="1"/>
  <c r="T89" i="1"/>
  <c r="X89" i="1" a="1"/>
  <c r="X89" i="1" s="1"/>
  <c r="T73" i="1"/>
  <c r="AB73" i="1" s="1"/>
  <c r="AC73" i="1" s="1"/>
  <c r="X73" i="1" a="1"/>
  <c r="X73" i="1" s="1"/>
  <c r="T57" i="1"/>
  <c r="AB57" i="1" s="1"/>
  <c r="AC57" i="1" s="1"/>
  <c r="X57" i="1" a="1"/>
  <c r="X57" i="1" s="1"/>
  <c r="T41" i="1"/>
  <c r="AB41" i="1" s="1"/>
  <c r="AC41" i="1" s="1"/>
  <c r="X41" i="1" a="1"/>
  <c r="X41" i="1" s="1"/>
  <c r="T25" i="1"/>
  <c r="AB25" i="1" s="1"/>
  <c r="AC25" i="1" s="1"/>
  <c r="X25" i="1" a="1"/>
  <c r="X25" i="1" s="1"/>
  <c r="T9" i="1"/>
  <c r="AB9" i="1" s="1"/>
  <c r="AC9" i="1" s="1"/>
  <c r="X9" i="1" a="1"/>
  <c r="X9" i="1" s="1"/>
  <c r="T840" i="1"/>
  <c r="X840" i="1" a="1"/>
  <c r="X840" i="1" s="1"/>
  <c r="T824" i="1"/>
  <c r="X824" i="1" a="1"/>
  <c r="X824" i="1" s="1"/>
  <c r="T808" i="1"/>
  <c r="X808" i="1" a="1"/>
  <c r="X808" i="1" s="1"/>
  <c r="T792" i="1"/>
  <c r="AB792" i="1" s="1"/>
  <c r="AC792" i="1" s="1"/>
  <c r="X792" i="1" a="1"/>
  <c r="X792" i="1" s="1"/>
  <c r="T776" i="1"/>
  <c r="AB776" i="1" s="1"/>
  <c r="AC776" i="1" s="1"/>
  <c r="X776" i="1" a="1"/>
  <c r="X776" i="1" s="1"/>
  <c r="T760" i="1"/>
  <c r="AB760" i="1" s="1"/>
  <c r="AC760" i="1" s="1"/>
  <c r="X760" i="1" a="1"/>
  <c r="X760" i="1" s="1"/>
  <c r="T744" i="1"/>
  <c r="AB744" i="1" s="1"/>
  <c r="AC744" i="1" s="1"/>
  <c r="X744" i="1" a="1"/>
  <c r="X744" i="1" s="1"/>
  <c r="T728" i="1"/>
  <c r="AB728" i="1" s="1"/>
  <c r="AC728" i="1" s="1"/>
  <c r="X728" i="1" a="1"/>
  <c r="X728" i="1" s="1"/>
  <c r="T712" i="1"/>
  <c r="X712" i="1" a="1"/>
  <c r="X712" i="1" s="1"/>
  <c r="T696" i="1"/>
  <c r="X696" i="1" a="1"/>
  <c r="X696" i="1" s="1"/>
  <c r="T680" i="1"/>
  <c r="X680" i="1" a="1"/>
  <c r="X680" i="1" s="1"/>
  <c r="T664" i="1"/>
  <c r="AB664" i="1" s="1"/>
  <c r="AC664" i="1" s="1"/>
  <c r="X664" i="1" a="1"/>
  <c r="X664" i="1" s="1"/>
  <c r="T648" i="1"/>
  <c r="AB648" i="1" s="1"/>
  <c r="AC648" i="1" s="1"/>
  <c r="X648" i="1" a="1"/>
  <c r="X648" i="1" s="1"/>
  <c r="T632" i="1"/>
  <c r="AB632" i="1" s="1"/>
  <c r="AC632" i="1" s="1"/>
  <c r="X632" i="1" a="1"/>
  <c r="X632" i="1" s="1"/>
  <c r="T616" i="1"/>
  <c r="AB616" i="1" s="1"/>
  <c r="AC616" i="1" s="1"/>
  <c r="X616" i="1" a="1"/>
  <c r="X616" i="1" s="1"/>
  <c r="T600" i="1"/>
  <c r="AB600" i="1" s="1"/>
  <c r="AC600" i="1" s="1"/>
  <c r="X600" i="1" a="1"/>
  <c r="X600" i="1" s="1"/>
  <c r="T584" i="1"/>
  <c r="X584" i="1" a="1"/>
  <c r="X584" i="1" s="1"/>
  <c r="T568" i="1"/>
  <c r="X568" i="1" a="1"/>
  <c r="X568" i="1" s="1"/>
  <c r="T552" i="1"/>
  <c r="X552" i="1" a="1"/>
  <c r="X552" i="1" s="1"/>
  <c r="T791" i="1"/>
  <c r="AB791" i="1" s="1"/>
  <c r="AC791" i="1" s="1"/>
  <c r="X791" i="1" a="1"/>
  <c r="X791" i="1" s="1"/>
  <c r="T711" i="1"/>
  <c r="AB711" i="1" s="1"/>
  <c r="AC711" i="1" s="1"/>
  <c r="X711" i="1" a="1"/>
  <c r="X711" i="1" s="1"/>
  <c r="T647" i="1"/>
  <c r="AB647" i="1" s="1"/>
  <c r="AC647" i="1" s="1"/>
  <c r="X647" i="1" a="1"/>
  <c r="X647" i="1" s="1"/>
  <c r="T583" i="1"/>
  <c r="AB583" i="1" s="1"/>
  <c r="AC583" i="1" s="1"/>
  <c r="X583" i="1" a="1"/>
  <c r="X583" i="1" s="1"/>
  <c r="T519" i="1"/>
  <c r="AB519" i="1" s="1"/>
  <c r="AC519" i="1" s="1"/>
  <c r="X519" i="1" a="1"/>
  <c r="X519" i="1" s="1"/>
  <c r="T439" i="1"/>
  <c r="X439" i="1" a="1"/>
  <c r="X439" i="1" s="1"/>
  <c r="T327" i="1"/>
  <c r="X327" i="1" a="1"/>
  <c r="X327" i="1" s="1"/>
  <c r="T39" i="1"/>
  <c r="X39" i="1" a="1"/>
  <c r="X39" i="1" s="1"/>
  <c r="T837" i="1"/>
  <c r="AB837" i="1" s="1"/>
  <c r="AC837" i="1" s="1"/>
  <c r="X837" i="1" a="1"/>
  <c r="X837" i="1" s="1"/>
  <c r="T821" i="1"/>
  <c r="AB821" i="1" s="1"/>
  <c r="AC821" i="1" s="1"/>
  <c r="X821" i="1" a="1"/>
  <c r="X821" i="1" s="1"/>
  <c r="T805" i="1"/>
  <c r="AB805" i="1" s="1"/>
  <c r="AC805" i="1" s="1"/>
  <c r="X805" i="1" a="1"/>
  <c r="X805" i="1" s="1"/>
  <c r="T789" i="1"/>
  <c r="AB789" i="1" s="1"/>
  <c r="AC789" i="1" s="1"/>
  <c r="X789" i="1" a="1"/>
  <c r="X789" i="1" s="1"/>
  <c r="T773" i="1"/>
  <c r="AB773" i="1" s="1"/>
  <c r="AC773" i="1" s="1"/>
  <c r="X773" i="1" a="1"/>
  <c r="X773" i="1" s="1"/>
  <c r="T757" i="1"/>
  <c r="AB757" i="1" s="1"/>
  <c r="AC757" i="1" s="1"/>
  <c r="X757" i="1" a="1"/>
  <c r="X757" i="1" s="1"/>
  <c r="T741" i="1"/>
  <c r="AB741" i="1" s="1"/>
  <c r="AC741" i="1" s="1"/>
  <c r="X741" i="1" a="1"/>
  <c r="X741" i="1" s="1"/>
  <c r="T725" i="1"/>
  <c r="AB725" i="1" s="1"/>
  <c r="AC725" i="1" s="1"/>
  <c r="X725" i="1" a="1"/>
  <c r="X725" i="1" s="1"/>
  <c r="T709" i="1"/>
  <c r="AB709" i="1" s="1"/>
  <c r="AC709" i="1" s="1"/>
  <c r="X709" i="1" a="1"/>
  <c r="X709" i="1" s="1"/>
  <c r="T693" i="1"/>
  <c r="AB693" i="1" s="1"/>
  <c r="AC693" i="1" s="1"/>
  <c r="X693" i="1" a="1"/>
  <c r="X693" i="1" s="1"/>
  <c r="T677" i="1"/>
  <c r="AB677" i="1" s="1"/>
  <c r="AC677" i="1" s="1"/>
  <c r="X677" i="1" a="1"/>
  <c r="X677" i="1" s="1"/>
  <c r="T661" i="1"/>
  <c r="AB661" i="1" s="1"/>
  <c r="AC661" i="1" s="1"/>
  <c r="X661" i="1" a="1"/>
  <c r="X661" i="1" s="1"/>
  <c r="T645" i="1"/>
  <c r="AB645" i="1" s="1"/>
  <c r="AC645" i="1" s="1"/>
  <c r="X645" i="1" a="1"/>
  <c r="X645" i="1" s="1"/>
  <c r="T629" i="1"/>
  <c r="AB629" i="1" s="1"/>
  <c r="AC629" i="1" s="1"/>
  <c r="X629" i="1" a="1"/>
  <c r="X629" i="1" s="1"/>
  <c r="T613" i="1"/>
  <c r="AB613" i="1" s="1"/>
  <c r="AC613" i="1" s="1"/>
  <c r="X613" i="1" a="1"/>
  <c r="X613" i="1" s="1"/>
  <c r="T597" i="1"/>
  <c r="AB597" i="1" s="1"/>
  <c r="AC597" i="1" s="1"/>
  <c r="X597" i="1" a="1"/>
  <c r="X597" i="1" s="1"/>
  <c r="T581" i="1"/>
  <c r="AB581" i="1" s="1"/>
  <c r="AC581" i="1" s="1"/>
  <c r="X581" i="1" a="1"/>
  <c r="X581" i="1" s="1"/>
  <c r="T565" i="1"/>
  <c r="AB565" i="1" s="1"/>
  <c r="AC565" i="1" s="1"/>
  <c r="X565" i="1" a="1"/>
  <c r="X565" i="1" s="1"/>
  <c r="T549" i="1"/>
  <c r="AB549" i="1" s="1"/>
  <c r="AC549" i="1" s="1"/>
  <c r="X549" i="1" a="1"/>
  <c r="X549" i="1" s="1"/>
  <c r="T533" i="1"/>
  <c r="AB533" i="1" s="1"/>
  <c r="AC533" i="1" s="1"/>
  <c r="X533" i="1" a="1"/>
  <c r="X533" i="1" s="1"/>
  <c r="T517" i="1"/>
  <c r="AB517" i="1" s="1"/>
  <c r="AC517" i="1" s="1"/>
  <c r="X517" i="1" a="1"/>
  <c r="X517" i="1" s="1"/>
  <c r="T501" i="1"/>
  <c r="AB501" i="1" s="1"/>
  <c r="AC501" i="1" s="1"/>
  <c r="X501" i="1" a="1"/>
  <c r="X501" i="1" s="1"/>
  <c r="T485" i="1"/>
  <c r="X485" i="1" a="1"/>
  <c r="X485" i="1" s="1"/>
  <c r="T469" i="1"/>
  <c r="AB469" i="1" s="1"/>
  <c r="AC469" i="1" s="1"/>
  <c r="X469" i="1" a="1"/>
  <c r="X469" i="1" s="1"/>
  <c r="T453" i="1"/>
  <c r="AB453" i="1" s="1"/>
  <c r="AC453" i="1" s="1"/>
  <c r="X453" i="1" a="1"/>
  <c r="X453" i="1" s="1"/>
  <c r="T437" i="1"/>
  <c r="AB437" i="1" s="1"/>
  <c r="AC437" i="1" s="1"/>
  <c r="X437" i="1" a="1"/>
  <c r="X437" i="1" s="1"/>
  <c r="T421" i="1"/>
  <c r="AB421" i="1" s="1"/>
  <c r="AC421" i="1" s="1"/>
  <c r="X421" i="1" a="1"/>
  <c r="X421" i="1" s="1"/>
  <c r="T405" i="1"/>
  <c r="AB405" i="1" s="1"/>
  <c r="AC405" i="1" s="1"/>
  <c r="X405" i="1" a="1"/>
  <c r="X405" i="1" s="1"/>
  <c r="T389" i="1"/>
  <c r="AB389" i="1" s="1"/>
  <c r="AC389" i="1" s="1"/>
  <c r="X389" i="1" a="1"/>
  <c r="X389" i="1" s="1"/>
  <c r="T373" i="1"/>
  <c r="AB373" i="1" s="1"/>
  <c r="AC373" i="1" s="1"/>
  <c r="X373" i="1" a="1"/>
  <c r="X373" i="1" s="1"/>
  <c r="T357" i="1"/>
  <c r="AB357" i="1" s="1"/>
  <c r="AC357" i="1" s="1"/>
  <c r="X357" i="1" a="1"/>
  <c r="X357" i="1" s="1"/>
  <c r="T341" i="1"/>
  <c r="AB341" i="1" s="1"/>
  <c r="AC341" i="1" s="1"/>
  <c r="X341" i="1" a="1"/>
  <c r="X341" i="1" s="1"/>
  <c r="T325" i="1"/>
  <c r="AB325" i="1" s="1"/>
  <c r="AC325" i="1" s="1"/>
  <c r="X325" i="1" a="1"/>
  <c r="X325" i="1" s="1"/>
  <c r="T309" i="1"/>
  <c r="AB309" i="1" s="1"/>
  <c r="AC309" i="1" s="1"/>
  <c r="X309" i="1" a="1"/>
  <c r="X309" i="1" s="1"/>
  <c r="T293" i="1"/>
  <c r="AB293" i="1" s="1"/>
  <c r="AC293" i="1" s="1"/>
  <c r="X293" i="1" a="1"/>
  <c r="X293" i="1" s="1"/>
  <c r="T277" i="1"/>
  <c r="AB277" i="1" s="1"/>
  <c r="AC277" i="1" s="1"/>
  <c r="X277" i="1" a="1"/>
  <c r="X277" i="1" s="1"/>
  <c r="T261" i="1"/>
  <c r="AB261" i="1" s="1"/>
  <c r="AC261" i="1" s="1"/>
  <c r="X261" i="1" a="1"/>
  <c r="X261" i="1" s="1"/>
  <c r="T245" i="1"/>
  <c r="AB245" i="1" s="1"/>
  <c r="AC245" i="1" s="1"/>
  <c r="X245" i="1" a="1"/>
  <c r="X245" i="1" s="1"/>
  <c r="T229" i="1"/>
  <c r="X229" i="1" a="1"/>
  <c r="X229" i="1" s="1"/>
  <c r="T213" i="1"/>
  <c r="AB213" i="1" s="1"/>
  <c r="AC213" i="1" s="1"/>
  <c r="X213" i="1" a="1"/>
  <c r="X213" i="1" s="1"/>
  <c r="T197" i="1"/>
  <c r="AB197" i="1" s="1"/>
  <c r="AC197" i="1" s="1"/>
  <c r="X197" i="1" a="1"/>
  <c r="X197" i="1" s="1"/>
  <c r="T181" i="1"/>
  <c r="AB181" i="1" s="1"/>
  <c r="AC181" i="1" s="1"/>
  <c r="X181" i="1" a="1"/>
  <c r="X181" i="1" s="1"/>
  <c r="T165" i="1"/>
  <c r="AB165" i="1" s="1"/>
  <c r="AC165" i="1" s="1"/>
  <c r="X165" i="1" a="1"/>
  <c r="X165" i="1" s="1"/>
  <c r="T149" i="1"/>
  <c r="AB149" i="1" s="1"/>
  <c r="AC149" i="1" s="1"/>
  <c r="X149" i="1" a="1"/>
  <c r="X149" i="1" s="1"/>
  <c r="T133" i="1"/>
  <c r="AB133" i="1" s="1"/>
  <c r="AC133" i="1" s="1"/>
  <c r="X133" i="1" a="1"/>
  <c r="X133" i="1" s="1"/>
  <c r="T117" i="1"/>
  <c r="AB117" i="1" s="1"/>
  <c r="AC117" i="1" s="1"/>
  <c r="X117" i="1" a="1"/>
  <c r="X117" i="1" s="1"/>
  <c r="T101" i="1"/>
  <c r="AB101" i="1" s="1"/>
  <c r="AC101" i="1" s="1"/>
  <c r="X101" i="1" a="1"/>
  <c r="X101" i="1" s="1"/>
  <c r="T85" i="1"/>
  <c r="AB85" i="1" s="1"/>
  <c r="AC85" i="1" s="1"/>
  <c r="X85" i="1" a="1"/>
  <c r="X85" i="1" s="1"/>
  <c r="T69" i="1"/>
  <c r="AB69" i="1" s="1"/>
  <c r="AC69" i="1" s="1"/>
  <c r="X69" i="1" a="1"/>
  <c r="X69" i="1" s="1"/>
  <c r="T53" i="1"/>
  <c r="AB53" i="1" s="1"/>
  <c r="AC53" i="1" s="1"/>
  <c r="X53" i="1" a="1"/>
  <c r="X53" i="1" s="1"/>
  <c r="T37" i="1"/>
  <c r="AB37" i="1" s="1"/>
  <c r="AC37" i="1" s="1"/>
  <c r="X37" i="1" a="1"/>
  <c r="X37" i="1" s="1"/>
  <c r="T21" i="1"/>
  <c r="AB21" i="1" s="1"/>
  <c r="AC21" i="1" s="1"/>
  <c r="X21" i="1" a="1"/>
  <c r="X21" i="1" s="1"/>
  <c r="T759" i="1"/>
  <c r="AB759" i="1" s="1"/>
  <c r="AC759" i="1" s="1"/>
  <c r="X759" i="1" a="1"/>
  <c r="X759" i="1" s="1"/>
  <c r="T679" i="1"/>
  <c r="AB679" i="1" s="1"/>
  <c r="AC679" i="1" s="1"/>
  <c r="X679" i="1" a="1"/>
  <c r="X679" i="1" s="1"/>
  <c r="T615" i="1"/>
  <c r="X615" i="1" a="1"/>
  <c r="X615" i="1" s="1"/>
  <c r="T551" i="1"/>
  <c r="X551" i="1" a="1"/>
  <c r="X551" i="1" s="1"/>
  <c r="T487" i="1"/>
  <c r="AB487" i="1" s="1"/>
  <c r="AC487" i="1" s="1"/>
  <c r="X487" i="1" a="1"/>
  <c r="X487" i="1" s="1"/>
  <c r="T407" i="1"/>
  <c r="AB407" i="1" s="1"/>
  <c r="AC407" i="1" s="1"/>
  <c r="X407" i="1" a="1"/>
  <c r="X407" i="1" s="1"/>
  <c r="T359" i="1"/>
  <c r="AB359" i="1" s="1"/>
  <c r="AC359" i="1" s="1"/>
  <c r="X359" i="1" a="1"/>
  <c r="X359" i="1" s="1"/>
  <c r="T295" i="1"/>
  <c r="AB295" i="1" s="1"/>
  <c r="AC295" i="1" s="1"/>
  <c r="X295" i="1" a="1"/>
  <c r="X295" i="1" s="1"/>
  <c r="T247" i="1"/>
  <c r="AB247" i="1" s="1"/>
  <c r="AC247" i="1" s="1"/>
  <c r="X247" i="1" a="1"/>
  <c r="X247" i="1" s="1"/>
  <c r="T167" i="1"/>
  <c r="AB167" i="1" s="1"/>
  <c r="AC167" i="1" s="1"/>
  <c r="X167" i="1" a="1"/>
  <c r="X167" i="1" s="1"/>
  <c r="T23" i="1"/>
  <c r="AB23" i="1" s="1"/>
  <c r="AC23" i="1" s="1"/>
  <c r="X23" i="1" a="1"/>
  <c r="X23" i="1" s="1"/>
  <c r="T115" i="1"/>
  <c r="X115" i="1" a="1"/>
  <c r="X115" i="1" s="1"/>
  <c r="T99" i="1"/>
  <c r="AB99" i="1" s="1"/>
  <c r="AC99" i="1" s="1"/>
  <c r="X99" i="1" a="1"/>
  <c r="X99" i="1" s="1"/>
  <c r="T83" i="1"/>
  <c r="AB83" i="1" s="1"/>
  <c r="AC83" i="1" s="1"/>
  <c r="X83" i="1" a="1"/>
  <c r="X83" i="1" s="1"/>
  <c r="T67" i="1"/>
  <c r="AB67" i="1" s="1"/>
  <c r="AC67" i="1" s="1"/>
  <c r="X67" i="1" a="1"/>
  <c r="X67" i="1" s="1"/>
  <c r="T51" i="1"/>
  <c r="AB51" i="1" s="1"/>
  <c r="AC51" i="1" s="1"/>
  <c r="X51" i="1" a="1"/>
  <c r="X51" i="1" s="1"/>
  <c r="T35" i="1"/>
  <c r="AB35" i="1" s="1"/>
  <c r="AC35" i="1" s="1"/>
  <c r="X35" i="1" a="1"/>
  <c r="X35" i="1" s="1"/>
  <c r="T19" i="1"/>
  <c r="AB19" i="1" s="1"/>
  <c r="AC19" i="1" s="1"/>
  <c r="X19" i="1" a="1"/>
  <c r="X19" i="1" s="1"/>
  <c r="T859" i="1"/>
  <c r="X859" i="1" a="1"/>
  <c r="X859" i="1" s="1"/>
  <c r="T823" i="1"/>
  <c r="X823" i="1" a="1"/>
  <c r="X823" i="1" s="1"/>
  <c r="T87" i="1"/>
  <c r="AB87" i="1" s="1"/>
  <c r="AC87" i="1" s="1"/>
  <c r="X87" i="1" a="1"/>
  <c r="X87" i="1" s="1"/>
  <c r="T771" i="1"/>
  <c r="AB771" i="1" s="1"/>
  <c r="AC771" i="1" s="1"/>
  <c r="X771" i="1" a="1"/>
  <c r="X771" i="1" s="1"/>
  <c r="T723" i="1"/>
  <c r="AB723" i="1" s="1"/>
  <c r="AC723" i="1" s="1"/>
  <c r="X723" i="1" a="1"/>
  <c r="X723" i="1" s="1"/>
  <c r="T659" i="1"/>
  <c r="AB659" i="1" s="1"/>
  <c r="AC659" i="1" s="1"/>
  <c r="X659" i="1" a="1"/>
  <c r="X659" i="1" s="1"/>
  <c r="T579" i="1"/>
  <c r="AB579" i="1" s="1"/>
  <c r="AC579" i="1" s="1"/>
  <c r="X579" i="1" a="1"/>
  <c r="X579" i="1" s="1"/>
  <c r="T435" i="1"/>
  <c r="X435" i="1" a="1"/>
  <c r="X435" i="1" s="1"/>
  <c r="T179" i="1"/>
  <c r="X179" i="1" a="1"/>
  <c r="X179" i="1" s="1"/>
  <c r="T66" i="1"/>
  <c r="X66" i="1" a="1"/>
  <c r="X66" i="1" s="1"/>
  <c r="T50" i="1"/>
  <c r="AB50" i="1" s="1"/>
  <c r="AC50" i="1" s="1"/>
  <c r="X50" i="1" a="1"/>
  <c r="X50" i="1" s="1"/>
  <c r="T34" i="1"/>
  <c r="AB34" i="1" s="1"/>
  <c r="AC34" i="1" s="1"/>
  <c r="X34" i="1" a="1"/>
  <c r="X34" i="1" s="1"/>
  <c r="T18" i="1"/>
  <c r="AB18" i="1" s="1"/>
  <c r="AC18" i="1" s="1"/>
  <c r="X18" i="1" a="1"/>
  <c r="X18" i="1" s="1"/>
  <c r="T858" i="1"/>
  <c r="AB858" i="1" s="1"/>
  <c r="AC858" i="1" s="1"/>
  <c r="X858" i="1" a="1"/>
  <c r="X858" i="1" s="1"/>
  <c r="T807" i="1"/>
  <c r="AB807" i="1" s="1"/>
  <c r="AC807" i="1" s="1"/>
  <c r="X807" i="1" a="1"/>
  <c r="X807" i="1" s="1"/>
  <c r="T743" i="1"/>
  <c r="AB743" i="1" s="1"/>
  <c r="AC743" i="1" s="1"/>
  <c r="X743" i="1" a="1"/>
  <c r="X743" i="1" s="1"/>
  <c r="T727" i="1"/>
  <c r="X727" i="1" a="1"/>
  <c r="X727" i="1" s="1"/>
  <c r="T663" i="1"/>
  <c r="X663" i="1" a="1"/>
  <c r="X663" i="1" s="1"/>
  <c r="T599" i="1"/>
  <c r="AB599" i="1" s="1"/>
  <c r="AC599" i="1" s="1"/>
  <c r="X599" i="1" a="1"/>
  <c r="X599" i="1" s="1"/>
  <c r="T535" i="1"/>
  <c r="AB535" i="1" s="1"/>
  <c r="AC535" i="1" s="1"/>
  <c r="X535" i="1" a="1"/>
  <c r="X535" i="1" s="1"/>
  <c r="T471" i="1"/>
  <c r="AB471" i="1" s="1"/>
  <c r="AC471" i="1" s="1"/>
  <c r="X471" i="1" a="1"/>
  <c r="X471" i="1" s="1"/>
  <c r="T423" i="1"/>
  <c r="AB423" i="1" s="1"/>
  <c r="AC423" i="1" s="1"/>
  <c r="X423" i="1" a="1"/>
  <c r="X423" i="1" s="1"/>
  <c r="T375" i="1"/>
  <c r="AB375" i="1" s="1"/>
  <c r="AC375" i="1" s="1"/>
  <c r="X375" i="1" a="1"/>
  <c r="X375" i="1" s="1"/>
  <c r="T311" i="1"/>
  <c r="X311" i="1" a="1"/>
  <c r="X311" i="1" s="1"/>
  <c r="T263" i="1"/>
  <c r="AB263" i="1" s="1"/>
  <c r="AC263" i="1" s="1"/>
  <c r="X263" i="1" a="1"/>
  <c r="X263" i="1" s="1"/>
  <c r="T215" i="1"/>
  <c r="X215" i="1" a="1"/>
  <c r="X215" i="1" s="1"/>
  <c r="T183" i="1"/>
  <c r="AB183" i="1" s="1"/>
  <c r="AC183" i="1" s="1"/>
  <c r="X183" i="1" a="1"/>
  <c r="X183" i="1" s="1"/>
  <c r="T135" i="1"/>
  <c r="AB135" i="1" s="1"/>
  <c r="AC135" i="1" s="1"/>
  <c r="X135" i="1" a="1"/>
  <c r="X135" i="1" s="1"/>
  <c r="T103" i="1"/>
  <c r="AB103" i="1" s="1"/>
  <c r="AC103" i="1" s="1"/>
  <c r="X103" i="1" a="1"/>
  <c r="X103" i="1" s="1"/>
  <c r="T7" i="1"/>
  <c r="AB7" i="1" s="1"/>
  <c r="AC7" i="1" s="1"/>
  <c r="X7" i="1" a="1"/>
  <c r="X7" i="1" s="1"/>
  <c r="T835" i="1"/>
  <c r="AB835" i="1" s="1"/>
  <c r="AC835" i="1" s="1"/>
  <c r="X835" i="1" a="1"/>
  <c r="X835" i="1" s="1"/>
  <c r="T787" i="1"/>
  <c r="X787" i="1" a="1"/>
  <c r="X787" i="1" s="1"/>
  <c r="T707" i="1"/>
  <c r="AB707" i="1" s="1"/>
  <c r="AC707" i="1" s="1"/>
  <c r="X707" i="1" a="1"/>
  <c r="X707" i="1" s="1"/>
  <c r="T643" i="1"/>
  <c r="X643" i="1" a="1"/>
  <c r="X643" i="1" s="1"/>
  <c r="T595" i="1"/>
  <c r="AB595" i="1" s="1"/>
  <c r="AC595" i="1" s="1"/>
  <c r="X595" i="1" a="1"/>
  <c r="X595" i="1" s="1"/>
  <c r="T531" i="1"/>
  <c r="AB531" i="1" s="1"/>
  <c r="AC531" i="1" s="1"/>
  <c r="X531" i="1" a="1"/>
  <c r="X531" i="1" s="1"/>
  <c r="T499" i="1"/>
  <c r="AB499" i="1" s="1"/>
  <c r="AC499" i="1" s="1"/>
  <c r="X499" i="1" a="1"/>
  <c r="X499" i="1" s="1"/>
  <c r="T451" i="1"/>
  <c r="AB451" i="1" s="1"/>
  <c r="AC451" i="1" s="1"/>
  <c r="X451" i="1" a="1"/>
  <c r="X451" i="1" s="1"/>
  <c r="T387" i="1"/>
  <c r="AB387" i="1" s="1"/>
  <c r="AC387" i="1" s="1"/>
  <c r="X387" i="1" a="1"/>
  <c r="X387" i="1" s="1"/>
  <c r="T339" i="1"/>
  <c r="AB339" i="1" s="1"/>
  <c r="AC339" i="1" s="1"/>
  <c r="X339" i="1" a="1"/>
  <c r="X339" i="1" s="1"/>
  <c r="T291" i="1"/>
  <c r="X291" i="1" a="1"/>
  <c r="X291" i="1" s="1"/>
  <c r="T227" i="1"/>
  <c r="X227" i="1" a="1"/>
  <c r="X227" i="1" s="1"/>
  <c r="T195" i="1"/>
  <c r="AB195" i="1" s="1"/>
  <c r="AC195" i="1" s="1"/>
  <c r="X195" i="1" a="1"/>
  <c r="X195" i="1" s="1"/>
  <c r="T163" i="1"/>
  <c r="AB163" i="1" s="1"/>
  <c r="AC163" i="1" s="1"/>
  <c r="X163" i="1" a="1"/>
  <c r="X163" i="1" s="1"/>
  <c r="T49" i="1"/>
  <c r="AB49" i="1" s="1"/>
  <c r="AC49" i="1" s="1"/>
  <c r="X49" i="1" a="1"/>
  <c r="X49" i="1" s="1"/>
  <c r="T33" i="1"/>
  <c r="X33" i="1" a="1"/>
  <c r="X33" i="1" s="1"/>
  <c r="T17" i="1"/>
  <c r="AB17" i="1" s="1"/>
  <c r="AC17" i="1" s="1"/>
  <c r="X17" i="1" a="1"/>
  <c r="X17" i="1" s="1"/>
  <c r="T857" i="1"/>
  <c r="X857" i="1" a="1"/>
  <c r="X857" i="1" s="1"/>
  <c r="T775" i="1"/>
  <c r="X775" i="1" a="1"/>
  <c r="X775" i="1" s="1"/>
  <c r="T695" i="1"/>
  <c r="X695" i="1" a="1"/>
  <c r="X695" i="1" s="1"/>
  <c r="T631" i="1"/>
  <c r="AB631" i="1" s="1"/>
  <c r="AC631" i="1" s="1"/>
  <c r="X631" i="1" a="1"/>
  <c r="X631" i="1" s="1"/>
  <c r="T567" i="1"/>
  <c r="AB567" i="1" s="1"/>
  <c r="AC567" i="1" s="1"/>
  <c r="X567" i="1" a="1"/>
  <c r="X567" i="1" s="1"/>
  <c r="T503" i="1"/>
  <c r="AB503" i="1" s="1"/>
  <c r="AC503" i="1" s="1"/>
  <c r="X503" i="1" a="1"/>
  <c r="X503" i="1" s="1"/>
  <c r="T455" i="1"/>
  <c r="AB455" i="1" s="1"/>
  <c r="AC455" i="1" s="1"/>
  <c r="X455" i="1" a="1"/>
  <c r="X455" i="1" s="1"/>
  <c r="T391" i="1"/>
  <c r="AB391" i="1" s="1"/>
  <c r="AC391" i="1" s="1"/>
  <c r="X391" i="1" a="1"/>
  <c r="X391" i="1" s="1"/>
  <c r="T343" i="1"/>
  <c r="X343" i="1" a="1"/>
  <c r="X343" i="1" s="1"/>
  <c r="T279" i="1"/>
  <c r="X279" i="1" a="1"/>
  <c r="X279" i="1" s="1"/>
  <c r="T231" i="1"/>
  <c r="AB231" i="1" s="1"/>
  <c r="AC231" i="1" s="1"/>
  <c r="X231" i="1" a="1"/>
  <c r="X231" i="1" s="1"/>
  <c r="T199" i="1"/>
  <c r="AB199" i="1" s="1"/>
  <c r="AC199" i="1" s="1"/>
  <c r="X199" i="1" a="1"/>
  <c r="X199" i="1" s="1"/>
  <c r="T151" i="1"/>
  <c r="AB151" i="1" s="1"/>
  <c r="AC151" i="1" s="1"/>
  <c r="X151" i="1" a="1"/>
  <c r="X151" i="1" s="1"/>
  <c r="T119" i="1"/>
  <c r="AB119" i="1" s="1"/>
  <c r="AC119" i="1" s="1"/>
  <c r="X119" i="1" a="1"/>
  <c r="X119" i="1" s="1"/>
  <c r="T55" i="1"/>
  <c r="X55" i="1" a="1"/>
  <c r="X55" i="1" s="1"/>
  <c r="T819" i="1"/>
  <c r="AB819" i="1" s="1"/>
  <c r="AC819" i="1" s="1"/>
  <c r="X819" i="1" a="1"/>
  <c r="X819" i="1" s="1"/>
  <c r="T755" i="1"/>
  <c r="AB755" i="1" s="1"/>
  <c r="AC755" i="1" s="1"/>
  <c r="X755" i="1" a="1"/>
  <c r="X755" i="1" s="1"/>
  <c r="T691" i="1"/>
  <c r="X691" i="1" a="1"/>
  <c r="X691" i="1" s="1"/>
  <c r="T627" i="1"/>
  <c r="X627" i="1" a="1"/>
  <c r="X627" i="1" s="1"/>
  <c r="T547" i="1"/>
  <c r="AB547" i="1" s="1"/>
  <c r="AC547" i="1" s="1"/>
  <c r="X547" i="1" a="1"/>
  <c r="X547" i="1" s="1"/>
  <c r="T483" i="1"/>
  <c r="AB483" i="1" s="1"/>
  <c r="AC483" i="1" s="1"/>
  <c r="X483" i="1" a="1"/>
  <c r="X483" i="1" s="1"/>
  <c r="T419" i="1"/>
  <c r="AB419" i="1" s="1"/>
  <c r="AC419" i="1" s="1"/>
  <c r="X419" i="1" a="1"/>
  <c r="X419" i="1" s="1"/>
  <c r="T355" i="1"/>
  <c r="X355" i="1" a="1"/>
  <c r="X355" i="1" s="1"/>
  <c r="T307" i="1"/>
  <c r="AB307" i="1" s="1"/>
  <c r="AC307" i="1" s="1"/>
  <c r="X307" i="1" a="1"/>
  <c r="X307" i="1" s="1"/>
  <c r="T275" i="1"/>
  <c r="X275" i="1" a="1"/>
  <c r="X275" i="1" s="1"/>
  <c r="T243" i="1"/>
  <c r="AB243" i="1" s="1"/>
  <c r="AC243" i="1" s="1"/>
  <c r="X243" i="1" a="1"/>
  <c r="X243" i="1" s="1"/>
  <c r="T211" i="1"/>
  <c r="X211" i="1" a="1"/>
  <c r="X211" i="1" s="1"/>
  <c r="T131" i="1"/>
  <c r="AB131" i="1" s="1"/>
  <c r="AC131" i="1" s="1"/>
  <c r="X131" i="1" a="1"/>
  <c r="X131" i="1" s="1"/>
  <c r="T848" i="1"/>
  <c r="AB848" i="1" s="1"/>
  <c r="AC848" i="1" s="1"/>
  <c r="X848" i="1" a="1"/>
  <c r="X848" i="1" s="1"/>
  <c r="T832" i="1"/>
  <c r="AB832" i="1" s="1"/>
  <c r="AC832" i="1" s="1"/>
  <c r="X832" i="1" a="1"/>
  <c r="X832" i="1" s="1"/>
  <c r="T816" i="1"/>
  <c r="AB816" i="1" s="1"/>
  <c r="AC816" i="1" s="1"/>
  <c r="X816" i="1" a="1"/>
  <c r="X816" i="1" s="1"/>
  <c r="T800" i="1"/>
  <c r="AB800" i="1" s="1"/>
  <c r="AC800" i="1" s="1"/>
  <c r="X800" i="1" a="1"/>
  <c r="X800" i="1" s="1"/>
  <c r="T784" i="1"/>
  <c r="AB784" i="1" s="1"/>
  <c r="AC784" i="1" s="1"/>
  <c r="X784" i="1" a="1"/>
  <c r="X784" i="1" s="1"/>
  <c r="T768" i="1"/>
  <c r="AB768" i="1" s="1"/>
  <c r="AC768" i="1" s="1"/>
  <c r="X768" i="1" a="1"/>
  <c r="X768" i="1" s="1"/>
  <c r="T752" i="1"/>
  <c r="AB752" i="1" s="1"/>
  <c r="AC752" i="1" s="1"/>
  <c r="X752" i="1" a="1"/>
  <c r="X752" i="1" s="1"/>
  <c r="T736" i="1"/>
  <c r="AB736" i="1" s="1"/>
  <c r="AC736" i="1" s="1"/>
  <c r="X736" i="1" a="1"/>
  <c r="X736" i="1" s="1"/>
  <c r="T720" i="1"/>
  <c r="AB720" i="1" s="1"/>
  <c r="AC720" i="1" s="1"/>
  <c r="X720" i="1" a="1"/>
  <c r="X720" i="1" s="1"/>
  <c r="T704" i="1"/>
  <c r="AB704" i="1" s="1"/>
  <c r="AC704" i="1" s="1"/>
  <c r="X704" i="1" a="1"/>
  <c r="X704" i="1" s="1"/>
  <c r="T688" i="1"/>
  <c r="X688" i="1" a="1"/>
  <c r="X688" i="1" s="1"/>
  <c r="T672" i="1"/>
  <c r="AB672" i="1" s="1"/>
  <c r="AC672" i="1" s="1"/>
  <c r="X672" i="1" a="1"/>
  <c r="X672" i="1" s="1"/>
  <c r="T656" i="1"/>
  <c r="X656" i="1" a="1"/>
  <c r="X656" i="1" s="1"/>
  <c r="T640" i="1"/>
  <c r="AB640" i="1" s="1"/>
  <c r="AC640" i="1" s="1"/>
  <c r="X640" i="1" a="1"/>
  <c r="X640" i="1" s="1"/>
  <c r="T624" i="1"/>
  <c r="AB624" i="1" s="1"/>
  <c r="AC624" i="1" s="1"/>
  <c r="X624" i="1" a="1"/>
  <c r="X624" i="1" s="1"/>
  <c r="T608" i="1"/>
  <c r="AB608" i="1" s="1"/>
  <c r="AC608" i="1" s="1"/>
  <c r="X608" i="1" a="1"/>
  <c r="X608" i="1" s="1"/>
  <c r="T592" i="1"/>
  <c r="AB592" i="1" s="1"/>
  <c r="AC592" i="1" s="1"/>
  <c r="X592" i="1" a="1"/>
  <c r="X592" i="1" s="1"/>
  <c r="T576" i="1"/>
  <c r="AB576" i="1" s="1"/>
  <c r="AC576" i="1" s="1"/>
  <c r="X576" i="1" a="1"/>
  <c r="X576" i="1" s="1"/>
  <c r="T560" i="1"/>
  <c r="AB560" i="1" s="1"/>
  <c r="AC560" i="1" s="1"/>
  <c r="X560" i="1" a="1"/>
  <c r="X560" i="1" s="1"/>
  <c r="T544" i="1"/>
  <c r="AB544" i="1" s="1"/>
  <c r="AC544" i="1" s="1"/>
  <c r="X544" i="1" a="1"/>
  <c r="X544" i="1" s="1"/>
  <c r="T528" i="1"/>
  <c r="X528" i="1" a="1"/>
  <c r="X528" i="1" s="1"/>
  <c r="T512" i="1"/>
  <c r="AB512" i="1" s="1"/>
  <c r="AC512" i="1" s="1"/>
  <c r="X512" i="1" a="1"/>
  <c r="X512" i="1" s="1"/>
  <c r="T496" i="1"/>
  <c r="X496" i="1" a="1"/>
  <c r="X496" i="1" s="1"/>
  <c r="T480" i="1"/>
  <c r="AB480" i="1" s="1"/>
  <c r="AC480" i="1" s="1"/>
  <c r="X480" i="1" a="1"/>
  <c r="X480" i="1" s="1"/>
  <c r="T464" i="1"/>
  <c r="AB464" i="1" s="1"/>
  <c r="AC464" i="1" s="1"/>
  <c r="X464" i="1" a="1"/>
  <c r="X464" i="1" s="1"/>
  <c r="T448" i="1"/>
  <c r="AB448" i="1" s="1"/>
  <c r="AC448" i="1" s="1"/>
  <c r="X448" i="1" a="1"/>
  <c r="X448" i="1" s="1"/>
  <c r="T432" i="1"/>
  <c r="X432" i="1" a="1"/>
  <c r="X432" i="1" s="1"/>
  <c r="T416" i="1"/>
  <c r="AB416" i="1" s="1"/>
  <c r="AC416" i="1" s="1"/>
  <c r="X416" i="1" a="1"/>
  <c r="X416" i="1" s="1"/>
  <c r="T400" i="1"/>
  <c r="AB400" i="1" s="1"/>
  <c r="AC400" i="1" s="1"/>
  <c r="X400" i="1" a="1"/>
  <c r="X400" i="1" s="1"/>
  <c r="T384" i="1"/>
  <c r="AB384" i="1" s="1"/>
  <c r="AC384" i="1" s="1"/>
  <c r="X384" i="1" a="1"/>
  <c r="X384" i="1" s="1"/>
  <c r="T368" i="1"/>
  <c r="AB368" i="1" s="1"/>
  <c r="AC368" i="1" s="1"/>
  <c r="X368" i="1" a="1"/>
  <c r="X368" i="1" s="1"/>
  <c r="T352" i="1"/>
  <c r="AB352" i="1" s="1"/>
  <c r="AC352" i="1" s="1"/>
  <c r="X352" i="1" a="1"/>
  <c r="X352" i="1" s="1"/>
  <c r="T336" i="1"/>
  <c r="AB336" i="1" s="1"/>
  <c r="AC336" i="1" s="1"/>
  <c r="X336" i="1" a="1"/>
  <c r="X336" i="1" s="1"/>
  <c r="T320" i="1"/>
  <c r="AB320" i="1" s="1"/>
  <c r="AC320" i="1" s="1"/>
  <c r="X320" i="1" a="1"/>
  <c r="X320" i="1" s="1"/>
  <c r="T304" i="1"/>
  <c r="AB304" i="1" s="1"/>
  <c r="AC304" i="1" s="1"/>
  <c r="X304" i="1" a="1"/>
  <c r="X304" i="1" s="1"/>
  <c r="T288" i="1"/>
  <c r="AB288" i="1" s="1"/>
  <c r="AC288" i="1" s="1"/>
  <c r="X288" i="1" a="1"/>
  <c r="X288" i="1" s="1"/>
  <c r="T272" i="1"/>
  <c r="X272" i="1" a="1"/>
  <c r="X272" i="1" s="1"/>
  <c r="T256" i="1"/>
  <c r="X256" i="1" a="1"/>
  <c r="X256" i="1" s="1"/>
  <c r="T240" i="1"/>
  <c r="X240" i="1" a="1"/>
  <c r="X240" i="1" s="1"/>
  <c r="T224" i="1"/>
  <c r="AB224" i="1" s="1"/>
  <c r="AC224" i="1" s="1"/>
  <c r="X224" i="1" a="1"/>
  <c r="X224" i="1" s="1"/>
  <c r="T208" i="1"/>
  <c r="AB208" i="1" s="1"/>
  <c r="AC208" i="1" s="1"/>
  <c r="X208" i="1" a="1"/>
  <c r="X208" i="1" s="1"/>
  <c r="T192" i="1"/>
  <c r="AB192" i="1" s="1"/>
  <c r="AC192" i="1" s="1"/>
  <c r="X192" i="1" a="1"/>
  <c r="X192" i="1" s="1"/>
  <c r="T176" i="1"/>
  <c r="X176" i="1" a="1"/>
  <c r="X176" i="1" s="1"/>
  <c r="T160" i="1"/>
  <c r="AB160" i="1" s="1"/>
  <c r="AC160" i="1" s="1"/>
  <c r="X160" i="1" a="1"/>
  <c r="X160" i="1" s="1"/>
  <c r="T144" i="1"/>
  <c r="X144" i="1" a="1"/>
  <c r="X144" i="1" s="1"/>
  <c r="T128" i="1"/>
  <c r="X128" i="1" a="1"/>
  <c r="X128" i="1" s="1"/>
  <c r="T112" i="1"/>
  <c r="X112" i="1" a="1"/>
  <c r="X112" i="1" s="1"/>
  <c r="T96" i="1"/>
  <c r="AB96" i="1" s="1"/>
  <c r="AC96" i="1" s="1"/>
  <c r="X96" i="1" a="1"/>
  <c r="X96" i="1" s="1"/>
  <c r="T80" i="1"/>
  <c r="AB80" i="1" s="1"/>
  <c r="AC80" i="1" s="1"/>
  <c r="X80" i="1" a="1"/>
  <c r="X80" i="1" s="1"/>
  <c r="T64" i="1"/>
  <c r="AB64" i="1" s="1"/>
  <c r="AC64" i="1" s="1"/>
  <c r="X64" i="1" a="1"/>
  <c r="X64" i="1" s="1"/>
  <c r="T48" i="1"/>
  <c r="X48" i="1" a="1"/>
  <c r="X48" i="1" s="1"/>
  <c r="T32" i="1"/>
  <c r="AB32" i="1" s="1"/>
  <c r="AC32" i="1" s="1"/>
  <c r="X32" i="1" a="1"/>
  <c r="X32" i="1" s="1"/>
  <c r="T16" i="1"/>
  <c r="X16" i="1" a="1"/>
  <c r="X16" i="1" s="1"/>
  <c r="T856" i="1"/>
  <c r="X856" i="1" a="1"/>
  <c r="X856" i="1" s="1"/>
  <c r="T839" i="1"/>
  <c r="X839" i="1" a="1"/>
  <c r="X839" i="1" s="1"/>
  <c r="T71" i="1"/>
  <c r="AB71" i="1" s="1"/>
  <c r="AC71" i="1" s="1"/>
  <c r="X71" i="1" a="1"/>
  <c r="X71" i="1" s="1"/>
  <c r="T803" i="1"/>
  <c r="AB803" i="1" s="1"/>
  <c r="AC803" i="1" s="1"/>
  <c r="X803" i="1" a="1"/>
  <c r="X803" i="1" s="1"/>
  <c r="T739" i="1"/>
  <c r="AB739" i="1" s="1"/>
  <c r="AC739" i="1" s="1"/>
  <c r="X739" i="1" a="1"/>
  <c r="X739" i="1" s="1"/>
  <c r="T675" i="1"/>
  <c r="AB675" i="1" s="1"/>
  <c r="AC675" i="1" s="1"/>
  <c r="X675" i="1" a="1"/>
  <c r="X675" i="1" s="1"/>
  <c r="T611" i="1"/>
  <c r="AB611" i="1" s="1"/>
  <c r="AC611" i="1" s="1"/>
  <c r="X611" i="1" a="1"/>
  <c r="X611" i="1" s="1"/>
  <c r="T563" i="1"/>
  <c r="AB563" i="1" s="1"/>
  <c r="AC563" i="1" s="1"/>
  <c r="X563" i="1" a="1"/>
  <c r="X563" i="1" s="1"/>
  <c r="T515" i="1"/>
  <c r="AB515" i="1" s="1"/>
  <c r="AC515" i="1" s="1"/>
  <c r="X515" i="1" a="1"/>
  <c r="X515" i="1" s="1"/>
  <c r="T467" i="1"/>
  <c r="AB467" i="1" s="1"/>
  <c r="AC467" i="1" s="1"/>
  <c r="X467" i="1" a="1"/>
  <c r="X467" i="1" s="1"/>
  <c r="T403" i="1"/>
  <c r="AB403" i="1" s="1"/>
  <c r="AC403" i="1" s="1"/>
  <c r="X403" i="1" a="1"/>
  <c r="X403" i="1" s="1"/>
  <c r="T371" i="1"/>
  <c r="AB371" i="1" s="1"/>
  <c r="AC371" i="1" s="1"/>
  <c r="X371" i="1" a="1"/>
  <c r="X371" i="1" s="1"/>
  <c r="T323" i="1"/>
  <c r="AB323" i="1" s="1"/>
  <c r="AC323" i="1" s="1"/>
  <c r="X323" i="1" a="1"/>
  <c r="X323" i="1" s="1"/>
  <c r="T259" i="1"/>
  <c r="AB259" i="1" s="1"/>
  <c r="AC259" i="1" s="1"/>
  <c r="X259" i="1" a="1"/>
  <c r="X259" i="1" s="1"/>
  <c r="T147" i="1"/>
  <c r="AB147" i="1" s="1"/>
  <c r="AC147" i="1" s="1"/>
  <c r="X147" i="1" a="1"/>
  <c r="X147" i="1" s="1"/>
  <c r="T255" i="1"/>
  <c r="AB255" i="1" s="1"/>
  <c r="AC255" i="1" s="1"/>
  <c r="X255" i="1" a="1"/>
  <c r="X255" i="1" s="1"/>
  <c r="T239" i="1"/>
  <c r="AB239" i="1" s="1"/>
  <c r="AC239" i="1" s="1"/>
  <c r="X239" i="1" a="1"/>
  <c r="X239" i="1" s="1"/>
  <c r="T223" i="1"/>
  <c r="X223" i="1" a="1"/>
  <c r="X223" i="1" s="1"/>
  <c r="T207" i="1"/>
  <c r="AB207" i="1" s="1"/>
  <c r="AC207" i="1" s="1"/>
  <c r="X207" i="1" a="1"/>
  <c r="X207" i="1" s="1"/>
  <c r="T191" i="1"/>
  <c r="AB191" i="1" s="1"/>
  <c r="AC191" i="1" s="1"/>
  <c r="X191" i="1" a="1"/>
  <c r="X191" i="1" s="1"/>
  <c r="T175" i="1"/>
  <c r="AB175" i="1" s="1"/>
  <c r="AC175" i="1" s="1"/>
  <c r="X175" i="1" a="1"/>
  <c r="X175" i="1" s="1"/>
  <c r="T159" i="1"/>
  <c r="X159" i="1" a="1"/>
  <c r="X159" i="1" s="1"/>
  <c r="T143" i="1"/>
  <c r="AB143" i="1" s="1"/>
  <c r="AC143" i="1" s="1"/>
  <c r="X143" i="1" a="1"/>
  <c r="X143" i="1" s="1"/>
  <c r="T127" i="1"/>
  <c r="AB127" i="1" s="1"/>
  <c r="AC127" i="1" s="1"/>
  <c r="X127" i="1" a="1"/>
  <c r="X127" i="1" s="1"/>
  <c r="T111" i="1"/>
  <c r="X111" i="1" a="1"/>
  <c r="X111" i="1" s="1"/>
  <c r="T95" i="1"/>
  <c r="X95" i="1" a="1"/>
  <c r="X95" i="1" s="1"/>
  <c r="T79" i="1"/>
  <c r="AB79" i="1" s="1"/>
  <c r="AC79" i="1" s="1"/>
  <c r="X79" i="1" a="1"/>
  <c r="X79" i="1" s="1"/>
  <c r="T63" i="1"/>
  <c r="AB63" i="1" s="1"/>
  <c r="AC63" i="1" s="1"/>
  <c r="X63" i="1" a="1"/>
  <c r="X63" i="1" s="1"/>
  <c r="T47" i="1"/>
  <c r="AB47" i="1" s="1"/>
  <c r="AC47" i="1" s="1"/>
  <c r="X47" i="1" a="1"/>
  <c r="X47" i="1" s="1"/>
  <c r="T31" i="1"/>
  <c r="X31" i="1" a="1"/>
  <c r="X31" i="1" s="1"/>
  <c r="T15" i="1"/>
  <c r="AB15" i="1" s="1"/>
  <c r="AC15" i="1" s="1"/>
  <c r="X15" i="1" a="1"/>
  <c r="X15" i="1" s="1"/>
  <c r="T855" i="1"/>
  <c r="X855" i="1" a="1"/>
  <c r="X855" i="1" s="1"/>
  <c r="T846" i="1"/>
  <c r="X846" i="1" a="1"/>
  <c r="X846" i="1" s="1"/>
  <c r="T830" i="1"/>
  <c r="X830" i="1" a="1"/>
  <c r="X830" i="1" s="1"/>
  <c r="T814" i="1"/>
  <c r="AB814" i="1" s="1"/>
  <c r="AC814" i="1" s="1"/>
  <c r="X814" i="1" a="1"/>
  <c r="X814" i="1" s="1"/>
  <c r="T798" i="1"/>
  <c r="AB798" i="1" s="1"/>
  <c r="AC798" i="1" s="1"/>
  <c r="X798" i="1" a="1"/>
  <c r="X798" i="1" s="1"/>
  <c r="T782" i="1"/>
  <c r="AB782" i="1" s="1"/>
  <c r="AC782" i="1" s="1"/>
  <c r="X782" i="1" a="1"/>
  <c r="X782" i="1" s="1"/>
  <c r="T766" i="1"/>
  <c r="X766" i="1" a="1"/>
  <c r="X766" i="1" s="1"/>
  <c r="T750" i="1"/>
  <c r="AB750" i="1" s="1"/>
  <c r="AC750" i="1" s="1"/>
  <c r="X750" i="1" a="1"/>
  <c r="X750" i="1" s="1"/>
  <c r="T734" i="1"/>
  <c r="X734" i="1" a="1"/>
  <c r="X734" i="1" s="1"/>
  <c r="T702" i="1"/>
  <c r="X702" i="1" a="1"/>
  <c r="X702" i="1" s="1"/>
  <c r="T686" i="1"/>
  <c r="X686" i="1" a="1"/>
  <c r="X686" i="1" s="1"/>
  <c r="T670" i="1"/>
  <c r="AB670" i="1" s="1"/>
  <c r="AC670" i="1" s="1"/>
  <c r="X670" i="1" a="1"/>
  <c r="X670" i="1" s="1"/>
  <c r="T654" i="1"/>
  <c r="AB654" i="1" s="1"/>
  <c r="AC654" i="1" s="1"/>
  <c r="X654" i="1" a="1"/>
  <c r="X654" i="1" s="1"/>
  <c r="T638" i="1"/>
  <c r="AB638" i="1" s="1"/>
  <c r="AC638" i="1" s="1"/>
  <c r="X638" i="1" a="1"/>
  <c r="X638" i="1" s="1"/>
  <c r="T622" i="1"/>
  <c r="X622" i="1" a="1"/>
  <c r="X622" i="1" s="1"/>
  <c r="T606" i="1"/>
  <c r="AB606" i="1" s="1"/>
  <c r="AC606" i="1" s="1"/>
  <c r="X606" i="1" a="1"/>
  <c r="X606" i="1" s="1"/>
  <c r="T590" i="1"/>
  <c r="X590" i="1" a="1"/>
  <c r="X590" i="1" s="1"/>
  <c r="T574" i="1"/>
  <c r="X574" i="1" a="1"/>
  <c r="X574" i="1" s="1"/>
  <c r="T558" i="1"/>
  <c r="X558" i="1" a="1"/>
  <c r="X558" i="1" s="1"/>
  <c r="T542" i="1"/>
  <c r="AB542" i="1" s="1"/>
  <c r="AC542" i="1" s="1"/>
  <c r="X542" i="1" a="1"/>
  <c r="X542" i="1" s="1"/>
  <c r="T526" i="1"/>
  <c r="AB526" i="1" s="1"/>
  <c r="AC526" i="1" s="1"/>
  <c r="X526" i="1" a="1"/>
  <c r="X526" i="1" s="1"/>
  <c r="T510" i="1"/>
  <c r="AB510" i="1" s="1"/>
  <c r="AC510" i="1" s="1"/>
  <c r="X510" i="1" a="1"/>
  <c r="X510" i="1" s="1"/>
  <c r="T478" i="1"/>
  <c r="AB478" i="1" s="1"/>
  <c r="AC478" i="1" s="1"/>
  <c r="X478" i="1" a="1"/>
  <c r="X478" i="1" s="1"/>
  <c r="T462" i="1"/>
  <c r="AB462" i="1" s="1"/>
  <c r="AC462" i="1" s="1"/>
  <c r="X462" i="1" a="1"/>
  <c r="X462" i="1" s="1"/>
  <c r="T446" i="1"/>
  <c r="X446" i="1" a="1"/>
  <c r="X446" i="1" s="1"/>
  <c r="T430" i="1"/>
  <c r="X430" i="1" a="1"/>
  <c r="X430" i="1" s="1"/>
  <c r="T414" i="1"/>
  <c r="X414" i="1" a="1"/>
  <c r="X414" i="1" s="1"/>
  <c r="T398" i="1"/>
  <c r="AB398" i="1" s="1"/>
  <c r="AC398" i="1" s="1"/>
  <c r="X398" i="1" a="1"/>
  <c r="X398" i="1" s="1"/>
  <c r="T382" i="1"/>
  <c r="AB382" i="1" s="1"/>
  <c r="AC382" i="1" s="1"/>
  <c r="X382" i="1" a="1"/>
  <c r="X382" i="1" s="1"/>
  <c r="T366" i="1"/>
  <c r="AB366" i="1" s="1"/>
  <c r="AC366" i="1" s="1"/>
  <c r="X366" i="1" a="1"/>
  <c r="X366" i="1" s="1"/>
  <c r="T350" i="1"/>
  <c r="AB350" i="1" s="1"/>
  <c r="AC350" i="1" s="1"/>
  <c r="X350" i="1" a="1"/>
  <c r="X350" i="1" s="1"/>
  <c r="T318" i="1"/>
  <c r="AB318" i="1" s="1"/>
  <c r="AC318" i="1" s="1"/>
  <c r="X318" i="1" a="1"/>
  <c r="X318" i="1" s="1"/>
  <c r="T302" i="1"/>
  <c r="AB302" i="1" s="1"/>
  <c r="AC302" i="1" s="1"/>
  <c r="X302" i="1" a="1"/>
  <c r="X302" i="1" s="1"/>
  <c r="T286" i="1"/>
  <c r="AB286" i="1" s="1"/>
  <c r="AC286" i="1" s="1"/>
  <c r="X286" i="1" a="1"/>
  <c r="X286" i="1" s="1"/>
  <c r="T270" i="1"/>
  <c r="X270" i="1" a="1"/>
  <c r="X270" i="1" s="1"/>
  <c r="T254" i="1"/>
  <c r="AB254" i="1" s="1"/>
  <c r="AC254" i="1" s="1"/>
  <c r="X254" i="1" a="1"/>
  <c r="X254" i="1" s="1"/>
  <c r="T206" i="1"/>
  <c r="AB206" i="1" s="1"/>
  <c r="AC206" i="1" s="1"/>
  <c r="X206" i="1" a="1"/>
  <c r="X206" i="1" s="1"/>
  <c r="T190" i="1"/>
  <c r="AB190" i="1" s="1"/>
  <c r="AC190" i="1" s="1"/>
  <c r="X190" i="1" a="1"/>
  <c r="X190" i="1" s="1"/>
  <c r="T142" i="1"/>
  <c r="X142" i="1" a="1"/>
  <c r="X142" i="1" s="1"/>
  <c r="T110" i="1"/>
  <c r="AB110" i="1" s="1"/>
  <c r="AC110" i="1" s="1"/>
  <c r="X110" i="1" a="1"/>
  <c r="X110" i="1" s="1"/>
  <c r="T94" i="1"/>
  <c r="X94" i="1" a="1"/>
  <c r="X94" i="1" s="1"/>
  <c r="T78" i="1"/>
  <c r="X78" i="1" a="1"/>
  <c r="X78" i="1" s="1"/>
  <c r="T62" i="1"/>
  <c r="X62" i="1" a="1"/>
  <c r="X62" i="1" s="1"/>
  <c r="T46" i="1"/>
  <c r="AB46" i="1" s="1"/>
  <c r="AC46" i="1" s="1"/>
  <c r="X46" i="1" a="1"/>
  <c r="X46" i="1" s="1"/>
  <c r="T30" i="1"/>
  <c r="AB30" i="1" s="1"/>
  <c r="AC30" i="1" s="1"/>
  <c r="X30" i="1" a="1"/>
  <c r="X30" i="1" s="1"/>
  <c r="T14" i="1"/>
  <c r="AB14" i="1" s="1"/>
  <c r="AC14" i="1" s="1"/>
  <c r="X14" i="1" a="1"/>
  <c r="X14" i="1" s="1"/>
  <c r="T854" i="1"/>
  <c r="AB854" i="1" s="1"/>
  <c r="AC854" i="1" s="1"/>
  <c r="X854" i="1" a="1"/>
  <c r="X854" i="1" s="1"/>
  <c r="T845" i="1"/>
  <c r="AB845" i="1" s="1"/>
  <c r="AC845" i="1" s="1"/>
  <c r="X845" i="1" a="1"/>
  <c r="X845" i="1" s="1"/>
  <c r="T829" i="1"/>
  <c r="X829" i="1" a="1"/>
  <c r="X829" i="1" s="1"/>
  <c r="T813" i="1"/>
  <c r="X813" i="1" a="1"/>
  <c r="X813" i="1" s="1"/>
  <c r="T797" i="1"/>
  <c r="X797" i="1" a="1"/>
  <c r="X797" i="1" s="1"/>
  <c r="T781" i="1"/>
  <c r="AB781" i="1" s="1"/>
  <c r="AC781" i="1" s="1"/>
  <c r="X781" i="1" a="1"/>
  <c r="X781" i="1" s="1"/>
  <c r="T765" i="1"/>
  <c r="AB765" i="1" s="1"/>
  <c r="AC765" i="1" s="1"/>
  <c r="X765" i="1" a="1"/>
  <c r="X765" i="1" s="1"/>
  <c r="T749" i="1"/>
  <c r="AB749" i="1" s="1"/>
  <c r="AC749" i="1" s="1"/>
  <c r="X749" i="1" a="1"/>
  <c r="X749" i="1" s="1"/>
  <c r="T733" i="1"/>
  <c r="X733" i="1" a="1"/>
  <c r="X733" i="1" s="1"/>
  <c r="T717" i="1"/>
  <c r="AB717" i="1" s="1"/>
  <c r="AC717" i="1" s="1"/>
  <c r="X717" i="1" a="1"/>
  <c r="X717" i="1" s="1"/>
  <c r="T701" i="1"/>
  <c r="X701" i="1" a="1"/>
  <c r="X701" i="1" s="1"/>
  <c r="T685" i="1"/>
  <c r="X685" i="1" a="1"/>
  <c r="X685" i="1" s="1"/>
  <c r="T669" i="1"/>
  <c r="X669" i="1" a="1"/>
  <c r="X669" i="1" s="1"/>
  <c r="T653" i="1"/>
  <c r="AB653" i="1" s="1"/>
  <c r="AC653" i="1" s="1"/>
  <c r="X653" i="1" a="1"/>
  <c r="X653" i="1" s="1"/>
  <c r="T637" i="1"/>
  <c r="AB637" i="1" s="1"/>
  <c r="AC637" i="1" s="1"/>
  <c r="X637" i="1" a="1"/>
  <c r="X637" i="1" s="1"/>
  <c r="T621" i="1"/>
  <c r="AB621" i="1" s="1"/>
  <c r="AC621" i="1" s="1"/>
  <c r="X621" i="1" a="1"/>
  <c r="X621" i="1" s="1"/>
  <c r="T605" i="1"/>
  <c r="AB605" i="1" s="1"/>
  <c r="AC605" i="1" s="1"/>
  <c r="X605" i="1" a="1"/>
  <c r="X605" i="1" s="1"/>
  <c r="T589" i="1"/>
  <c r="AB589" i="1" s="1"/>
  <c r="AC589" i="1" s="1"/>
  <c r="X589" i="1" a="1"/>
  <c r="X589" i="1" s="1"/>
  <c r="T573" i="1"/>
  <c r="X573" i="1" a="1"/>
  <c r="X573" i="1" s="1"/>
  <c r="T557" i="1"/>
  <c r="X557" i="1" a="1"/>
  <c r="X557" i="1" s="1"/>
  <c r="T541" i="1"/>
  <c r="X541" i="1" a="1"/>
  <c r="X541" i="1" s="1"/>
  <c r="T525" i="1"/>
  <c r="AB525" i="1" s="1"/>
  <c r="AC525" i="1" s="1"/>
  <c r="X525" i="1" a="1"/>
  <c r="X525" i="1" s="1"/>
  <c r="T509" i="1"/>
  <c r="AB509" i="1" s="1"/>
  <c r="AC509" i="1" s="1"/>
  <c r="X509" i="1" a="1"/>
  <c r="X509" i="1" s="1"/>
  <c r="T493" i="1"/>
  <c r="AB493" i="1" s="1"/>
  <c r="AC493" i="1" s="1"/>
  <c r="X493" i="1" a="1"/>
  <c r="X493" i="1" s="1"/>
  <c r="T477" i="1"/>
  <c r="AB477" i="1" s="1"/>
  <c r="AC477" i="1" s="1"/>
  <c r="X477" i="1" a="1"/>
  <c r="X477" i="1" s="1"/>
  <c r="T461" i="1"/>
  <c r="AB461" i="1" s="1"/>
  <c r="AC461" i="1" s="1"/>
  <c r="X461" i="1" a="1"/>
  <c r="X461" i="1" s="1"/>
  <c r="T445" i="1"/>
  <c r="AB445" i="1" s="1"/>
  <c r="AC445" i="1" s="1"/>
  <c r="X445" i="1" a="1"/>
  <c r="X445" i="1" s="1"/>
  <c r="T429" i="1"/>
  <c r="X429" i="1" a="1"/>
  <c r="X429" i="1" s="1"/>
  <c r="T413" i="1"/>
  <c r="X413" i="1" a="1"/>
  <c r="X413" i="1" s="1"/>
  <c r="T397" i="1"/>
  <c r="AB397" i="1" s="1"/>
  <c r="AC397" i="1" s="1"/>
  <c r="X397" i="1" a="1"/>
  <c r="X397" i="1" s="1"/>
  <c r="T381" i="1"/>
  <c r="AB381" i="1" s="1"/>
  <c r="AC381" i="1" s="1"/>
  <c r="X381" i="1" a="1"/>
  <c r="X381" i="1" s="1"/>
  <c r="T365" i="1"/>
  <c r="AB365" i="1" s="1"/>
  <c r="AC365" i="1" s="1"/>
  <c r="X365" i="1" a="1"/>
  <c r="X365" i="1" s="1"/>
  <c r="T349" i="1"/>
  <c r="AB349" i="1" s="1"/>
  <c r="AC349" i="1" s="1"/>
  <c r="X349" i="1" a="1"/>
  <c r="X349" i="1" s="1"/>
  <c r="T333" i="1"/>
  <c r="AB333" i="1" s="1"/>
  <c r="AC333" i="1" s="1"/>
  <c r="X333" i="1" a="1"/>
  <c r="X333" i="1" s="1"/>
  <c r="T317" i="1"/>
  <c r="X317" i="1" a="1"/>
  <c r="X317" i="1" s="1"/>
  <c r="T301" i="1"/>
  <c r="X301" i="1" a="1"/>
  <c r="X301" i="1" s="1"/>
  <c r="T285" i="1"/>
  <c r="X285" i="1" a="1"/>
  <c r="X285" i="1" s="1"/>
  <c r="T269" i="1"/>
  <c r="AB269" i="1" s="1"/>
  <c r="AC269" i="1" s="1"/>
  <c r="X269" i="1" a="1"/>
  <c r="X269" i="1" s="1"/>
  <c r="T253" i="1"/>
  <c r="AB253" i="1" s="1"/>
  <c r="AC253" i="1" s="1"/>
  <c r="X253" i="1" a="1"/>
  <c r="X253" i="1" s="1"/>
  <c r="T237" i="1"/>
  <c r="AB237" i="1" s="1"/>
  <c r="AC237" i="1" s="1"/>
  <c r="X237" i="1" a="1"/>
  <c r="X237" i="1" s="1"/>
  <c r="T221" i="1"/>
  <c r="AB221" i="1" s="1"/>
  <c r="AC221" i="1" s="1"/>
  <c r="X221" i="1" a="1"/>
  <c r="X221" i="1" s="1"/>
  <c r="T205" i="1"/>
  <c r="AB205" i="1" s="1"/>
  <c r="AC205" i="1" s="1"/>
  <c r="X205" i="1" a="1"/>
  <c r="X205" i="1" s="1"/>
  <c r="T189" i="1"/>
  <c r="X189" i="1" a="1"/>
  <c r="X189" i="1" s="1"/>
  <c r="T173" i="1"/>
  <c r="AB173" i="1" s="1"/>
  <c r="AC173" i="1" s="1"/>
  <c r="X173" i="1" a="1"/>
  <c r="X173" i="1" s="1"/>
  <c r="T157" i="1"/>
  <c r="X157" i="1" a="1"/>
  <c r="X157" i="1" s="1"/>
  <c r="T141" i="1"/>
  <c r="AB141" i="1" s="1"/>
  <c r="AC141" i="1" s="1"/>
  <c r="X141" i="1" a="1"/>
  <c r="X141" i="1" s="1"/>
  <c r="T125" i="1"/>
  <c r="AB125" i="1" s="1"/>
  <c r="AC125" i="1" s="1"/>
  <c r="X125" i="1" a="1"/>
  <c r="X125" i="1" s="1"/>
  <c r="T109" i="1"/>
  <c r="AB109" i="1" s="1"/>
  <c r="AC109" i="1" s="1"/>
  <c r="X109" i="1" a="1"/>
  <c r="X109" i="1" s="1"/>
  <c r="T93" i="1"/>
  <c r="AB93" i="1" s="1"/>
  <c r="AC93" i="1" s="1"/>
  <c r="X93" i="1" a="1"/>
  <c r="X93" i="1" s="1"/>
  <c r="T77" i="1"/>
  <c r="AB77" i="1" s="1"/>
  <c r="AC77" i="1" s="1"/>
  <c r="X77" i="1" a="1"/>
  <c r="X77" i="1" s="1"/>
  <c r="T61" i="1"/>
  <c r="X61" i="1" a="1"/>
  <c r="X61" i="1" s="1"/>
  <c r="T45" i="1"/>
  <c r="X45" i="1" a="1"/>
  <c r="X45" i="1" s="1"/>
  <c r="T29" i="1"/>
  <c r="X29" i="1" a="1"/>
  <c r="X29" i="1" s="1"/>
  <c r="T13" i="1"/>
  <c r="AB13" i="1" s="1"/>
  <c r="AC13" i="1" s="1"/>
  <c r="X13" i="1" a="1"/>
  <c r="X13" i="1" s="1"/>
  <c r="T853" i="1"/>
  <c r="AB853" i="1" s="1"/>
  <c r="AC853" i="1" s="1"/>
  <c r="X853" i="1" a="1"/>
  <c r="X853" i="1" s="1"/>
  <c r="T12" i="1"/>
  <c r="AB12" i="1" s="1"/>
  <c r="AC12" i="1" s="1"/>
  <c r="X12" i="1" a="1"/>
  <c r="X12" i="1" s="1"/>
  <c r="T852" i="1"/>
  <c r="AB852" i="1" s="1"/>
  <c r="AC852" i="1" s="1"/>
  <c r="X852" i="1" a="1"/>
  <c r="X852" i="1" s="1"/>
  <c r="C44" i="11"/>
  <c r="E45" i="11" s="1"/>
  <c r="E55" i="11"/>
  <c r="T842" i="1"/>
  <c r="AB842" i="1" s="1"/>
  <c r="AC842" i="1" s="1"/>
  <c r="T826" i="1"/>
  <c r="AB826" i="1" s="1"/>
  <c r="AC826" i="1" s="1"/>
  <c r="T810" i="1"/>
  <c r="AB810" i="1" s="1"/>
  <c r="AC810" i="1" s="1"/>
  <c r="T794" i="1"/>
  <c r="AB794" i="1" s="1"/>
  <c r="AC794" i="1" s="1"/>
  <c r="T778" i="1"/>
  <c r="AB778" i="1" s="1"/>
  <c r="AC778" i="1" s="1"/>
  <c r="T762" i="1"/>
  <c r="AB762" i="1" s="1"/>
  <c r="AC762" i="1" s="1"/>
  <c r="T746" i="1"/>
  <c r="AB746" i="1" s="1"/>
  <c r="AC746" i="1" s="1"/>
  <c r="T730" i="1"/>
  <c r="AB730" i="1" s="1"/>
  <c r="AC730" i="1" s="1"/>
  <c r="T714" i="1"/>
  <c r="AB714" i="1" s="1"/>
  <c r="AC714" i="1" s="1"/>
  <c r="T698" i="1"/>
  <c r="AB698" i="1" s="1"/>
  <c r="AC698" i="1" s="1"/>
  <c r="T682" i="1"/>
  <c r="AB682" i="1" s="1"/>
  <c r="AC682" i="1" s="1"/>
  <c r="T666" i="1"/>
  <c r="AB666" i="1" s="1"/>
  <c r="AC666" i="1" s="1"/>
  <c r="T650" i="1"/>
  <c r="AB650" i="1" s="1"/>
  <c r="AC650" i="1" s="1"/>
  <c r="T634" i="1"/>
  <c r="AB634" i="1" s="1"/>
  <c r="AC634" i="1" s="1"/>
  <c r="T618" i="1"/>
  <c r="AB618" i="1" s="1"/>
  <c r="AC618" i="1" s="1"/>
  <c r="T602" i="1"/>
  <c r="AB602" i="1" s="1"/>
  <c r="AC602" i="1" s="1"/>
  <c r="T586" i="1"/>
  <c r="AB586" i="1" s="1"/>
  <c r="AC586" i="1" s="1"/>
  <c r="T570" i="1"/>
  <c r="AB570" i="1" s="1"/>
  <c r="AC570" i="1" s="1"/>
  <c r="T554" i="1"/>
  <c r="AB554" i="1" s="1"/>
  <c r="AC554" i="1" s="1"/>
  <c r="T538" i="1"/>
  <c r="AB538" i="1" s="1"/>
  <c r="AC538" i="1" s="1"/>
  <c r="T522" i="1"/>
  <c r="AB522" i="1" s="1"/>
  <c r="AC522" i="1" s="1"/>
  <c r="T506" i="1"/>
  <c r="AB506" i="1" s="1"/>
  <c r="AC506" i="1" s="1"/>
  <c r="T490" i="1"/>
  <c r="AB490" i="1" s="1"/>
  <c r="AC490" i="1" s="1"/>
  <c r="T474" i="1"/>
  <c r="AB474" i="1" s="1"/>
  <c r="AC474" i="1" s="1"/>
  <c r="T458" i="1"/>
  <c r="AB458" i="1" s="1"/>
  <c r="AC458" i="1" s="1"/>
  <c r="T442" i="1"/>
  <c r="AB442" i="1" s="1"/>
  <c r="AC442" i="1" s="1"/>
  <c r="T426" i="1"/>
  <c r="AB426" i="1" s="1"/>
  <c r="AC426" i="1" s="1"/>
  <c r="T410" i="1"/>
  <c r="AB410" i="1" s="1"/>
  <c r="AC410" i="1" s="1"/>
  <c r="T394" i="1"/>
  <c r="AB394" i="1" s="1"/>
  <c r="AC394" i="1" s="1"/>
  <c r="T378" i="1"/>
  <c r="AB378" i="1" s="1"/>
  <c r="AC378" i="1" s="1"/>
  <c r="T362" i="1"/>
  <c r="AB362" i="1" s="1"/>
  <c r="AC362" i="1" s="1"/>
  <c r="T346" i="1"/>
  <c r="AB346" i="1" s="1"/>
  <c r="AC346" i="1" s="1"/>
  <c r="T330" i="1"/>
  <c r="AB330" i="1" s="1"/>
  <c r="AC330" i="1" s="1"/>
  <c r="T314" i="1"/>
  <c r="AB314" i="1" s="1"/>
  <c r="AC314" i="1" s="1"/>
  <c r="T298" i="1"/>
  <c r="AB298" i="1" s="1"/>
  <c r="AC298" i="1" s="1"/>
  <c r="T282" i="1"/>
  <c r="AB282" i="1" s="1"/>
  <c r="AC282" i="1" s="1"/>
  <c r="T266" i="1"/>
  <c r="AB266" i="1" s="1"/>
  <c r="AC266" i="1" s="1"/>
  <c r="T250" i="1"/>
  <c r="AB250" i="1" s="1"/>
  <c r="AC250" i="1" s="1"/>
  <c r="T234" i="1"/>
  <c r="AB234" i="1" s="1"/>
  <c r="AC234" i="1" s="1"/>
  <c r="T218" i="1"/>
  <c r="AB218" i="1" s="1"/>
  <c r="AC218" i="1" s="1"/>
  <c r="T202" i="1"/>
  <c r="AB202" i="1" s="1"/>
  <c r="AC202" i="1" s="1"/>
  <c r="T186" i="1"/>
  <c r="AB186" i="1" s="1"/>
  <c r="AC186" i="1" s="1"/>
  <c r="T170" i="1"/>
  <c r="AB170" i="1" s="1"/>
  <c r="AC170" i="1" s="1"/>
  <c r="T154" i="1"/>
  <c r="AB154" i="1" s="1"/>
  <c r="AC154" i="1" s="1"/>
  <c r="T138" i="1"/>
  <c r="AB138" i="1" s="1"/>
  <c r="AC138" i="1" s="1"/>
  <c r="T122" i="1"/>
  <c r="AB122" i="1" s="1"/>
  <c r="AC122" i="1" s="1"/>
  <c r="T106" i="1"/>
  <c r="AB106" i="1" s="1"/>
  <c r="AC106" i="1" s="1"/>
  <c r="T90" i="1"/>
  <c r="AB90" i="1" s="1"/>
  <c r="AC90" i="1" s="1"/>
  <c r="T74" i="1"/>
  <c r="AB74" i="1" s="1"/>
  <c r="AC74" i="1" s="1"/>
  <c r="T58" i="1"/>
  <c r="AB58" i="1" s="1"/>
  <c r="AC58" i="1" s="1"/>
  <c r="T42" i="1"/>
  <c r="AB42" i="1" s="1"/>
  <c r="AC42" i="1" s="1"/>
  <c r="T26" i="1"/>
  <c r="AB26" i="1" s="1"/>
  <c r="AC26" i="1" s="1"/>
  <c r="T10" i="1"/>
  <c r="AB10" i="1" s="1"/>
  <c r="AC10" i="1" s="1"/>
  <c r="U792" i="1"/>
  <c r="V792" i="1"/>
  <c r="V760" i="1"/>
  <c r="U744" i="1"/>
  <c r="V744" i="1"/>
  <c r="U728" i="1"/>
  <c r="T536" i="1"/>
  <c r="AB536" i="1" s="1"/>
  <c r="AC536" i="1" s="1"/>
  <c r="T520" i="1"/>
  <c r="AB520" i="1" s="1"/>
  <c r="AC520" i="1" s="1"/>
  <c r="T504" i="1"/>
  <c r="AB504" i="1" s="1"/>
  <c r="AC504" i="1" s="1"/>
  <c r="T488" i="1"/>
  <c r="AB488" i="1" s="1"/>
  <c r="AC488" i="1" s="1"/>
  <c r="T472" i="1"/>
  <c r="AB472" i="1" s="1"/>
  <c r="AC472" i="1" s="1"/>
  <c r="T456" i="1"/>
  <c r="T440" i="1"/>
  <c r="T424" i="1"/>
  <c r="T408" i="1"/>
  <c r="T392" i="1"/>
  <c r="T376" i="1"/>
  <c r="AB376" i="1" s="1"/>
  <c r="AC376" i="1" s="1"/>
  <c r="T360" i="1"/>
  <c r="AB360" i="1" s="1"/>
  <c r="AC360" i="1" s="1"/>
  <c r="T344" i="1"/>
  <c r="AB344" i="1" s="1"/>
  <c r="AC344" i="1" s="1"/>
  <c r="T328" i="1"/>
  <c r="AB328" i="1" s="1"/>
  <c r="AC328" i="1" s="1"/>
  <c r="T312" i="1"/>
  <c r="AB312" i="1" s="1"/>
  <c r="AC312" i="1" s="1"/>
  <c r="T296" i="1"/>
  <c r="T280" i="1"/>
  <c r="AB280" i="1" s="1"/>
  <c r="AC280" i="1" s="1"/>
  <c r="T264" i="1"/>
  <c r="T248" i="1"/>
  <c r="AB248" i="1" s="1"/>
  <c r="AC248" i="1" s="1"/>
  <c r="T232" i="1"/>
  <c r="AB232" i="1" s="1"/>
  <c r="AC232" i="1" s="1"/>
  <c r="T216" i="1"/>
  <c r="AB216" i="1" s="1"/>
  <c r="AC216" i="1" s="1"/>
  <c r="T200" i="1"/>
  <c r="T184" i="1"/>
  <c r="AB184" i="1" s="1"/>
  <c r="AC184" i="1" s="1"/>
  <c r="T168" i="1"/>
  <c r="T152" i="1"/>
  <c r="T136" i="1"/>
  <c r="T120" i="1"/>
  <c r="AB120" i="1" s="1"/>
  <c r="AC120" i="1" s="1"/>
  <c r="T104" i="1"/>
  <c r="AB104" i="1" s="1"/>
  <c r="AC104" i="1" s="1"/>
  <c r="T88" i="1"/>
  <c r="AB88" i="1" s="1"/>
  <c r="AC88" i="1" s="1"/>
  <c r="T72" i="1"/>
  <c r="AB72" i="1" s="1"/>
  <c r="AC72" i="1" s="1"/>
  <c r="T56" i="1"/>
  <c r="AB56" i="1" s="1"/>
  <c r="AC56" i="1" s="1"/>
  <c r="T40" i="1"/>
  <c r="T24" i="1"/>
  <c r="AB24" i="1" s="1"/>
  <c r="AC24" i="1" s="1"/>
  <c r="T8" i="1"/>
  <c r="V377" i="1"/>
  <c r="V185" i="1"/>
  <c r="V25" i="1"/>
  <c r="V599" i="1"/>
  <c r="U583" i="1"/>
  <c r="U295" i="1"/>
  <c r="T838" i="1"/>
  <c r="AB838" i="1" s="1"/>
  <c r="AC838" i="1" s="1"/>
  <c r="T822" i="1"/>
  <c r="AB822" i="1" s="1"/>
  <c r="AC822" i="1" s="1"/>
  <c r="T806" i="1"/>
  <c r="T790" i="1"/>
  <c r="AB790" i="1" s="1"/>
  <c r="AC790" i="1" s="1"/>
  <c r="T774" i="1"/>
  <c r="AB774" i="1" s="1"/>
  <c r="AC774" i="1" s="1"/>
  <c r="T758" i="1"/>
  <c r="AB758" i="1" s="1"/>
  <c r="AC758" i="1" s="1"/>
  <c r="T742" i="1"/>
  <c r="AB742" i="1" s="1"/>
  <c r="AC742" i="1" s="1"/>
  <c r="T726" i="1"/>
  <c r="T710" i="1"/>
  <c r="T694" i="1"/>
  <c r="AB694" i="1" s="1"/>
  <c r="AC694" i="1" s="1"/>
  <c r="T678" i="1"/>
  <c r="AB678" i="1" s="1"/>
  <c r="AC678" i="1" s="1"/>
  <c r="T662" i="1"/>
  <c r="AB662" i="1" s="1"/>
  <c r="AC662" i="1" s="1"/>
  <c r="T646" i="1"/>
  <c r="T630" i="1"/>
  <c r="T614" i="1"/>
  <c r="AB614" i="1" s="1"/>
  <c r="AC614" i="1" s="1"/>
  <c r="T598" i="1"/>
  <c r="T582" i="1"/>
  <c r="AB582" i="1" s="1"/>
  <c r="AC582" i="1" s="1"/>
  <c r="T566" i="1"/>
  <c r="AB566" i="1" s="1"/>
  <c r="AC566" i="1" s="1"/>
  <c r="T550" i="1"/>
  <c r="AB550" i="1" s="1"/>
  <c r="AC550" i="1" s="1"/>
  <c r="T534" i="1"/>
  <c r="T518" i="1"/>
  <c r="T502" i="1"/>
  <c r="AB502" i="1" s="1"/>
  <c r="AC502" i="1" s="1"/>
  <c r="T486" i="1"/>
  <c r="AB486" i="1" s="1"/>
  <c r="AC486" i="1" s="1"/>
  <c r="T470" i="1"/>
  <c r="T454" i="1"/>
  <c r="AB454" i="1" s="1"/>
  <c r="AC454" i="1" s="1"/>
  <c r="T438" i="1"/>
  <c r="AB438" i="1" s="1"/>
  <c r="AC438" i="1" s="1"/>
  <c r="T422" i="1"/>
  <c r="T406" i="1"/>
  <c r="AB406" i="1" s="1"/>
  <c r="AC406" i="1" s="1"/>
  <c r="T390" i="1"/>
  <c r="T374" i="1"/>
  <c r="T358" i="1"/>
  <c r="T342" i="1"/>
  <c r="AB342" i="1" s="1"/>
  <c r="AC342" i="1" s="1"/>
  <c r="T326" i="1"/>
  <c r="AB326" i="1" s="1"/>
  <c r="AC326" i="1" s="1"/>
  <c r="T310" i="1"/>
  <c r="AB310" i="1" s="1"/>
  <c r="AC310" i="1" s="1"/>
  <c r="T294" i="1"/>
  <c r="AB294" i="1" s="1"/>
  <c r="AC294" i="1" s="1"/>
  <c r="T278" i="1"/>
  <c r="AB278" i="1" s="1"/>
  <c r="AC278" i="1" s="1"/>
  <c r="T262" i="1"/>
  <c r="AB262" i="1" s="1"/>
  <c r="AC262" i="1" s="1"/>
  <c r="T246" i="1"/>
  <c r="AB246" i="1" s="1"/>
  <c r="AC246" i="1" s="1"/>
  <c r="T230" i="1"/>
  <c r="AB230" i="1" s="1"/>
  <c r="AC230" i="1" s="1"/>
  <c r="T214" i="1"/>
  <c r="AB214" i="1" s="1"/>
  <c r="AC214" i="1" s="1"/>
  <c r="T198" i="1"/>
  <c r="T182" i="1"/>
  <c r="AB182" i="1" s="1"/>
  <c r="AC182" i="1" s="1"/>
  <c r="T166" i="1"/>
  <c r="AB166" i="1" s="1"/>
  <c r="AC166" i="1" s="1"/>
  <c r="T150" i="1"/>
  <c r="AB150" i="1" s="1"/>
  <c r="AC150" i="1" s="1"/>
  <c r="T134" i="1"/>
  <c r="T118" i="1"/>
  <c r="T102" i="1"/>
  <c r="T86" i="1"/>
  <c r="T70" i="1"/>
  <c r="T54" i="1"/>
  <c r="AB54" i="1" s="1"/>
  <c r="AC54" i="1" s="1"/>
  <c r="T38" i="1"/>
  <c r="AB38" i="1" s="1"/>
  <c r="AC38" i="1" s="1"/>
  <c r="T22" i="1"/>
  <c r="AB22" i="1" s="1"/>
  <c r="AC22" i="1" s="1"/>
  <c r="T6" i="1"/>
  <c r="U761" i="1"/>
  <c r="V761" i="1"/>
  <c r="V665" i="1"/>
  <c r="U821" i="1"/>
  <c r="V741" i="1"/>
  <c r="U405" i="1"/>
  <c r="V53" i="1"/>
  <c r="U53" i="1"/>
  <c r="V37" i="1"/>
  <c r="T836" i="1"/>
  <c r="T820" i="1"/>
  <c r="AB820" i="1" s="1"/>
  <c r="AC820" i="1" s="1"/>
  <c r="T804" i="1"/>
  <c r="T788" i="1"/>
  <c r="AB788" i="1" s="1"/>
  <c r="AC788" i="1" s="1"/>
  <c r="T772" i="1"/>
  <c r="AB772" i="1" s="1"/>
  <c r="AC772" i="1" s="1"/>
  <c r="T756" i="1"/>
  <c r="AB756" i="1" s="1"/>
  <c r="AC756" i="1" s="1"/>
  <c r="T740" i="1"/>
  <c r="AB740" i="1" s="1"/>
  <c r="AC740" i="1" s="1"/>
  <c r="T724" i="1"/>
  <c r="AB724" i="1" s="1"/>
  <c r="AC724" i="1" s="1"/>
  <c r="T708" i="1"/>
  <c r="T692" i="1"/>
  <c r="T676" i="1"/>
  <c r="T660" i="1"/>
  <c r="AB660" i="1" s="1"/>
  <c r="AC660" i="1" s="1"/>
  <c r="T644" i="1"/>
  <c r="AB644" i="1" s="1"/>
  <c r="AC644" i="1" s="1"/>
  <c r="T628" i="1"/>
  <c r="AB628" i="1" s="1"/>
  <c r="AC628" i="1" s="1"/>
  <c r="T612" i="1"/>
  <c r="AB612" i="1" s="1"/>
  <c r="AC612" i="1" s="1"/>
  <c r="T596" i="1"/>
  <c r="AB596" i="1" s="1"/>
  <c r="AC596" i="1" s="1"/>
  <c r="T580" i="1"/>
  <c r="T564" i="1"/>
  <c r="V565" i="1" s="1"/>
  <c r="T548" i="1"/>
  <c r="T532" i="1"/>
  <c r="U533" i="1" s="1"/>
  <c r="T516" i="1"/>
  <c r="T500" i="1"/>
  <c r="AB500" i="1" s="1"/>
  <c r="AC500" i="1" s="1"/>
  <c r="T484" i="1"/>
  <c r="AB484" i="1" s="1"/>
  <c r="AC484" i="1" s="1"/>
  <c r="T468" i="1"/>
  <c r="AB468" i="1" s="1"/>
  <c r="AC468" i="1" s="1"/>
  <c r="T452" i="1"/>
  <c r="AB452" i="1" s="1"/>
  <c r="AC452" i="1" s="1"/>
  <c r="T436" i="1"/>
  <c r="AB436" i="1" s="1"/>
  <c r="AC436" i="1" s="1"/>
  <c r="T420" i="1"/>
  <c r="T404" i="1"/>
  <c r="AB404" i="1" s="1"/>
  <c r="AC404" i="1" s="1"/>
  <c r="T388" i="1"/>
  <c r="AB388" i="1" s="1"/>
  <c r="AC388" i="1" s="1"/>
  <c r="T372" i="1"/>
  <c r="AB372" i="1" s="1"/>
  <c r="AC372" i="1" s="1"/>
  <c r="T356" i="1"/>
  <c r="AB356" i="1" s="1"/>
  <c r="AC356" i="1" s="1"/>
  <c r="T340" i="1"/>
  <c r="AB340" i="1" s="1"/>
  <c r="AC340" i="1" s="1"/>
  <c r="T324" i="1"/>
  <c r="T308" i="1"/>
  <c r="T292" i="1"/>
  <c r="T276" i="1"/>
  <c r="T260" i="1"/>
  <c r="T244" i="1"/>
  <c r="AB244" i="1" s="1"/>
  <c r="AC244" i="1" s="1"/>
  <c r="T228" i="1"/>
  <c r="AB228" i="1" s="1"/>
  <c r="AC228" i="1" s="1"/>
  <c r="T212" i="1"/>
  <c r="AB212" i="1" s="1"/>
  <c r="AC212" i="1" s="1"/>
  <c r="T196" i="1"/>
  <c r="T180" i="1"/>
  <c r="T164" i="1"/>
  <c r="T148" i="1"/>
  <c r="T132" i="1"/>
  <c r="AB132" i="1" s="1"/>
  <c r="AC132" i="1" s="1"/>
  <c r="T116" i="1"/>
  <c r="T100" i="1"/>
  <c r="T84" i="1"/>
  <c r="T68" i="1"/>
  <c r="T52" i="1"/>
  <c r="AB52" i="1" s="1"/>
  <c r="AC52" i="1" s="1"/>
  <c r="T36" i="1"/>
  <c r="T20" i="1"/>
  <c r="T860" i="1"/>
  <c r="AB860" i="1" s="1"/>
  <c r="AC860" i="1" s="1"/>
  <c r="U649" i="1"/>
  <c r="V649" i="1"/>
  <c r="V569" i="1"/>
  <c r="U569" i="1"/>
  <c r="U489" i="1"/>
  <c r="V804" i="1"/>
  <c r="U803" i="1"/>
  <c r="V803" i="1"/>
  <c r="V563" i="1"/>
  <c r="V859" i="1"/>
  <c r="T850" i="1"/>
  <c r="AB850" i="1" s="1"/>
  <c r="AC850" i="1" s="1"/>
  <c r="T834" i="1"/>
  <c r="T818" i="1"/>
  <c r="AB818" i="1" s="1"/>
  <c r="AC818" i="1" s="1"/>
  <c r="T802" i="1"/>
  <c r="AB802" i="1" s="1"/>
  <c r="AC802" i="1" s="1"/>
  <c r="T786" i="1"/>
  <c r="AB786" i="1" s="1"/>
  <c r="AC786" i="1" s="1"/>
  <c r="T770" i="1"/>
  <c r="AB770" i="1" s="1"/>
  <c r="AC770" i="1" s="1"/>
  <c r="T754" i="1"/>
  <c r="AB754" i="1" s="1"/>
  <c r="AC754" i="1" s="1"/>
  <c r="T738" i="1"/>
  <c r="T722" i="1"/>
  <c r="T706" i="1"/>
  <c r="AB706" i="1" s="1"/>
  <c r="AC706" i="1" s="1"/>
  <c r="T690" i="1"/>
  <c r="AB690" i="1" s="1"/>
  <c r="AC690" i="1" s="1"/>
  <c r="T674" i="1"/>
  <c r="AB674" i="1" s="1"/>
  <c r="AC674" i="1" s="1"/>
  <c r="T658" i="1"/>
  <c r="AB658" i="1" s="1"/>
  <c r="AC658" i="1" s="1"/>
  <c r="T642" i="1"/>
  <c r="AB642" i="1" s="1"/>
  <c r="AC642" i="1" s="1"/>
  <c r="T626" i="1"/>
  <c r="AB626" i="1" s="1"/>
  <c r="AC626" i="1" s="1"/>
  <c r="T610" i="1"/>
  <c r="T594" i="1"/>
  <c r="T578" i="1"/>
  <c r="T562" i="1"/>
  <c r="AB562" i="1" s="1"/>
  <c r="AC562" i="1" s="1"/>
  <c r="T546" i="1"/>
  <c r="AB546" i="1" s="1"/>
  <c r="AC546" i="1" s="1"/>
  <c r="T530" i="1"/>
  <c r="AB530" i="1" s="1"/>
  <c r="AC530" i="1" s="1"/>
  <c r="T514" i="1"/>
  <c r="AB514" i="1" s="1"/>
  <c r="AC514" i="1" s="1"/>
  <c r="T498" i="1"/>
  <c r="AB498" i="1" s="1"/>
  <c r="AC498" i="1" s="1"/>
  <c r="T482" i="1"/>
  <c r="T466" i="1"/>
  <c r="AB466" i="1" s="1"/>
  <c r="AC466" i="1" s="1"/>
  <c r="T450" i="1"/>
  <c r="T434" i="1"/>
  <c r="AB434" i="1" s="1"/>
  <c r="AC434" i="1" s="1"/>
  <c r="T418" i="1"/>
  <c r="AB418" i="1" s="1"/>
  <c r="AC418" i="1" s="1"/>
  <c r="T402" i="1"/>
  <c r="T386" i="1"/>
  <c r="T370" i="1"/>
  <c r="T354" i="1"/>
  <c r="AB354" i="1" s="1"/>
  <c r="AC354" i="1" s="1"/>
  <c r="T338" i="1"/>
  <c r="T322" i="1"/>
  <c r="AB322" i="1" s="1"/>
  <c r="AC322" i="1" s="1"/>
  <c r="T306" i="1"/>
  <c r="AB306" i="1" s="1"/>
  <c r="AC306" i="1" s="1"/>
  <c r="T290" i="1"/>
  <c r="AB290" i="1" s="1"/>
  <c r="AC290" i="1" s="1"/>
  <c r="T274" i="1"/>
  <c r="AB274" i="1" s="1"/>
  <c r="AC274" i="1" s="1"/>
  <c r="T258" i="1"/>
  <c r="AB258" i="1" s="1"/>
  <c r="AC258" i="1" s="1"/>
  <c r="T242" i="1"/>
  <c r="AB242" i="1" s="1"/>
  <c r="AC242" i="1" s="1"/>
  <c r="T226" i="1"/>
  <c r="AB226" i="1" s="1"/>
  <c r="AC226" i="1" s="1"/>
  <c r="T210" i="1"/>
  <c r="AB210" i="1" s="1"/>
  <c r="AC210" i="1" s="1"/>
  <c r="T194" i="1"/>
  <c r="T178" i="1"/>
  <c r="AB178" i="1" s="1"/>
  <c r="AC178" i="1" s="1"/>
  <c r="T162" i="1"/>
  <c r="T146" i="1"/>
  <c r="T130" i="1"/>
  <c r="T114" i="1"/>
  <c r="AB114" i="1" s="1"/>
  <c r="AC114" i="1" s="1"/>
  <c r="T98" i="1"/>
  <c r="T82" i="1"/>
  <c r="AB82" i="1" s="1"/>
  <c r="AC82" i="1" s="1"/>
  <c r="U361" i="1"/>
  <c r="U265" i="1"/>
  <c r="U819" i="1"/>
  <c r="U659" i="1"/>
  <c r="V659" i="1"/>
  <c r="U483" i="1"/>
  <c r="V100" i="1"/>
  <c r="T849" i="1"/>
  <c r="AB849" i="1" s="1"/>
  <c r="AC849" i="1" s="1"/>
  <c r="T833" i="1"/>
  <c r="AB833" i="1" s="1"/>
  <c r="AC833" i="1" s="1"/>
  <c r="T817" i="1"/>
  <c r="AB817" i="1" s="1"/>
  <c r="AC817" i="1" s="1"/>
  <c r="T801" i="1"/>
  <c r="AB801" i="1" s="1"/>
  <c r="AC801" i="1" s="1"/>
  <c r="T785" i="1"/>
  <c r="AB785" i="1" s="1"/>
  <c r="AC785" i="1" s="1"/>
  <c r="T769" i="1"/>
  <c r="AB769" i="1" s="1"/>
  <c r="AC769" i="1" s="1"/>
  <c r="T753" i="1"/>
  <c r="AB753" i="1" s="1"/>
  <c r="AC753" i="1" s="1"/>
  <c r="T737" i="1"/>
  <c r="V737" i="1" s="1"/>
  <c r="T721" i="1"/>
  <c r="AB721" i="1" s="1"/>
  <c r="AC721" i="1" s="1"/>
  <c r="T705" i="1"/>
  <c r="AB705" i="1" s="1"/>
  <c r="AC705" i="1" s="1"/>
  <c r="T689" i="1"/>
  <c r="AB689" i="1" s="1"/>
  <c r="AC689" i="1" s="1"/>
  <c r="T673" i="1"/>
  <c r="T657" i="1"/>
  <c r="AB657" i="1" s="1"/>
  <c r="AC657" i="1" s="1"/>
  <c r="T641" i="1"/>
  <c r="AB641" i="1" s="1"/>
  <c r="AC641" i="1" s="1"/>
  <c r="T625" i="1"/>
  <c r="AB625" i="1" s="1"/>
  <c r="AC625" i="1" s="1"/>
  <c r="T609" i="1"/>
  <c r="T593" i="1"/>
  <c r="AB593" i="1" s="1"/>
  <c r="AC593" i="1" s="1"/>
  <c r="T577" i="1"/>
  <c r="AB577" i="1" s="1"/>
  <c r="AC577" i="1" s="1"/>
  <c r="T561" i="1"/>
  <c r="AB561" i="1" s="1"/>
  <c r="AC561" i="1" s="1"/>
  <c r="T545" i="1"/>
  <c r="AB545" i="1" s="1"/>
  <c r="AC545" i="1" s="1"/>
  <c r="T529" i="1"/>
  <c r="AB529" i="1" s="1"/>
  <c r="AC529" i="1" s="1"/>
  <c r="T513" i="1"/>
  <c r="AB513" i="1" s="1"/>
  <c r="AC513" i="1" s="1"/>
  <c r="T497" i="1"/>
  <c r="AB497" i="1" s="1"/>
  <c r="AC497" i="1" s="1"/>
  <c r="T481" i="1"/>
  <c r="T465" i="1"/>
  <c r="AB465" i="1" s="1"/>
  <c r="AC465" i="1" s="1"/>
  <c r="T449" i="1"/>
  <c r="AB449" i="1" s="1"/>
  <c r="AC449" i="1" s="1"/>
  <c r="T433" i="1"/>
  <c r="AB433" i="1" s="1"/>
  <c r="AC433" i="1" s="1"/>
  <c r="T417" i="1"/>
  <c r="AB417" i="1" s="1"/>
  <c r="AC417" i="1" s="1"/>
  <c r="T401" i="1"/>
  <c r="AB401" i="1" s="1"/>
  <c r="AC401" i="1" s="1"/>
  <c r="T385" i="1"/>
  <c r="AB385" i="1" s="1"/>
  <c r="AC385" i="1" s="1"/>
  <c r="T369" i="1"/>
  <c r="AB369" i="1" s="1"/>
  <c r="AC369" i="1" s="1"/>
  <c r="T353" i="1"/>
  <c r="T337" i="1"/>
  <c r="AB337" i="1" s="1"/>
  <c r="AC337" i="1" s="1"/>
  <c r="T321" i="1"/>
  <c r="AB321" i="1" s="1"/>
  <c r="AC321" i="1" s="1"/>
  <c r="T305" i="1"/>
  <c r="AB305" i="1" s="1"/>
  <c r="AC305" i="1" s="1"/>
  <c r="T289" i="1"/>
  <c r="AB289" i="1" s="1"/>
  <c r="AC289" i="1" s="1"/>
  <c r="T273" i="1"/>
  <c r="AB273" i="1" s="1"/>
  <c r="AC273" i="1" s="1"/>
  <c r="T257" i="1"/>
  <c r="AB257" i="1" s="1"/>
  <c r="AC257" i="1" s="1"/>
  <c r="T241" i="1"/>
  <c r="AB241" i="1" s="1"/>
  <c r="AC241" i="1" s="1"/>
  <c r="T225" i="1"/>
  <c r="T209" i="1"/>
  <c r="AB209" i="1" s="1"/>
  <c r="AC209" i="1" s="1"/>
  <c r="T193" i="1"/>
  <c r="T177" i="1"/>
  <c r="T161" i="1"/>
  <c r="AB161" i="1" s="1"/>
  <c r="AC161" i="1" s="1"/>
  <c r="T145" i="1"/>
  <c r="AB145" i="1" s="1"/>
  <c r="AC145" i="1" s="1"/>
  <c r="T129" i="1"/>
  <c r="AB129" i="1" s="1"/>
  <c r="AC129" i="1" s="1"/>
  <c r="T113" i="1"/>
  <c r="T97" i="1"/>
  <c r="AB97" i="1" s="1"/>
  <c r="AC97" i="1" s="1"/>
  <c r="T81" i="1"/>
  <c r="AB81" i="1" s="1"/>
  <c r="AC81" i="1" s="1"/>
  <c r="T65" i="1"/>
  <c r="U784" i="1"/>
  <c r="U560" i="1"/>
  <c r="U432" i="1"/>
  <c r="U208" i="1"/>
  <c r="V208" i="1"/>
  <c r="V160" i="1"/>
  <c r="U32" i="1"/>
  <c r="V32" i="1"/>
  <c r="U713" i="1"/>
  <c r="V713" i="1"/>
  <c r="U329" i="1"/>
  <c r="V531" i="1"/>
  <c r="V35" i="1"/>
  <c r="U35" i="1"/>
  <c r="T847" i="1"/>
  <c r="AB847" i="1" s="1"/>
  <c r="AC847" i="1" s="1"/>
  <c r="T831" i="1"/>
  <c r="T815" i="1"/>
  <c r="T799" i="1"/>
  <c r="AB799" i="1" s="1"/>
  <c r="AC799" i="1" s="1"/>
  <c r="T783" i="1"/>
  <c r="AB783" i="1" s="1"/>
  <c r="AC783" i="1" s="1"/>
  <c r="T767" i="1"/>
  <c r="AB767" i="1" s="1"/>
  <c r="AC767" i="1" s="1"/>
  <c r="T751" i="1"/>
  <c r="AB751" i="1" s="1"/>
  <c r="AC751" i="1" s="1"/>
  <c r="T735" i="1"/>
  <c r="T719" i="1"/>
  <c r="T703" i="1"/>
  <c r="T687" i="1"/>
  <c r="T671" i="1"/>
  <c r="AB671" i="1" s="1"/>
  <c r="AC671" i="1" s="1"/>
  <c r="T655" i="1"/>
  <c r="AB655" i="1" s="1"/>
  <c r="AC655" i="1" s="1"/>
  <c r="T639" i="1"/>
  <c r="AB639" i="1" s="1"/>
  <c r="AC639" i="1" s="1"/>
  <c r="T623" i="1"/>
  <c r="AB623" i="1" s="1"/>
  <c r="AC623" i="1" s="1"/>
  <c r="T607" i="1"/>
  <c r="T591" i="1"/>
  <c r="T575" i="1"/>
  <c r="T559" i="1"/>
  <c r="T543" i="1"/>
  <c r="T527" i="1"/>
  <c r="AB527" i="1" s="1"/>
  <c r="AC527" i="1" s="1"/>
  <c r="T511" i="1"/>
  <c r="AB511" i="1" s="1"/>
  <c r="AC511" i="1" s="1"/>
  <c r="T495" i="1"/>
  <c r="AB495" i="1" s="1"/>
  <c r="AC495" i="1" s="1"/>
  <c r="T479" i="1"/>
  <c r="T463" i="1"/>
  <c r="T447" i="1"/>
  <c r="T431" i="1"/>
  <c r="AB431" i="1" s="1"/>
  <c r="AC431" i="1" s="1"/>
  <c r="T415" i="1"/>
  <c r="AB415" i="1" s="1"/>
  <c r="AC415" i="1" s="1"/>
  <c r="T399" i="1"/>
  <c r="AB399" i="1" s="1"/>
  <c r="AC399" i="1" s="1"/>
  <c r="T383" i="1"/>
  <c r="AB383" i="1" s="1"/>
  <c r="AC383" i="1" s="1"/>
  <c r="T367" i="1"/>
  <c r="AB367" i="1" s="1"/>
  <c r="AC367" i="1" s="1"/>
  <c r="T351" i="1"/>
  <c r="T335" i="1"/>
  <c r="T319" i="1"/>
  <c r="T303" i="1"/>
  <c r="AB303" i="1" s="1"/>
  <c r="AC303" i="1" s="1"/>
  <c r="T287" i="1"/>
  <c r="T271" i="1"/>
  <c r="AB271" i="1" s="1"/>
  <c r="AC271" i="1" s="1"/>
  <c r="V255" i="1"/>
  <c r="U255" i="1"/>
  <c r="V207" i="1"/>
  <c r="U191" i="1"/>
  <c r="V143" i="1"/>
  <c r="V798" i="1"/>
  <c r="T718" i="1"/>
  <c r="AB718" i="1" s="1"/>
  <c r="AC718" i="1" s="1"/>
  <c r="U654" i="1"/>
  <c r="V654" i="1"/>
  <c r="U606" i="1"/>
  <c r="V606" i="1"/>
  <c r="T494" i="1"/>
  <c r="AB494" i="1" s="1"/>
  <c r="AC494" i="1" s="1"/>
  <c r="U478" i="1"/>
  <c r="V478" i="1"/>
  <c r="U462" i="1"/>
  <c r="V462" i="1"/>
  <c r="V398" i="1"/>
  <c r="V382" i="1"/>
  <c r="U350" i="1"/>
  <c r="V350" i="1"/>
  <c r="T334" i="1"/>
  <c r="AB334" i="1" s="1"/>
  <c r="AC334" i="1" s="1"/>
  <c r="T238" i="1"/>
  <c r="AB238" i="1" s="1"/>
  <c r="AC238" i="1" s="1"/>
  <c r="T222" i="1"/>
  <c r="AB222" i="1" s="1"/>
  <c r="AC222" i="1" s="1"/>
  <c r="U206" i="1"/>
  <c r="V206" i="1"/>
  <c r="T174" i="1"/>
  <c r="T158" i="1"/>
  <c r="AB158" i="1" s="1"/>
  <c r="AC158" i="1" s="1"/>
  <c r="T126" i="1"/>
  <c r="U854" i="1"/>
  <c r="V854" i="1"/>
  <c r="U477" i="1"/>
  <c r="U445" i="1"/>
  <c r="V445" i="1"/>
  <c r="V221" i="1"/>
  <c r="U189" i="1"/>
  <c r="V189" i="1"/>
  <c r="V853" i="1"/>
  <c r="U777" i="1"/>
  <c r="V777" i="1"/>
  <c r="V537" i="1"/>
  <c r="U537" i="1"/>
  <c r="V313" i="1"/>
  <c r="U313" i="1"/>
  <c r="V73" i="1"/>
  <c r="T844" i="1"/>
  <c r="T828" i="1"/>
  <c r="AB828" i="1" s="1"/>
  <c r="AC828" i="1" s="1"/>
  <c r="T812" i="1"/>
  <c r="AB812" i="1" s="1"/>
  <c r="AC812" i="1" s="1"/>
  <c r="T796" i="1"/>
  <c r="AB796" i="1" s="1"/>
  <c r="AC796" i="1" s="1"/>
  <c r="T780" i="1"/>
  <c r="AB780" i="1" s="1"/>
  <c r="AC780" i="1" s="1"/>
  <c r="T764" i="1"/>
  <c r="T748" i="1"/>
  <c r="T732" i="1"/>
  <c r="T716" i="1"/>
  <c r="T700" i="1"/>
  <c r="AB700" i="1" s="1"/>
  <c r="AC700" i="1" s="1"/>
  <c r="T684" i="1"/>
  <c r="AB684" i="1" s="1"/>
  <c r="AC684" i="1" s="1"/>
  <c r="T668" i="1"/>
  <c r="AB668" i="1" s="1"/>
  <c r="AC668" i="1" s="1"/>
  <c r="T652" i="1"/>
  <c r="T636" i="1"/>
  <c r="AB636" i="1" s="1"/>
  <c r="AC636" i="1" s="1"/>
  <c r="T620" i="1"/>
  <c r="T604" i="1"/>
  <c r="T588" i="1"/>
  <c r="T572" i="1"/>
  <c r="AB572" i="1" s="1"/>
  <c r="AC572" i="1" s="1"/>
  <c r="T556" i="1"/>
  <c r="AB556" i="1" s="1"/>
  <c r="AC556" i="1" s="1"/>
  <c r="T540" i="1"/>
  <c r="AB540" i="1" s="1"/>
  <c r="AC540" i="1" s="1"/>
  <c r="T524" i="1"/>
  <c r="AB524" i="1" s="1"/>
  <c r="AC524" i="1" s="1"/>
  <c r="T508" i="1"/>
  <c r="AB508" i="1" s="1"/>
  <c r="AC508" i="1" s="1"/>
  <c r="T492" i="1"/>
  <c r="T476" i="1"/>
  <c r="T460" i="1"/>
  <c r="T444" i="1"/>
  <c r="AB444" i="1" s="1"/>
  <c r="AC444" i="1" s="1"/>
  <c r="T428" i="1"/>
  <c r="AB428" i="1" s="1"/>
  <c r="AC428" i="1" s="1"/>
  <c r="T412" i="1"/>
  <c r="AB412" i="1" s="1"/>
  <c r="AC412" i="1" s="1"/>
  <c r="T396" i="1"/>
  <c r="T380" i="1"/>
  <c r="AB380" i="1" s="1"/>
  <c r="AC380" i="1" s="1"/>
  <c r="T364" i="1"/>
  <c r="T348" i="1"/>
  <c r="AB348" i="1" s="1"/>
  <c r="AC348" i="1" s="1"/>
  <c r="T332" i="1"/>
  <c r="T316" i="1"/>
  <c r="AB316" i="1" s="1"/>
  <c r="AC316" i="1" s="1"/>
  <c r="T300" i="1"/>
  <c r="AB300" i="1" s="1"/>
  <c r="AC300" i="1" s="1"/>
  <c r="T284" i="1"/>
  <c r="AB284" i="1" s="1"/>
  <c r="AC284" i="1" s="1"/>
  <c r="T268" i="1"/>
  <c r="AB268" i="1" s="1"/>
  <c r="AC268" i="1" s="1"/>
  <c r="T252" i="1"/>
  <c r="AB252" i="1" s="1"/>
  <c r="AC252" i="1" s="1"/>
  <c r="T236" i="1"/>
  <c r="T220" i="1"/>
  <c r="T204" i="1"/>
  <c r="T188" i="1"/>
  <c r="AB188" i="1" s="1"/>
  <c r="AC188" i="1" s="1"/>
  <c r="T172" i="1"/>
  <c r="AB172" i="1" s="1"/>
  <c r="AC172" i="1" s="1"/>
  <c r="T156" i="1"/>
  <c r="AB156" i="1" s="1"/>
  <c r="AC156" i="1" s="1"/>
  <c r="T140" i="1"/>
  <c r="T124" i="1"/>
  <c r="AB124" i="1" s="1"/>
  <c r="AC124" i="1" s="1"/>
  <c r="T108" i="1"/>
  <c r="T92" i="1"/>
  <c r="T76" i="1"/>
  <c r="T60" i="1"/>
  <c r="AB60" i="1" s="1"/>
  <c r="AC60" i="1" s="1"/>
  <c r="T44" i="1"/>
  <c r="AB44" i="1" s="1"/>
  <c r="AC44" i="1" s="1"/>
  <c r="T28" i="1"/>
  <c r="AB28" i="1" s="1"/>
  <c r="AC28" i="1" s="1"/>
  <c r="T843" i="1"/>
  <c r="AB843" i="1" s="1"/>
  <c r="AC843" i="1" s="1"/>
  <c r="T827" i="1"/>
  <c r="AB827" i="1" s="1"/>
  <c r="AC827" i="1" s="1"/>
  <c r="T811" i="1"/>
  <c r="AB811" i="1" s="1"/>
  <c r="AC811" i="1" s="1"/>
  <c r="T795" i="1"/>
  <c r="AB795" i="1" s="1"/>
  <c r="AC795" i="1" s="1"/>
  <c r="T779" i="1"/>
  <c r="AB779" i="1" s="1"/>
  <c r="AC779" i="1" s="1"/>
  <c r="T763" i="1"/>
  <c r="AB763" i="1" s="1"/>
  <c r="AC763" i="1" s="1"/>
  <c r="T747" i="1"/>
  <c r="AB747" i="1" s="1"/>
  <c r="AC747" i="1" s="1"/>
  <c r="T731" i="1"/>
  <c r="AB731" i="1" s="1"/>
  <c r="AC731" i="1" s="1"/>
  <c r="T715" i="1"/>
  <c r="AB715" i="1" s="1"/>
  <c r="AC715" i="1" s="1"/>
  <c r="T699" i="1"/>
  <c r="AB699" i="1" s="1"/>
  <c r="AC699" i="1" s="1"/>
  <c r="T683" i="1"/>
  <c r="AB683" i="1" s="1"/>
  <c r="AC683" i="1" s="1"/>
  <c r="T667" i="1"/>
  <c r="AB667" i="1" s="1"/>
  <c r="AC667" i="1" s="1"/>
  <c r="T651" i="1"/>
  <c r="AB651" i="1" s="1"/>
  <c r="AC651" i="1" s="1"/>
  <c r="T635" i="1"/>
  <c r="AB635" i="1" s="1"/>
  <c r="AC635" i="1" s="1"/>
  <c r="T619" i="1"/>
  <c r="AB619" i="1" s="1"/>
  <c r="AC619" i="1" s="1"/>
  <c r="T603" i="1"/>
  <c r="AB603" i="1" s="1"/>
  <c r="AC603" i="1" s="1"/>
  <c r="T587" i="1"/>
  <c r="AB587" i="1" s="1"/>
  <c r="AC587" i="1" s="1"/>
  <c r="T571" i="1"/>
  <c r="AB571" i="1" s="1"/>
  <c r="AC571" i="1" s="1"/>
  <c r="T555" i="1"/>
  <c r="AB555" i="1" s="1"/>
  <c r="AC555" i="1" s="1"/>
  <c r="T539" i="1"/>
  <c r="AB539" i="1" s="1"/>
  <c r="AC539" i="1" s="1"/>
  <c r="T523" i="1"/>
  <c r="AB523" i="1" s="1"/>
  <c r="AC523" i="1" s="1"/>
  <c r="T507" i="1"/>
  <c r="AB507" i="1" s="1"/>
  <c r="AC507" i="1" s="1"/>
  <c r="T491" i="1"/>
  <c r="AB491" i="1" s="1"/>
  <c r="AC491" i="1" s="1"/>
  <c r="T475" i="1"/>
  <c r="AB475" i="1" s="1"/>
  <c r="AC475" i="1" s="1"/>
  <c r="T459" i="1"/>
  <c r="AB459" i="1" s="1"/>
  <c r="AC459" i="1" s="1"/>
  <c r="T443" i="1"/>
  <c r="AB443" i="1" s="1"/>
  <c r="AC443" i="1" s="1"/>
  <c r="T427" i="1"/>
  <c r="AB427" i="1" s="1"/>
  <c r="AC427" i="1" s="1"/>
  <c r="T411" i="1"/>
  <c r="AB411" i="1" s="1"/>
  <c r="AC411" i="1" s="1"/>
  <c r="T395" i="1"/>
  <c r="AB395" i="1" s="1"/>
  <c r="AC395" i="1" s="1"/>
  <c r="T379" i="1"/>
  <c r="AB379" i="1" s="1"/>
  <c r="AC379" i="1" s="1"/>
  <c r="T363" i="1"/>
  <c r="AB363" i="1" s="1"/>
  <c r="AC363" i="1" s="1"/>
  <c r="T347" i="1"/>
  <c r="AB347" i="1" s="1"/>
  <c r="AC347" i="1" s="1"/>
  <c r="T331" i="1"/>
  <c r="AB331" i="1" s="1"/>
  <c r="AC331" i="1" s="1"/>
  <c r="T315" i="1"/>
  <c r="AB315" i="1" s="1"/>
  <c r="AC315" i="1" s="1"/>
  <c r="T299" i="1"/>
  <c r="AB299" i="1" s="1"/>
  <c r="AC299" i="1" s="1"/>
  <c r="T283" i="1"/>
  <c r="AB283" i="1" s="1"/>
  <c r="AC283" i="1" s="1"/>
  <c r="T267" i="1"/>
  <c r="AB267" i="1" s="1"/>
  <c r="AC267" i="1" s="1"/>
  <c r="T251" i="1"/>
  <c r="AB251" i="1" s="1"/>
  <c r="AC251" i="1" s="1"/>
  <c r="T235" i="1"/>
  <c r="AB235" i="1" s="1"/>
  <c r="AC235" i="1" s="1"/>
  <c r="T219" i="1"/>
  <c r="AB219" i="1" s="1"/>
  <c r="AC219" i="1" s="1"/>
  <c r="T203" i="1"/>
  <c r="AB203" i="1" s="1"/>
  <c r="AC203" i="1" s="1"/>
  <c r="T187" i="1"/>
  <c r="AB187" i="1" s="1"/>
  <c r="AC187" i="1" s="1"/>
  <c r="T171" i="1"/>
  <c r="AB171" i="1" s="1"/>
  <c r="AC171" i="1" s="1"/>
  <c r="T155" i="1"/>
  <c r="AB155" i="1" s="1"/>
  <c r="AC155" i="1" s="1"/>
  <c r="T139" i="1"/>
  <c r="AB139" i="1" s="1"/>
  <c r="AC139" i="1" s="1"/>
  <c r="T123" i="1"/>
  <c r="AB123" i="1" s="1"/>
  <c r="AC123" i="1" s="1"/>
  <c r="T107" i="1"/>
  <c r="AB107" i="1" s="1"/>
  <c r="AC107" i="1" s="1"/>
  <c r="T91" i="1"/>
  <c r="AB91" i="1" s="1"/>
  <c r="AC91" i="1" s="1"/>
  <c r="T75" i="1"/>
  <c r="AB75" i="1" s="1"/>
  <c r="AC75" i="1" s="1"/>
  <c r="T59" i="1"/>
  <c r="AB59" i="1" s="1"/>
  <c r="AC59" i="1" s="1"/>
  <c r="T43" i="1"/>
  <c r="AB43" i="1" s="1"/>
  <c r="AC43" i="1" s="1"/>
  <c r="T27" i="1"/>
  <c r="AB27" i="1" s="1"/>
  <c r="AC27" i="1" s="1"/>
  <c r="T11" i="1"/>
  <c r="T851" i="1"/>
  <c r="S4" i="1"/>
  <c r="T3" i="1"/>
  <c r="X3" i="1" s="1" a="1"/>
  <c r="X3" i="1" s="1"/>
  <c r="AM3" i="8"/>
  <c r="AY3" i="11" a="1"/>
  <c r="AY3" i="11" s="1"/>
  <c r="AW3" i="11" a="1"/>
  <c r="AW3" i="11" s="1"/>
  <c r="AX3" i="11" a="1"/>
  <c r="AX3" i="11" s="1"/>
  <c r="AZ3" i="11" a="1"/>
  <c r="AZ3" i="11" s="1"/>
  <c r="BA3" i="11" a="1"/>
  <c r="BA3" i="11" s="1"/>
  <c r="BB3" i="11" a="1"/>
  <c r="BB3" i="11" s="1"/>
  <c r="Z75" i="1" l="1" a="1"/>
  <c r="Z75" i="1" s="1"/>
  <c r="Y75" i="1"/>
  <c r="Z203" i="1" a="1"/>
  <c r="Z203" i="1" s="1"/>
  <c r="Y203" i="1"/>
  <c r="Z331" i="1" a="1"/>
  <c r="Z331" i="1" s="1"/>
  <c r="Y331" i="1"/>
  <c r="Z459" i="1" a="1"/>
  <c r="Z459" i="1" s="1"/>
  <c r="Y459" i="1"/>
  <c r="Z587" i="1" a="1"/>
  <c r="Z587" i="1" s="1"/>
  <c r="Y587" i="1"/>
  <c r="Z715" i="1" a="1"/>
  <c r="Z715" i="1" s="1"/>
  <c r="Y715" i="1"/>
  <c r="Z843" i="1" a="1"/>
  <c r="Z843" i="1" s="1"/>
  <c r="Y843" i="1"/>
  <c r="Z174" i="1" a="1"/>
  <c r="Z174" i="1" s="1"/>
  <c r="Y174" i="1"/>
  <c r="Z303" i="1" a="1"/>
  <c r="Z303" i="1" s="1"/>
  <c r="Y303" i="1"/>
  <c r="Z431" i="1" a="1"/>
  <c r="Z431" i="1" s="1"/>
  <c r="Y431" i="1"/>
  <c r="Z559" i="1" a="1"/>
  <c r="Z559" i="1" s="1"/>
  <c r="Y559" i="1"/>
  <c r="Z687" i="1" a="1"/>
  <c r="Z687" i="1" s="1"/>
  <c r="Y687" i="1"/>
  <c r="Z815" i="1" a="1"/>
  <c r="Z815" i="1" s="1"/>
  <c r="Y815" i="1"/>
  <c r="Z145" i="1" a="1"/>
  <c r="Z145" i="1" s="1"/>
  <c r="Y145" i="1"/>
  <c r="Z273" i="1" a="1"/>
  <c r="Z273" i="1" s="1"/>
  <c r="Y273" i="1"/>
  <c r="Z401" i="1" a="1"/>
  <c r="Z401" i="1" s="1"/>
  <c r="Y401" i="1"/>
  <c r="Z529" i="1" a="1"/>
  <c r="Z529" i="1" s="1"/>
  <c r="Y529" i="1"/>
  <c r="Z657" i="1" a="1"/>
  <c r="Z657" i="1" s="1"/>
  <c r="Y657" i="1"/>
  <c r="Z785" i="1" a="1"/>
  <c r="Z785" i="1" s="1"/>
  <c r="Y785" i="1"/>
  <c r="Z230" i="1" a="1"/>
  <c r="Z230" i="1" s="1"/>
  <c r="Y230" i="1"/>
  <c r="Z534" i="1" a="1"/>
  <c r="Z534" i="1" s="1"/>
  <c r="Y534" i="1"/>
  <c r="Z82" i="1" a="1"/>
  <c r="Z82" i="1" s="1"/>
  <c r="Y82" i="1"/>
  <c r="Z210" i="1" a="1"/>
  <c r="Z210" i="1" s="1"/>
  <c r="Y210" i="1"/>
  <c r="Z338" i="1" a="1"/>
  <c r="Z338" i="1" s="1"/>
  <c r="Y338" i="1"/>
  <c r="Z466" i="1" a="1"/>
  <c r="Z466" i="1" s="1"/>
  <c r="Y466" i="1"/>
  <c r="Z594" i="1" a="1"/>
  <c r="Z594" i="1" s="1"/>
  <c r="Y594" i="1"/>
  <c r="Z722" i="1" a="1"/>
  <c r="Z722" i="1" s="1"/>
  <c r="Y722" i="1"/>
  <c r="Z850" i="1" a="1"/>
  <c r="Z850" i="1" s="1"/>
  <c r="Y850" i="1"/>
  <c r="Z374" i="1" a="1"/>
  <c r="Z374" i="1" s="1"/>
  <c r="Y374" i="1"/>
  <c r="Z774" i="1" a="1"/>
  <c r="Z774" i="1" s="1"/>
  <c r="Y774" i="1"/>
  <c r="Z84" i="1" a="1"/>
  <c r="Z84" i="1" s="1"/>
  <c r="Y84" i="1"/>
  <c r="Z212" i="1" a="1"/>
  <c r="Z212" i="1" s="1"/>
  <c r="Y212" i="1"/>
  <c r="Z340" i="1" a="1"/>
  <c r="Z340" i="1" s="1"/>
  <c r="Y340" i="1"/>
  <c r="Z468" i="1" a="1"/>
  <c r="Z468" i="1" s="1"/>
  <c r="Y468" i="1"/>
  <c r="Y596" i="1"/>
  <c r="Z596" i="1" a="1"/>
  <c r="Z596" i="1" s="1"/>
  <c r="Z724" i="1" a="1"/>
  <c r="Z724" i="1" s="1"/>
  <c r="Y724" i="1"/>
  <c r="Z70" i="1" a="1"/>
  <c r="Z70" i="1" s="1"/>
  <c r="Y70" i="1"/>
  <c r="Z486" i="1" a="1"/>
  <c r="Z486" i="1" s="1"/>
  <c r="Y486" i="1"/>
  <c r="Z38" i="1" a="1"/>
  <c r="Z38" i="1" s="1"/>
  <c r="Y38" i="1"/>
  <c r="Z120" i="1" a="1"/>
  <c r="Z120" i="1" s="1"/>
  <c r="Y120" i="1"/>
  <c r="Z248" i="1" a="1"/>
  <c r="Z248" i="1" s="1"/>
  <c r="Y248" i="1"/>
  <c r="Z376" i="1" a="1"/>
  <c r="Z376" i="1" s="1"/>
  <c r="Y376" i="1"/>
  <c r="Z504" i="1" a="1"/>
  <c r="Z504" i="1" s="1"/>
  <c r="Y504" i="1"/>
  <c r="Z90" i="1" a="1"/>
  <c r="Z90" i="1" s="1"/>
  <c r="Y90" i="1"/>
  <c r="Z218" i="1" a="1"/>
  <c r="Z218" i="1" s="1"/>
  <c r="Y218" i="1"/>
  <c r="Z346" i="1" a="1"/>
  <c r="Z346" i="1" s="1"/>
  <c r="Y346" i="1"/>
  <c r="Z474" i="1" a="1"/>
  <c r="Z474" i="1" s="1"/>
  <c r="Y474" i="1"/>
  <c r="Z602" i="1" a="1"/>
  <c r="Z602" i="1" s="1"/>
  <c r="Y602" i="1"/>
  <c r="Z730" i="1" a="1"/>
  <c r="Z730" i="1" s="1"/>
  <c r="Y730" i="1"/>
  <c r="Z526" i="1" a="1"/>
  <c r="Z526" i="1" s="1"/>
  <c r="Y526" i="1"/>
  <c r="Z654" i="1" a="1"/>
  <c r="Z654" i="1" s="1"/>
  <c r="Y654" i="1"/>
  <c r="Z592" i="1" a="1"/>
  <c r="Z592" i="1" s="1"/>
  <c r="Y592" i="1"/>
  <c r="Z483" i="1" a="1"/>
  <c r="Z483" i="1" s="1"/>
  <c r="Y483" i="1"/>
  <c r="Z151" i="1" a="1"/>
  <c r="Z151" i="1" s="1"/>
  <c r="Y151" i="1"/>
  <c r="Z567" i="1" a="1"/>
  <c r="Z567" i="1" s="1"/>
  <c r="Y567" i="1"/>
  <c r="Z163" i="1" a="1"/>
  <c r="Z163" i="1" s="1"/>
  <c r="Y163" i="1"/>
  <c r="Z531" i="1" a="1"/>
  <c r="Z531" i="1" s="1"/>
  <c r="Y531" i="1"/>
  <c r="Z135" i="1" a="1"/>
  <c r="Z135" i="1" s="1"/>
  <c r="Y135" i="1"/>
  <c r="Z535" i="1" a="1"/>
  <c r="Z535" i="1" s="1"/>
  <c r="Y535" i="1"/>
  <c r="Z34" i="1" a="1"/>
  <c r="Z34" i="1" s="1"/>
  <c r="Y34" i="1"/>
  <c r="Z771" i="1" a="1"/>
  <c r="Z771" i="1" s="1"/>
  <c r="Y771" i="1"/>
  <c r="Z83" i="1" a="1"/>
  <c r="Z83" i="1" s="1"/>
  <c r="Y83" i="1"/>
  <c r="Z407" i="1" a="1"/>
  <c r="Z407" i="1" s="1"/>
  <c r="Y407" i="1"/>
  <c r="Z53" i="1" a="1"/>
  <c r="Z53" i="1" s="1"/>
  <c r="Y53" i="1"/>
  <c r="Z181" i="1" a="1"/>
  <c r="Z181" i="1" s="1"/>
  <c r="Y181" i="1"/>
  <c r="Z309" i="1" a="1"/>
  <c r="Z309" i="1" s="1"/>
  <c r="Y309" i="1"/>
  <c r="Z437" i="1" a="1"/>
  <c r="Z437" i="1" s="1"/>
  <c r="Y437" i="1"/>
  <c r="Z565" i="1" a="1"/>
  <c r="Z565" i="1" s="1"/>
  <c r="Y565" i="1"/>
  <c r="Z693" i="1" a="1"/>
  <c r="Z693" i="1" s="1"/>
  <c r="Y693" i="1"/>
  <c r="Z821" i="1" a="1"/>
  <c r="Z821" i="1" s="1"/>
  <c r="Y821" i="1"/>
  <c r="Z711" i="1" a="1"/>
  <c r="Z711" i="1" s="1"/>
  <c r="Y711" i="1"/>
  <c r="Z648" i="1" a="1"/>
  <c r="Z648" i="1" s="1"/>
  <c r="Y648" i="1"/>
  <c r="Y776" i="1"/>
  <c r="Z776" i="1" a="1"/>
  <c r="Z776" i="1" s="1"/>
  <c r="Z57" i="1" a="1"/>
  <c r="Z57" i="1" s="1"/>
  <c r="Y57" i="1"/>
  <c r="Z185" i="1" a="1"/>
  <c r="Z185" i="1" s="1"/>
  <c r="Y185" i="1"/>
  <c r="Z313" i="1" a="1"/>
  <c r="Z313" i="1" s="1"/>
  <c r="Y313" i="1"/>
  <c r="Z441" i="1" a="1"/>
  <c r="Z441" i="1" s="1"/>
  <c r="Y441" i="1"/>
  <c r="Z569" i="1" a="1"/>
  <c r="Z569" i="1" s="1"/>
  <c r="Y569" i="1"/>
  <c r="Z697" i="1" a="1"/>
  <c r="Z697" i="1" s="1"/>
  <c r="Y697" i="1"/>
  <c r="Z825" i="1" a="1"/>
  <c r="Z825" i="1" s="1"/>
  <c r="Y825" i="1"/>
  <c r="Z140" i="1" a="1"/>
  <c r="Z140" i="1" s="1"/>
  <c r="Y140" i="1"/>
  <c r="Z268" i="1" a="1"/>
  <c r="Z268" i="1" s="1"/>
  <c r="Y268" i="1"/>
  <c r="Z396" i="1" a="1"/>
  <c r="Z396" i="1" s="1"/>
  <c r="Y396" i="1"/>
  <c r="Z524" i="1" a="1"/>
  <c r="Z524" i="1" s="1"/>
  <c r="Y524" i="1"/>
  <c r="Z652" i="1" a="1"/>
  <c r="Z652" i="1" s="1"/>
  <c r="Y652" i="1"/>
  <c r="Z780" i="1" a="1"/>
  <c r="Z780" i="1" s="1"/>
  <c r="Y780" i="1"/>
  <c r="U109" i="1"/>
  <c r="AB108" i="1"/>
  <c r="AC108" i="1" s="1"/>
  <c r="U365" i="1"/>
  <c r="AB364" i="1"/>
  <c r="AC364" i="1" s="1"/>
  <c r="U621" i="1"/>
  <c r="AB620" i="1"/>
  <c r="AC620" i="1" s="1"/>
  <c r="U73" i="1"/>
  <c r="U207" i="1"/>
  <c r="V480" i="1"/>
  <c r="AB479" i="1"/>
  <c r="AC479" i="1" s="1"/>
  <c r="U736" i="1"/>
  <c r="AB735" i="1"/>
  <c r="AC735" i="1" s="1"/>
  <c r="V633" i="1"/>
  <c r="V225" i="1"/>
  <c r="U673" i="1"/>
  <c r="AB673" i="1"/>
  <c r="AC673" i="1" s="1"/>
  <c r="U547" i="1"/>
  <c r="U147" i="1"/>
  <c r="AB146" i="1"/>
  <c r="AC146" i="1" s="1"/>
  <c r="U403" i="1"/>
  <c r="AB402" i="1"/>
  <c r="AC402" i="1" s="1"/>
  <c r="U739" i="1"/>
  <c r="U116" i="1"/>
  <c r="AB116" i="1"/>
  <c r="AC116" i="1" s="1"/>
  <c r="U665" i="1"/>
  <c r="U471" i="1"/>
  <c r="AB470" i="1"/>
  <c r="AC470" i="1" s="1"/>
  <c r="U726" i="1"/>
  <c r="AB726" i="1"/>
  <c r="AC726" i="1" s="1"/>
  <c r="V648" i="1"/>
  <c r="U441" i="1"/>
  <c r="AB440" i="1"/>
  <c r="AC440" i="1" s="1"/>
  <c r="U760" i="1"/>
  <c r="Z91" i="1" a="1"/>
  <c r="Z91" i="1" s="1"/>
  <c r="Y91" i="1"/>
  <c r="Z219" i="1" a="1"/>
  <c r="Z219" i="1" s="1"/>
  <c r="Y219" i="1"/>
  <c r="Z347" i="1" a="1"/>
  <c r="Z347" i="1" s="1"/>
  <c r="Y347" i="1"/>
  <c r="Z475" i="1" a="1"/>
  <c r="Z475" i="1" s="1"/>
  <c r="Y475" i="1"/>
  <c r="Z603" i="1" a="1"/>
  <c r="Z603" i="1" s="1"/>
  <c r="Y603" i="1"/>
  <c r="Z731" i="1" a="1"/>
  <c r="Z731" i="1" s="1"/>
  <c r="Y731" i="1"/>
  <c r="Z222" i="1" a="1"/>
  <c r="Z222" i="1" s="1"/>
  <c r="Y222" i="1"/>
  <c r="Z319" i="1" a="1"/>
  <c r="Z319" i="1" s="1"/>
  <c r="Y319" i="1"/>
  <c r="Z447" i="1" a="1"/>
  <c r="Z447" i="1" s="1"/>
  <c r="Y447" i="1"/>
  <c r="Z575" i="1" a="1"/>
  <c r="Z575" i="1" s="1"/>
  <c r="Y575" i="1"/>
  <c r="Z703" i="1" a="1"/>
  <c r="Z703" i="1" s="1"/>
  <c r="Y703" i="1"/>
  <c r="Y831" i="1"/>
  <c r="Z831" i="1" a="1"/>
  <c r="Z831" i="1" s="1"/>
  <c r="Z161" i="1" a="1"/>
  <c r="Z161" i="1" s="1"/>
  <c r="Y161" i="1"/>
  <c r="Z289" i="1" a="1"/>
  <c r="Z289" i="1" s="1"/>
  <c r="Y289" i="1"/>
  <c r="Z417" i="1" a="1"/>
  <c r="Z417" i="1" s="1"/>
  <c r="Y417" i="1"/>
  <c r="Z545" i="1" a="1"/>
  <c r="Z545" i="1" s="1"/>
  <c r="Y545" i="1"/>
  <c r="Z673" i="1" a="1"/>
  <c r="Z673" i="1" s="1"/>
  <c r="Y673" i="1"/>
  <c r="Z801" i="1" a="1"/>
  <c r="Z801" i="1" s="1"/>
  <c r="Y801" i="1"/>
  <c r="Z278" i="1" a="1"/>
  <c r="Z278" i="1" s="1"/>
  <c r="Y278" i="1"/>
  <c r="Z582" i="1" a="1"/>
  <c r="Z582" i="1" s="1"/>
  <c r="Y582" i="1"/>
  <c r="Z98" i="1" a="1"/>
  <c r="Z98" i="1" s="1"/>
  <c r="Y98" i="1"/>
  <c r="Z226" i="1" a="1"/>
  <c r="Z226" i="1" s="1"/>
  <c r="Y226" i="1"/>
  <c r="Z354" i="1" a="1"/>
  <c r="Z354" i="1" s="1"/>
  <c r="Y354" i="1"/>
  <c r="Z482" i="1" a="1"/>
  <c r="Z482" i="1" s="1"/>
  <c r="Y482" i="1"/>
  <c r="Z610" i="1" a="1"/>
  <c r="Z610" i="1" s="1"/>
  <c r="Y610" i="1"/>
  <c r="Z738" i="1" a="1"/>
  <c r="Z738" i="1" s="1"/>
  <c r="Y738" i="1"/>
  <c r="Z22" i="1" a="1"/>
  <c r="Z22" i="1" s="1"/>
  <c r="Y22" i="1"/>
  <c r="Z422" i="1" a="1"/>
  <c r="Z422" i="1" s="1"/>
  <c r="Y422" i="1"/>
  <c r="Z806" i="1" a="1"/>
  <c r="Z806" i="1" s="1"/>
  <c r="Y806" i="1"/>
  <c r="Z100" i="1" a="1"/>
  <c r="Z100" i="1" s="1"/>
  <c r="Y100" i="1"/>
  <c r="Z228" i="1" a="1"/>
  <c r="Z228" i="1" s="1"/>
  <c r="Y228" i="1"/>
  <c r="Z356" i="1" a="1"/>
  <c r="Z356" i="1" s="1"/>
  <c r="Y356" i="1"/>
  <c r="Z484" i="1" a="1"/>
  <c r="Z484" i="1" s="1"/>
  <c r="Y484" i="1"/>
  <c r="Z612" i="1" a="1"/>
  <c r="Z612" i="1" s="1"/>
  <c r="Y612" i="1"/>
  <c r="Z740" i="1" a="1"/>
  <c r="Z740" i="1" s="1"/>
  <c r="Y740" i="1"/>
  <c r="Z86" i="1" a="1"/>
  <c r="Z86" i="1" s="1"/>
  <c r="Y86" i="1"/>
  <c r="Z550" i="1" a="1"/>
  <c r="Z550" i="1" s="1"/>
  <c r="Y550" i="1"/>
  <c r="Z8" i="1" a="1"/>
  <c r="Z8" i="1" s="1"/>
  <c r="Y8" i="1"/>
  <c r="Z136" i="1" a="1"/>
  <c r="Z136" i="1" s="1"/>
  <c r="Y136" i="1"/>
  <c r="Z264" i="1" a="1"/>
  <c r="Z264" i="1" s="1"/>
  <c r="Y264" i="1"/>
  <c r="Z392" i="1" a="1"/>
  <c r="Z392" i="1" s="1"/>
  <c r="Y392" i="1"/>
  <c r="Z520" i="1" a="1"/>
  <c r="Z520" i="1" s="1"/>
  <c r="Y520" i="1"/>
  <c r="Z325" i="1" a="1"/>
  <c r="Z325" i="1" s="1"/>
  <c r="Y325" i="1"/>
  <c r="Z581" i="1" a="1"/>
  <c r="Z581" i="1" s="1"/>
  <c r="Y581" i="1"/>
  <c r="Z709" i="1" a="1"/>
  <c r="Z709" i="1" s="1"/>
  <c r="Y709" i="1"/>
  <c r="Z837" i="1" a="1"/>
  <c r="Z837" i="1" s="1"/>
  <c r="Y837" i="1"/>
  <c r="Z791" i="1" a="1"/>
  <c r="Z791" i="1" s="1"/>
  <c r="Y791" i="1"/>
  <c r="Z664" i="1" a="1"/>
  <c r="Z664" i="1" s="1"/>
  <c r="Y664" i="1"/>
  <c r="Z792" i="1" a="1"/>
  <c r="Z792" i="1" s="1"/>
  <c r="Y792" i="1"/>
  <c r="Z73" i="1" a="1"/>
  <c r="Z73" i="1" s="1"/>
  <c r="Y73" i="1"/>
  <c r="Z201" i="1" a="1"/>
  <c r="Z201" i="1" s="1"/>
  <c r="Y201" i="1"/>
  <c r="Z329" i="1" a="1"/>
  <c r="Z329" i="1" s="1"/>
  <c r="Y329" i="1"/>
  <c r="Z457" i="1" a="1"/>
  <c r="Z457" i="1" s="1"/>
  <c r="Y457" i="1"/>
  <c r="Z585" i="1" a="1"/>
  <c r="Z585" i="1" s="1"/>
  <c r="Y585" i="1"/>
  <c r="Z713" i="1" a="1"/>
  <c r="Z713" i="1" s="1"/>
  <c r="Y713" i="1"/>
  <c r="Z841" i="1" a="1"/>
  <c r="Z841" i="1" s="1"/>
  <c r="Y841" i="1"/>
  <c r="Z28" i="1" a="1"/>
  <c r="Z28" i="1" s="1"/>
  <c r="Y28" i="1"/>
  <c r="Z156" i="1" a="1"/>
  <c r="Z156" i="1" s="1"/>
  <c r="Y156" i="1"/>
  <c r="Z284" i="1" a="1"/>
  <c r="Z284" i="1" s="1"/>
  <c r="Y284" i="1"/>
  <c r="Z412" i="1" a="1"/>
  <c r="Z412" i="1" s="1"/>
  <c r="Y412" i="1"/>
  <c r="Z540" i="1" a="1"/>
  <c r="Z540" i="1" s="1"/>
  <c r="Y540" i="1"/>
  <c r="Z668" i="1" a="1"/>
  <c r="Z668" i="1" s="1"/>
  <c r="Y668" i="1"/>
  <c r="Z796" i="1" a="1"/>
  <c r="Z796" i="1" s="1"/>
  <c r="Y796" i="1"/>
  <c r="Z106" i="1" a="1"/>
  <c r="Z106" i="1" s="1"/>
  <c r="Y106" i="1"/>
  <c r="Z234" i="1" a="1"/>
  <c r="Z234" i="1" s="1"/>
  <c r="Y234" i="1"/>
  <c r="Z362" i="1" a="1"/>
  <c r="Z362" i="1" s="1"/>
  <c r="Y362" i="1"/>
  <c r="Z490" i="1" a="1"/>
  <c r="Z490" i="1" s="1"/>
  <c r="Y490" i="1"/>
  <c r="Z618" i="1" a="1"/>
  <c r="Z618" i="1" s="1"/>
  <c r="Y618" i="1"/>
  <c r="Z746" i="1" a="1"/>
  <c r="Z746" i="1" s="1"/>
  <c r="Y746" i="1"/>
  <c r="V77" i="1"/>
  <c r="AB76" i="1"/>
  <c r="AC76" i="1" s="1"/>
  <c r="U448" i="1"/>
  <c r="AB447" i="1"/>
  <c r="AC447" i="1" s="1"/>
  <c r="U84" i="1"/>
  <c r="AB84" i="1"/>
  <c r="AC84" i="1" s="1"/>
  <c r="Y125" i="1"/>
  <c r="Z125" i="1" a="1"/>
  <c r="Z125" i="1" s="1"/>
  <c r="Z191" i="1" a="1"/>
  <c r="Z191" i="1" s="1"/>
  <c r="Y191" i="1"/>
  <c r="Y525" i="1"/>
  <c r="Z525" i="1" a="1"/>
  <c r="Z525" i="1" s="1"/>
  <c r="Z207" i="1" a="1"/>
  <c r="Z207" i="1" s="1"/>
  <c r="Y207" i="1"/>
  <c r="Z199" i="1" a="1"/>
  <c r="Z199" i="1" s="1"/>
  <c r="Y199" i="1"/>
  <c r="Z87" i="1" a="1"/>
  <c r="Z87" i="1" s="1"/>
  <c r="Y87" i="1"/>
  <c r="U397" i="1"/>
  <c r="AB396" i="1"/>
  <c r="AC396" i="1" s="1"/>
  <c r="Z463" i="1" a="1"/>
  <c r="Z463" i="1" s="1"/>
  <c r="Y463" i="1"/>
  <c r="Z24" i="1" a="1"/>
  <c r="Z24" i="1" s="1"/>
  <c r="Y24" i="1"/>
  <c r="U254" i="1"/>
  <c r="U782" i="1"/>
  <c r="U809" i="1"/>
  <c r="U723" i="1"/>
  <c r="V195" i="1"/>
  <c r="AB194" i="1"/>
  <c r="AC194" i="1" s="1"/>
  <c r="V451" i="1"/>
  <c r="AB450" i="1"/>
  <c r="AC450" i="1" s="1"/>
  <c r="V165" i="1"/>
  <c r="AB164" i="1"/>
  <c r="AC164" i="1" s="1"/>
  <c r="U421" i="1"/>
  <c r="AB420" i="1"/>
  <c r="AC420" i="1" s="1"/>
  <c r="U677" i="1"/>
  <c r="AB676" i="1"/>
  <c r="AC676" i="1" s="1"/>
  <c r="V437" i="1"/>
  <c r="U7" i="1"/>
  <c r="AB6" i="1"/>
  <c r="AC6" i="1" s="1"/>
  <c r="V519" i="1"/>
  <c r="AB518" i="1"/>
  <c r="AC518" i="1" s="1"/>
  <c r="U185" i="1"/>
  <c r="V793" i="1"/>
  <c r="Z29" i="1" a="1"/>
  <c r="Z29" i="1" s="1"/>
  <c r="Y29" i="1"/>
  <c r="Y157" i="1"/>
  <c r="Z157" i="1" a="1"/>
  <c r="Z157" i="1" s="1"/>
  <c r="Y285" i="1"/>
  <c r="Z285" i="1" a="1"/>
  <c r="Z285" i="1" s="1"/>
  <c r="Y413" i="1"/>
  <c r="Z413" i="1" a="1"/>
  <c r="Z413" i="1" s="1"/>
  <c r="Y541" i="1"/>
  <c r="Z541" i="1" a="1"/>
  <c r="Z541" i="1" s="1"/>
  <c r="Y669" i="1"/>
  <c r="Z669" i="1" a="1"/>
  <c r="Z669" i="1" s="1"/>
  <c r="Y797" i="1"/>
  <c r="Z797" i="1" a="1"/>
  <c r="Z797" i="1" s="1"/>
  <c r="Z62" i="1" a="1"/>
  <c r="Z62" i="1" s="1"/>
  <c r="Y62" i="1"/>
  <c r="Z270" i="1" a="1"/>
  <c r="Z270" i="1" s="1"/>
  <c r="Y270" i="1"/>
  <c r="Z414" i="1" a="1"/>
  <c r="Z414" i="1" s="1"/>
  <c r="Y414" i="1"/>
  <c r="Z558" i="1" a="1"/>
  <c r="Z558" i="1" s="1"/>
  <c r="Y558" i="1"/>
  <c r="Z686" i="1" a="1"/>
  <c r="Z686" i="1" s="1"/>
  <c r="Y686" i="1"/>
  <c r="Z830" i="1" a="1"/>
  <c r="Z830" i="1" s="1"/>
  <c r="Y830" i="1"/>
  <c r="Z95" i="1" a="1"/>
  <c r="Z95" i="1" s="1"/>
  <c r="Y95" i="1"/>
  <c r="Z223" i="1" a="1"/>
  <c r="Z223" i="1" s="1"/>
  <c r="Y223" i="1"/>
  <c r="Z467" i="1" a="1"/>
  <c r="Z467" i="1" s="1"/>
  <c r="Y467" i="1"/>
  <c r="Z839" i="1" a="1"/>
  <c r="Z839" i="1" s="1"/>
  <c r="Y839" i="1"/>
  <c r="Z112" i="1" a="1"/>
  <c r="Z112" i="1" s="1"/>
  <c r="Y112" i="1"/>
  <c r="Z240" i="1" a="1"/>
  <c r="Z240" i="1" s="1"/>
  <c r="Y240" i="1"/>
  <c r="Z368" i="1" a="1"/>
  <c r="Z368" i="1" s="1"/>
  <c r="Y368" i="1"/>
  <c r="Z496" i="1" a="1"/>
  <c r="Z496" i="1" s="1"/>
  <c r="Y496" i="1"/>
  <c r="Z624" i="1" a="1"/>
  <c r="Z624" i="1" s="1"/>
  <c r="Y624" i="1"/>
  <c r="Z752" i="1" a="1"/>
  <c r="Z752" i="1" s="1"/>
  <c r="Y752" i="1"/>
  <c r="Z211" i="1" a="1"/>
  <c r="Z211" i="1" s="1"/>
  <c r="Y211" i="1"/>
  <c r="Z627" i="1" a="1"/>
  <c r="Z627" i="1" s="1"/>
  <c r="Y627" i="1"/>
  <c r="Z231" i="1" a="1"/>
  <c r="Z231" i="1" s="1"/>
  <c r="Y231" i="1"/>
  <c r="Z695" i="1" a="1"/>
  <c r="Z695" i="1" s="1"/>
  <c r="Y695" i="1"/>
  <c r="Z227" i="1" a="1"/>
  <c r="Z227" i="1" s="1"/>
  <c r="Y227" i="1"/>
  <c r="Z643" i="1" a="1"/>
  <c r="Z643" i="1" s="1"/>
  <c r="Y643" i="1"/>
  <c r="Z215" i="1" a="1"/>
  <c r="Z215" i="1" s="1"/>
  <c r="Y215" i="1"/>
  <c r="Z663" i="1" a="1"/>
  <c r="Z663" i="1" s="1"/>
  <c r="Y663" i="1"/>
  <c r="Z66" i="1" a="1"/>
  <c r="Z66" i="1" s="1"/>
  <c r="Y66" i="1"/>
  <c r="Z823" i="1" a="1"/>
  <c r="Z823" i="1" s="1"/>
  <c r="Y823" i="1"/>
  <c r="Z115" i="1" a="1"/>
  <c r="Z115" i="1" s="1"/>
  <c r="Y115" i="1"/>
  <c r="Z551" i="1" a="1"/>
  <c r="Z551" i="1" s="1"/>
  <c r="Y551" i="1"/>
  <c r="Z85" i="1" a="1"/>
  <c r="Z85" i="1" s="1"/>
  <c r="Y85" i="1"/>
  <c r="Z213" i="1" a="1"/>
  <c r="Z213" i="1" s="1"/>
  <c r="Y213" i="1"/>
  <c r="Z341" i="1" a="1"/>
  <c r="Z341" i="1" s="1"/>
  <c r="Y341" i="1"/>
  <c r="Z469" i="1" a="1"/>
  <c r="Z469" i="1" s="1"/>
  <c r="Y469" i="1"/>
  <c r="Z597" i="1" a="1"/>
  <c r="Z597" i="1" s="1"/>
  <c r="Y597" i="1"/>
  <c r="Y725" i="1"/>
  <c r="Z725" i="1" a="1"/>
  <c r="Z725" i="1" s="1"/>
  <c r="Z39" i="1" a="1"/>
  <c r="Z39" i="1" s="1"/>
  <c r="Y39" i="1"/>
  <c r="Z552" i="1" a="1"/>
  <c r="Z552" i="1" s="1"/>
  <c r="Y552" i="1"/>
  <c r="Z680" i="1" a="1"/>
  <c r="Z680" i="1" s="1"/>
  <c r="Y680" i="1"/>
  <c r="Z808" i="1" a="1"/>
  <c r="Z808" i="1" s="1"/>
  <c r="Y808" i="1"/>
  <c r="Z89" i="1" a="1"/>
  <c r="Z89" i="1" s="1"/>
  <c r="Y89" i="1"/>
  <c r="Z217" i="1" a="1"/>
  <c r="Z217" i="1" s="1"/>
  <c r="Y217" i="1"/>
  <c r="Z345" i="1" a="1"/>
  <c r="Z345" i="1" s="1"/>
  <c r="Y345" i="1"/>
  <c r="Z473" i="1" a="1"/>
  <c r="Z473" i="1" s="1"/>
  <c r="Y473" i="1"/>
  <c r="Z601" i="1" a="1"/>
  <c r="Z601" i="1" s="1"/>
  <c r="Y601" i="1"/>
  <c r="Z729" i="1" a="1"/>
  <c r="Z729" i="1" s="1"/>
  <c r="Y729" i="1"/>
  <c r="Z44" i="1" a="1"/>
  <c r="Z44" i="1" s="1"/>
  <c r="Y44" i="1"/>
  <c r="Z172" i="1" a="1"/>
  <c r="Z172" i="1" s="1"/>
  <c r="Y172" i="1"/>
  <c r="Z300" i="1" a="1"/>
  <c r="Z300" i="1" s="1"/>
  <c r="Y300" i="1"/>
  <c r="Z428" i="1" a="1"/>
  <c r="Z428" i="1" s="1"/>
  <c r="Y428" i="1"/>
  <c r="Z556" i="1" a="1"/>
  <c r="Z556" i="1" s="1"/>
  <c r="Y556" i="1"/>
  <c r="Z684" i="1" a="1"/>
  <c r="Z684" i="1" s="1"/>
  <c r="Y684" i="1"/>
  <c r="Z812" i="1" a="1"/>
  <c r="Z812" i="1" s="1"/>
  <c r="Y812" i="1"/>
  <c r="Z122" i="1" a="1"/>
  <c r="Z122" i="1" s="1"/>
  <c r="Y122" i="1"/>
  <c r="Z250" i="1" a="1"/>
  <c r="Z250" i="1" s="1"/>
  <c r="Y250" i="1"/>
  <c r="Z378" i="1" a="1"/>
  <c r="Z378" i="1" s="1"/>
  <c r="Y378" i="1"/>
  <c r="Z506" i="1" a="1"/>
  <c r="Z506" i="1" s="1"/>
  <c r="Y506" i="1"/>
  <c r="Z634" i="1" a="1"/>
  <c r="Z634" i="1" s="1"/>
  <c r="Y634" i="1"/>
  <c r="Z762" i="1" a="1"/>
  <c r="Z762" i="1" s="1"/>
  <c r="Y762" i="1"/>
  <c r="V845" i="1"/>
  <c r="AB844" i="1"/>
  <c r="AC844" i="1" s="1"/>
  <c r="V409" i="1"/>
  <c r="AB408" i="1"/>
  <c r="AC408" i="1" s="1"/>
  <c r="U387" i="1"/>
  <c r="AB386" i="1"/>
  <c r="AC386" i="1" s="1"/>
  <c r="Z382" i="1" a="1"/>
  <c r="Z382" i="1" s="1"/>
  <c r="Y382" i="1"/>
  <c r="Z336" i="1" a="1"/>
  <c r="Z336" i="1" s="1"/>
  <c r="Y336" i="1"/>
  <c r="Y653" i="1"/>
  <c r="Z653" i="1" a="1"/>
  <c r="Z653" i="1" s="1"/>
  <c r="Z96" i="1" a="1"/>
  <c r="Z96" i="1" s="1"/>
  <c r="Y96" i="1"/>
  <c r="Z487" i="1" a="1"/>
  <c r="Z487" i="1" s="1"/>
  <c r="Y487" i="1"/>
  <c r="Z335" i="1" a="1"/>
  <c r="Z335" i="1" s="1"/>
  <c r="Y335" i="1"/>
  <c r="V254" i="1"/>
  <c r="U510" i="1"/>
  <c r="V782" i="1"/>
  <c r="U288" i="1"/>
  <c r="AB287" i="1"/>
  <c r="AC287" i="1" s="1"/>
  <c r="U543" i="1"/>
  <c r="AB543" i="1"/>
  <c r="AC543" i="1" s="1"/>
  <c r="U225" i="1"/>
  <c r="AB225" i="1"/>
  <c r="AC225" i="1" s="1"/>
  <c r="U481" i="1"/>
  <c r="AB481" i="1"/>
  <c r="AC481" i="1" s="1"/>
  <c r="U737" i="1"/>
  <c r="AB737" i="1"/>
  <c r="AC737" i="1" s="1"/>
  <c r="V723" i="1"/>
  <c r="AB722" i="1"/>
  <c r="AC722" i="1" s="1"/>
  <c r="V181" i="1"/>
  <c r="AB180" i="1"/>
  <c r="AC180" i="1" s="1"/>
  <c r="V693" i="1"/>
  <c r="AB692" i="1"/>
  <c r="AC692" i="1" s="1"/>
  <c r="U453" i="1"/>
  <c r="V535" i="1"/>
  <c r="AB534" i="1"/>
  <c r="AC534" i="1" s="1"/>
  <c r="V30" i="1"/>
  <c r="AB29" i="1"/>
  <c r="AC29" i="1" s="1"/>
  <c r="U157" i="1"/>
  <c r="AB157" i="1"/>
  <c r="AC157" i="1" s="1"/>
  <c r="V286" i="1"/>
  <c r="AB285" i="1"/>
  <c r="AC285" i="1" s="1"/>
  <c r="U413" i="1"/>
  <c r="AB413" i="1"/>
  <c r="AC413" i="1" s="1"/>
  <c r="V542" i="1"/>
  <c r="AB541" i="1"/>
  <c r="AC541" i="1" s="1"/>
  <c r="V670" i="1"/>
  <c r="AB669" i="1"/>
  <c r="AC669" i="1" s="1"/>
  <c r="U798" i="1"/>
  <c r="AB797" i="1"/>
  <c r="AC797" i="1" s="1"/>
  <c r="U62" i="1"/>
  <c r="AB62" i="1"/>
  <c r="AC62" i="1" s="1"/>
  <c r="U270" i="1"/>
  <c r="AB270" i="1"/>
  <c r="AC270" i="1" s="1"/>
  <c r="V414" i="1"/>
  <c r="AB414" i="1"/>
  <c r="AC414" i="1" s="1"/>
  <c r="U558" i="1"/>
  <c r="AB558" i="1"/>
  <c r="AC558" i="1" s="1"/>
  <c r="U686" i="1"/>
  <c r="AB686" i="1"/>
  <c r="AC686" i="1" s="1"/>
  <c r="U830" i="1"/>
  <c r="AB830" i="1"/>
  <c r="AC830" i="1" s="1"/>
  <c r="V96" i="1"/>
  <c r="AB95" i="1"/>
  <c r="AC95" i="1" s="1"/>
  <c r="V224" i="1"/>
  <c r="AB223" i="1"/>
  <c r="AC223" i="1" s="1"/>
  <c r="U839" i="1"/>
  <c r="AB839" i="1"/>
  <c r="AC839" i="1" s="1"/>
  <c r="V112" i="1"/>
  <c r="AB112" i="1"/>
  <c r="AC112" i="1" s="1"/>
  <c r="U240" i="1"/>
  <c r="AB240" i="1"/>
  <c r="AC240" i="1" s="1"/>
  <c r="V496" i="1"/>
  <c r="AB496" i="1"/>
  <c r="AC496" i="1" s="1"/>
  <c r="V211" i="1"/>
  <c r="AB211" i="1"/>
  <c r="AC211" i="1" s="1"/>
  <c r="U627" i="1"/>
  <c r="AB627" i="1"/>
  <c r="AC627" i="1" s="1"/>
  <c r="U695" i="1"/>
  <c r="AB695" i="1"/>
  <c r="AC695" i="1" s="1"/>
  <c r="V227" i="1"/>
  <c r="AB227" i="1"/>
  <c r="AC227" i="1" s="1"/>
  <c r="V643" i="1"/>
  <c r="AB643" i="1"/>
  <c r="AC643" i="1" s="1"/>
  <c r="U215" i="1"/>
  <c r="AB215" i="1"/>
  <c r="AC215" i="1" s="1"/>
  <c r="U664" i="1"/>
  <c r="AB663" i="1"/>
  <c r="AC663" i="1" s="1"/>
  <c r="V67" i="1"/>
  <c r="AB66" i="1"/>
  <c r="AC66" i="1" s="1"/>
  <c r="U823" i="1"/>
  <c r="AB823" i="1"/>
  <c r="AC823" i="1" s="1"/>
  <c r="U115" i="1"/>
  <c r="AB115" i="1"/>
  <c r="AC115" i="1" s="1"/>
  <c r="V551" i="1"/>
  <c r="AB551" i="1"/>
  <c r="AC551" i="1" s="1"/>
  <c r="U39" i="1"/>
  <c r="AB39" i="1"/>
  <c r="AC39" i="1" s="1"/>
  <c r="U553" i="1"/>
  <c r="AB552" i="1"/>
  <c r="AC552" i="1" s="1"/>
  <c r="V681" i="1"/>
  <c r="AB680" i="1"/>
  <c r="AC680" i="1" s="1"/>
  <c r="V808" i="1"/>
  <c r="AB808" i="1"/>
  <c r="AC808" i="1" s="1"/>
  <c r="U89" i="1"/>
  <c r="AB89" i="1"/>
  <c r="AC89" i="1" s="1"/>
  <c r="U345" i="1"/>
  <c r="AB345" i="1"/>
  <c r="AC345" i="1" s="1"/>
  <c r="V473" i="1"/>
  <c r="AB473" i="1"/>
  <c r="AC473" i="1" s="1"/>
  <c r="U601" i="1"/>
  <c r="AB601" i="1"/>
  <c r="AC601" i="1" s="1"/>
  <c r="U729" i="1"/>
  <c r="AB729" i="1"/>
  <c r="AC729" i="1" s="1"/>
  <c r="Y851" i="1"/>
  <c r="Z851" i="1" a="1"/>
  <c r="Z851" i="1" s="1"/>
  <c r="Z123" i="1" a="1"/>
  <c r="Z123" i="1" s="1"/>
  <c r="Y123" i="1"/>
  <c r="Z251" i="1" a="1"/>
  <c r="Z251" i="1" s="1"/>
  <c r="Y251" i="1"/>
  <c r="Z379" i="1" a="1"/>
  <c r="Z379" i="1" s="1"/>
  <c r="Y379" i="1"/>
  <c r="Z507" i="1" a="1"/>
  <c r="Z507" i="1" s="1"/>
  <c r="Y507" i="1"/>
  <c r="Z635" i="1" a="1"/>
  <c r="Z635" i="1" s="1"/>
  <c r="Y635" i="1"/>
  <c r="Z763" i="1" a="1"/>
  <c r="Z763" i="1" s="1"/>
  <c r="Y763" i="1"/>
  <c r="Z334" i="1" a="1"/>
  <c r="Z334" i="1" s="1"/>
  <c r="Y334" i="1"/>
  <c r="Z351" i="1" a="1"/>
  <c r="Z351" i="1" s="1"/>
  <c r="Y351" i="1"/>
  <c r="Z479" i="1" a="1"/>
  <c r="Z479" i="1" s="1"/>
  <c r="Y479" i="1"/>
  <c r="Z607" i="1" a="1"/>
  <c r="Z607" i="1" s="1"/>
  <c r="Y607" i="1"/>
  <c r="Z735" i="1" a="1"/>
  <c r="Z735" i="1" s="1"/>
  <c r="Y735" i="1"/>
  <c r="Z65" i="1" a="1"/>
  <c r="Z65" i="1" s="1"/>
  <c r="Y65" i="1"/>
  <c r="Z193" i="1" a="1"/>
  <c r="Z193" i="1" s="1"/>
  <c r="Y193" i="1"/>
  <c r="Z321" i="1" a="1"/>
  <c r="Z321" i="1" s="1"/>
  <c r="Y321" i="1"/>
  <c r="Z449" i="1" a="1"/>
  <c r="Z449" i="1" s="1"/>
  <c r="Y449" i="1"/>
  <c r="Z577" i="1" a="1"/>
  <c r="Z577" i="1" s="1"/>
  <c r="Y577" i="1"/>
  <c r="Y705" i="1"/>
  <c r="Z705" i="1" a="1"/>
  <c r="Z705" i="1" s="1"/>
  <c r="Y833" i="1"/>
  <c r="Z833" i="1" a="1"/>
  <c r="Z833" i="1" s="1"/>
  <c r="Z358" i="1" a="1"/>
  <c r="Z358" i="1" s="1"/>
  <c r="Y358" i="1"/>
  <c r="Z662" i="1" a="1"/>
  <c r="Z662" i="1" s="1"/>
  <c r="Y662" i="1"/>
  <c r="Z130" i="1" a="1"/>
  <c r="Z130" i="1" s="1"/>
  <c r="Y130" i="1"/>
  <c r="Z258" i="1" a="1"/>
  <c r="Z258" i="1" s="1"/>
  <c r="Y258" i="1"/>
  <c r="Z386" i="1" a="1"/>
  <c r="Z386" i="1" s="1"/>
  <c r="Y386" i="1"/>
  <c r="Z514" i="1" a="1"/>
  <c r="Z514" i="1" s="1"/>
  <c r="Y514" i="1"/>
  <c r="Z642" i="1" a="1"/>
  <c r="Z642" i="1" s="1"/>
  <c r="Y642" i="1"/>
  <c r="Z770" i="1" a="1"/>
  <c r="Z770" i="1" s="1"/>
  <c r="Y770" i="1"/>
  <c r="Z150" i="1" a="1"/>
  <c r="Z150" i="1" s="1"/>
  <c r="Y150" i="1"/>
  <c r="Z518" i="1" a="1"/>
  <c r="Z518" i="1" s="1"/>
  <c r="Y518" i="1"/>
  <c r="Z860" i="1" a="1"/>
  <c r="Z860" i="1" s="1"/>
  <c r="Y860" i="1"/>
  <c r="Z132" i="1" a="1"/>
  <c r="Z132" i="1" s="1"/>
  <c r="Y132" i="1"/>
  <c r="Z260" i="1" a="1"/>
  <c r="Z260" i="1" s="1"/>
  <c r="Y260" i="1"/>
  <c r="Z388" i="1" a="1"/>
  <c r="Z388" i="1" s="1"/>
  <c r="Y388" i="1"/>
  <c r="Z516" i="1" a="1"/>
  <c r="Z516" i="1" s="1"/>
  <c r="Y516" i="1"/>
  <c r="Z644" i="1" a="1"/>
  <c r="Z644" i="1" s="1"/>
  <c r="Y644" i="1"/>
  <c r="Z772" i="1" a="1"/>
  <c r="Z772" i="1" s="1"/>
  <c r="Y772" i="1"/>
  <c r="Z166" i="1" a="1"/>
  <c r="Z166" i="1" s="1"/>
  <c r="Y166" i="1"/>
  <c r="Z646" i="1" a="1"/>
  <c r="Z646" i="1" s="1"/>
  <c r="Y646" i="1"/>
  <c r="Z40" i="1" a="1"/>
  <c r="Z40" i="1" s="1"/>
  <c r="Y40" i="1"/>
  <c r="Z168" i="1" a="1"/>
  <c r="Z168" i="1" s="1"/>
  <c r="Y168" i="1"/>
  <c r="Z296" i="1" a="1"/>
  <c r="Z296" i="1" s="1"/>
  <c r="Y296" i="1"/>
  <c r="Z424" i="1" a="1"/>
  <c r="Z424" i="1" s="1"/>
  <c r="Y424" i="1"/>
  <c r="U199" i="1"/>
  <c r="AB198" i="1"/>
  <c r="AC198" i="1" s="1"/>
  <c r="Y853" i="1"/>
  <c r="Z853" i="1" a="1"/>
  <c r="Z853" i="1" s="1"/>
  <c r="Z803" i="1" a="1"/>
  <c r="Z803" i="1" s="1"/>
  <c r="Y803" i="1"/>
  <c r="Z670" i="1" a="1"/>
  <c r="Z670" i="1" s="1"/>
  <c r="Y670" i="1"/>
  <c r="Z608" i="1" a="1"/>
  <c r="Z608" i="1" s="1"/>
  <c r="Y608" i="1"/>
  <c r="Z595" i="1" a="1"/>
  <c r="Z595" i="1" s="1"/>
  <c r="Y595" i="1"/>
  <c r="U148" i="1"/>
  <c r="AB148" i="1"/>
  <c r="AC148" i="1" s="1"/>
  <c r="Z619" i="1" a="1"/>
  <c r="Z619" i="1" s="1"/>
  <c r="Y619" i="1"/>
  <c r="Z591" i="1" a="1"/>
  <c r="Z591" i="1" s="1"/>
  <c r="Y591" i="1"/>
  <c r="Z310" i="1" a="1"/>
  <c r="Z310" i="1" s="1"/>
  <c r="Y310" i="1"/>
  <c r="Z242" i="1" a="1"/>
  <c r="Z242" i="1" s="1"/>
  <c r="Y242" i="1"/>
  <c r="Z102" i="1" a="1"/>
  <c r="Z102" i="1" s="1"/>
  <c r="Y102" i="1"/>
  <c r="Z500" i="1" a="1"/>
  <c r="Z500" i="1" s="1"/>
  <c r="Y500" i="1"/>
  <c r="U681" i="1"/>
  <c r="V270" i="1"/>
  <c r="V510" i="1"/>
  <c r="V560" i="1"/>
  <c r="AB559" i="1"/>
  <c r="AC559" i="1" s="1"/>
  <c r="U815" i="1"/>
  <c r="AB815" i="1"/>
  <c r="AC815" i="1" s="1"/>
  <c r="V784" i="1"/>
  <c r="U169" i="1"/>
  <c r="V483" i="1"/>
  <c r="AB482" i="1"/>
  <c r="AC482" i="1" s="1"/>
  <c r="V739" i="1"/>
  <c r="AB738" i="1"/>
  <c r="AC738" i="1" s="1"/>
  <c r="U197" i="1"/>
  <c r="AB196" i="1"/>
  <c r="AC196" i="1" s="1"/>
  <c r="U709" i="1"/>
  <c r="AB708" i="1"/>
  <c r="AC708" i="1" s="1"/>
  <c r="V807" i="1"/>
  <c r="AB806" i="1"/>
  <c r="AC806" i="1" s="1"/>
  <c r="U9" i="1"/>
  <c r="AB8" i="1"/>
  <c r="AC8" i="1" s="1"/>
  <c r="V265" i="1"/>
  <c r="AB264" i="1"/>
  <c r="AC264" i="1" s="1"/>
  <c r="Y45" i="1"/>
  <c r="Z45" i="1" a="1"/>
  <c r="Z45" i="1" s="1"/>
  <c r="Z173" i="1" a="1"/>
  <c r="Z173" i="1" s="1"/>
  <c r="Y173" i="1"/>
  <c r="Y301" i="1"/>
  <c r="Z301" i="1" a="1"/>
  <c r="Z301" i="1" s="1"/>
  <c r="Y429" i="1"/>
  <c r="Z429" i="1" a="1"/>
  <c r="Z429" i="1" s="1"/>
  <c r="Y557" i="1"/>
  <c r="Z557" i="1" a="1"/>
  <c r="Z557" i="1" s="1"/>
  <c r="Y685" i="1"/>
  <c r="Z685" i="1" a="1"/>
  <c r="Z685" i="1" s="1"/>
  <c r="Y813" i="1"/>
  <c r="Z813" i="1" a="1"/>
  <c r="Z813" i="1" s="1"/>
  <c r="Z78" i="1" a="1"/>
  <c r="Z78" i="1" s="1"/>
  <c r="Y78" i="1"/>
  <c r="Z286" i="1" a="1"/>
  <c r="Z286" i="1" s="1"/>
  <c r="Y286" i="1"/>
  <c r="Z430" i="1" a="1"/>
  <c r="Z430" i="1" s="1"/>
  <c r="Y430" i="1"/>
  <c r="Z574" i="1" a="1"/>
  <c r="Z574" i="1" s="1"/>
  <c r="Y574" i="1"/>
  <c r="Z702" i="1" a="1"/>
  <c r="Z702" i="1" s="1"/>
  <c r="Y702" i="1"/>
  <c r="Z846" i="1" a="1"/>
  <c r="Z846" i="1" s="1"/>
  <c r="Y846" i="1"/>
  <c r="Z111" i="1" a="1"/>
  <c r="Z111" i="1" s="1"/>
  <c r="Y111" i="1"/>
  <c r="Z239" i="1" a="1"/>
  <c r="Z239" i="1" s="1"/>
  <c r="Y239" i="1"/>
  <c r="Z515" i="1" a="1"/>
  <c r="Z515" i="1" s="1"/>
  <c r="Y515" i="1"/>
  <c r="Z856" i="1" a="1"/>
  <c r="Z856" i="1" s="1"/>
  <c r="Y856" i="1"/>
  <c r="Y128" i="1"/>
  <c r="Z128" i="1" a="1"/>
  <c r="Z128" i="1" s="1"/>
  <c r="Z256" i="1" a="1"/>
  <c r="Z256" i="1" s="1"/>
  <c r="Y256" i="1"/>
  <c r="Z384" i="1" a="1"/>
  <c r="Z384" i="1" s="1"/>
  <c r="Y384" i="1"/>
  <c r="Z512" i="1" a="1"/>
  <c r="Z512" i="1" s="1"/>
  <c r="Y512" i="1"/>
  <c r="Z640" i="1" a="1"/>
  <c r="Z640" i="1" s="1"/>
  <c r="Y640" i="1"/>
  <c r="Z768" i="1" a="1"/>
  <c r="Z768" i="1" s="1"/>
  <c r="Y768" i="1"/>
  <c r="Z243" i="1" a="1"/>
  <c r="Z243" i="1" s="1"/>
  <c r="Y243" i="1"/>
  <c r="Y691" i="1"/>
  <c r="Z691" i="1" a="1"/>
  <c r="Z691" i="1" s="1"/>
  <c r="Z279" i="1" a="1"/>
  <c r="Z279" i="1" s="1"/>
  <c r="Y279" i="1"/>
  <c r="Z775" i="1" a="1"/>
  <c r="Z775" i="1" s="1"/>
  <c r="Y775" i="1"/>
  <c r="Z291" i="1" a="1"/>
  <c r="Z291" i="1" s="1"/>
  <c r="Y291" i="1"/>
  <c r="Z707" i="1" a="1"/>
  <c r="Z707" i="1" s="1"/>
  <c r="Y707" i="1"/>
  <c r="Z263" i="1" a="1"/>
  <c r="Z263" i="1" s="1"/>
  <c r="Y263" i="1"/>
  <c r="Z727" i="1" a="1"/>
  <c r="Z727" i="1" s="1"/>
  <c r="Y727" i="1"/>
  <c r="Z179" i="1" a="1"/>
  <c r="Z179" i="1" s="1"/>
  <c r="Y179" i="1"/>
  <c r="Y859" i="1"/>
  <c r="Z859" i="1" a="1"/>
  <c r="Z859" i="1" s="1"/>
  <c r="Z23" i="1" a="1"/>
  <c r="Z23" i="1" s="1"/>
  <c r="Y23" i="1"/>
  <c r="Z615" i="1" a="1"/>
  <c r="Z615" i="1" s="1"/>
  <c r="Y615" i="1"/>
  <c r="Z101" i="1" a="1"/>
  <c r="Z101" i="1" s="1"/>
  <c r="Y101" i="1"/>
  <c r="Z229" i="1" a="1"/>
  <c r="Z229" i="1" s="1"/>
  <c r="Y229" i="1"/>
  <c r="Z357" i="1" a="1"/>
  <c r="Z357" i="1" s="1"/>
  <c r="Y357" i="1"/>
  <c r="Z485" i="1" a="1"/>
  <c r="Z485" i="1" s="1"/>
  <c r="Y485" i="1"/>
  <c r="Z613" i="1" a="1"/>
  <c r="Z613" i="1" s="1"/>
  <c r="Y613" i="1"/>
  <c r="Z741" i="1" a="1"/>
  <c r="Z741" i="1" s="1"/>
  <c r="Y741" i="1"/>
  <c r="Z327" i="1" a="1"/>
  <c r="Z327" i="1" s="1"/>
  <c r="Y327" i="1"/>
  <c r="Z568" i="1" a="1"/>
  <c r="Z568" i="1" s="1"/>
  <c r="Y568" i="1"/>
  <c r="Z696" i="1" a="1"/>
  <c r="Z696" i="1" s="1"/>
  <c r="Y696" i="1"/>
  <c r="Z824" i="1" a="1"/>
  <c r="Z824" i="1" s="1"/>
  <c r="Y824" i="1"/>
  <c r="Z105" i="1" a="1"/>
  <c r="Z105" i="1" s="1"/>
  <c r="Y105" i="1"/>
  <c r="Z233" i="1" a="1"/>
  <c r="Z233" i="1" s="1"/>
  <c r="Y233" i="1"/>
  <c r="Z361" i="1" a="1"/>
  <c r="Z361" i="1" s="1"/>
  <c r="Y361" i="1"/>
  <c r="Z489" i="1" a="1"/>
  <c r="Z489" i="1" s="1"/>
  <c r="Y489" i="1"/>
  <c r="Z617" i="1" a="1"/>
  <c r="Z617" i="1" s="1"/>
  <c r="Y617" i="1"/>
  <c r="Z745" i="1" a="1"/>
  <c r="Z745" i="1" s="1"/>
  <c r="Y745" i="1"/>
  <c r="Z60" i="1" a="1"/>
  <c r="Z60" i="1" s="1"/>
  <c r="Y60" i="1"/>
  <c r="Z188" i="1" a="1"/>
  <c r="Z188" i="1" s="1"/>
  <c r="Y188" i="1"/>
  <c r="Z316" i="1" a="1"/>
  <c r="Z316" i="1" s="1"/>
  <c r="Y316" i="1"/>
  <c r="Z444" i="1" a="1"/>
  <c r="Z444" i="1" s="1"/>
  <c r="Y444" i="1"/>
  <c r="Z572" i="1" a="1"/>
  <c r="Z572" i="1" s="1"/>
  <c r="Y572" i="1"/>
  <c r="Z700" i="1" a="1"/>
  <c r="Z700" i="1" s="1"/>
  <c r="Y700" i="1"/>
  <c r="Y828" i="1"/>
  <c r="Z828" i="1" a="1"/>
  <c r="Z828" i="1" s="1"/>
  <c r="Z10" i="1" a="1"/>
  <c r="Z10" i="1" s="1"/>
  <c r="Y10" i="1"/>
  <c r="Z138" i="1" a="1"/>
  <c r="Z138" i="1" s="1"/>
  <c r="Y138" i="1"/>
  <c r="Z266" i="1" a="1"/>
  <c r="Z266" i="1" s="1"/>
  <c r="Y266" i="1"/>
  <c r="Z394" i="1" a="1"/>
  <c r="Z394" i="1" s="1"/>
  <c r="Y394" i="1"/>
  <c r="Z522" i="1" a="1"/>
  <c r="Z522" i="1" s="1"/>
  <c r="Y522" i="1"/>
  <c r="Z650" i="1" a="1"/>
  <c r="Z650" i="1" s="1"/>
  <c r="Y650" i="1"/>
  <c r="Z778" i="1" a="1"/>
  <c r="Z778" i="1" s="1"/>
  <c r="Y778" i="1"/>
  <c r="V333" i="1"/>
  <c r="AB332" i="1"/>
  <c r="AC332" i="1" s="1"/>
  <c r="U93" i="1"/>
  <c r="AB92" i="1"/>
  <c r="AC92" i="1" s="1"/>
  <c r="V464" i="1"/>
  <c r="AB463" i="1"/>
  <c r="AC463" i="1" s="1"/>
  <c r="Y637" i="1"/>
  <c r="Z637" i="1" a="1"/>
  <c r="Z637" i="1" s="1"/>
  <c r="Z798" i="1" a="1"/>
  <c r="Z798" i="1" s="1"/>
  <c r="Y798" i="1"/>
  <c r="Z269" i="1" a="1"/>
  <c r="Z269" i="1" s="1"/>
  <c r="Y269" i="1"/>
  <c r="Z79" i="1" a="1"/>
  <c r="Z79" i="1" s="1"/>
  <c r="Y79" i="1"/>
  <c r="Z736" i="1" a="1"/>
  <c r="Z736" i="1" s="1"/>
  <c r="Y736" i="1"/>
  <c r="Z599" i="1" a="1"/>
  <c r="Z599" i="1" s="1"/>
  <c r="Y599" i="1"/>
  <c r="Z719" i="1" a="1"/>
  <c r="Z719" i="1" s="1"/>
  <c r="Y719" i="1"/>
  <c r="V717" i="1"/>
  <c r="AB716" i="1"/>
  <c r="AC716" i="1" s="1"/>
  <c r="U320" i="1"/>
  <c r="AB319" i="1"/>
  <c r="AC319" i="1" s="1"/>
  <c r="V831" i="1"/>
  <c r="AB831" i="1"/>
  <c r="AC831" i="1" s="1"/>
  <c r="V64" i="1"/>
  <c r="U800" i="1"/>
  <c r="V549" i="1"/>
  <c r="U46" i="1"/>
  <c r="AB45" i="1"/>
  <c r="AC45" i="1" s="1"/>
  <c r="U301" i="1"/>
  <c r="AB301" i="1"/>
  <c r="AC301" i="1" s="1"/>
  <c r="V429" i="1"/>
  <c r="AB429" i="1"/>
  <c r="AC429" i="1" s="1"/>
  <c r="V557" i="1"/>
  <c r="AB557" i="1"/>
  <c r="AC557" i="1" s="1"/>
  <c r="V685" i="1"/>
  <c r="AB685" i="1"/>
  <c r="AC685" i="1" s="1"/>
  <c r="U814" i="1"/>
  <c r="AB813" i="1"/>
  <c r="AC813" i="1" s="1"/>
  <c r="U78" i="1"/>
  <c r="AB78" i="1"/>
  <c r="AC78" i="1" s="1"/>
  <c r="V430" i="1"/>
  <c r="AB430" i="1"/>
  <c r="AC430" i="1" s="1"/>
  <c r="V574" i="1"/>
  <c r="AB574" i="1"/>
  <c r="AC574" i="1" s="1"/>
  <c r="V702" i="1"/>
  <c r="AB702" i="1"/>
  <c r="AC702" i="1" s="1"/>
  <c r="V846" i="1"/>
  <c r="AB846" i="1"/>
  <c r="AC846" i="1" s="1"/>
  <c r="V111" i="1"/>
  <c r="AB111" i="1"/>
  <c r="AC111" i="1" s="1"/>
  <c r="U856" i="1"/>
  <c r="AB856" i="1"/>
  <c r="AC856" i="1" s="1"/>
  <c r="V128" i="1"/>
  <c r="AB128" i="1"/>
  <c r="AC128" i="1" s="1"/>
  <c r="U256" i="1"/>
  <c r="AB256" i="1"/>
  <c r="AC256" i="1" s="1"/>
  <c r="U691" i="1"/>
  <c r="AB691" i="1"/>
  <c r="AC691" i="1" s="1"/>
  <c r="V279" i="1"/>
  <c r="AB279" i="1"/>
  <c r="AC279" i="1" s="1"/>
  <c r="V775" i="1"/>
  <c r="AB775" i="1"/>
  <c r="AC775" i="1" s="1"/>
  <c r="V291" i="1"/>
  <c r="AB291" i="1"/>
  <c r="AC291" i="1" s="1"/>
  <c r="V728" i="1"/>
  <c r="AB727" i="1"/>
  <c r="AC727" i="1" s="1"/>
  <c r="U179" i="1"/>
  <c r="AB179" i="1"/>
  <c r="AC179" i="1" s="1"/>
  <c r="U859" i="1"/>
  <c r="AB859" i="1"/>
  <c r="AC859" i="1" s="1"/>
  <c r="V616" i="1"/>
  <c r="AB615" i="1"/>
  <c r="AC615" i="1" s="1"/>
  <c r="U229" i="1"/>
  <c r="AB229" i="1"/>
  <c r="AC229" i="1" s="1"/>
  <c r="V485" i="1"/>
  <c r="AB485" i="1"/>
  <c r="AC485" i="1" s="1"/>
  <c r="U327" i="1"/>
  <c r="AB327" i="1"/>
  <c r="AC327" i="1" s="1"/>
  <c r="V568" i="1"/>
  <c r="AB568" i="1"/>
  <c r="AC568" i="1" s="1"/>
  <c r="U696" i="1"/>
  <c r="AB696" i="1"/>
  <c r="AC696" i="1" s="1"/>
  <c r="U824" i="1"/>
  <c r="AB824" i="1"/>
  <c r="AC824" i="1" s="1"/>
  <c r="U105" i="1"/>
  <c r="AB105" i="1"/>
  <c r="AC105" i="1" s="1"/>
  <c r="V361" i="1"/>
  <c r="AB361" i="1"/>
  <c r="AC361" i="1" s="1"/>
  <c r="U617" i="1"/>
  <c r="AB617" i="1"/>
  <c r="AC617" i="1" s="1"/>
  <c r="V745" i="1"/>
  <c r="AB745" i="1"/>
  <c r="AC745" i="1" s="1"/>
  <c r="Z11" i="1" a="1"/>
  <c r="Z11" i="1" s="1"/>
  <c r="Y11" i="1"/>
  <c r="Z139" i="1" a="1"/>
  <c r="Z139" i="1" s="1"/>
  <c r="Y139" i="1"/>
  <c r="Z267" i="1" a="1"/>
  <c r="Z267" i="1" s="1"/>
  <c r="Y267" i="1"/>
  <c r="Z395" i="1" a="1"/>
  <c r="Z395" i="1" s="1"/>
  <c r="Y395" i="1"/>
  <c r="Z523" i="1" a="1"/>
  <c r="Z523" i="1" s="1"/>
  <c r="Y523" i="1"/>
  <c r="Z651" i="1" a="1"/>
  <c r="Z651" i="1" s="1"/>
  <c r="Y651" i="1"/>
  <c r="Z779" i="1" a="1"/>
  <c r="Z779" i="1" s="1"/>
  <c r="Y779" i="1"/>
  <c r="Z494" i="1" a="1"/>
  <c r="Z494" i="1" s="1"/>
  <c r="Y494" i="1"/>
  <c r="Z367" i="1" a="1"/>
  <c r="Z367" i="1" s="1"/>
  <c r="Y367" i="1"/>
  <c r="Z495" i="1" a="1"/>
  <c r="Z495" i="1" s="1"/>
  <c r="Y495" i="1"/>
  <c r="Y623" i="1"/>
  <c r="Z623" i="1" a="1"/>
  <c r="Z623" i="1" s="1"/>
  <c r="Z751" i="1" a="1"/>
  <c r="Z751" i="1" s="1"/>
  <c r="Y751" i="1"/>
  <c r="Z81" i="1" a="1"/>
  <c r="Z81" i="1" s="1"/>
  <c r="Y81" i="1"/>
  <c r="Z209" i="1" a="1"/>
  <c r="Z209" i="1" s="1"/>
  <c r="Y209" i="1"/>
  <c r="Z337" i="1" a="1"/>
  <c r="Z337" i="1" s="1"/>
  <c r="Y337" i="1"/>
  <c r="Z465" i="1" a="1"/>
  <c r="Z465" i="1" s="1"/>
  <c r="Y465" i="1"/>
  <c r="Z593" i="1" a="1"/>
  <c r="Z593" i="1" s="1"/>
  <c r="Y593" i="1"/>
  <c r="Z721" i="1" a="1"/>
  <c r="Z721" i="1" s="1"/>
  <c r="Y721" i="1"/>
  <c r="Y849" i="1"/>
  <c r="Z849" i="1" a="1"/>
  <c r="Z849" i="1" s="1"/>
  <c r="Z390" i="1" a="1"/>
  <c r="Z390" i="1" s="1"/>
  <c r="Y390" i="1"/>
  <c r="Z694" i="1" a="1"/>
  <c r="Z694" i="1" s="1"/>
  <c r="Y694" i="1"/>
  <c r="Z146" i="1" a="1"/>
  <c r="Z146" i="1" s="1"/>
  <c r="Y146" i="1"/>
  <c r="Z274" i="1" a="1"/>
  <c r="Z274" i="1" s="1"/>
  <c r="Y274" i="1"/>
  <c r="Z402" i="1" a="1"/>
  <c r="Z402" i="1" s="1"/>
  <c r="Y402" i="1"/>
  <c r="Z530" i="1" a="1"/>
  <c r="Z530" i="1" s="1"/>
  <c r="Y530" i="1"/>
  <c r="Z658" i="1" a="1"/>
  <c r="Z658" i="1" s="1"/>
  <c r="Y658" i="1"/>
  <c r="Z786" i="1" a="1"/>
  <c r="Z786" i="1" s="1"/>
  <c r="Y786" i="1"/>
  <c r="Z198" i="1" a="1"/>
  <c r="Z198" i="1" s="1"/>
  <c r="Y198" i="1"/>
  <c r="Z566" i="1" a="1"/>
  <c r="Z566" i="1" s="1"/>
  <c r="Y566" i="1"/>
  <c r="Z20" i="1" a="1"/>
  <c r="Z20" i="1" s="1"/>
  <c r="Y20" i="1"/>
  <c r="Z148" i="1" a="1"/>
  <c r="Z148" i="1" s="1"/>
  <c r="Y148" i="1"/>
  <c r="Z276" i="1" a="1"/>
  <c r="Z276" i="1" s="1"/>
  <c r="Y276" i="1"/>
  <c r="Z404" i="1" a="1"/>
  <c r="Z404" i="1" s="1"/>
  <c r="Y404" i="1"/>
  <c r="Z532" i="1" a="1"/>
  <c r="Z532" i="1" s="1"/>
  <c r="Y532" i="1"/>
  <c r="Z660" i="1" a="1"/>
  <c r="Z660" i="1" s="1"/>
  <c r="Y660" i="1"/>
  <c r="Z788" i="1" a="1"/>
  <c r="Z788" i="1" s="1"/>
  <c r="Y788" i="1"/>
  <c r="Z214" i="1" a="1"/>
  <c r="Z214" i="1" s="1"/>
  <c r="Y214" i="1"/>
  <c r="Z710" i="1" a="1"/>
  <c r="Z710" i="1" s="1"/>
  <c r="Y710" i="1"/>
  <c r="Z56" i="1" a="1"/>
  <c r="Z56" i="1" s="1"/>
  <c r="Y56" i="1"/>
  <c r="Z184" i="1" a="1"/>
  <c r="Z184" i="1" s="1"/>
  <c r="Y184" i="1"/>
  <c r="Z312" i="1" a="1"/>
  <c r="Z312" i="1" s="1"/>
  <c r="Y312" i="1"/>
  <c r="Z440" i="1" a="1"/>
  <c r="Z440" i="1" s="1"/>
  <c r="Y440" i="1"/>
  <c r="V169" i="1"/>
  <c r="AB168" i="1"/>
  <c r="AC168" i="1" s="1"/>
  <c r="Z206" i="1" a="1"/>
  <c r="Z206" i="1" s="1"/>
  <c r="Y206" i="1"/>
  <c r="Z720" i="1" a="1"/>
  <c r="Z720" i="1" s="1"/>
  <c r="Y720" i="1"/>
  <c r="Y13" i="1"/>
  <c r="Z13" i="1" a="1"/>
  <c r="Z13" i="1" s="1"/>
  <c r="Z254" i="1" a="1"/>
  <c r="Z254" i="1" s="1"/>
  <c r="Y254" i="1"/>
  <c r="Z224" i="1" a="1"/>
  <c r="Z224" i="1" s="1"/>
  <c r="Y224" i="1"/>
  <c r="Z50" i="1" a="1"/>
  <c r="Z50" i="1" s="1"/>
  <c r="Y50" i="1"/>
  <c r="Z107" i="1" a="1"/>
  <c r="Z107" i="1" s="1"/>
  <c r="Y107" i="1"/>
  <c r="Z177" i="1" a="1"/>
  <c r="Z177" i="1" s="1"/>
  <c r="Y177" i="1"/>
  <c r="BE4" i="1"/>
  <c r="AA4" i="1"/>
  <c r="U461" i="1"/>
  <c r="AB460" i="1"/>
  <c r="AC460" i="1" s="1"/>
  <c r="V14" i="1"/>
  <c r="U526" i="1"/>
  <c r="V814" i="1"/>
  <c r="U576" i="1"/>
  <c r="AB575" i="1"/>
  <c r="AC575" i="1" s="1"/>
  <c r="U221" i="1"/>
  <c r="AB220" i="1"/>
  <c r="AC220" i="1" s="1"/>
  <c r="V477" i="1"/>
  <c r="AB476" i="1"/>
  <c r="AC476" i="1" s="1"/>
  <c r="V733" i="1"/>
  <c r="AB732" i="1"/>
  <c r="AC732" i="1" s="1"/>
  <c r="U14" i="1"/>
  <c r="V526" i="1"/>
  <c r="V815" i="1"/>
  <c r="V336" i="1"/>
  <c r="AB335" i="1"/>
  <c r="AC335" i="1" s="1"/>
  <c r="U592" i="1"/>
  <c r="AB591" i="1"/>
  <c r="AC591" i="1" s="1"/>
  <c r="U64" i="1"/>
  <c r="V816" i="1"/>
  <c r="U71" i="1"/>
  <c r="AB70" i="1"/>
  <c r="AC70" i="1" s="1"/>
  <c r="V41" i="1"/>
  <c r="AB40" i="1"/>
  <c r="AC40" i="1" s="1"/>
  <c r="U297" i="1"/>
  <c r="AB296" i="1"/>
  <c r="AC296" i="1" s="1"/>
  <c r="V585" i="1"/>
  <c r="Y61" i="1"/>
  <c r="Z61" i="1" a="1"/>
  <c r="Z61" i="1" s="1"/>
  <c r="Y189" i="1"/>
  <c r="Z189" i="1" a="1"/>
  <c r="Z189" i="1" s="1"/>
  <c r="Y317" i="1"/>
  <c r="Z317" i="1" a="1"/>
  <c r="Z317" i="1" s="1"/>
  <c r="Z445" i="1" a="1"/>
  <c r="Z445" i="1" s="1"/>
  <c r="Y445" i="1"/>
  <c r="Z573" i="1" a="1"/>
  <c r="Z573" i="1" s="1"/>
  <c r="Y573" i="1"/>
  <c r="Y701" i="1"/>
  <c r="Z701" i="1" a="1"/>
  <c r="Z701" i="1" s="1"/>
  <c r="Y829" i="1"/>
  <c r="Z829" i="1" a="1"/>
  <c r="Z829" i="1" s="1"/>
  <c r="Z94" i="1" a="1"/>
  <c r="Z94" i="1" s="1"/>
  <c r="Y94" i="1"/>
  <c r="Z302" i="1" a="1"/>
  <c r="Z302" i="1" s="1"/>
  <c r="Y302" i="1"/>
  <c r="Z446" i="1" a="1"/>
  <c r="Z446" i="1" s="1"/>
  <c r="Y446" i="1"/>
  <c r="Z590" i="1" a="1"/>
  <c r="Z590" i="1" s="1"/>
  <c r="Y590" i="1"/>
  <c r="Z734" i="1" a="1"/>
  <c r="Z734" i="1" s="1"/>
  <c r="Y734" i="1"/>
  <c r="Z855" i="1" a="1"/>
  <c r="Z855" i="1" s="1"/>
  <c r="Y855" i="1"/>
  <c r="Z127" i="1" a="1"/>
  <c r="Z127" i="1" s="1"/>
  <c r="Y127" i="1"/>
  <c r="Z255" i="1" a="1"/>
  <c r="Z255" i="1" s="1"/>
  <c r="Y255" i="1"/>
  <c r="Z563" i="1" a="1"/>
  <c r="Z563" i="1" s="1"/>
  <c r="Y563" i="1"/>
  <c r="Z16" i="1" a="1"/>
  <c r="Z16" i="1" s="1"/>
  <c r="Y16" i="1"/>
  <c r="Z144" i="1" a="1"/>
  <c r="Z144" i="1" s="1"/>
  <c r="Y144" i="1"/>
  <c r="Z272" i="1" a="1"/>
  <c r="Z272" i="1" s="1"/>
  <c r="Y272" i="1"/>
  <c r="Z400" i="1" a="1"/>
  <c r="Z400" i="1" s="1"/>
  <c r="Y400" i="1"/>
  <c r="Z528" i="1" a="1"/>
  <c r="Z528" i="1" s="1"/>
  <c r="Y528" i="1"/>
  <c r="Z656" i="1" a="1"/>
  <c r="Z656" i="1" s="1"/>
  <c r="Y656" i="1"/>
  <c r="Z784" i="1" a="1"/>
  <c r="Z784" i="1" s="1"/>
  <c r="Y784" i="1"/>
  <c r="Z275" i="1" a="1"/>
  <c r="Z275" i="1" s="1"/>
  <c r="Y275" i="1"/>
  <c r="Z755" i="1" a="1"/>
  <c r="Z755" i="1" s="1"/>
  <c r="Y755" i="1"/>
  <c r="Z343" i="1" a="1"/>
  <c r="Z343" i="1" s="1"/>
  <c r="Y343" i="1"/>
  <c r="Y857" i="1"/>
  <c r="Z857" i="1" a="1"/>
  <c r="Z857" i="1" s="1"/>
  <c r="Z339" i="1" a="1"/>
  <c r="Z339" i="1" s="1"/>
  <c r="Y339" i="1"/>
  <c r="Z787" i="1" a="1"/>
  <c r="Z787" i="1" s="1"/>
  <c r="Y787" i="1"/>
  <c r="Z311" i="1" a="1"/>
  <c r="Z311" i="1" s="1"/>
  <c r="Y311" i="1"/>
  <c r="Z743" i="1" a="1"/>
  <c r="Z743" i="1" s="1"/>
  <c r="Y743" i="1"/>
  <c r="Z435" i="1" a="1"/>
  <c r="Z435" i="1" s="1"/>
  <c r="Y435" i="1"/>
  <c r="Z19" i="1" a="1"/>
  <c r="Z19" i="1" s="1"/>
  <c r="Y19" i="1"/>
  <c r="Z167" i="1" a="1"/>
  <c r="Z167" i="1" s="1"/>
  <c r="Y167" i="1"/>
  <c r="Z679" i="1" a="1"/>
  <c r="Z679" i="1" s="1"/>
  <c r="Y679" i="1"/>
  <c r="Z117" i="1" a="1"/>
  <c r="Z117" i="1" s="1"/>
  <c r="Y117" i="1"/>
  <c r="Z245" i="1" a="1"/>
  <c r="Z245" i="1" s="1"/>
  <c r="Y245" i="1"/>
  <c r="Z373" i="1" a="1"/>
  <c r="Z373" i="1" s="1"/>
  <c r="Y373" i="1"/>
  <c r="Z501" i="1" a="1"/>
  <c r="Z501" i="1" s="1"/>
  <c r="Y501" i="1"/>
  <c r="Z629" i="1" a="1"/>
  <c r="Z629" i="1" s="1"/>
  <c r="Y629" i="1"/>
  <c r="Z757" i="1" a="1"/>
  <c r="Z757" i="1" s="1"/>
  <c r="Y757" i="1"/>
  <c r="Z439" i="1" a="1"/>
  <c r="Z439" i="1" s="1"/>
  <c r="Y439" i="1"/>
  <c r="Z584" i="1" a="1"/>
  <c r="Z584" i="1" s="1"/>
  <c r="Y584" i="1"/>
  <c r="Z712" i="1" a="1"/>
  <c r="Z712" i="1" s="1"/>
  <c r="Y712" i="1"/>
  <c r="Z840" i="1" a="1"/>
  <c r="Z840" i="1" s="1"/>
  <c r="Y840" i="1"/>
  <c r="Z121" i="1" a="1"/>
  <c r="Z121" i="1" s="1"/>
  <c r="Y121" i="1"/>
  <c r="Z249" i="1" a="1"/>
  <c r="Z249" i="1" s="1"/>
  <c r="Y249" i="1"/>
  <c r="Z377" i="1" a="1"/>
  <c r="Z377" i="1" s="1"/>
  <c r="Y377" i="1"/>
  <c r="Z505" i="1" a="1"/>
  <c r="Z505" i="1" s="1"/>
  <c r="Y505" i="1"/>
  <c r="Z633" i="1" a="1"/>
  <c r="Z633" i="1" s="1"/>
  <c r="Y633" i="1"/>
  <c r="Z761" i="1" a="1"/>
  <c r="Z761" i="1" s="1"/>
  <c r="Y761" i="1"/>
  <c r="Z76" i="1" a="1"/>
  <c r="Z76" i="1" s="1"/>
  <c r="Y76" i="1"/>
  <c r="Z204" i="1" a="1"/>
  <c r="Z204" i="1" s="1"/>
  <c r="Y204" i="1"/>
  <c r="Z332" i="1" a="1"/>
  <c r="Z332" i="1" s="1"/>
  <c r="Y332" i="1"/>
  <c r="Z460" i="1" a="1"/>
  <c r="Z460" i="1" s="1"/>
  <c r="Y460" i="1"/>
  <c r="Z588" i="1" a="1"/>
  <c r="Z588" i="1" s="1"/>
  <c r="Y588" i="1"/>
  <c r="Z716" i="1" a="1"/>
  <c r="Z716" i="1" s="1"/>
  <c r="Y716" i="1"/>
  <c r="Y844" i="1"/>
  <c r="Z844" i="1" a="1"/>
  <c r="Z844" i="1" s="1"/>
  <c r="Z26" i="1" a="1"/>
  <c r="Z26" i="1" s="1"/>
  <c r="Y26" i="1"/>
  <c r="Z154" i="1" a="1"/>
  <c r="Z154" i="1" s="1"/>
  <c r="Y154" i="1"/>
  <c r="Z282" i="1" a="1"/>
  <c r="Z282" i="1" s="1"/>
  <c r="Y282" i="1"/>
  <c r="Z410" i="1" a="1"/>
  <c r="Z410" i="1" s="1"/>
  <c r="Y410" i="1"/>
  <c r="Z538" i="1" a="1"/>
  <c r="Z538" i="1" s="1"/>
  <c r="Y538" i="1"/>
  <c r="Z666" i="1" a="1"/>
  <c r="Z666" i="1" s="1"/>
  <c r="Y666" i="1"/>
  <c r="Z794" i="1" a="1"/>
  <c r="Z794" i="1" s="1"/>
  <c r="Y794" i="1"/>
  <c r="U704" i="1"/>
  <c r="AB703" i="1"/>
  <c r="AC703" i="1" s="1"/>
  <c r="V84" i="1"/>
  <c r="V131" i="1"/>
  <c r="AB130" i="1"/>
  <c r="AC130" i="1" s="1"/>
  <c r="Z30" i="1" a="1"/>
  <c r="Z30" i="1" s="1"/>
  <c r="Y30" i="1"/>
  <c r="Z80" i="1" a="1"/>
  <c r="Z80" i="1" s="1"/>
  <c r="Y80" i="1"/>
  <c r="V750" i="1"/>
  <c r="Z542" i="1" a="1"/>
  <c r="Z542" i="1" s="1"/>
  <c r="Y542" i="1"/>
  <c r="Z131" i="1" a="1"/>
  <c r="Z131" i="1" s="1"/>
  <c r="Y131" i="1"/>
  <c r="Z197" i="1" a="1"/>
  <c r="Z197" i="1" s="1"/>
  <c r="Y197" i="1"/>
  <c r="Z363" i="1" a="1"/>
  <c r="Z363" i="1" s="1"/>
  <c r="Y363" i="1"/>
  <c r="Z561" i="1" a="1"/>
  <c r="Z561" i="1" s="1"/>
  <c r="Y561" i="1"/>
  <c r="Z114" i="1" a="1"/>
  <c r="Z114" i="1" s="1"/>
  <c r="Y114" i="1"/>
  <c r="Z626" i="1" a="1"/>
  <c r="Z626" i="1" s="1"/>
  <c r="Y626" i="1"/>
  <c r="Z116" i="1" a="1"/>
  <c r="Z116" i="1" s="1"/>
  <c r="Y116" i="1"/>
  <c r="Z628" i="1" a="1"/>
  <c r="Z628" i="1" s="1"/>
  <c r="Y628" i="1"/>
  <c r="U852" i="1"/>
  <c r="AB851" i="1"/>
  <c r="AC851" i="1" s="1"/>
  <c r="V12" i="1"/>
  <c r="AB11" i="1"/>
  <c r="AC11" i="1" s="1"/>
  <c r="U493" i="1"/>
  <c r="AB492" i="1"/>
  <c r="AC492" i="1" s="1"/>
  <c r="U542" i="1"/>
  <c r="V352" i="1"/>
  <c r="AB351" i="1"/>
  <c r="AC351" i="1" s="1"/>
  <c r="U608" i="1"/>
  <c r="AB607" i="1"/>
  <c r="AC607" i="1" s="1"/>
  <c r="V80" i="1"/>
  <c r="V51" i="1"/>
  <c r="U18" i="1"/>
  <c r="U87" i="1"/>
  <c r="AB86" i="1"/>
  <c r="AC86" i="1" s="1"/>
  <c r="U599" i="1"/>
  <c r="AB598" i="1"/>
  <c r="AC598" i="1" s="1"/>
  <c r="V183" i="1"/>
  <c r="V600" i="1"/>
  <c r="V61" i="1"/>
  <c r="AB61" i="1"/>
  <c r="AC61" i="1" s="1"/>
  <c r="V190" i="1"/>
  <c r="AB189" i="1"/>
  <c r="AC189" i="1" s="1"/>
  <c r="V317" i="1"/>
  <c r="AB317" i="1"/>
  <c r="AC317" i="1" s="1"/>
  <c r="U573" i="1"/>
  <c r="AB573" i="1"/>
  <c r="AC573" i="1" s="1"/>
  <c r="V701" i="1"/>
  <c r="AB701" i="1"/>
  <c r="AC701" i="1" s="1"/>
  <c r="V829" i="1"/>
  <c r="AB829" i="1"/>
  <c r="AC829" i="1" s="1"/>
  <c r="V94" i="1"/>
  <c r="AB94" i="1"/>
  <c r="AC94" i="1" s="1"/>
  <c r="V446" i="1"/>
  <c r="AB446" i="1"/>
  <c r="AC446" i="1" s="1"/>
  <c r="V590" i="1"/>
  <c r="AB590" i="1"/>
  <c r="AC590" i="1" s="1"/>
  <c r="U734" i="1"/>
  <c r="AB734" i="1"/>
  <c r="AC734" i="1" s="1"/>
  <c r="U855" i="1"/>
  <c r="AB855" i="1"/>
  <c r="AC855" i="1" s="1"/>
  <c r="V17" i="1"/>
  <c r="AB16" i="1"/>
  <c r="AC16" i="1" s="1"/>
  <c r="U144" i="1"/>
  <c r="AB144" i="1"/>
  <c r="AC144" i="1" s="1"/>
  <c r="V272" i="1"/>
  <c r="AB272" i="1"/>
  <c r="AC272" i="1" s="1"/>
  <c r="U528" i="1"/>
  <c r="AB528" i="1"/>
  <c r="AC528" i="1" s="1"/>
  <c r="V656" i="1"/>
  <c r="AB656" i="1"/>
  <c r="AC656" i="1" s="1"/>
  <c r="V275" i="1"/>
  <c r="AB275" i="1"/>
  <c r="AC275" i="1" s="1"/>
  <c r="V343" i="1"/>
  <c r="AB343" i="1"/>
  <c r="AC343" i="1" s="1"/>
  <c r="U858" i="1"/>
  <c r="AB857" i="1"/>
  <c r="AC857" i="1" s="1"/>
  <c r="U787" i="1"/>
  <c r="AB787" i="1"/>
  <c r="AC787" i="1" s="1"/>
  <c r="V311" i="1"/>
  <c r="AB311" i="1"/>
  <c r="AC311" i="1" s="1"/>
  <c r="V435" i="1"/>
  <c r="AB435" i="1"/>
  <c r="AC435" i="1" s="1"/>
  <c r="V439" i="1"/>
  <c r="AB439" i="1"/>
  <c r="AC439" i="1" s="1"/>
  <c r="U584" i="1"/>
  <c r="AB584" i="1"/>
  <c r="AC584" i="1" s="1"/>
  <c r="U712" i="1"/>
  <c r="AB712" i="1"/>
  <c r="AC712" i="1" s="1"/>
  <c r="U840" i="1"/>
  <c r="AB840" i="1"/>
  <c r="AC840" i="1" s="1"/>
  <c r="U121" i="1"/>
  <c r="AB121" i="1"/>
  <c r="AC121" i="1" s="1"/>
  <c r="U249" i="1"/>
  <c r="AB249" i="1"/>
  <c r="AC249" i="1" s="1"/>
  <c r="U505" i="1"/>
  <c r="AB505" i="1"/>
  <c r="AC505" i="1" s="1"/>
  <c r="U633" i="1"/>
  <c r="AB633" i="1"/>
  <c r="AC633" i="1" s="1"/>
  <c r="Z27" i="1" a="1"/>
  <c r="Z27" i="1" s="1"/>
  <c r="Y27" i="1"/>
  <c r="Z155" i="1" a="1"/>
  <c r="Z155" i="1" s="1"/>
  <c r="Y155" i="1"/>
  <c r="Z283" i="1" a="1"/>
  <c r="Z283" i="1" s="1"/>
  <c r="Y283" i="1"/>
  <c r="Z411" i="1" a="1"/>
  <c r="Z411" i="1" s="1"/>
  <c r="Y411" i="1"/>
  <c r="Z539" i="1" a="1"/>
  <c r="Z539" i="1" s="1"/>
  <c r="Y539" i="1"/>
  <c r="Z667" i="1" a="1"/>
  <c r="Z667" i="1" s="1"/>
  <c r="Y667" i="1"/>
  <c r="Z795" i="1" a="1"/>
  <c r="Z795" i="1" s="1"/>
  <c r="Y795" i="1"/>
  <c r="Z718" i="1" a="1"/>
  <c r="Z718" i="1" s="1"/>
  <c r="Y718" i="1"/>
  <c r="Z383" i="1" a="1"/>
  <c r="Z383" i="1" s="1"/>
  <c r="Y383" i="1"/>
  <c r="Z511" i="1" a="1"/>
  <c r="Z511" i="1" s="1"/>
  <c r="Y511" i="1"/>
  <c r="Z639" i="1" a="1"/>
  <c r="Z639" i="1" s="1"/>
  <c r="Y639" i="1"/>
  <c r="Z767" i="1" a="1"/>
  <c r="Z767" i="1" s="1"/>
  <c r="Y767" i="1"/>
  <c r="Z97" i="1" a="1"/>
  <c r="Z97" i="1" s="1"/>
  <c r="Y97" i="1"/>
  <c r="Z225" i="1" a="1"/>
  <c r="Z225" i="1" s="1"/>
  <c r="Y225" i="1"/>
  <c r="Z353" i="1" a="1"/>
  <c r="Z353" i="1" s="1"/>
  <c r="Y353" i="1"/>
  <c r="Z481" i="1" a="1"/>
  <c r="Z481" i="1" s="1"/>
  <c r="Y481" i="1"/>
  <c r="Z609" i="1" a="1"/>
  <c r="Z609" i="1" s="1"/>
  <c r="Y609" i="1"/>
  <c r="Z737" i="1" a="1"/>
  <c r="Z737" i="1" s="1"/>
  <c r="Y737" i="1"/>
  <c r="Z6" i="1" a="1"/>
  <c r="Z6" i="1" s="1"/>
  <c r="Y6" i="1"/>
  <c r="Z438" i="1" a="1"/>
  <c r="Z438" i="1" s="1"/>
  <c r="Y438" i="1"/>
  <c r="Y742" i="1"/>
  <c r="Z742" i="1" a="1"/>
  <c r="Z742" i="1" s="1"/>
  <c r="Z162" i="1" a="1"/>
  <c r="Z162" i="1" s="1"/>
  <c r="Y162" i="1"/>
  <c r="Z290" i="1" a="1"/>
  <c r="Z290" i="1" s="1"/>
  <c r="Y290" i="1"/>
  <c r="Z418" i="1" a="1"/>
  <c r="Z418" i="1" s="1"/>
  <c r="Y418" i="1"/>
  <c r="Z546" i="1" a="1"/>
  <c r="Z546" i="1" s="1"/>
  <c r="Y546" i="1"/>
  <c r="Z674" i="1" a="1"/>
  <c r="Z674" i="1" s="1"/>
  <c r="Y674" i="1"/>
  <c r="Z802" i="1" a="1"/>
  <c r="Z802" i="1" s="1"/>
  <c r="Y802" i="1"/>
  <c r="Z246" i="1" a="1"/>
  <c r="Z246" i="1" s="1"/>
  <c r="Y246" i="1"/>
  <c r="Z630" i="1" a="1"/>
  <c r="Z630" i="1" s="1"/>
  <c r="Y630" i="1"/>
  <c r="Z36" i="1" a="1"/>
  <c r="Z36" i="1" s="1"/>
  <c r="Y36" i="1"/>
  <c r="Z164" i="1" a="1"/>
  <c r="Z164" i="1" s="1"/>
  <c r="Y164" i="1"/>
  <c r="Z292" i="1" a="1"/>
  <c r="Z292" i="1" s="1"/>
  <c r="Y292" i="1"/>
  <c r="Z420" i="1" a="1"/>
  <c r="Z420" i="1" s="1"/>
  <c r="Y420" i="1"/>
  <c r="Z548" i="1" a="1"/>
  <c r="Z548" i="1" s="1"/>
  <c r="Y548" i="1"/>
  <c r="Z676" i="1" a="1"/>
  <c r="Z676" i="1" s="1"/>
  <c r="Y676" i="1"/>
  <c r="Z804" i="1" a="1"/>
  <c r="Z804" i="1" s="1"/>
  <c r="Y804" i="1"/>
  <c r="Z262" i="1" a="1"/>
  <c r="Z262" i="1" s="1"/>
  <c r="Y262" i="1"/>
  <c r="Z758" i="1" a="1"/>
  <c r="Z758" i="1" s="1"/>
  <c r="Y758" i="1"/>
  <c r="Z72" i="1" a="1"/>
  <c r="Z72" i="1" s="1"/>
  <c r="Y72" i="1"/>
  <c r="Z200" i="1" a="1"/>
  <c r="Z200" i="1" s="1"/>
  <c r="Y200" i="1"/>
  <c r="Z328" i="1" a="1"/>
  <c r="Z328" i="1" s="1"/>
  <c r="Y328" i="1"/>
  <c r="Z456" i="1" a="1"/>
  <c r="Z456" i="1" s="1"/>
  <c r="Y456" i="1"/>
  <c r="U153" i="1"/>
  <c r="AB152" i="1"/>
  <c r="AC152" i="1" s="1"/>
  <c r="U720" i="1"/>
  <c r="AB719" i="1"/>
  <c r="AC719" i="1" s="1"/>
  <c r="U100" i="1"/>
  <c r="AB100" i="1"/>
  <c r="AC100" i="1" s="1"/>
  <c r="U425" i="1"/>
  <c r="AB424" i="1"/>
  <c r="AC424" i="1" s="1"/>
  <c r="Y765" i="1"/>
  <c r="Z765" i="1" a="1"/>
  <c r="Z765" i="1" s="1"/>
  <c r="Y848" i="1"/>
  <c r="Z848" i="1" a="1"/>
  <c r="Z848" i="1" s="1"/>
  <c r="U457" i="1"/>
  <c r="AB456" i="1"/>
  <c r="AC456" i="1" s="1"/>
  <c r="Y781" i="1"/>
  <c r="Z781" i="1" a="1"/>
  <c r="Z781" i="1" s="1"/>
  <c r="Z352" i="1" a="1"/>
  <c r="Z352" i="1" s="1"/>
  <c r="Y352" i="1"/>
  <c r="Z99" i="1" a="1"/>
  <c r="Z99" i="1" s="1"/>
  <c r="Y99" i="1"/>
  <c r="Y847" i="1"/>
  <c r="Z847" i="1" a="1"/>
  <c r="Z847" i="1" s="1"/>
  <c r="V205" i="1"/>
  <c r="AB204" i="1"/>
  <c r="AC204" i="1" s="1"/>
  <c r="U237" i="1"/>
  <c r="AB236" i="1"/>
  <c r="AC236" i="1" s="1"/>
  <c r="V749" i="1"/>
  <c r="AB748" i="1"/>
  <c r="AC748" i="1" s="1"/>
  <c r="U110" i="1"/>
  <c r="V15" i="1"/>
  <c r="V765" i="1"/>
  <c r="AB764" i="1"/>
  <c r="AC764" i="1" s="1"/>
  <c r="U853" i="1"/>
  <c r="V110" i="1"/>
  <c r="V366" i="1"/>
  <c r="V543" i="1"/>
  <c r="U15" i="1"/>
  <c r="U80" i="1"/>
  <c r="U51" i="1"/>
  <c r="V18" i="1"/>
  <c r="V261" i="1"/>
  <c r="AB260" i="1"/>
  <c r="AC260" i="1" s="1"/>
  <c r="V517" i="1"/>
  <c r="AB516" i="1"/>
  <c r="AC516" i="1" s="1"/>
  <c r="U773" i="1"/>
  <c r="U103" i="1"/>
  <c r="AB102" i="1"/>
  <c r="AC102" i="1" s="1"/>
  <c r="U359" i="1"/>
  <c r="AB358" i="1"/>
  <c r="AC358" i="1" s="1"/>
  <c r="V263" i="1"/>
  <c r="U600" i="1"/>
  <c r="Y77" i="1"/>
  <c r="Z77" i="1" a="1"/>
  <c r="Z77" i="1" s="1"/>
  <c r="Y205" i="1"/>
  <c r="Z205" i="1" a="1"/>
  <c r="Z205" i="1" s="1"/>
  <c r="Y333" i="1"/>
  <c r="Z333" i="1" a="1"/>
  <c r="Z333" i="1" s="1"/>
  <c r="Y461" i="1"/>
  <c r="Z461" i="1" a="1"/>
  <c r="Z461" i="1" s="1"/>
  <c r="Y589" i="1"/>
  <c r="Z589" i="1" a="1"/>
  <c r="Z589" i="1" s="1"/>
  <c r="Y717" i="1"/>
  <c r="Z717" i="1" a="1"/>
  <c r="Z717" i="1" s="1"/>
  <c r="Y845" i="1"/>
  <c r="Z845" i="1" a="1"/>
  <c r="Z845" i="1" s="1"/>
  <c r="Z110" i="1" a="1"/>
  <c r="Z110" i="1" s="1"/>
  <c r="Y110" i="1"/>
  <c r="Z318" i="1" a="1"/>
  <c r="Z318" i="1" s="1"/>
  <c r="Y318" i="1"/>
  <c r="Z462" i="1" a="1"/>
  <c r="Z462" i="1" s="1"/>
  <c r="Y462" i="1"/>
  <c r="Z606" i="1" a="1"/>
  <c r="Z606" i="1" s="1"/>
  <c r="Y606" i="1"/>
  <c r="Z750" i="1" a="1"/>
  <c r="Z750" i="1" s="1"/>
  <c r="Y750" i="1"/>
  <c r="Z15" i="1" a="1"/>
  <c r="Z15" i="1" s="1"/>
  <c r="Y15" i="1"/>
  <c r="Z143" i="1" a="1"/>
  <c r="Z143" i="1" s="1"/>
  <c r="Y143" i="1"/>
  <c r="Z147" i="1" a="1"/>
  <c r="Z147" i="1" s="1"/>
  <c r="Y147" i="1"/>
  <c r="Z611" i="1" a="1"/>
  <c r="Z611" i="1" s="1"/>
  <c r="Y611" i="1"/>
  <c r="Z32" i="1" a="1"/>
  <c r="Z32" i="1" s="1"/>
  <c r="Y32" i="1"/>
  <c r="Z160" i="1" a="1"/>
  <c r="Z160" i="1" s="1"/>
  <c r="Y160" i="1"/>
  <c r="Z288" i="1" a="1"/>
  <c r="Z288" i="1" s="1"/>
  <c r="Y288" i="1"/>
  <c r="Z416" i="1" a="1"/>
  <c r="Z416" i="1" s="1"/>
  <c r="Y416" i="1"/>
  <c r="Z544" i="1" a="1"/>
  <c r="Z544" i="1" s="1"/>
  <c r="Y544" i="1"/>
  <c r="Z672" i="1" a="1"/>
  <c r="Z672" i="1" s="1"/>
  <c r="Y672" i="1"/>
  <c r="Z800" i="1" a="1"/>
  <c r="Z800" i="1" s="1"/>
  <c r="Y800" i="1"/>
  <c r="Z307" i="1" a="1"/>
  <c r="Z307" i="1" s="1"/>
  <c r="Y307" i="1"/>
  <c r="Z819" i="1" a="1"/>
  <c r="Z819" i="1" s="1"/>
  <c r="Y819" i="1"/>
  <c r="Z391" i="1" a="1"/>
  <c r="Z391" i="1" s="1"/>
  <c r="Y391" i="1"/>
  <c r="Z17" i="1" a="1"/>
  <c r="Z17" i="1" s="1"/>
  <c r="Y17" i="1"/>
  <c r="Z387" i="1" a="1"/>
  <c r="Z387" i="1" s="1"/>
  <c r="Y387" i="1"/>
  <c r="Z835" i="1" a="1"/>
  <c r="Z835" i="1" s="1"/>
  <c r="Y835" i="1"/>
  <c r="Z375" i="1" a="1"/>
  <c r="Z375" i="1" s="1"/>
  <c r="Y375" i="1"/>
  <c r="Z807" i="1" a="1"/>
  <c r="Z807" i="1" s="1"/>
  <c r="Y807" i="1"/>
  <c r="Z579" i="1" a="1"/>
  <c r="Z579" i="1" s="1"/>
  <c r="Y579" i="1"/>
  <c r="Z35" i="1" a="1"/>
  <c r="Z35" i="1" s="1"/>
  <c r="Y35" i="1"/>
  <c r="Z247" i="1" a="1"/>
  <c r="Z247" i="1" s="1"/>
  <c r="Y247" i="1"/>
  <c r="Y759" i="1"/>
  <c r="Z759" i="1" a="1"/>
  <c r="Z759" i="1" s="1"/>
  <c r="Z133" i="1" a="1"/>
  <c r="Z133" i="1" s="1"/>
  <c r="Y133" i="1"/>
  <c r="Z261" i="1" a="1"/>
  <c r="Z261" i="1" s="1"/>
  <c r="Y261" i="1"/>
  <c r="Z389" i="1" a="1"/>
  <c r="Z389" i="1" s="1"/>
  <c r="Y389" i="1"/>
  <c r="Z517" i="1" a="1"/>
  <c r="Z517" i="1" s="1"/>
  <c r="Y517" i="1"/>
  <c r="Z645" i="1" a="1"/>
  <c r="Z645" i="1" s="1"/>
  <c r="Y645" i="1"/>
  <c r="Z773" i="1" a="1"/>
  <c r="Z773" i="1" s="1"/>
  <c r="Y773" i="1"/>
  <c r="Z519" i="1" a="1"/>
  <c r="Z519" i="1" s="1"/>
  <c r="Y519" i="1"/>
  <c r="Z600" i="1" a="1"/>
  <c r="Z600" i="1" s="1"/>
  <c r="Y600" i="1"/>
  <c r="Z728" i="1" a="1"/>
  <c r="Z728" i="1" s="1"/>
  <c r="Y728" i="1"/>
  <c r="Z9" i="1" a="1"/>
  <c r="Z9" i="1" s="1"/>
  <c r="Y9" i="1"/>
  <c r="Z137" i="1" a="1"/>
  <c r="Z137" i="1" s="1"/>
  <c r="Y137" i="1"/>
  <c r="Z265" i="1" a="1"/>
  <c r="Z265" i="1" s="1"/>
  <c r="Y265" i="1"/>
  <c r="Z393" i="1" a="1"/>
  <c r="Z393" i="1" s="1"/>
  <c r="Y393" i="1"/>
  <c r="Z521" i="1" a="1"/>
  <c r="Z521" i="1" s="1"/>
  <c r="Y521" i="1"/>
  <c r="Z649" i="1" a="1"/>
  <c r="Z649" i="1" s="1"/>
  <c r="Y649" i="1"/>
  <c r="Z777" i="1" a="1"/>
  <c r="Z777" i="1" s="1"/>
  <c r="Y777" i="1"/>
  <c r="Z92" i="1" a="1"/>
  <c r="Z92" i="1" s="1"/>
  <c r="Y92" i="1"/>
  <c r="Z220" i="1" a="1"/>
  <c r="Z220" i="1" s="1"/>
  <c r="Y220" i="1"/>
  <c r="Z348" i="1" a="1"/>
  <c r="Z348" i="1" s="1"/>
  <c r="Y348" i="1"/>
  <c r="Z476" i="1" a="1"/>
  <c r="Z476" i="1" s="1"/>
  <c r="Y476" i="1"/>
  <c r="Z604" i="1" a="1"/>
  <c r="Z604" i="1" s="1"/>
  <c r="Y604" i="1"/>
  <c r="Z732" i="1" a="1"/>
  <c r="Z732" i="1" s="1"/>
  <c r="Y732" i="1"/>
  <c r="Z42" i="1" a="1"/>
  <c r="Z42" i="1" s="1"/>
  <c r="Y42" i="1"/>
  <c r="Z170" i="1" a="1"/>
  <c r="Z170" i="1" s="1"/>
  <c r="Y170" i="1"/>
  <c r="Z298" i="1" a="1"/>
  <c r="Z298" i="1" s="1"/>
  <c r="Y298" i="1"/>
  <c r="Z426" i="1" a="1"/>
  <c r="Z426" i="1" s="1"/>
  <c r="Y426" i="1"/>
  <c r="Z554" i="1" a="1"/>
  <c r="Z554" i="1" s="1"/>
  <c r="Y554" i="1"/>
  <c r="Z682" i="1" a="1"/>
  <c r="Z682" i="1" s="1"/>
  <c r="Y682" i="1"/>
  <c r="Z810" i="1" a="1"/>
  <c r="Z810" i="1" s="1"/>
  <c r="Y810" i="1"/>
  <c r="Y509" i="1"/>
  <c r="Z509" i="1" a="1"/>
  <c r="Z509" i="1" s="1"/>
  <c r="Z208" i="1" a="1"/>
  <c r="Z208" i="1" s="1"/>
  <c r="Y208" i="1"/>
  <c r="Z397" i="1" a="1"/>
  <c r="Z397" i="1" s="1"/>
  <c r="Y397" i="1"/>
  <c r="Z403" i="1" a="1"/>
  <c r="Z403" i="1" s="1"/>
  <c r="Y403" i="1"/>
  <c r="Z631" i="1" a="1"/>
  <c r="Z631" i="1" s="1"/>
  <c r="Y631" i="1"/>
  <c r="Z69" i="1" a="1"/>
  <c r="Z69" i="1" s="1"/>
  <c r="Y69" i="1"/>
  <c r="U141" i="1"/>
  <c r="AB140" i="1"/>
  <c r="AC140" i="1" s="1"/>
  <c r="Z235" i="1" a="1"/>
  <c r="Z235" i="1" s="1"/>
  <c r="Y235" i="1"/>
  <c r="Z689" i="1" a="1"/>
  <c r="Z689" i="1" s="1"/>
  <c r="Y689" i="1"/>
  <c r="Z370" i="1" a="1"/>
  <c r="Z370" i="1" s="1"/>
  <c r="Y370" i="1"/>
  <c r="Z754" i="1" a="1"/>
  <c r="Z754" i="1" s="1"/>
  <c r="Y754" i="1"/>
  <c r="Z54" i="1" a="1"/>
  <c r="Z54" i="1" s="1"/>
  <c r="Y54" i="1"/>
  <c r="Z244" i="1" a="1"/>
  <c r="Z244" i="1" s="1"/>
  <c r="Y244" i="1"/>
  <c r="Z756" i="1" a="1"/>
  <c r="Z756" i="1" s="1"/>
  <c r="Y756" i="1"/>
  <c r="Z598" i="1" a="1"/>
  <c r="Z598" i="1" s="1"/>
  <c r="Y598" i="1"/>
  <c r="Z152" i="1" a="1"/>
  <c r="Z152" i="1" s="1"/>
  <c r="Y152" i="1"/>
  <c r="V13" i="1"/>
  <c r="U323" i="1"/>
  <c r="V66" i="1"/>
  <c r="AB65" i="1"/>
  <c r="AC65" i="1" s="1"/>
  <c r="U50" i="1"/>
  <c r="U21" i="1"/>
  <c r="AB20" i="1"/>
  <c r="AC20" i="1" s="1"/>
  <c r="U277" i="1"/>
  <c r="AB276" i="1"/>
  <c r="AC276" i="1" s="1"/>
  <c r="V533" i="1"/>
  <c r="AB532" i="1"/>
  <c r="AC532" i="1" s="1"/>
  <c r="V789" i="1"/>
  <c r="V119" i="1"/>
  <c r="AB118" i="1"/>
  <c r="AC118" i="1" s="1"/>
  <c r="U375" i="1"/>
  <c r="AB374" i="1"/>
  <c r="AC374" i="1" s="1"/>
  <c r="U631" i="1"/>
  <c r="AB630" i="1"/>
  <c r="AC630" i="1" s="1"/>
  <c r="V632" i="1"/>
  <c r="Z43" i="1" a="1"/>
  <c r="Z43" i="1" s="1"/>
  <c r="Y43" i="1"/>
  <c r="Z171" i="1" a="1"/>
  <c r="Z171" i="1" s="1"/>
  <c r="Y171" i="1"/>
  <c r="Z299" i="1" a="1"/>
  <c r="Z299" i="1" s="1"/>
  <c r="Y299" i="1"/>
  <c r="Z427" i="1" a="1"/>
  <c r="Z427" i="1" s="1"/>
  <c r="Y427" i="1"/>
  <c r="Z555" i="1" a="1"/>
  <c r="Z555" i="1" s="1"/>
  <c r="Y555" i="1"/>
  <c r="Z683" i="1" a="1"/>
  <c r="Z683" i="1" s="1"/>
  <c r="Y683" i="1"/>
  <c r="Z811" i="1" a="1"/>
  <c r="Z811" i="1" s="1"/>
  <c r="Y811" i="1"/>
  <c r="Z126" i="1" a="1"/>
  <c r="Z126" i="1" s="1"/>
  <c r="Y126" i="1"/>
  <c r="Z271" i="1" a="1"/>
  <c r="Z271" i="1" s="1"/>
  <c r="Y271" i="1"/>
  <c r="Z399" i="1" a="1"/>
  <c r="Z399" i="1" s="1"/>
  <c r="Y399" i="1"/>
  <c r="Z527" i="1" a="1"/>
  <c r="Z527" i="1" s="1"/>
  <c r="Y527" i="1"/>
  <c r="Z655" i="1" a="1"/>
  <c r="Z655" i="1" s="1"/>
  <c r="Y655" i="1"/>
  <c r="Z783" i="1" a="1"/>
  <c r="Z783" i="1" s="1"/>
  <c r="Y783" i="1"/>
  <c r="Z113" i="1" a="1"/>
  <c r="Z113" i="1" s="1"/>
  <c r="Y113" i="1"/>
  <c r="Z241" i="1" a="1"/>
  <c r="Z241" i="1" s="1"/>
  <c r="Y241" i="1"/>
  <c r="Z369" i="1" a="1"/>
  <c r="Z369" i="1" s="1"/>
  <c r="Y369" i="1"/>
  <c r="Z497" i="1" a="1"/>
  <c r="Z497" i="1" s="1"/>
  <c r="Y497" i="1"/>
  <c r="Z625" i="1" a="1"/>
  <c r="Z625" i="1" s="1"/>
  <c r="Y625" i="1"/>
  <c r="Z753" i="1" a="1"/>
  <c r="Z753" i="1" s="1"/>
  <c r="Y753" i="1"/>
  <c r="Z134" i="1" a="1"/>
  <c r="Z134" i="1" s="1"/>
  <c r="Y134" i="1"/>
  <c r="Z470" i="1" a="1"/>
  <c r="Z470" i="1" s="1"/>
  <c r="Y470" i="1"/>
  <c r="Z790" i="1" a="1"/>
  <c r="Z790" i="1" s="1"/>
  <c r="Y790" i="1"/>
  <c r="Z178" i="1" a="1"/>
  <c r="Z178" i="1" s="1"/>
  <c r="Y178" i="1"/>
  <c r="Z306" i="1" a="1"/>
  <c r="Z306" i="1" s="1"/>
  <c r="Y306" i="1"/>
  <c r="Z434" i="1" a="1"/>
  <c r="Z434" i="1" s="1"/>
  <c r="Y434" i="1"/>
  <c r="Z562" i="1" a="1"/>
  <c r="Z562" i="1" s="1"/>
  <c r="Y562" i="1"/>
  <c r="Z690" i="1" a="1"/>
  <c r="Z690" i="1" s="1"/>
  <c r="Y690" i="1"/>
  <c r="Z818" i="1" a="1"/>
  <c r="Z818" i="1" s="1"/>
  <c r="Y818" i="1"/>
  <c r="Z294" i="1" a="1"/>
  <c r="Z294" i="1" s="1"/>
  <c r="Y294" i="1"/>
  <c r="Z678" i="1" a="1"/>
  <c r="Z678" i="1" s="1"/>
  <c r="Y678" i="1"/>
  <c r="Z52" i="1" a="1"/>
  <c r="Z52" i="1" s="1"/>
  <c r="Y52" i="1"/>
  <c r="Z180" i="1" a="1"/>
  <c r="Z180" i="1" s="1"/>
  <c r="Y180" i="1"/>
  <c r="Z308" i="1" a="1"/>
  <c r="Z308" i="1" s="1"/>
  <c r="Y308" i="1"/>
  <c r="Z436" i="1" a="1"/>
  <c r="Z436" i="1" s="1"/>
  <c r="Y436" i="1"/>
  <c r="Z564" i="1" a="1"/>
  <c r="Z564" i="1" s="1"/>
  <c r="Y564" i="1"/>
  <c r="Z692" i="1" a="1"/>
  <c r="Z692" i="1" s="1"/>
  <c r="Y692" i="1"/>
  <c r="Z820" i="1" a="1"/>
  <c r="Z820" i="1" s="1"/>
  <c r="Y820" i="1"/>
  <c r="Z326" i="1" a="1"/>
  <c r="Z326" i="1" s="1"/>
  <c r="Y326" i="1"/>
  <c r="Z822" i="1" a="1"/>
  <c r="Z822" i="1" s="1"/>
  <c r="Y822" i="1"/>
  <c r="Z88" i="1" a="1"/>
  <c r="Z88" i="1" s="1"/>
  <c r="Y88" i="1"/>
  <c r="Z216" i="1" a="1"/>
  <c r="Z216" i="1" s="1"/>
  <c r="Y216" i="1"/>
  <c r="Z344" i="1" a="1"/>
  <c r="Z344" i="1" s="1"/>
  <c r="Y344" i="1"/>
  <c r="Z472" i="1" a="1"/>
  <c r="Z472" i="1" s="1"/>
  <c r="Y472" i="1"/>
  <c r="U175" i="1"/>
  <c r="AB174" i="1"/>
  <c r="AC174" i="1" s="1"/>
  <c r="V711" i="1"/>
  <c r="AB710" i="1"/>
  <c r="AC710" i="1" s="1"/>
  <c r="Y253" i="1"/>
  <c r="Z253" i="1" a="1"/>
  <c r="Z253" i="1" s="1"/>
  <c r="Z464" i="1" a="1"/>
  <c r="Z464" i="1" s="1"/>
  <c r="Y464" i="1"/>
  <c r="V177" i="1"/>
  <c r="AB177" i="1"/>
  <c r="AC177" i="1" s="1"/>
  <c r="Y141" i="1"/>
  <c r="Z141" i="1" a="1"/>
  <c r="Z141" i="1" s="1"/>
  <c r="Z814" i="1" a="1"/>
  <c r="Z814" i="1" s="1"/>
  <c r="Y814" i="1"/>
  <c r="Z480" i="1" a="1"/>
  <c r="Z480" i="1" s="1"/>
  <c r="Y480" i="1"/>
  <c r="Z195" i="1" a="1"/>
  <c r="Z195" i="1" s="1"/>
  <c r="Y195" i="1"/>
  <c r="U750" i="1"/>
  <c r="V421" i="1"/>
  <c r="Z305" i="1" a="1"/>
  <c r="Z305" i="1" s="1"/>
  <c r="Y305" i="1"/>
  <c r="Z408" i="1" a="1"/>
  <c r="Z408" i="1" s="1"/>
  <c r="Y408" i="1"/>
  <c r="U13" i="1"/>
  <c r="U142" i="1"/>
  <c r="U382" i="1"/>
  <c r="U47" i="1"/>
  <c r="V419" i="1"/>
  <c r="U192" i="1"/>
  <c r="V50" i="1"/>
  <c r="U579" i="1"/>
  <c r="AB578" i="1"/>
  <c r="AC578" i="1" s="1"/>
  <c r="U835" i="1"/>
  <c r="AB834" i="1"/>
  <c r="AC834" i="1" s="1"/>
  <c r="U37" i="1"/>
  <c r="AB36" i="1"/>
  <c r="AC36" i="1" s="1"/>
  <c r="U293" i="1"/>
  <c r="AB292" i="1"/>
  <c r="AC292" i="1" s="1"/>
  <c r="U549" i="1"/>
  <c r="AB548" i="1"/>
  <c r="AC548" i="1" s="1"/>
  <c r="U804" i="1"/>
  <c r="AB804" i="1"/>
  <c r="AC804" i="1" s="1"/>
  <c r="U789" i="1"/>
  <c r="U135" i="1"/>
  <c r="AB134" i="1"/>
  <c r="AC134" i="1" s="1"/>
  <c r="U391" i="1"/>
  <c r="AB390" i="1"/>
  <c r="AC390" i="1" s="1"/>
  <c r="U647" i="1"/>
  <c r="AB646" i="1"/>
  <c r="AC646" i="1" s="1"/>
  <c r="U567" i="1"/>
  <c r="U632" i="1"/>
  <c r="Z852" i="1" a="1"/>
  <c r="Z852" i="1" s="1"/>
  <c r="Y852" i="1"/>
  <c r="Z93" i="1" a="1"/>
  <c r="Z93" i="1" s="1"/>
  <c r="Y93" i="1"/>
  <c r="Z221" i="1" a="1"/>
  <c r="Z221" i="1" s="1"/>
  <c r="Y221" i="1"/>
  <c r="Y349" i="1"/>
  <c r="Z349" i="1" a="1"/>
  <c r="Z349" i="1" s="1"/>
  <c r="Y477" i="1"/>
  <c r="Z477" i="1" a="1"/>
  <c r="Z477" i="1" s="1"/>
  <c r="Y605" i="1"/>
  <c r="Z605" i="1" a="1"/>
  <c r="Z605" i="1" s="1"/>
  <c r="Y733" i="1"/>
  <c r="Z733" i="1" a="1"/>
  <c r="Z733" i="1" s="1"/>
  <c r="Z854" i="1" a="1"/>
  <c r="Z854" i="1" s="1"/>
  <c r="Y854" i="1"/>
  <c r="Z142" i="1" a="1"/>
  <c r="Z142" i="1" s="1"/>
  <c r="Y142" i="1"/>
  <c r="Z350" i="1" a="1"/>
  <c r="Z350" i="1" s="1"/>
  <c r="Y350" i="1"/>
  <c r="Z478" i="1" a="1"/>
  <c r="Z478" i="1" s="1"/>
  <c r="Y478" i="1"/>
  <c r="Z622" i="1" a="1"/>
  <c r="Z622" i="1" s="1"/>
  <c r="Y622" i="1"/>
  <c r="Z766" i="1" a="1"/>
  <c r="Z766" i="1" s="1"/>
  <c r="Y766" i="1"/>
  <c r="Z31" i="1" a="1"/>
  <c r="Z31" i="1" s="1"/>
  <c r="Y31" i="1"/>
  <c r="Z159" i="1" a="1"/>
  <c r="Z159" i="1" s="1"/>
  <c r="Y159" i="1"/>
  <c r="Z259" i="1" a="1"/>
  <c r="Z259" i="1" s="1"/>
  <c r="Y259" i="1"/>
  <c r="Z675" i="1" a="1"/>
  <c r="Z675" i="1" s="1"/>
  <c r="Y675" i="1"/>
  <c r="Z48" i="1" a="1"/>
  <c r="Z48" i="1" s="1"/>
  <c r="Y48" i="1"/>
  <c r="Z176" i="1" a="1"/>
  <c r="Z176" i="1" s="1"/>
  <c r="Y176" i="1"/>
  <c r="Z304" i="1" a="1"/>
  <c r="Z304" i="1" s="1"/>
  <c r="Y304" i="1"/>
  <c r="Z432" i="1" a="1"/>
  <c r="Z432" i="1" s="1"/>
  <c r="Y432" i="1"/>
  <c r="Z560" i="1" a="1"/>
  <c r="Z560" i="1" s="1"/>
  <c r="Y560" i="1"/>
  <c r="Z688" i="1" a="1"/>
  <c r="Z688" i="1" s="1"/>
  <c r="Y688" i="1"/>
  <c r="Z816" i="1" a="1"/>
  <c r="Z816" i="1" s="1"/>
  <c r="Y816" i="1"/>
  <c r="Z355" i="1" a="1"/>
  <c r="Z355" i="1" s="1"/>
  <c r="Y355" i="1"/>
  <c r="Z55" i="1" a="1"/>
  <c r="Z55" i="1" s="1"/>
  <c r="Y55" i="1"/>
  <c r="Z455" i="1" a="1"/>
  <c r="Z455" i="1" s="1"/>
  <c r="Y455" i="1"/>
  <c r="Z33" i="1" a="1"/>
  <c r="Z33" i="1" s="1"/>
  <c r="Y33" i="1"/>
  <c r="Z451" i="1" a="1"/>
  <c r="Z451" i="1" s="1"/>
  <c r="Y451" i="1"/>
  <c r="Z7" i="1" a="1"/>
  <c r="Z7" i="1" s="1"/>
  <c r="Y7" i="1"/>
  <c r="Z423" i="1" a="1"/>
  <c r="Z423" i="1" s="1"/>
  <c r="Y423" i="1"/>
  <c r="Z858" i="1" a="1"/>
  <c r="Z858" i="1" s="1"/>
  <c r="Y858" i="1"/>
  <c r="Z659" i="1" a="1"/>
  <c r="Z659" i="1" s="1"/>
  <c r="Y659" i="1"/>
  <c r="Z51" i="1" a="1"/>
  <c r="Z51" i="1" s="1"/>
  <c r="Y51" i="1"/>
  <c r="Z295" i="1" a="1"/>
  <c r="Z295" i="1" s="1"/>
  <c r="Y295" i="1"/>
  <c r="Z21" i="1" a="1"/>
  <c r="Z21" i="1" s="1"/>
  <c r="Y21" i="1"/>
  <c r="Z149" i="1" a="1"/>
  <c r="Z149" i="1" s="1"/>
  <c r="Y149" i="1"/>
  <c r="Z277" i="1" a="1"/>
  <c r="Z277" i="1" s="1"/>
  <c r="Y277" i="1"/>
  <c r="Z405" i="1" a="1"/>
  <c r="Z405" i="1" s="1"/>
  <c r="Y405" i="1"/>
  <c r="Z533" i="1" a="1"/>
  <c r="Z533" i="1" s="1"/>
  <c r="Y533" i="1"/>
  <c r="Z661" i="1" a="1"/>
  <c r="Z661" i="1" s="1"/>
  <c r="Y661" i="1"/>
  <c r="Z789" i="1" a="1"/>
  <c r="Z789" i="1" s="1"/>
  <c r="Y789" i="1"/>
  <c r="Z583" i="1" a="1"/>
  <c r="Z583" i="1" s="1"/>
  <c r="Y583" i="1"/>
  <c r="Z616" i="1" a="1"/>
  <c r="Z616" i="1" s="1"/>
  <c r="Y616" i="1"/>
  <c r="Z744" i="1" a="1"/>
  <c r="Z744" i="1" s="1"/>
  <c r="Y744" i="1"/>
  <c r="Z25" i="1" a="1"/>
  <c r="Z25" i="1" s="1"/>
  <c r="Y25" i="1"/>
  <c r="Z153" i="1" a="1"/>
  <c r="Z153" i="1" s="1"/>
  <c r="Y153" i="1"/>
  <c r="Z281" i="1" a="1"/>
  <c r="Z281" i="1" s="1"/>
  <c r="Y281" i="1"/>
  <c r="Z409" i="1" a="1"/>
  <c r="Z409" i="1" s="1"/>
  <c r="Y409" i="1"/>
  <c r="Z537" i="1" a="1"/>
  <c r="Z537" i="1" s="1"/>
  <c r="Y537" i="1"/>
  <c r="Z665" i="1" a="1"/>
  <c r="Z665" i="1" s="1"/>
  <c r="Y665" i="1"/>
  <c r="Y793" i="1"/>
  <c r="Z793" i="1" a="1"/>
  <c r="Z793" i="1" s="1"/>
  <c r="Z108" i="1" a="1"/>
  <c r="Z108" i="1" s="1"/>
  <c r="Y108" i="1"/>
  <c r="Z236" i="1" a="1"/>
  <c r="Z236" i="1" s="1"/>
  <c r="Y236" i="1"/>
  <c r="Z364" i="1" a="1"/>
  <c r="Z364" i="1" s="1"/>
  <c r="Y364" i="1"/>
  <c r="Z492" i="1" a="1"/>
  <c r="Z492" i="1" s="1"/>
  <c r="Y492" i="1"/>
  <c r="Z620" i="1" a="1"/>
  <c r="Z620" i="1" s="1"/>
  <c r="Y620" i="1"/>
  <c r="Z748" i="1" a="1"/>
  <c r="Z748" i="1" s="1"/>
  <c r="Y748" i="1"/>
  <c r="Z58" i="1" a="1"/>
  <c r="Z58" i="1" s="1"/>
  <c r="Y58" i="1"/>
  <c r="Z186" i="1" a="1"/>
  <c r="Z186" i="1" s="1"/>
  <c r="Y186" i="1"/>
  <c r="Z314" i="1" a="1"/>
  <c r="Z314" i="1" s="1"/>
  <c r="Y314" i="1"/>
  <c r="Z442" i="1" a="1"/>
  <c r="Z442" i="1" s="1"/>
  <c r="Y442" i="1"/>
  <c r="Z570" i="1" a="1"/>
  <c r="Z570" i="1" s="1"/>
  <c r="Y570" i="1"/>
  <c r="Z698" i="1" a="1"/>
  <c r="Z698" i="1" s="1"/>
  <c r="Y698" i="1"/>
  <c r="Z826" i="1" a="1"/>
  <c r="Z826" i="1" s="1"/>
  <c r="Y826" i="1"/>
  <c r="Y381" i="1"/>
  <c r="Z381" i="1" a="1"/>
  <c r="Z381" i="1" s="1"/>
  <c r="Z371" i="1" a="1"/>
  <c r="Z371" i="1" s="1"/>
  <c r="Y371" i="1"/>
  <c r="Z46" i="1" a="1"/>
  <c r="Z46" i="1" s="1"/>
  <c r="Y46" i="1"/>
  <c r="Z71" i="1" a="1"/>
  <c r="Z71" i="1" s="1"/>
  <c r="Y71" i="1"/>
  <c r="Z547" i="1" a="1"/>
  <c r="Z547" i="1" s="1"/>
  <c r="Y547" i="1"/>
  <c r="Z183" i="1" a="1"/>
  <c r="Z183" i="1" s="1"/>
  <c r="Y183" i="1"/>
  <c r="V653" i="1"/>
  <c r="AB652" i="1"/>
  <c r="AC652" i="1" s="1"/>
  <c r="Z491" i="1" a="1"/>
  <c r="Z491" i="1" s="1"/>
  <c r="Y491" i="1"/>
  <c r="Z238" i="1" a="1"/>
  <c r="Z238" i="1" s="1"/>
  <c r="Y238" i="1"/>
  <c r="Z433" i="1" a="1"/>
  <c r="Z433" i="1" s="1"/>
  <c r="Y433" i="1"/>
  <c r="Z614" i="1" a="1"/>
  <c r="Z614" i="1" s="1"/>
  <c r="Y614" i="1"/>
  <c r="Z498" i="1" a="1"/>
  <c r="Z498" i="1" s="1"/>
  <c r="Y498" i="1"/>
  <c r="Z454" i="1" a="1"/>
  <c r="Z454" i="1" s="1"/>
  <c r="Y454" i="1"/>
  <c r="Z372" i="1" a="1"/>
  <c r="Z372" i="1" s="1"/>
  <c r="Y372" i="1"/>
  <c r="Z118" i="1" a="1"/>
  <c r="Z118" i="1" s="1"/>
  <c r="Y118" i="1"/>
  <c r="Z536" i="1" a="1"/>
  <c r="Z536" i="1" s="1"/>
  <c r="Y536" i="1"/>
  <c r="V47" i="1"/>
  <c r="V173" i="1"/>
  <c r="V638" i="1"/>
  <c r="U419" i="1"/>
  <c r="V192" i="1"/>
  <c r="U353" i="1"/>
  <c r="AB353" i="1"/>
  <c r="AC353" i="1" s="1"/>
  <c r="U609" i="1"/>
  <c r="AB609" i="1"/>
  <c r="AC609" i="1" s="1"/>
  <c r="U19" i="1"/>
  <c r="U339" i="1"/>
  <c r="AB338" i="1"/>
  <c r="AC338" i="1" s="1"/>
  <c r="U595" i="1"/>
  <c r="AB594" i="1"/>
  <c r="AC594" i="1" s="1"/>
  <c r="U309" i="1"/>
  <c r="AB308" i="1"/>
  <c r="AC308" i="1" s="1"/>
  <c r="U565" i="1"/>
  <c r="AB564" i="1"/>
  <c r="AC564" i="1" s="1"/>
  <c r="V805" i="1"/>
  <c r="V567" i="1"/>
  <c r="U733" i="1"/>
  <c r="AB733" i="1"/>
  <c r="AC733" i="1" s="1"/>
  <c r="U143" i="1"/>
  <c r="AB142" i="1"/>
  <c r="AC142" i="1" s="1"/>
  <c r="U622" i="1"/>
  <c r="AB622" i="1"/>
  <c r="AC622" i="1" s="1"/>
  <c r="U766" i="1"/>
  <c r="AB766" i="1"/>
  <c r="AC766" i="1" s="1"/>
  <c r="U31" i="1"/>
  <c r="AB31" i="1"/>
  <c r="AC31" i="1" s="1"/>
  <c r="U160" i="1"/>
  <c r="AB159" i="1"/>
  <c r="AC159" i="1" s="1"/>
  <c r="U49" i="1"/>
  <c r="AB48" i="1"/>
  <c r="AC48" i="1" s="1"/>
  <c r="U176" i="1"/>
  <c r="AB176" i="1"/>
  <c r="AC176" i="1" s="1"/>
  <c r="V432" i="1"/>
  <c r="AB432" i="1"/>
  <c r="AC432" i="1" s="1"/>
  <c r="V688" i="1"/>
  <c r="AB688" i="1"/>
  <c r="AC688" i="1" s="1"/>
  <c r="U355" i="1"/>
  <c r="AB355" i="1"/>
  <c r="AC355" i="1" s="1"/>
  <c r="U55" i="1"/>
  <c r="AB55" i="1"/>
  <c r="AC55" i="1" s="1"/>
  <c r="V34" i="1"/>
  <c r="AB33" i="1"/>
  <c r="AC33" i="1" s="1"/>
  <c r="U793" i="1"/>
  <c r="AB793" i="1"/>
  <c r="AC793" i="1" s="1"/>
  <c r="Z59" i="1" a="1"/>
  <c r="Z59" i="1" s="1"/>
  <c r="Y59" i="1"/>
  <c r="Z187" i="1" a="1"/>
  <c r="Z187" i="1" s="1"/>
  <c r="Y187" i="1"/>
  <c r="Z315" i="1" a="1"/>
  <c r="Z315" i="1" s="1"/>
  <c r="Y315" i="1"/>
  <c r="Z443" i="1" a="1"/>
  <c r="Z443" i="1" s="1"/>
  <c r="Y443" i="1"/>
  <c r="Y571" i="1"/>
  <c r="Z571" i="1" a="1"/>
  <c r="Z571" i="1" s="1"/>
  <c r="Z699" i="1" a="1"/>
  <c r="Z699" i="1" s="1"/>
  <c r="Y699" i="1"/>
  <c r="Y827" i="1"/>
  <c r="Z827" i="1" a="1"/>
  <c r="Z827" i="1" s="1"/>
  <c r="Z158" i="1" a="1"/>
  <c r="Z158" i="1" s="1"/>
  <c r="Y158" i="1"/>
  <c r="Z287" i="1" a="1"/>
  <c r="Z287" i="1" s="1"/>
  <c r="Y287" i="1"/>
  <c r="Z415" i="1" a="1"/>
  <c r="Z415" i="1" s="1"/>
  <c r="Y415" i="1"/>
  <c r="Z543" i="1" a="1"/>
  <c r="Z543" i="1" s="1"/>
  <c r="Y543" i="1"/>
  <c r="Z671" i="1" a="1"/>
  <c r="Z671" i="1" s="1"/>
  <c r="Y671" i="1"/>
  <c r="Z799" i="1" a="1"/>
  <c r="Z799" i="1" s="1"/>
  <c r="Y799" i="1"/>
  <c r="Z129" i="1" a="1"/>
  <c r="Z129" i="1" s="1"/>
  <c r="Y129" i="1"/>
  <c r="Z257" i="1" a="1"/>
  <c r="Z257" i="1" s="1"/>
  <c r="Y257" i="1"/>
  <c r="Z385" i="1" a="1"/>
  <c r="Z385" i="1" s="1"/>
  <c r="Y385" i="1"/>
  <c r="Z513" i="1" a="1"/>
  <c r="Z513" i="1" s="1"/>
  <c r="Y513" i="1"/>
  <c r="Z641" i="1" a="1"/>
  <c r="Z641" i="1" s="1"/>
  <c r="Y641" i="1"/>
  <c r="Z769" i="1" a="1"/>
  <c r="Z769" i="1" s="1"/>
  <c r="Y769" i="1"/>
  <c r="Z182" i="1" a="1"/>
  <c r="Z182" i="1" s="1"/>
  <c r="Y182" i="1"/>
  <c r="Z502" i="1" a="1"/>
  <c r="Z502" i="1" s="1"/>
  <c r="Y502" i="1"/>
  <c r="Z838" i="1" a="1"/>
  <c r="Z838" i="1" s="1"/>
  <c r="Y838" i="1"/>
  <c r="Z194" i="1" a="1"/>
  <c r="Z194" i="1" s="1"/>
  <c r="Y194" i="1"/>
  <c r="Z322" i="1" a="1"/>
  <c r="Z322" i="1" s="1"/>
  <c r="Y322" i="1"/>
  <c r="Z450" i="1" a="1"/>
  <c r="Z450" i="1" s="1"/>
  <c r="Y450" i="1"/>
  <c r="Z578" i="1" a="1"/>
  <c r="Z578" i="1" s="1"/>
  <c r="Y578" i="1"/>
  <c r="Z706" i="1" a="1"/>
  <c r="Z706" i="1" s="1"/>
  <c r="Y706" i="1"/>
  <c r="Z834" i="1" a="1"/>
  <c r="Z834" i="1" s="1"/>
  <c r="Y834" i="1"/>
  <c r="Z342" i="1" a="1"/>
  <c r="Z342" i="1" s="1"/>
  <c r="Y342" i="1"/>
  <c r="Z726" i="1" a="1"/>
  <c r="Z726" i="1" s="1"/>
  <c r="Y726" i="1"/>
  <c r="Z68" i="1" a="1"/>
  <c r="Z68" i="1" s="1"/>
  <c r="Y68" i="1"/>
  <c r="Z196" i="1" a="1"/>
  <c r="Z196" i="1" s="1"/>
  <c r="Y196" i="1"/>
  <c r="Z324" i="1" a="1"/>
  <c r="Z324" i="1" s="1"/>
  <c r="Y324" i="1"/>
  <c r="Z452" i="1" a="1"/>
  <c r="Z452" i="1" s="1"/>
  <c r="Y452" i="1"/>
  <c r="Z580" i="1" a="1"/>
  <c r="Z580" i="1" s="1"/>
  <c r="Y580" i="1"/>
  <c r="Y708" i="1"/>
  <c r="Z708" i="1" a="1"/>
  <c r="Z708" i="1" s="1"/>
  <c r="Z836" i="1" a="1"/>
  <c r="Z836" i="1" s="1"/>
  <c r="Y836" i="1"/>
  <c r="Z406" i="1" a="1"/>
  <c r="Z406" i="1" s="1"/>
  <c r="Y406" i="1"/>
  <c r="Z5" i="1" a="1"/>
  <c r="Z5" i="1" s="1"/>
  <c r="Y5" i="1"/>
  <c r="Z104" i="1" a="1"/>
  <c r="Z104" i="1" s="1"/>
  <c r="Y104" i="1"/>
  <c r="Z232" i="1" a="1"/>
  <c r="Z232" i="1" s="1"/>
  <c r="Y232" i="1"/>
  <c r="Z360" i="1" a="1"/>
  <c r="Z360" i="1" s="1"/>
  <c r="Y360" i="1"/>
  <c r="Z488" i="1" a="1"/>
  <c r="Z488" i="1" s="1"/>
  <c r="Y488" i="1"/>
  <c r="V589" i="1"/>
  <c r="AB588" i="1"/>
  <c r="AC588" i="1" s="1"/>
  <c r="U371" i="1"/>
  <c r="AB370" i="1"/>
  <c r="AC370" i="1" s="1"/>
  <c r="U605" i="1"/>
  <c r="AB604" i="1"/>
  <c r="AC604" i="1" s="1"/>
  <c r="Z63" i="1" a="1"/>
  <c r="Z63" i="1" s="1"/>
  <c r="Y63" i="1"/>
  <c r="U163" i="1"/>
  <c r="AB162" i="1"/>
  <c r="AC162" i="1" s="1"/>
  <c r="U201" i="1"/>
  <c r="AB200" i="1"/>
  <c r="AC200" i="1" s="1"/>
  <c r="Z398" i="1" a="1"/>
  <c r="Z398" i="1" s="1"/>
  <c r="Y398" i="1"/>
  <c r="Z453" i="1" a="1"/>
  <c r="Z453" i="1" s="1"/>
  <c r="Y453" i="1"/>
  <c r="U193" i="1"/>
  <c r="AB193" i="1"/>
  <c r="AC193" i="1" s="1"/>
  <c r="Z747" i="1" a="1"/>
  <c r="Z747" i="1" s="1"/>
  <c r="Y747" i="1"/>
  <c r="Z817" i="1" a="1"/>
  <c r="Z817" i="1" s="1"/>
  <c r="Y817" i="1"/>
  <c r="Z280" i="1" a="1"/>
  <c r="Z280" i="1" s="1"/>
  <c r="Y280" i="1"/>
  <c r="V127" i="1"/>
  <c r="AB126" i="1"/>
  <c r="AC126" i="1" s="1"/>
  <c r="U366" i="1"/>
  <c r="V142" i="1"/>
  <c r="U173" i="1"/>
  <c r="U398" i="1"/>
  <c r="U638" i="1"/>
  <c r="V191" i="1"/>
  <c r="U688" i="1"/>
  <c r="AB687" i="1"/>
  <c r="AC687" i="1" s="1"/>
  <c r="U499" i="1"/>
  <c r="V193" i="1"/>
  <c r="V113" i="1"/>
  <c r="AB113" i="1"/>
  <c r="AC113" i="1" s="1"/>
  <c r="V19" i="1"/>
  <c r="U99" i="1"/>
  <c r="AB98" i="1"/>
  <c r="AC98" i="1" s="1"/>
  <c r="V611" i="1"/>
  <c r="AB610" i="1"/>
  <c r="AC610" i="1" s="1"/>
  <c r="U69" i="1"/>
  <c r="AB68" i="1"/>
  <c r="AC68" i="1" s="1"/>
  <c r="U325" i="1"/>
  <c r="AB324" i="1"/>
  <c r="AC324" i="1" s="1"/>
  <c r="U581" i="1"/>
  <c r="AB580" i="1"/>
  <c r="AC580" i="1" s="1"/>
  <c r="U837" i="1"/>
  <c r="AB836" i="1"/>
  <c r="AC836" i="1" s="1"/>
  <c r="V821" i="1"/>
  <c r="V423" i="1"/>
  <c r="AB422" i="1"/>
  <c r="AC422" i="1" s="1"/>
  <c r="V583" i="1"/>
  <c r="U137" i="1"/>
  <c r="AB136" i="1"/>
  <c r="AC136" i="1" s="1"/>
  <c r="U393" i="1"/>
  <c r="AB392" i="1"/>
  <c r="AC392" i="1" s="1"/>
  <c r="Z12" i="1" a="1"/>
  <c r="Z12" i="1" s="1"/>
  <c r="Y12" i="1"/>
  <c r="Y109" i="1"/>
  <c r="Z109" i="1" a="1"/>
  <c r="Z109" i="1" s="1"/>
  <c r="Y237" i="1"/>
  <c r="Z237" i="1" a="1"/>
  <c r="Z237" i="1" s="1"/>
  <c r="Y365" i="1"/>
  <c r="Z365" i="1" a="1"/>
  <c r="Z365" i="1" s="1"/>
  <c r="Y493" i="1"/>
  <c r="Z493" i="1" a="1"/>
  <c r="Z493" i="1" s="1"/>
  <c r="Y621" i="1"/>
  <c r="Z621" i="1" a="1"/>
  <c r="Z621" i="1" s="1"/>
  <c r="Y749" i="1"/>
  <c r="Z749" i="1" a="1"/>
  <c r="Z749" i="1" s="1"/>
  <c r="Z14" i="1" a="1"/>
  <c r="Z14" i="1" s="1"/>
  <c r="Y14" i="1"/>
  <c r="Z190" i="1" a="1"/>
  <c r="Z190" i="1" s="1"/>
  <c r="Y190" i="1"/>
  <c r="Z366" i="1" a="1"/>
  <c r="Z366" i="1" s="1"/>
  <c r="Y366" i="1"/>
  <c r="Z510" i="1" a="1"/>
  <c r="Z510" i="1" s="1"/>
  <c r="Y510" i="1"/>
  <c r="Z638" i="1" a="1"/>
  <c r="Z638" i="1" s="1"/>
  <c r="Y638" i="1"/>
  <c r="Z782" i="1" a="1"/>
  <c r="Z782" i="1" s="1"/>
  <c r="Y782" i="1"/>
  <c r="Z47" i="1" a="1"/>
  <c r="Z47" i="1" s="1"/>
  <c r="Y47" i="1"/>
  <c r="Z175" i="1" a="1"/>
  <c r="Z175" i="1" s="1"/>
  <c r="Y175" i="1"/>
  <c r="Z323" i="1" a="1"/>
  <c r="Z323" i="1" s="1"/>
  <c r="Y323" i="1"/>
  <c r="Z739" i="1" a="1"/>
  <c r="Z739" i="1" s="1"/>
  <c r="Y739" i="1"/>
  <c r="Z64" i="1" a="1"/>
  <c r="Z64" i="1" s="1"/>
  <c r="Y64" i="1"/>
  <c r="Z192" i="1" a="1"/>
  <c r="Z192" i="1" s="1"/>
  <c r="Y192" i="1"/>
  <c r="Z320" i="1" a="1"/>
  <c r="Z320" i="1" s="1"/>
  <c r="Y320" i="1"/>
  <c r="Z448" i="1" a="1"/>
  <c r="Z448" i="1" s="1"/>
  <c r="Y448" i="1"/>
  <c r="Z576" i="1" a="1"/>
  <c r="Z576" i="1" s="1"/>
  <c r="Y576" i="1"/>
  <c r="Z704" i="1" a="1"/>
  <c r="Z704" i="1" s="1"/>
  <c r="Y704" i="1"/>
  <c r="Y832" i="1"/>
  <c r="Z832" i="1" a="1"/>
  <c r="Z832" i="1" s="1"/>
  <c r="Z419" i="1" a="1"/>
  <c r="Z419" i="1" s="1"/>
  <c r="Y419" i="1"/>
  <c r="Z119" i="1" a="1"/>
  <c r="Z119" i="1" s="1"/>
  <c r="Y119" i="1"/>
  <c r="Z503" i="1" a="1"/>
  <c r="Z503" i="1" s="1"/>
  <c r="Y503" i="1"/>
  <c r="Z49" i="1" a="1"/>
  <c r="Z49" i="1" s="1"/>
  <c r="Y49" i="1"/>
  <c r="Z499" i="1" a="1"/>
  <c r="Z499" i="1" s="1"/>
  <c r="Y499" i="1"/>
  <c r="Z103" i="1" a="1"/>
  <c r="Z103" i="1" s="1"/>
  <c r="Y103" i="1"/>
  <c r="Z471" i="1" a="1"/>
  <c r="Z471" i="1" s="1"/>
  <c r="Y471" i="1"/>
  <c r="Z18" i="1" a="1"/>
  <c r="Z18" i="1" s="1"/>
  <c r="Y18" i="1"/>
  <c r="Z723" i="1" a="1"/>
  <c r="Z723" i="1" s="1"/>
  <c r="Y723" i="1"/>
  <c r="Z67" i="1" a="1"/>
  <c r="Z67" i="1" s="1"/>
  <c r="Y67" i="1"/>
  <c r="Z359" i="1" a="1"/>
  <c r="Z359" i="1" s="1"/>
  <c r="Y359" i="1"/>
  <c r="Z37" i="1" a="1"/>
  <c r="Z37" i="1" s="1"/>
  <c r="Y37" i="1"/>
  <c r="Z165" i="1" a="1"/>
  <c r="Z165" i="1" s="1"/>
  <c r="Y165" i="1"/>
  <c r="Z293" i="1" a="1"/>
  <c r="Z293" i="1" s="1"/>
  <c r="Y293" i="1"/>
  <c r="Z421" i="1" a="1"/>
  <c r="Z421" i="1" s="1"/>
  <c r="Y421" i="1"/>
  <c r="Z549" i="1" a="1"/>
  <c r="Z549" i="1" s="1"/>
  <c r="Y549" i="1"/>
  <c r="Z677" i="1" a="1"/>
  <c r="Z677" i="1" s="1"/>
  <c r="Y677" i="1"/>
  <c r="Z805" i="1" a="1"/>
  <c r="Z805" i="1" s="1"/>
  <c r="Y805" i="1"/>
  <c r="Z647" i="1" a="1"/>
  <c r="Z647" i="1" s="1"/>
  <c r="Y647" i="1"/>
  <c r="Z632" i="1" a="1"/>
  <c r="Z632" i="1" s="1"/>
  <c r="Y632" i="1"/>
  <c r="Y760" i="1"/>
  <c r="Z760" i="1" a="1"/>
  <c r="Z760" i="1" s="1"/>
  <c r="Z41" i="1" a="1"/>
  <c r="Z41" i="1" s="1"/>
  <c r="Y41" i="1"/>
  <c r="Z169" i="1" a="1"/>
  <c r="Z169" i="1" s="1"/>
  <c r="Y169" i="1"/>
  <c r="Z297" i="1" a="1"/>
  <c r="Z297" i="1" s="1"/>
  <c r="Y297" i="1"/>
  <c r="Z425" i="1" a="1"/>
  <c r="Z425" i="1" s="1"/>
  <c r="Y425" i="1"/>
  <c r="Z553" i="1" a="1"/>
  <c r="Z553" i="1" s="1"/>
  <c r="Y553" i="1"/>
  <c r="Z681" i="1" a="1"/>
  <c r="Z681" i="1" s="1"/>
  <c r="Y681" i="1"/>
  <c r="Z809" i="1" a="1"/>
  <c r="Z809" i="1" s="1"/>
  <c r="Y809" i="1"/>
  <c r="Z124" i="1" a="1"/>
  <c r="Z124" i="1" s="1"/>
  <c r="Y124" i="1"/>
  <c r="Z252" i="1" a="1"/>
  <c r="Z252" i="1" s="1"/>
  <c r="Y252" i="1"/>
  <c r="Z380" i="1" a="1"/>
  <c r="Z380" i="1" s="1"/>
  <c r="Y380" i="1"/>
  <c r="Z508" i="1" a="1"/>
  <c r="Z508" i="1" s="1"/>
  <c r="Y508" i="1"/>
  <c r="Z636" i="1" a="1"/>
  <c r="Z636" i="1" s="1"/>
  <c r="Y636" i="1"/>
  <c r="Z764" i="1" a="1"/>
  <c r="Z764" i="1" s="1"/>
  <c r="Y764" i="1"/>
  <c r="Z74" i="1" a="1"/>
  <c r="Z74" i="1" s="1"/>
  <c r="Y74" i="1"/>
  <c r="Z202" i="1" a="1"/>
  <c r="Z202" i="1" s="1"/>
  <c r="Y202" i="1"/>
  <c r="Z330" i="1" a="1"/>
  <c r="Z330" i="1" s="1"/>
  <c r="Y330" i="1"/>
  <c r="Z458" i="1" a="1"/>
  <c r="Z458" i="1" s="1"/>
  <c r="Y458" i="1"/>
  <c r="Z586" i="1" a="1"/>
  <c r="Z586" i="1" s="1"/>
  <c r="Y586" i="1"/>
  <c r="Z714" i="1" a="1"/>
  <c r="Z714" i="1" s="1"/>
  <c r="Y714" i="1"/>
  <c r="Z842" i="1" a="1"/>
  <c r="Z842" i="1" s="1"/>
  <c r="Y842" i="1"/>
  <c r="BF4" i="1"/>
  <c r="BG4" i="1"/>
  <c r="V371" i="1"/>
  <c r="V223" i="1"/>
  <c r="U302" i="1"/>
  <c r="V302" i="1"/>
  <c r="U480" i="1"/>
  <c r="V627" i="1"/>
  <c r="U285" i="1"/>
  <c r="U557" i="1"/>
  <c r="U318" i="1"/>
  <c r="U446" i="1"/>
  <c r="U574" i="1"/>
  <c r="U702" i="1"/>
  <c r="V830" i="1"/>
  <c r="U79" i="1"/>
  <c r="U272" i="1"/>
  <c r="V856" i="1"/>
  <c r="U224" i="1"/>
  <c r="U832" i="1"/>
  <c r="U145" i="1"/>
  <c r="V401" i="1"/>
  <c r="U67" i="1"/>
  <c r="V729" i="1"/>
  <c r="U745" i="1"/>
  <c r="U517" i="1"/>
  <c r="U311" i="1"/>
  <c r="V601" i="1"/>
  <c r="V776" i="1"/>
  <c r="V448" i="1"/>
  <c r="U63" i="1"/>
  <c r="U113" i="1"/>
  <c r="V579" i="1"/>
  <c r="V137" i="1"/>
  <c r="V79" i="1"/>
  <c r="V301" i="1"/>
  <c r="U30" i="1"/>
  <c r="V318" i="1"/>
  <c r="V95" i="1"/>
  <c r="U128" i="1"/>
  <c r="V99" i="1"/>
  <c r="U675" i="1"/>
  <c r="V147" i="1"/>
  <c r="V835" i="1"/>
  <c r="V468" i="1"/>
  <c r="V697" i="1"/>
  <c r="U776" i="1"/>
  <c r="U430" i="1"/>
  <c r="U616" i="1"/>
  <c r="V558" i="1"/>
  <c r="U409" i="1"/>
  <c r="V29" i="1"/>
  <c r="V621" i="1"/>
  <c r="U190" i="1"/>
  <c r="U590" i="1"/>
  <c r="U95" i="1"/>
  <c r="V16" i="1"/>
  <c r="V240" i="1"/>
  <c r="U825" i="1"/>
  <c r="U841" i="1"/>
  <c r="V229" i="1"/>
  <c r="V153" i="1"/>
  <c r="V327" i="1"/>
  <c r="U697" i="1"/>
  <c r="V664" i="1"/>
  <c r="V415" i="1"/>
  <c r="V686" i="1"/>
  <c r="V89" i="1"/>
  <c r="V841" i="1"/>
  <c r="T5" i="1"/>
  <c r="AB5" i="1" s="1"/>
  <c r="AC5" i="1" s="1"/>
  <c r="X4" i="1" a="1"/>
  <c r="X4" i="1" s="1"/>
  <c r="U286" i="1"/>
  <c r="U541" i="1"/>
  <c r="U165" i="1"/>
  <c r="V105" i="1"/>
  <c r="U846" i="1"/>
  <c r="U16" i="1"/>
  <c r="U857" i="1"/>
  <c r="V691" i="1"/>
  <c r="V825" i="1"/>
  <c r="U707" i="1"/>
  <c r="V46" i="1"/>
  <c r="V734" i="1"/>
  <c r="U111" i="1"/>
  <c r="U847" i="1"/>
  <c r="U611" i="1"/>
  <c r="V144" i="1"/>
  <c r="V256" i="1"/>
  <c r="V576" i="1"/>
  <c r="V857" i="1"/>
  <c r="U131" i="1"/>
  <c r="V858" i="1"/>
  <c r="V179" i="1"/>
  <c r="U261" i="1"/>
  <c r="U615" i="1"/>
  <c r="V39" i="1"/>
  <c r="U343" i="1"/>
  <c r="V680" i="1"/>
  <c r="U414" i="1"/>
  <c r="V641" i="1"/>
  <c r="U643" i="1"/>
  <c r="U831" i="1"/>
  <c r="V148" i="1"/>
  <c r="V855" i="1"/>
  <c r="V201" i="1"/>
  <c r="U17" i="1"/>
  <c r="U227" i="1"/>
  <c r="V121" i="1"/>
  <c r="V345" i="1"/>
  <c r="U807" i="1"/>
  <c r="V552" i="1"/>
  <c r="U680" i="1"/>
  <c r="U808" i="1"/>
  <c r="V63" i="1"/>
  <c r="V809" i="1"/>
  <c r="U12" i="1"/>
  <c r="V109" i="1"/>
  <c r="U669" i="1"/>
  <c r="V62" i="1"/>
  <c r="U223" i="1"/>
  <c r="V622" i="1"/>
  <c r="V48" i="1"/>
  <c r="V673" i="1"/>
  <c r="U243" i="1"/>
  <c r="U755" i="1"/>
  <c r="V277" i="1"/>
  <c r="V55" i="1"/>
  <c r="U552" i="1"/>
  <c r="V696" i="1"/>
  <c r="U96" i="1"/>
  <c r="U112" i="1"/>
  <c r="V45" i="1"/>
  <c r="V365" i="1"/>
  <c r="V505" i="1"/>
  <c r="V669" i="1"/>
  <c r="V413" i="1"/>
  <c r="V78" i="1"/>
  <c r="V239" i="1"/>
  <c r="V766" i="1"/>
  <c r="V175" i="1"/>
  <c r="U211" i="1"/>
  <c r="U48" i="1"/>
  <c r="V176" i="1"/>
  <c r="V320" i="1"/>
  <c r="V33" i="1"/>
  <c r="V355" i="1"/>
  <c r="V297" i="1"/>
  <c r="V677" i="1"/>
  <c r="V823" i="1"/>
  <c r="U568" i="1"/>
  <c r="V824" i="1"/>
  <c r="U648" i="1"/>
  <c r="U670" i="1"/>
  <c r="U727" i="1"/>
  <c r="U45" i="1"/>
  <c r="V617" i="1"/>
  <c r="V441" i="1"/>
  <c r="V704" i="1"/>
  <c r="U33" i="1"/>
  <c r="V387" i="1"/>
  <c r="U41" i="1"/>
  <c r="U34" i="1"/>
  <c r="V293" i="1"/>
  <c r="V553" i="1"/>
  <c r="U167" i="1"/>
  <c r="U679" i="1"/>
  <c r="V71" i="1"/>
  <c r="V712" i="1"/>
  <c r="U845" i="1"/>
  <c r="U496" i="1"/>
  <c r="U149" i="1"/>
  <c r="V157" i="1"/>
  <c r="U429" i="1"/>
  <c r="U94" i="1"/>
  <c r="V31" i="1"/>
  <c r="U415" i="1"/>
  <c r="U275" i="1"/>
  <c r="U177" i="1"/>
  <c r="U401" i="1"/>
  <c r="V49" i="1"/>
  <c r="U435" i="1"/>
  <c r="U291" i="1"/>
  <c r="V393" i="1"/>
  <c r="U341" i="1"/>
  <c r="U597" i="1"/>
  <c r="V21" i="1"/>
  <c r="V309" i="1"/>
  <c r="U693" i="1"/>
  <c r="V839" i="1"/>
  <c r="V584" i="1"/>
  <c r="V840" i="1"/>
  <c r="U585" i="1"/>
  <c r="V752" i="1"/>
  <c r="U512" i="1"/>
  <c r="U61" i="1"/>
  <c r="U317" i="1"/>
  <c r="V573" i="1"/>
  <c r="V736" i="1"/>
  <c r="U468" i="1"/>
  <c r="U357" i="1"/>
  <c r="U613" i="1"/>
  <c r="V455" i="1"/>
  <c r="V87" i="1"/>
  <c r="AM4" i="8"/>
  <c r="AL4" i="8"/>
  <c r="E54" i="11"/>
  <c r="E49" i="11"/>
  <c r="E52" i="11"/>
  <c r="E56" i="11"/>
  <c r="E53" i="11"/>
  <c r="E48" i="11"/>
  <c r="E51" i="11"/>
  <c r="E47" i="11"/>
  <c r="E50" i="11"/>
  <c r="E46" i="11"/>
  <c r="E60" i="11"/>
  <c r="E61" i="11"/>
  <c r="Y3" i="1"/>
  <c r="E62" i="11"/>
  <c r="E63" i="11"/>
  <c r="E57" i="11"/>
  <c r="E59" i="11"/>
  <c r="E44" i="11"/>
  <c r="E58" i="11"/>
  <c r="U372" i="1"/>
  <c r="V372" i="1"/>
  <c r="U628" i="1"/>
  <c r="V628" i="1"/>
  <c r="U150" i="1"/>
  <c r="V150" i="1"/>
  <c r="U406" i="1"/>
  <c r="V406" i="1"/>
  <c r="V662" i="1"/>
  <c r="U662" i="1"/>
  <c r="V216" i="1"/>
  <c r="U216" i="1"/>
  <c r="U472" i="1"/>
  <c r="V472" i="1"/>
  <c r="V90" i="1"/>
  <c r="U90" i="1"/>
  <c r="U346" i="1"/>
  <c r="V346" i="1"/>
  <c r="U602" i="1"/>
  <c r="V602" i="1"/>
  <c r="U427" i="1"/>
  <c r="V427" i="1"/>
  <c r="U514" i="1"/>
  <c r="V514" i="1"/>
  <c r="V132" i="1"/>
  <c r="U132" i="1"/>
  <c r="V166" i="1"/>
  <c r="U166" i="1"/>
  <c r="U422" i="1"/>
  <c r="V422" i="1"/>
  <c r="V678" i="1"/>
  <c r="U678" i="1"/>
  <c r="V679" i="1"/>
  <c r="V232" i="1"/>
  <c r="U232" i="1"/>
  <c r="V488" i="1"/>
  <c r="U488" i="1"/>
  <c r="V106" i="1"/>
  <c r="U106" i="1"/>
  <c r="U362" i="1"/>
  <c r="V362" i="1"/>
  <c r="U618" i="1"/>
  <c r="V618" i="1"/>
  <c r="U187" i="1"/>
  <c r="V187" i="1"/>
  <c r="V443" i="1"/>
  <c r="U443" i="1"/>
  <c r="U699" i="1"/>
  <c r="V699" i="1"/>
  <c r="U28" i="1"/>
  <c r="V28" i="1"/>
  <c r="U284" i="1"/>
  <c r="V284" i="1"/>
  <c r="U540" i="1"/>
  <c r="V540" i="1"/>
  <c r="U796" i="1"/>
  <c r="V796" i="1"/>
  <c r="V367" i="1"/>
  <c r="U367" i="1"/>
  <c r="U623" i="1"/>
  <c r="V623" i="1"/>
  <c r="U336" i="1"/>
  <c r="U816" i="1"/>
  <c r="U81" i="1"/>
  <c r="V81" i="1"/>
  <c r="U337" i="1"/>
  <c r="V337" i="1"/>
  <c r="U593" i="1"/>
  <c r="V593" i="1"/>
  <c r="U849" i="1"/>
  <c r="V849" i="1"/>
  <c r="U274" i="1"/>
  <c r="V274" i="1"/>
  <c r="U531" i="1"/>
  <c r="U530" i="1"/>
  <c r="V530" i="1"/>
  <c r="U786" i="1"/>
  <c r="V786" i="1"/>
  <c r="V515" i="1"/>
  <c r="U404" i="1"/>
  <c r="V404" i="1"/>
  <c r="U660" i="1"/>
  <c r="V660" i="1"/>
  <c r="U805" i="1"/>
  <c r="V182" i="1"/>
  <c r="U182" i="1"/>
  <c r="V438" i="1"/>
  <c r="U438" i="1"/>
  <c r="U694" i="1"/>
  <c r="V694" i="1"/>
  <c r="U183" i="1"/>
  <c r="U439" i="1"/>
  <c r="V695" i="1"/>
  <c r="V248" i="1"/>
  <c r="U248" i="1"/>
  <c r="U504" i="1"/>
  <c r="V504" i="1"/>
  <c r="U122" i="1"/>
  <c r="V122" i="1"/>
  <c r="V378" i="1"/>
  <c r="U378" i="1"/>
  <c r="V634" i="1"/>
  <c r="U634" i="1"/>
  <c r="U155" i="1"/>
  <c r="V155" i="1"/>
  <c r="U508" i="1"/>
  <c r="V508" i="1"/>
  <c r="V305" i="1"/>
  <c r="U305" i="1"/>
  <c r="U833" i="1"/>
  <c r="V833" i="1"/>
  <c r="U645" i="1"/>
  <c r="U644" i="1"/>
  <c r="V644" i="1"/>
  <c r="U650" i="1"/>
  <c r="V650" i="1"/>
  <c r="U219" i="1"/>
  <c r="V219" i="1"/>
  <c r="V475" i="1"/>
  <c r="U475" i="1"/>
  <c r="V731" i="1"/>
  <c r="U731" i="1"/>
  <c r="U60" i="1"/>
  <c r="V60" i="1"/>
  <c r="V316" i="1"/>
  <c r="U316" i="1"/>
  <c r="V572" i="1"/>
  <c r="U572" i="1"/>
  <c r="V828" i="1"/>
  <c r="U828" i="1"/>
  <c r="U205" i="1"/>
  <c r="V461" i="1"/>
  <c r="V158" i="1"/>
  <c r="U158" i="1"/>
  <c r="U399" i="1"/>
  <c r="V399" i="1"/>
  <c r="U656" i="1"/>
  <c r="V655" i="1"/>
  <c r="U655" i="1"/>
  <c r="V9" i="1"/>
  <c r="U352" i="1"/>
  <c r="V592" i="1"/>
  <c r="V832" i="1"/>
  <c r="U369" i="1"/>
  <c r="V369" i="1"/>
  <c r="U625" i="1"/>
  <c r="V625" i="1"/>
  <c r="V339" i="1"/>
  <c r="U66" i="1"/>
  <c r="V306" i="1"/>
  <c r="U306" i="1"/>
  <c r="U562" i="1"/>
  <c r="V562" i="1"/>
  <c r="U818" i="1"/>
  <c r="V818" i="1"/>
  <c r="U563" i="1"/>
  <c r="V180" i="1"/>
  <c r="U180" i="1"/>
  <c r="U436" i="1"/>
  <c r="V436" i="1"/>
  <c r="U692" i="1"/>
  <c r="V692" i="1"/>
  <c r="U181" i="1"/>
  <c r="U437" i="1"/>
  <c r="V214" i="1"/>
  <c r="U214" i="1"/>
  <c r="V470" i="1"/>
  <c r="U470" i="1"/>
  <c r="U455" i="1"/>
  <c r="U711" i="1"/>
  <c r="V24" i="1"/>
  <c r="U24" i="1"/>
  <c r="V280" i="1"/>
  <c r="U280" i="1"/>
  <c r="U536" i="1"/>
  <c r="V536" i="1"/>
  <c r="U154" i="1"/>
  <c r="V154" i="1"/>
  <c r="U410" i="1"/>
  <c r="V410" i="1"/>
  <c r="V666" i="1"/>
  <c r="U666" i="1"/>
  <c r="V667" i="1"/>
  <c r="U667" i="1"/>
  <c r="U683" i="1"/>
  <c r="V683" i="1"/>
  <c r="U394" i="1"/>
  <c r="V394" i="1"/>
  <c r="V235" i="1"/>
  <c r="U235" i="1"/>
  <c r="V491" i="1"/>
  <c r="U491" i="1"/>
  <c r="V747" i="1"/>
  <c r="U747" i="1"/>
  <c r="U76" i="1"/>
  <c r="V76" i="1"/>
  <c r="U332" i="1"/>
  <c r="V332" i="1"/>
  <c r="U588" i="1"/>
  <c r="V588" i="1"/>
  <c r="V844" i="1"/>
  <c r="U844" i="1"/>
  <c r="U77" i="1"/>
  <c r="U333" i="1"/>
  <c r="U589" i="1"/>
  <c r="U749" i="1"/>
  <c r="V174" i="1"/>
  <c r="U174" i="1"/>
  <c r="V671" i="1"/>
  <c r="U671" i="1"/>
  <c r="V848" i="1"/>
  <c r="U129" i="1"/>
  <c r="V129" i="1"/>
  <c r="U385" i="1"/>
  <c r="V385" i="1"/>
  <c r="U322" i="1"/>
  <c r="V322" i="1"/>
  <c r="U578" i="1"/>
  <c r="V578" i="1"/>
  <c r="U834" i="1"/>
  <c r="V834" i="1"/>
  <c r="V196" i="1"/>
  <c r="U196" i="1"/>
  <c r="U452" i="1"/>
  <c r="V452" i="1"/>
  <c r="V708" i="1"/>
  <c r="U708" i="1"/>
  <c r="V69" i="1"/>
  <c r="V197" i="1"/>
  <c r="V325" i="1"/>
  <c r="V453" i="1"/>
  <c r="V581" i="1"/>
  <c r="V709" i="1"/>
  <c r="V837" i="1"/>
  <c r="U230" i="1"/>
  <c r="V230" i="1"/>
  <c r="V486" i="1"/>
  <c r="U486" i="1"/>
  <c r="V742" i="1"/>
  <c r="U742" i="1"/>
  <c r="V215" i="1"/>
  <c r="V471" i="1"/>
  <c r="V40" i="1"/>
  <c r="U40" i="1"/>
  <c r="U296" i="1"/>
  <c r="V296" i="1"/>
  <c r="V170" i="1"/>
  <c r="U170" i="1"/>
  <c r="U426" i="1"/>
  <c r="V426" i="1"/>
  <c r="V682" i="1"/>
  <c r="U682" i="1"/>
  <c r="U817" i="1"/>
  <c r="V817" i="1"/>
  <c r="V258" i="1"/>
  <c r="U258" i="1"/>
  <c r="V203" i="1"/>
  <c r="U203" i="1"/>
  <c r="U812" i="1"/>
  <c r="V812" i="1"/>
  <c r="U420" i="1"/>
  <c r="V420" i="1"/>
  <c r="U710" i="1"/>
  <c r="V710" i="1"/>
  <c r="V348" i="1"/>
  <c r="U348" i="1"/>
  <c r="U431" i="1"/>
  <c r="V431" i="1"/>
  <c r="V353" i="1"/>
  <c r="U848" i="1"/>
  <c r="U657" i="1"/>
  <c r="V657" i="1"/>
  <c r="V82" i="1"/>
  <c r="U82" i="1"/>
  <c r="U338" i="1"/>
  <c r="V338" i="1"/>
  <c r="V595" i="1"/>
  <c r="V594" i="1"/>
  <c r="U594" i="1"/>
  <c r="V259" i="1"/>
  <c r="U212" i="1"/>
  <c r="V212" i="1"/>
  <c r="U724" i="1"/>
  <c r="V724" i="1"/>
  <c r="V725" i="1"/>
  <c r="U246" i="1"/>
  <c r="V246" i="1"/>
  <c r="U502" i="1"/>
  <c r="V502" i="1"/>
  <c r="V758" i="1"/>
  <c r="U758" i="1"/>
  <c r="V56" i="1"/>
  <c r="U56" i="1"/>
  <c r="V312" i="1"/>
  <c r="U312" i="1"/>
  <c r="U186" i="1"/>
  <c r="V186" i="1"/>
  <c r="U442" i="1"/>
  <c r="V442" i="1"/>
  <c r="V698" i="1"/>
  <c r="U698" i="1"/>
  <c r="V243" i="1"/>
  <c r="U515" i="1"/>
  <c r="U715" i="1"/>
  <c r="V715" i="1"/>
  <c r="V556" i="1"/>
  <c r="U556" i="1"/>
  <c r="U383" i="1"/>
  <c r="V383" i="1"/>
  <c r="U97" i="1"/>
  <c r="V97" i="1"/>
  <c r="U546" i="1"/>
  <c r="V546" i="1"/>
  <c r="U198" i="1"/>
  <c r="V198" i="1"/>
  <c r="V8" i="1"/>
  <c r="U8" i="1"/>
  <c r="V507" i="1"/>
  <c r="U507" i="1"/>
  <c r="V605" i="1"/>
  <c r="V334" i="1"/>
  <c r="U334" i="1"/>
  <c r="U718" i="1"/>
  <c r="V718" i="1"/>
  <c r="U687" i="1"/>
  <c r="V687" i="1"/>
  <c r="U850" i="1"/>
  <c r="V850" i="1"/>
  <c r="U11" i="1"/>
  <c r="V11" i="1"/>
  <c r="U267" i="1"/>
  <c r="V267" i="1"/>
  <c r="U523" i="1"/>
  <c r="V523" i="1"/>
  <c r="U779" i="1"/>
  <c r="V779" i="1"/>
  <c r="V108" i="1"/>
  <c r="U108" i="1"/>
  <c r="U364" i="1"/>
  <c r="V364" i="1"/>
  <c r="U620" i="1"/>
  <c r="V620" i="1"/>
  <c r="U349" i="1"/>
  <c r="V447" i="1"/>
  <c r="U447" i="1"/>
  <c r="U703" i="1"/>
  <c r="V703" i="1"/>
  <c r="V323" i="1"/>
  <c r="V368" i="1"/>
  <c r="V481" i="1"/>
  <c r="V609" i="1"/>
  <c r="U161" i="1"/>
  <c r="V161" i="1"/>
  <c r="V417" i="1"/>
  <c r="U417" i="1"/>
  <c r="U473" i="1"/>
  <c r="V98" i="1"/>
  <c r="U98" i="1"/>
  <c r="V354" i="1"/>
  <c r="U354" i="1"/>
  <c r="U610" i="1"/>
  <c r="V610" i="1"/>
  <c r="U259" i="1"/>
  <c r="V228" i="1"/>
  <c r="U228" i="1"/>
  <c r="V484" i="1"/>
  <c r="U484" i="1"/>
  <c r="U740" i="1"/>
  <c r="V740" i="1"/>
  <c r="V85" i="1"/>
  <c r="V213" i="1"/>
  <c r="V341" i="1"/>
  <c r="V469" i="1"/>
  <c r="V597" i="1"/>
  <c r="U725" i="1"/>
  <c r="V57" i="1"/>
  <c r="U262" i="1"/>
  <c r="V262" i="1"/>
  <c r="U518" i="1"/>
  <c r="V518" i="1"/>
  <c r="U774" i="1"/>
  <c r="V774" i="1"/>
  <c r="V231" i="1"/>
  <c r="V359" i="1"/>
  <c r="V487" i="1"/>
  <c r="V615" i="1"/>
  <c r="V727" i="1"/>
  <c r="U25" i="1"/>
  <c r="V72" i="1"/>
  <c r="U72" i="1"/>
  <c r="V329" i="1"/>
  <c r="U328" i="1"/>
  <c r="V328" i="1"/>
  <c r="U202" i="1"/>
  <c r="V202" i="1"/>
  <c r="V458" i="1"/>
  <c r="U458" i="1"/>
  <c r="U714" i="1"/>
  <c r="V714" i="1"/>
  <c r="U252" i="1"/>
  <c r="V252" i="1"/>
  <c r="U335" i="1"/>
  <c r="V335" i="1"/>
  <c r="V498" i="1"/>
  <c r="U498" i="1"/>
  <c r="V781" i="1"/>
  <c r="U780" i="1"/>
  <c r="V780" i="1"/>
  <c r="V608" i="1"/>
  <c r="U607" i="1"/>
  <c r="V607" i="1"/>
  <c r="U321" i="1"/>
  <c r="V321" i="1"/>
  <c r="U851" i="1"/>
  <c r="V851" i="1"/>
  <c r="V124" i="1"/>
  <c r="U124" i="1"/>
  <c r="U781" i="1"/>
  <c r="U239" i="1"/>
  <c r="U464" i="1"/>
  <c r="V463" i="1"/>
  <c r="U463" i="1"/>
  <c r="V720" i="1"/>
  <c r="V719" i="1"/>
  <c r="U719" i="1"/>
  <c r="V145" i="1"/>
  <c r="U368" i="1"/>
  <c r="V624" i="1"/>
  <c r="V433" i="1"/>
  <c r="U433" i="1"/>
  <c r="V689" i="1"/>
  <c r="U689" i="1"/>
  <c r="V755" i="1"/>
  <c r="V114" i="1"/>
  <c r="U114" i="1"/>
  <c r="U370" i="1"/>
  <c r="V370" i="1"/>
  <c r="U626" i="1"/>
  <c r="V626" i="1"/>
  <c r="V307" i="1"/>
  <c r="V675" i="1"/>
  <c r="U244" i="1"/>
  <c r="V244" i="1"/>
  <c r="V500" i="1"/>
  <c r="U500" i="1"/>
  <c r="U756" i="1"/>
  <c r="V756" i="1"/>
  <c r="U85" i="1"/>
  <c r="U213" i="1"/>
  <c r="U469" i="1"/>
  <c r="V726" i="1"/>
  <c r="U57" i="1"/>
  <c r="U22" i="1"/>
  <c r="V22" i="1"/>
  <c r="U278" i="1"/>
  <c r="V278" i="1"/>
  <c r="U534" i="1"/>
  <c r="V534" i="1"/>
  <c r="U790" i="1"/>
  <c r="V790" i="1"/>
  <c r="U231" i="1"/>
  <c r="U487" i="1"/>
  <c r="V743" i="1"/>
  <c r="U88" i="1"/>
  <c r="V88" i="1"/>
  <c r="U344" i="1"/>
  <c r="V344" i="1"/>
  <c r="U218" i="1"/>
  <c r="V218" i="1"/>
  <c r="U474" i="1"/>
  <c r="V474" i="1"/>
  <c r="U730" i="1"/>
  <c r="V730" i="1"/>
  <c r="U300" i="1"/>
  <c r="V300" i="1"/>
  <c r="V639" i="1"/>
  <c r="U639" i="1"/>
  <c r="U290" i="1"/>
  <c r="V290" i="1"/>
  <c r="V199" i="1"/>
  <c r="U520" i="1"/>
  <c r="V520" i="1"/>
  <c r="U763" i="1"/>
  <c r="V763" i="1"/>
  <c r="V283" i="1"/>
  <c r="U283" i="1"/>
  <c r="U795" i="1"/>
  <c r="V795" i="1"/>
  <c r="U636" i="1"/>
  <c r="V636" i="1"/>
  <c r="V237" i="1"/>
  <c r="V493" i="1"/>
  <c r="V43" i="1"/>
  <c r="U43" i="1"/>
  <c r="V299" i="1"/>
  <c r="U299" i="1"/>
  <c r="V555" i="1"/>
  <c r="U555" i="1"/>
  <c r="U811" i="1"/>
  <c r="V811" i="1"/>
  <c r="U140" i="1"/>
  <c r="V140" i="1"/>
  <c r="V396" i="1"/>
  <c r="U396" i="1"/>
  <c r="U652" i="1"/>
  <c r="V652" i="1"/>
  <c r="V797" i="1"/>
  <c r="V847" i="1"/>
  <c r="V479" i="1"/>
  <c r="U479" i="1"/>
  <c r="U735" i="1"/>
  <c r="V735" i="1"/>
  <c r="V384" i="1"/>
  <c r="U624" i="1"/>
  <c r="V449" i="1"/>
  <c r="U449" i="1"/>
  <c r="U705" i="1"/>
  <c r="V705" i="1"/>
  <c r="V130" i="1"/>
  <c r="U130" i="1"/>
  <c r="U386" i="1"/>
  <c r="V386" i="1"/>
  <c r="U642" i="1"/>
  <c r="V642" i="1"/>
  <c r="V83" i="1"/>
  <c r="U307" i="1"/>
  <c r="V217" i="1"/>
  <c r="V860" i="1"/>
  <c r="U860" i="1"/>
  <c r="U260" i="1"/>
  <c r="V260" i="1"/>
  <c r="V516" i="1"/>
  <c r="U516" i="1"/>
  <c r="U772" i="1"/>
  <c r="V772" i="1"/>
  <c r="V101" i="1"/>
  <c r="V357" i="1"/>
  <c r="V613" i="1"/>
  <c r="V38" i="1"/>
  <c r="U38" i="1"/>
  <c r="U294" i="1"/>
  <c r="V294" i="1"/>
  <c r="U550" i="1"/>
  <c r="V550" i="1"/>
  <c r="U806" i="1"/>
  <c r="V806" i="1"/>
  <c r="U119" i="1"/>
  <c r="U247" i="1"/>
  <c r="V375" i="1"/>
  <c r="V503" i="1"/>
  <c r="V631" i="1"/>
  <c r="U743" i="1"/>
  <c r="U104" i="1"/>
  <c r="V104" i="1"/>
  <c r="U360" i="1"/>
  <c r="V360" i="1"/>
  <c r="U234" i="1"/>
  <c r="V234" i="1"/>
  <c r="V490" i="1"/>
  <c r="U490" i="1"/>
  <c r="U746" i="1"/>
  <c r="V746" i="1"/>
  <c r="V524" i="1"/>
  <c r="U524" i="1"/>
  <c r="U770" i="1"/>
  <c r="V770" i="1"/>
  <c r="U388" i="1"/>
  <c r="V388" i="1"/>
  <c r="V459" i="1"/>
  <c r="U459" i="1"/>
  <c r="V802" i="1"/>
  <c r="U802" i="1"/>
  <c r="U164" i="1"/>
  <c r="V164" i="1"/>
  <c r="U454" i="1"/>
  <c r="V454" i="1"/>
  <c r="U92" i="1"/>
  <c r="V92" i="1"/>
  <c r="V93" i="1"/>
  <c r="U27" i="1"/>
  <c r="V27" i="1"/>
  <c r="V539" i="1"/>
  <c r="U539" i="1"/>
  <c r="U380" i="1"/>
  <c r="V380" i="1"/>
  <c r="U59" i="1"/>
  <c r="V59" i="1"/>
  <c r="V315" i="1"/>
  <c r="U315" i="1"/>
  <c r="V571" i="1"/>
  <c r="U571" i="1"/>
  <c r="U827" i="1"/>
  <c r="V827" i="1"/>
  <c r="U156" i="1"/>
  <c r="V156" i="1"/>
  <c r="V412" i="1"/>
  <c r="U412" i="1"/>
  <c r="V668" i="1"/>
  <c r="U668" i="1"/>
  <c r="V233" i="1"/>
  <c r="V125" i="1"/>
  <c r="V253" i="1"/>
  <c r="V381" i="1"/>
  <c r="V509" i="1"/>
  <c r="U637" i="1"/>
  <c r="U797" i="1"/>
  <c r="V222" i="1"/>
  <c r="U222" i="1"/>
  <c r="V494" i="1"/>
  <c r="U494" i="1"/>
  <c r="V495" i="1"/>
  <c r="U495" i="1"/>
  <c r="U751" i="1"/>
  <c r="V751" i="1"/>
  <c r="U384" i="1"/>
  <c r="V640" i="1"/>
  <c r="U752" i="1"/>
  <c r="U209" i="1"/>
  <c r="V209" i="1"/>
  <c r="U465" i="1"/>
  <c r="V465" i="1"/>
  <c r="V721" i="1"/>
  <c r="U721" i="1"/>
  <c r="V787" i="1"/>
  <c r="V146" i="1"/>
  <c r="U146" i="1"/>
  <c r="U402" i="1"/>
  <c r="V402" i="1"/>
  <c r="V658" i="1"/>
  <c r="U658" i="1"/>
  <c r="U83" i="1"/>
  <c r="V707" i="1"/>
  <c r="U217" i="1"/>
  <c r="V20" i="1"/>
  <c r="U20" i="1"/>
  <c r="U276" i="1"/>
  <c r="V276" i="1"/>
  <c r="U532" i="1"/>
  <c r="V532" i="1"/>
  <c r="U788" i="1"/>
  <c r="V788" i="1"/>
  <c r="U101" i="1"/>
  <c r="U485" i="1"/>
  <c r="U741" i="1"/>
  <c r="V54" i="1"/>
  <c r="U54" i="1"/>
  <c r="V310" i="1"/>
  <c r="U310" i="1"/>
  <c r="U566" i="1"/>
  <c r="V566" i="1"/>
  <c r="U822" i="1"/>
  <c r="V822" i="1"/>
  <c r="V247" i="1"/>
  <c r="U503" i="1"/>
  <c r="U759" i="1"/>
  <c r="V281" i="1"/>
  <c r="V120" i="1"/>
  <c r="U120" i="1"/>
  <c r="U376" i="1"/>
  <c r="V376" i="1"/>
  <c r="V250" i="1"/>
  <c r="U250" i="1"/>
  <c r="U506" i="1"/>
  <c r="V506" i="1"/>
  <c r="U762" i="1"/>
  <c r="V762" i="1"/>
  <c r="U591" i="1"/>
  <c r="V591" i="1"/>
  <c r="V561" i="1"/>
  <c r="U561" i="1"/>
  <c r="V268" i="1"/>
  <c r="U268" i="1"/>
  <c r="V126" i="1"/>
  <c r="U126" i="1"/>
  <c r="U65" i="1"/>
  <c r="V65" i="1"/>
  <c r="U138" i="1"/>
  <c r="V138" i="1"/>
  <c r="V604" i="1"/>
  <c r="U604" i="1"/>
  <c r="U843" i="1"/>
  <c r="V843" i="1"/>
  <c r="U685" i="1"/>
  <c r="V684" i="1"/>
  <c r="U684" i="1"/>
  <c r="U253" i="1"/>
  <c r="U381" i="1"/>
  <c r="U509" i="1"/>
  <c r="V813" i="1"/>
  <c r="U238" i="1"/>
  <c r="V238" i="1"/>
  <c r="U127" i="1"/>
  <c r="U511" i="1"/>
  <c r="V511" i="1"/>
  <c r="U767" i="1"/>
  <c r="V767" i="1"/>
  <c r="V521" i="1"/>
  <c r="U400" i="1"/>
  <c r="V512" i="1"/>
  <c r="U640" i="1"/>
  <c r="V768" i="1"/>
  <c r="V162" i="1"/>
  <c r="U162" i="1"/>
  <c r="U418" i="1"/>
  <c r="V418" i="1"/>
  <c r="U674" i="1"/>
  <c r="V674" i="1"/>
  <c r="U36" i="1"/>
  <c r="V36" i="1"/>
  <c r="V292" i="1"/>
  <c r="U292" i="1"/>
  <c r="V548" i="1"/>
  <c r="U548" i="1"/>
  <c r="V117" i="1"/>
  <c r="V245" i="1"/>
  <c r="V373" i="1"/>
  <c r="V501" i="1"/>
  <c r="V629" i="1"/>
  <c r="V757" i="1"/>
  <c r="V70" i="1"/>
  <c r="U70" i="1"/>
  <c r="U326" i="1"/>
  <c r="V326" i="1"/>
  <c r="U582" i="1"/>
  <c r="V582" i="1"/>
  <c r="U838" i="1"/>
  <c r="V838" i="1"/>
  <c r="V135" i="1"/>
  <c r="V391" i="1"/>
  <c r="V647" i="1"/>
  <c r="V759" i="1"/>
  <c r="U281" i="1"/>
  <c r="U136" i="1"/>
  <c r="V136" i="1"/>
  <c r="V392" i="1"/>
  <c r="U392" i="1"/>
  <c r="V10" i="1"/>
  <c r="U10" i="1"/>
  <c r="U266" i="1"/>
  <c r="V266" i="1"/>
  <c r="U522" i="1"/>
  <c r="V522" i="1"/>
  <c r="U778" i="1"/>
  <c r="V778" i="1"/>
  <c r="U411" i="1"/>
  <c r="V411" i="1"/>
  <c r="U351" i="1"/>
  <c r="V351" i="1"/>
  <c r="U577" i="1"/>
  <c r="V577" i="1"/>
  <c r="U44" i="1"/>
  <c r="V44" i="1"/>
  <c r="U676" i="1"/>
  <c r="V676" i="1"/>
  <c r="U264" i="1"/>
  <c r="V264" i="1"/>
  <c r="V251" i="1"/>
  <c r="U251" i="1"/>
  <c r="V349" i="1"/>
  <c r="V75" i="1"/>
  <c r="U75" i="1"/>
  <c r="V331" i="1"/>
  <c r="U331" i="1"/>
  <c r="V587" i="1"/>
  <c r="U587" i="1"/>
  <c r="U172" i="1"/>
  <c r="V172" i="1"/>
  <c r="U428" i="1"/>
  <c r="V428" i="1"/>
  <c r="U233" i="1"/>
  <c r="U125" i="1"/>
  <c r="V637" i="1"/>
  <c r="V91" i="1"/>
  <c r="U91" i="1"/>
  <c r="V347" i="1"/>
  <c r="U347" i="1"/>
  <c r="V603" i="1"/>
  <c r="U603" i="1"/>
  <c r="U188" i="1"/>
  <c r="V188" i="1"/>
  <c r="U444" i="1"/>
  <c r="V444" i="1"/>
  <c r="U701" i="1"/>
  <c r="U700" i="1"/>
  <c r="V700" i="1"/>
  <c r="V141" i="1"/>
  <c r="U269" i="1"/>
  <c r="V397" i="1"/>
  <c r="V525" i="1"/>
  <c r="U653" i="1"/>
  <c r="U813" i="1"/>
  <c r="V271" i="1"/>
  <c r="U271" i="1"/>
  <c r="U527" i="1"/>
  <c r="V527" i="1"/>
  <c r="U783" i="1"/>
  <c r="V783" i="1"/>
  <c r="U521" i="1"/>
  <c r="V400" i="1"/>
  <c r="V528" i="1"/>
  <c r="U641" i="1"/>
  <c r="U768" i="1"/>
  <c r="U241" i="1"/>
  <c r="V241" i="1"/>
  <c r="U497" i="1"/>
  <c r="V497" i="1"/>
  <c r="V753" i="1"/>
  <c r="U753" i="1"/>
  <c r="V163" i="1"/>
  <c r="V547" i="1"/>
  <c r="V819" i="1"/>
  <c r="V178" i="1"/>
  <c r="U178" i="1"/>
  <c r="U434" i="1"/>
  <c r="V434" i="1"/>
  <c r="U690" i="1"/>
  <c r="V690" i="1"/>
  <c r="V115" i="1"/>
  <c r="V403" i="1"/>
  <c r="U52" i="1"/>
  <c r="V52" i="1"/>
  <c r="U308" i="1"/>
  <c r="V308" i="1"/>
  <c r="U564" i="1"/>
  <c r="V564" i="1"/>
  <c r="U820" i="1"/>
  <c r="V820" i="1"/>
  <c r="U117" i="1"/>
  <c r="U245" i="1"/>
  <c r="U373" i="1"/>
  <c r="U501" i="1"/>
  <c r="U629" i="1"/>
  <c r="U757" i="1"/>
  <c r="V249" i="1"/>
  <c r="V86" i="1"/>
  <c r="U86" i="1"/>
  <c r="U342" i="1"/>
  <c r="V342" i="1"/>
  <c r="U598" i="1"/>
  <c r="V598" i="1"/>
  <c r="V7" i="1"/>
  <c r="U263" i="1"/>
  <c r="U519" i="1"/>
  <c r="U775" i="1"/>
  <c r="U377" i="1"/>
  <c r="U152" i="1"/>
  <c r="V152" i="1"/>
  <c r="U408" i="1"/>
  <c r="V408" i="1"/>
  <c r="U26" i="1"/>
  <c r="V26" i="1"/>
  <c r="U282" i="1"/>
  <c r="V282" i="1"/>
  <c r="V538" i="1"/>
  <c r="U538" i="1"/>
  <c r="V794" i="1"/>
  <c r="U794" i="1"/>
  <c r="V133" i="1"/>
  <c r="U358" i="1"/>
  <c r="V358" i="1"/>
  <c r="U614" i="1"/>
  <c r="V614" i="1"/>
  <c r="U151" i="1"/>
  <c r="V407" i="1"/>
  <c r="U168" i="1"/>
  <c r="V168" i="1"/>
  <c r="U424" i="1"/>
  <c r="V424" i="1"/>
  <c r="U42" i="1"/>
  <c r="V42" i="1"/>
  <c r="U298" i="1"/>
  <c r="V298" i="1"/>
  <c r="U554" i="1"/>
  <c r="V554" i="1"/>
  <c r="U810" i="1"/>
  <c r="V810" i="1"/>
  <c r="U765" i="1"/>
  <c r="V764" i="1"/>
  <c r="U764" i="1"/>
  <c r="V754" i="1"/>
  <c r="U754" i="1"/>
  <c r="U171" i="1"/>
  <c r="V171" i="1"/>
  <c r="V363" i="1"/>
  <c r="U363" i="1"/>
  <c r="U460" i="1"/>
  <c r="V460" i="1"/>
  <c r="V269" i="1"/>
  <c r="U525" i="1"/>
  <c r="U287" i="1"/>
  <c r="V287" i="1"/>
  <c r="U799" i="1"/>
  <c r="V799" i="1"/>
  <c r="U257" i="1"/>
  <c r="V257" i="1"/>
  <c r="U450" i="1"/>
  <c r="V450" i="1"/>
  <c r="U68" i="1"/>
  <c r="V68" i="1"/>
  <c r="U389" i="1"/>
  <c r="U123" i="1"/>
  <c r="V123" i="1"/>
  <c r="V379" i="1"/>
  <c r="U379" i="1"/>
  <c r="V635" i="1"/>
  <c r="U635" i="1"/>
  <c r="V852" i="1"/>
  <c r="U220" i="1"/>
  <c r="V220" i="1"/>
  <c r="V476" i="1"/>
  <c r="U476" i="1"/>
  <c r="U732" i="1"/>
  <c r="V732" i="1"/>
  <c r="U29" i="1"/>
  <c r="V285" i="1"/>
  <c r="V541" i="1"/>
  <c r="U829" i="1"/>
  <c r="V159" i="1"/>
  <c r="U303" i="1"/>
  <c r="V303" i="1"/>
  <c r="U559" i="1"/>
  <c r="V559" i="1"/>
  <c r="U451" i="1"/>
  <c r="V304" i="1"/>
  <c r="V416" i="1"/>
  <c r="V544" i="1"/>
  <c r="V672" i="1"/>
  <c r="V273" i="1"/>
  <c r="U273" i="1"/>
  <c r="U529" i="1"/>
  <c r="V529" i="1"/>
  <c r="U785" i="1"/>
  <c r="V785" i="1"/>
  <c r="V210" i="1"/>
  <c r="U210" i="1"/>
  <c r="U466" i="1"/>
  <c r="V466" i="1"/>
  <c r="U722" i="1"/>
  <c r="V722" i="1"/>
  <c r="V116" i="1"/>
  <c r="V467" i="1"/>
  <c r="V771" i="1"/>
  <c r="V340" i="1"/>
  <c r="U340" i="1"/>
  <c r="U596" i="1"/>
  <c r="V596" i="1"/>
  <c r="U133" i="1"/>
  <c r="V389" i="1"/>
  <c r="V661" i="1"/>
  <c r="V773" i="1"/>
  <c r="U118" i="1"/>
  <c r="V118" i="1"/>
  <c r="V374" i="1"/>
  <c r="U374" i="1"/>
  <c r="V630" i="1"/>
  <c r="U630" i="1"/>
  <c r="V23" i="1"/>
  <c r="V151" i="1"/>
  <c r="U279" i="1"/>
  <c r="U407" i="1"/>
  <c r="U535" i="1"/>
  <c r="V663" i="1"/>
  <c r="V791" i="1"/>
  <c r="V184" i="1"/>
  <c r="U184" i="1"/>
  <c r="U440" i="1"/>
  <c r="V440" i="1"/>
  <c r="V58" i="1"/>
  <c r="U58" i="1"/>
  <c r="U314" i="1"/>
  <c r="V314" i="1"/>
  <c r="V570" i="1"/>
  <c r="U570" i="1"/>
  <c r="V826" i="1"/>
  <c r="U826" i="1"/>
  <c r="V242" i="1"/>
  <c r="U242" i="1"/>
  <c r="U107" i="1"/>
  <c r="V107" i="1"/>
  <c r="U619" i="1"/>
  <c r="V619" i="1"/>
  <c r="U204" i="1"/>
  <c r="V204" i="1"/>
  <c r="U717" i="1"/>
  <c r="V716" i="1"/>
  <c r="U716" i="1"/>
  <c r="V288" i="1"/>
  <c r="U513" i="1"/>
  <c r="V513" i="1"/>
  <c r="U769" i="1"/>
  <c r="V769" i="1"/>
  <c r="V194" i="1"/>
  <c r="U194" i="1"/>
  <c r="V706" i="1"/>
  <c r="U706" i="1"/>
  <c r="U324" i="1"/>
  <c r="V324" i="1"/>
  <c r="U580" i="1"/>
  <c r="V580" i="1"/>
  <c r="U836" i="1"/>
  <c r="V836" i="1"/>
  <c r="V645" i="1"/>
  <c r="V103" i="1"/>
  <c r="U102" i="1"/>
  <c r="V102" i="1"/>
  <c r="U139" i="1"/>
  <c r="V139" i="1"/>
  <c r="U395" i="1"/>
  <c r="V395" i="1"/>
  <c r="V651" i="1"/>
  <c r="U651" i="1"/>
  <c r="U236" i="1"/>
  <c r="V236" i="1"/>
  <c r="U492" i="1"/>
  <c r="V492" i="1"/>
  <c r="U748" i="1"/>
  <c r="V748" i="1"/>
  <c r="U159" i="1"/>
  <c r="V319" i="1"/>
  <c r="U319" i="1"/>
  <c r="U575" i="1"/>
  <c r="V575" i="1"/>
  <c r="V499" i="1"/>
  <c r="U304" i="1"/>
  <c r="U416" i="1"/>
  <c r="U544" i="1"/>
  <c r="U672" i="1"/>
  <c r="V800" i="1"/>
  <c r="V289" i="1"/>
  <c r="U289" i="1"/>
  <c r="U545" i="1"/>
  <c r="V545" i="1"/>
  <c r="U801" i="1"/>
  <c r="V801" i="1"/>
  <c r="U195" i="1"/>
  <c r="V226" i="1"/>
  <c r="U226" i="1"/>
  <c r="V482" i="1"/>
  <c r="U482" i="1"/>
  <c r="U738" i="1"/>
  <c r="V738" i="1"/>
  <c r="U467" i="1"/>
  <c r="U771" i="1"/>
  <c r="V489" i="1"/>
  <c r="V356" i="1"/>
  <c r="U356" i="1"/>
  <c r="U612" i="1"/>
  <c r="V612" i="1"/>
  <c r="V149" i="1"/>
  <c r="V405" i="1"/>
  <c r="U661" i="1"/>
  <c r="V425" i="1"/>
  <c r="U134" i="1"/>
  <c r="V134" i="1"/>
  <c r="V390" i="1"/>
  <c r="U390" i="1"/>
  <c r="U646" i="1"/>
  <c r="V646" i="1"/>
  <c r="U23" i="1"/>
  <c r="V167" i="1"/>
  <c r="V295" i="1"/>
  <c r="U423" i="1"/>
  <c r="U551" i="1"/>
  <c r="U663" i="1"/>
  <c r="U791" i="1"/>
  <c r="U200" i="1"/>
  <c r="V200" i="1"/>
  <c r="V457" i="1"/>
  <c r="U456" i="1"/>
  <c r="V456" i="1"/>
  <c r="U74" i="1"/>
  <c r="V74" i="1"/>
  <c r="U330" i="1"/>
  <c r="V330" i="1"/>
  <c r="U586" i="1"/>
  <c r="V586" i="1"/>
  <c r="V842" i="1"/>
  <c r="U842" i="1"/>
  <c r="AO3" i="1"/>
  <c r="AL3" i="1"/>
  <c r="AP3" i="1" s="1"/>
  <c r="AW3" i="1" a="1"/>
  <c r="AW3" i="1" s="1"/>
  <c r="U3" i="1"/>
  <c r="AU3" i="1" s="1"/>
  <c r="V3" i="1"/>
  <c r="AV3" i="1" s="1"/>
  <c r="AX3" i="1" a="1"/>
  <c r="AX3" i="1" s="1"/>
  <c r="T4" i="1"/>
  <c r="AB4" i="1" s="1"/>
  <c r="AC4" i="1" s="1"/>
  <c r="AY3" i="1" a="1"/>
  <c r="AY3" i="1" s="1"/>
  <c r="AZ3" i="1" a="1"/>
  <c r="AZ3" i="1" s="1"/>
  <c r="V6" i="1" l="1"/>
  <c r="U6" i="1"/>
  <c r="W4" i="1" a="1"/>
  <c r="W4" i="1" s="1"/>
  <c r="Y4" i="1"/>
  <c r="AZ4" i="1" a="1"/>
  <c r="AZ4" i="1" s="1"/>
  <c r="AX4" i="1" a="1"/>
  <c r="AX4" i="1" s="1"/>
  <c r="AY4" i="1" a="1"/>
  <c r="AY4" i="1" s="1"/>
  <c r="AW4" i="1" a="1"/>
  <c r="AW4" i="1" s="1"/>
  <c r="V5" i="1"/>
  <c r="U5" i="1"/>
  <c r="AS3" i="1"/>
  <c r="AN3" i="1"/>
  <c r="Z3" i="1" s="1" a="1"/>
  <c r="Z3" i="1" s="1"/>
  <c r="AM3" i="1"/>
  <c r="AQ3" i="1" s="1"/>
  <c r="U4" i="1"/>
  <c r="AU4" i="1" s="1"/>
  <c r="V4" i="1"/>
  <c r="AV4" i="1" s="1"/>
  <c r="AL4" i="1" l="1"/>
  <c r="AM4" i="1"/>
  <c r="AR3" i="1"/>
  <c r="AI3" i="1"/>
  <c r="BU3" i="1" l="1"/>
  <c r="AG2" i="8"/>
  <c r="BQ2" i="4" a="1"/>
  <c r="BQ2" i="4" s="1"/>
  <c r="BF3" i="1"/>
  <c r="AB3" i="1"/>
  <c r="AA3" i="1"/>
  <c r="BA3" i="1"/>
  <c r="BA4" i="1" s="1"/>
  <c r="AA2" i="1"/>
  <c r="AZ2" i="8" s="1"/>
  <c r="BH3" i="1"/>
  <c r="AB2" i="1"/>
  <c r="AC2" i="1" s="1"/>
  <c r="AJ2" i="1" l="1"/>
  <c r="AK2" i="1"/>
  <c r="AQ2" i="1"/>
  <c r="AO2" i="1"/>
  <c r="AP2" i="1"/>
  <c r="I4" i="8"/>
  <c r="AJ4" i="8" s="1"/>
  <c r="P4" i="8"/>
  <c r="AK4" i="8" s="1"/>
  <c r="AS4" i="8" l="1"/>
  <c r="AO4" i="8"/>
  <c r="AN4" i="8"/>
  <c r="AP4" i="8" s="1"/>
  <c r="AX4" i="8" s="1"/>
  <c r="AW4" i="8" s="1"/>
  <c r="AS2" i="1"/>
  <c r="AN2" i="1"/>
  <c r="AR2" i="1" s="1"/>
  <c r="AR4" i="8" l="1"/>
  <c r="AV4" i="8"/>
  <c r="AY4" i="8" s="1"/>
  <c r="AQ4" i="8"/>
  <c r="AC3" i="1"/>
  <c r="AK4" i="1" l="1"/>
  <c r="AG4" i="1"/>
  <c r="AJ4" i="1"/>
  <c r="AF4" i="1"/>
  <c r="AE4" i="1"/>
  <c r="AO4" i="1"/>
  <c r="AQ4" i="1"/>
  <c r="AP4" i="1"/>
  <c r="AG3" i="1"/>
  <c r="BU2" i="1"/>
  <c r="BT2" i="1" s="1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BK4" i="1" l="1"/>
  <c r="BJ4" i="1"/>
  <c r="BL4" i="1"/>
  <c r="AS4" i="1"/>
  <c r="AN4" i="1"/>
  <c r="AK3" i="8"/>
  <c r="AG3" i="8"/>
  <c r="AR4" i="1" l="1"/>
  <c r="BU4" i="1" s="1"/>
  <c r="BT4" i="1" s="1"/>
  <c r="Z4" i="1" a="1"/>
  <c r="Z4" i="1" s="1"/>
  <c r="AI4" i="1" s="1"/>
  <c r="AJ3" i="8"/>
  <c r="AO3" i="8" s="1"/>
  <c r="AV3" i="8" s="1"/>
  <c r="AY3" i="8" s="1"/>
  <c r="AI3" i="8"/>
  <c r="AG2" i="1"/>
  <c r="AH2" i="1"/>
  <c r="AD3" i="1"/>
  <c r="AD4" i="1" s="1"/>
  <c r="BG3" i="1"/>
  <c r="BE2" i="1"/>
  <c r="AT2" i="1" s="1"/>
  <c r="BP2" i="1"/>
  <c r="BQ2" i="1" s="1"/>
  <c r="AT4" i="1" l="1"/>
  <c r="BS4" i="1"/>
  <c r="BR4" i="1" s="1"/>
  <c r="BN4" i="1"/>
  <c r="BO4" i="1" s="1"/>
  <c r="BP4" i="1" s="1"/>
  <c r="BQ4" i="1" s="1"/>
  <c r="AZ3" i="8"/>
  <c r="BA3" i="8" s="1"/>
  <c r="AZ4" i="8"/>
  <c r="BA4" i="8" s="1"/>
  <c r="BB4" i="8" s="1"/>
  <c r="BC4" i="8" s="1"/>
  <c r="BT3" i="1"/>
  <c r="AS3" i="8"/>
  <c r="AN3" i="8"/>
  <c r="AP3" i="8" s="1"/>
  <c r="AX3" i="8" s="1"/>
  <c r="AW3" i="8" s="1"/>
  <c r="AQ3" i="8"/>
  <c r="BS3" i="1"/>
  <c r="BR3" i="1" s="1"/>
  <c r="BB2" i="8"/>
  <c r="BE3" i="1"/>
  <c r="BN3" i="1"/>
  <c r="BB3" i="8" l="1"/>
  <c r="BC3" i="8" s="1"/>
  <c r="AR3" i="8"/>
  <c r="AT3" i="1"/>
  <c r="AK2" i="8"/>
  <c r="AJ2" i="8"/>
  <c r="AM2" i="8"/>
  <c r="AL2" i="8"/>
  <c r="AH2" i="8"/>
  <c r="BJ3" i="1"/>
  <c r="AO2" i="8" l="1"/>
  <c r="AV2" i="8" s="1"/>
  <c r="AY2" i="8" s="1"/>
  <c r="AN2" i="8"/>
  <c r="AP2" i="8" s="1"/>
  <c r="AX2" i="8" s="1"/>
  <c r="AW2" i="8" s="1"/>
  <c r="AI2" i="8"/>
  <c r="BC2" i="8" s="1"/>
  <c r="AS2" i="8"/>
  <c r="AQ2" i="8"/>
  <c r="AR2" i="8" l="1"/>
  <c r="BK3" i="1" l="1"/>
  <c r="BL3" i="1" l="1"/>
  <c r="BI3" i="1" a="1"/>
  <c r="BI3" i="1" s="1"/>
  <c r="BI4" i="1" s="1" a="1"/>
  <c r="BI4" i="1" s="1"/>
  <c r="BO3" i="1"/>
  <c r="BP3" i="1" s="1"/>
  <c r="BQ3" i="1" s="1"/>
  <c r="W5" i="1" l="1" a="1"/>
  <c r="W5" i="1" s="1"/>
  <c r="W6" i="1" a="1"/>
  <c r="W6" i="1" s="1"/>
  <c r="W7" i="1" a="1"/>
  <c r="W7" i="1" s="1"/>
  <c r="W8" i="1" a="1"/>
  <c r="W8" i="1" s="1"/>
  <c r="W9" i="1" a="1"/>
  <c r="W9" i="1" s="1"/>
  <c r="W10" i="1" a="1"/>
  <c r="W10" i="1" s="1"/>
  <c r="W11" i="1" a="1"/>
  <c r="W11" i="1" s="1"/>
  <c r="W12" i="1" a="1"/>
  <c r="W12" i="1" s="1"/>
  <c r="W13" i="1" a="1"/>
  <c r="W13" i="1" s="1"/>
  <c r="W14" i="1" a="1"/>
  <c r="W14" i="1" s="1"/>
  <c r="W15" i="1" a="1"/>
  <c r="W15" i="1" s="1"/>
  <c r="W16" i="1" a="1"/>
  <c r="W16" i="1" s="1"/>
  <c r="W17" i="1" a="1"/>
  <c r="W17" i="1" s="1"/>
  <c r="W18" i="1" a="1"/>
  <c r="W18" i="1" s="1"/>
  <c r="W19" i="1" a="1"/>
  <c r="W19" i="1" s="1"/>
  <c r="W20" i="1" a="1"/>
  <c r="W20" i="1" s="1"/>
  <c r="W21" i="1" a="1"/>
  <c r="W21" i="1" s="1"/>
  <c r="W22" i="1" a="1"/>
  <c r="W22" i="1" s="1"/>
  <c r="W23" i="1" a="1"/>
  <c r="W23" i="1" s="1"/>
  <c r="W24" i="1" a="1"/>
  <c r="W24" i="1" s="1"/>
  <c r="W25" i="1" a="1"/>
  <c r="W25" i="1" s="1"/>
  <c r="W26" i="1" a="1"/>
  <c r="W26" i="1" s="1"/>
  <c r="W27" i="1" a="1"/>
  <c r="W27" i="1" s="1"/>
  <c r="W28" i="1" a="1"/>
  <c r="W28" i="1" s="1"/>
  <c r="W29" i="1" a="1"/>
  <c r="W29" i="1" s="1"/>
  <c r="W30" i="1" a="1"/>
  <c r="W30" i="1" s="1"/>
  <c r="W31" i="1" a="1"/>
  <c r="W31" i="1" s="1"/>
  <c r="W32" i="1" a="1"/>
  <c r="W32" i="1" s="1"/>
  <c r="W33" i="1" a="1"/>
  <c r="W33" i="1" s="1"/>
  <c r="W34" i="1" a="1"/>
  <c r="W34" i="1" s="1"/>
  <c r="W35" i="1" a="1"/>
  <c r="W35" i="1" s="1"/>
  <c r="W36" i="1" a="1"/>
  <c r="W36" i="1" s="1"/>
  <c r="W37" i="1" a="1"/>
  <c r="W37" i="1" s="1"/>
  <c r="W38" i="1" a="1"/>
  <c r="W38" i="1" s="1"/>
  <c r="W39" i="1" a="1"/>
  <c r="W39" i="1" s="1"/>
  <c r="W40" i="1" a="1"/>
  <c r="W40" i="1" s="1"/>
  <c r="W41" i="1" a="1"/>
  <c r="W41" i="1" s="1"/>
  <c r="W42" i="1" a="1"/>
  <c r="W42" i="1" s="1"/>
  <c r="W43" i="1" a="1"/>
  <c r="W43" i="1" s="1"/>
  <c r="W44" i="1" a="1"/>
  <c r="W44" i="1" s="1"/>
  <c r="W45" i="1" a="1"/>
  <c r="W45" i="1" s="1"/>
  <c r="W46" i="1" a="1"/>
  <c r="W46" i="1" s="1"/>
  <c r="W47" i="1" a="1"/>
  <c r="W47" i="1" s="1"/>
  <c r="W48" i="1" a="1"/>
  <c r="W48" i="1" s="1"/>
  <c r="W49" i="1" a="1"/>
  <c r="W49" i="1" s="1"/>
  <c r="W50" i="1" a="1"/>
  <c r="W50" i="1" s="1"/>
  <c r="W51" i="1" a="1"/>
  <c r="W51" i="1" s="1"/>
  <c r="W52" i="1" a="1"/>
  <c r="W52" i="1" s="1"/>
  <c r="W53" i="1" a="1"/>
  <c r="W53" i="1" s="1"/>
  <c r="W54" i="1" a="1"/>
  <c r="W54" i="1" s="1"/>
  <c r="W55" i="1" a="1"/>
  <c r="W55" i="1" s="1"/>
  <c r="W56" i="1" a="1"/>
  <c r="W56" i="1" s="1"/>
  <c r="W57" i="1" a="1"/>
  <c r="W57" i="1" s="1"/>
  <c r="W58" i="1" a="1"/>
  <c r="W58" i="1" s="1"/>
  <c r="W59" i="1" a="1"/>
  <c r="W59" i="1" s="1"/>
  <c r="W60" i="1" a="1"/>
  <c r="W60" i="1" s="1"/>
  <c r="W61" i="1" a="1"/>
  <c r="W61" i="1" s="1"/>
  <c r="W62" i="1" a="1"/>
  <c r="W62" i="1" s="1"/>
  <c r="W63" i="1" a="1"/>
  <c r="W63" i="1" s="1"/>
  <c r="W64" i="1" a="1"/>
  <c r="W64" i="1" s="1"/>
  <c r="W65" i="1" a="1"/>
  <c r="W65" i="1" s="1"/>
  <c r="W66" i="1" a="1"/>
  <c r="W66" i="1" s="1"/>
  <c r="W67" i="1" a="1"/>
  <c r="W67" i="1" s="1"/>
  <c r="W68" i="1" a="1"/>
  <c r="W68" i="1" s="1"/>
  <c r="W69" i="1" a="1"/>
  <c r="W69" i="1" s="1"/>
  <c r="W70" i="1" a="1"/>
  <c r="W70" i="1" s="1"/>
  <c r="W71" i="1" a="1"/>
  <c r="W71" i="1" s="1"/>
  <c r="W72" i="1" a="1"/>
  <c r="W72" i="1" s="1"/>
  <c r="W73" i="1" a="1"/>
  <c r="W73" i="1" s="1"/>
  <c r="W74" i="1" a="1"/>
  <c r="W74" i="1" s="1"/>
  <c r="W75" i="1" a="1"/>
  <c r="W75" i="1" s="1"/>
  <c r="W76" i="1" a="1"/>
  <c r="W76" i="1" s="1"/>
  <c r="W77" i="1" a="1"/>
  <c r="W77" i="1" s="1"/>
  <c r="W78" i="1" a="1"/>
  <c r="W78" i="1" s="1"/>
  <c r="W79" i="1" a="1"/>
  <c r="W79" i="1" s="1"/>
  <c r="W80" i="1" a="1"/>
  <c r="W80" i="1" s="1"/>
  <c r="W81" i="1" a="1"/>
  <c r="W81" i="1" s="1"/>
  <c r="W82" i="1" a="1"/>
  <c r="W82" i="1" s="1"/>
  <c r="W83" i="1" a="1"/>
  <c r="W83" i="1" s="1"/>
  <c r="W84" i="1" a="1"/>
  <c r="W84" i="1" s="1"/>
  <c r="W85" i="1" a="1"/>
  <c r="W85" i="1" s="1"/>
  <c r="W86" i="1" a="1"/>
  <c r="W86" i="1" s="1"/>
  <c r="W87" i="1" a="1"/>
  <c r="W87" i="1" s="1"/>
  <c r="W88" i="1" a="1"/>
  <c r="W88" i="1" s="1"/>
  <c r="W89" i="1" a="1"/>
  <c r="W89" i="1" s="1"/>
  <c r="W90" i="1" a="1"/>
  <c r="W90" i="1" s="1"/>
  <c r="W91" i="1" a="1"/>
  <c r="W91" i="1" s="1"/>
  <c r="W92" i="1" a="1"/>
  <c r="W92" i="1" s="1"/>
  <c r="W93" i="1" a="1"/>
  <c r="W93" i="1" s="1"/>
  <c r="W94" i="1" a="1"/>
  <c r="W94" i="1" s="1"/>
  <c r="W95" i="1" a="1"/>
  <c r="W95" i="1" s="1"/>
  <c r="W96" i="1" a="1"/>
  <c r="W96" i="1" s="1"/>
  <c r="W97" i="1" a="1"/>
  <c r="W97" i="1" s="1"/>
  <c r="W98" i="1" a="1"/>
  <c r="W98" i="1" s="1"/>
  <c r="W99" i="1" a="1"/>
  <c r="W99" i="1" s="1"/>
  <c r="W100" i="1" a="1"/>
  <c r="W100" i="1" s="1"/>
  <c r="W101" i="1" a="1"/>
  <c r="W101" i="1" s="1"/>
  <c r="W102" i="1" a="1"/>
  <c r="W102" i="1" s="1"/>
  <c r="W103" i="1" a="1"/>
  <c r="W103" i="1" s="1"/>
  <c r="W104" i="1" a="1"/>
  <c r="W104" i="1" s="1"/>
  <c r="W105" i="1" a="1"/>
  <c r="W105" i="1" s="1"/>
  <c r="W106" i="1" a="1"/>
  <c r="W106" i="1" s="1"/>
  <c r="W107" i="1" a="1"/>
  <c r="W107" i="1" s="1"/>
  <c r="W108" i="1" a="1"/>
  <c r="W108" i="1" s="1"/>
  <c r="W109" i="1" a="1"/>
  <c r="W109" i="1" s="1"/>
  <c r="W110" i="1" a="1"/>
  <c r="W110" i="1" s="1"/>
  <c r="W111" i="1" a="1"/>
  <c r="W111" i="1" s="1"/>
  <c r="W112" i="1" a="1"/>
  <c r="W112" i="1" s="1"/>
  <c r="W113" i="1" a="1"/>
  <c r="W113" i="1" s="1"/>
  <c r="W114" i="1" a="1"/>
  <c r="W114" i="1" s="1"/>
  <c r="W115" i="1" a="1"/>
  <c r="W115" i="1" s="1"/>
  <c r="W116" i="1" a="1"/>
  <c r="W116" i="1" s="1"/>
  <c r="W117" i="1" a="1"/>
  <c r="W117" i="1" s="1"/>
  <c r="W118" i="1" a="1"/>
  <c r="W118" i="1" s="1"/>
  <c r="W119" i="1" a="1"/>
  <c r="W119" i="1" s="1"/>
  <c r="W120" i="1" a="1"/>
  <c r="W120" i="1" s="1"/>
  <c r="W121" i="1" a="1"/>
  <c r="W121" i="1" s="1"/>
  <c r="W122" i="1" a="1"/>
  <c r="W122" i="1" s="1"/>
  <c r="W123" i="1" a="1"/>
  <c r="W123" i="1" s="1"/>
  <c r="W124" i="1" a="1"/>
  <c r="W124" i="1" s="1"/>
  <c r="W125" i="1" a="1"/>
  <c r="W125" i="1" s="1"/>
  <c r="W126" i="1" a="1"/>
  <c r="W126" i="1" s="1"/>
  <c r="W127" i="1" a="1"/>
  <c r="W127" i="1" s="1"/>
  <c r="W128" i="1" a="1"/>
  <c r="W128" i="1" s="1"/>
  <c r="W129" i="1" a="1"/>
  <c r="W129" i="1" s="1"/>
  <c r="W130" i="1" a="1"/>
  <c r="W130" i="1" s="1"/>
  <c r="W131" i="1" a="1"/>
  <c r="W131" i="1" s="1"/>
  <c r="W132" i="1" a="1"/>
  <c r="W132" i="1" s="1"/>
  <c r="W133" i="1" a="1"/>
  <c r="W133" i="1" s="1"/>
  <c r="W134" i="1" a="1"/>
  <c r="W134" i="1" s="1"/>
  <c r="W135" i="1" a="1"/>
  <c r="W135" i="1" s="1"/>
  <c r="W136" i="1" a="1"/>
  <c r="W136" i="1" s="1"/>
  <c r="W137" i="1" a="1"/>
  <c r="W137" i="1" s="1"/>
  <c r="W138" i="1" a="1"/>
  <c r="W138" i="1" s="1"/>
  <c r="W139" i="1" a="1"/>
  <c r="W139" i="1" s="1"/>
  <c r="W140" i="1" a="1"/>
  <c r="W140" i="1" s="1"/>
  <c r="W141" i="1" a="1"/>
  <c r="W141" i="1" s="1"/>
  <c r="W142" i="1" a="1"/>
  <c r="W142" i="1" s="1"/>
  <c r="W143" i="1" a="1"/>
  <c r="W143" i="1" s="1"/>
  <c r="W144" i="1" a="1"/>
  <c r="W144" i="1" s="1"/>
  <c r="W145" i="1" a="1"/>
  <c r="W145" i="1" s="1"/>
  <c r="W146" i="1" a="1"/>
  <c r="W146" i="1" s="1"/>
  <c r="W147" i="1" a="1"/>
  <c r="W147" i="1" s="1"/>
  <c r="W148" i="1" a="1"/>
  <c r="W148" i="1" s="1"/>
  <c r="W149" i="1" a="1"/>
  <c r="W149" i="1" s="1"/>
  <c r="W150" i="1" a="1"/>
  <c r="W150" i="1" s="1"/>
  <c r="W151" i="1" a="1"/>
  <c r="W151" i="1" s="1"/>
  <c r="W152" i="1" a="1"/>
  <c r="W152" i="1" s="1"/>
  <c r="W153" i="1" a="1"/>
  <c r="W153" i="1" s="1"/>
  <c r="W154" i="1" a="1"/>
  <c r="W154" i="1" s="1"/>
  <c r="W155" i="1" a="1"/>
  <c r="W155" i="1" s="1"/>
  <c r="W156" i="1" a="1"/>
  <c r="W156" i="1" s="1"/>
  <c r="W157" i="1" a="1"/>
  <c r="W157" i="1" s="1"/>
  <c r="W158" i="1" a="1"/>
  <c r="W158" i="1" s="1"/>
  <c r="W159" i="1" a="1"/>
  <c r="W159" i="1" s="1"/>
  <c r="W160" i="1" a="1"/>
  <c r="W160" i="1" s="1"/>
  <c r="W161" i="1" a="1"/>
  <c r="W161" i="1" s="1"/>
  <c r="W162" i="1" a="1"/>
  <c r="W162" i="1" s="1"/>
  <c r="W163" i="1" a="1"/>
  <c r="W163" i="1" s="1"/>
  <c r="W164" i="1" a="1"/>
  <c r="W164" i="1" s="1"/>
  <c r="W165" i="1" a="1"/>
  <c r="W165" i="1" s="1"/>
  <c r="W166" i="1" a="1"/>
  <c r="W166" i="1" s="1"/>
  <c r="W167" i="1" a="1"/>
  <c r="W167" i="1" s="1"/>
  <c r="W168" i="1" a="1"/>
  <c r="W168" i="1" s="1"/>
  <c r="W169" i="1" a="1"/>
  <c r="W169" i="1" s="1"/>
  <c r="W170" i="1" a="1"/>
  <c r="W170" i="1" s="1"/>
  <c r="W171" i="1" a="1"/>
  <c r="W171" i="1" s="1"/>
  <c r="W172" i="1" a="1"/>
  <c r="W172" i="1" s="1"/>
  <c r="W173" i="1" a="1"/>
  <c r="W173" i="1" s="1"/>
  <c r="W174" i="1" a="1"/>
  <c r="W174" i="1" s="1"/>
  <c r="W175" i="1" a="1"/>
  <c r="W175" i="1" s="1"/>
  <c r="W176" i="1" a="1"/>
  <c r="W176" i="1" s="1"/>
  <c r="W177" i="1" a="1"/>
  <c r="W177" i="1" s="1"/>
  <c r="W178" i="1" a="1"/>
  <c r="W178" i="1" s="1"/>
  <c r="W179" i="1" a="1"/>
  <c r="W179" i="1" s="1"/>
  <c r="W180" i="1" a="1"/>
  <c r="W180" i="1" s="1"/>
  <c r="W181" i="1" a="1"/>
  <c r="W181" i="1" s="1"/>
  <c r="W182" i="1" a="1"/>
  <c r="W182" i="1" s="1"/>
  <c r="W183" i="1" a="1"/>
  <c r="W183" i="1" s="1"/>
  <c r="W184" i="1" a="1"/>
  <c r="W184" i="1" s="1"/>
  <c r="W185" i="1" a="1"/>
  <c r="W185" i="1" s="1"/>
  <c r="W186" i="1" a="1"/>
  <c r="W186" i="1" s="1"/>
  <c r="W187" i="1" a="1"/>
  <c r="W187" i="1" s="1"/>
  <c r="W188" i="1" a="1"/>
  <c r="W188" i="1" s="1"/>
  <c r="W189" i="1" a="1"/>
  <c r="W189" i="1" s="1"/>
  <c r="W190" i="1" a="1"/>
  <c r="W190" i="1" s="1"/>
  <c r="W191" i="1" a="1"/>
  <c r="W191" i="1" s="1"/>
  <c r="W192" i="1" a="1"/>
  <c r="W192" i="1" s="1"/>
  <c r="W193" i="1" a="1"/>
  <c r="W193" i="1" s="1"/>
  <c r="W194" i="1" a="1"/>
  <c r="W194" i="1" s="1"/>
  <c r="W195" i="1" a="1"/>
  <c r="W195" i="1" s="1"/>
  <c r="W196" i="1" a="1"/>
  <c r="W196" i="1" s="1"/>
  <c r="W197" i="1" a="1"/>
  <c r="W197" i="1" s="1"/>
  <c r="W198" i="1" a="1"/>
  <c r="W198" i="1" s="1"/>
  <c r="W199" i="1" a="1"/>
  <c r="W199" i="1" s="1"/>
  <c r="W200" i="1" a="1"/>
  <c r="W200" i="1" s="1"/>
  <c r="W201" i="1" a="1"/>
  <c r="W201" i="1" s="1"/>
  <c r="W202" i="1" a="1"/>
  <c r="W202" i="1" s="1"/>
  <c r="W203" i="1" a="1"/>
  <c r="W203" i="1" s="1"/>
  <c r="W204" i="1" a="1"/>
  <c r="W204" i="1" s="1"/>
  <c r="W205" i="1" a="1"/>
  <c r="W205" i="1" s="1"/>
  <c r="W206" i="1" a="1"/>
  <c r="W206" i="1" s="1"/>
  <c r="W207" i="1" a="1"/>
  <c r="W207" i="1" s="1"/>
  <c r="W208" i="1" a="1"/>
  <c r="W208" i="1" s="1"/>
  <c r="W209" i="1" a="1"/>
  <c r="W209" i="1" s="1"/>
  <c r="W210" i="1" a="1"/>
  <c r="W210" i="1" s="1"/>
  <c r="W211" i="1" a="1"/>
  <c r="W211" i="1" s="1"/>
  <c r="W212" i="1" a="1"/>
  <c r="W212" i="1" s="1"/>
  <c r="W213" i="1" a="1"/>
  <c r="W213" i="1" s="1"/>
  <c r="W214" i="1" a="1"/>
  <c r="W214" i="1" s="1"/>
  <c r="W215" i="1" a="1"/>
  <c r="W215" i="1" s="1"/>
  <c r="W216" i="1" a="1"/>
  <c r="W216" i="1" s="1"/>
  <c r="W217" i="1" a="1"/>
  <c r="W217" i="1" s="1"/>
  <c r="W218" i="1" a="1"/>
  <c r="W218" i="1" s="1"/>
  <c r="W219" i="1" a="1"/>
  <c r="W219" i="1" s="1"/>
  <c r="W220" i="1" a="1"/>
  <c r="W220" i="1" s="1"/>
  <c r="W221" i="1" a="1"/>
  <c r="W221" i="1" s="1"/>
  <c r="W222" i="1" a="1"/>
  <c r="W222" i="1" s="1"/>
  <c r="W223" i="1" a="1"/>
  <c r="W223" i="1" s="1"/>
  <c r="W224" i="1" a="1"/>
  <c r="W224" i="1" s="1"/>
  <c r="W225" i="1" a="1"/>
  <c r="W225" i="1" s="1"/>
  <c r="W226" i="1" a="1"/>
  <c r="W226" i="1" s="1"/>
  <c r="W227" i="1" a="1"/>
  <c r="W227" i="1" s="1"/>
  <c r="W228" i="1" a="1"/>
  <c r="W228" i="1" s="1"/>
  <c r="W229" i="1" a="1"/>
  <c r="W229" i="1" s="1"/>
  <c r="W230" i="1" a="1"/>
  <c r="W230" i="1" s="1"/>
  <c r="W231" i="1" a="1"/>
  <c r="W231" i="1" s="1"/>
  <c r="W232" i="1" a="1"/>
  <c r="W232" i="1" s="1"/>
  <c r="W233" i="1" a="1"/>
  <c r="W233" i="1" s="1"/>
  <c r="W234" i="1" a="1"/>
  <c r="W234" i="1" s="1"/>
  <c r="W235" i="1" a="1"/>
  <c r="W235" i="1" s="1"/>
  <c r="W236" i="1" a="1"/>
  <c r="W236" i="1" s="1"/>
  <c r="W237" i="1" a="1"/>
  <c r="W237" i="1" s="1"/>
  <c r="W238" i="1" a="1"/>
  <c r="W238" i="1" s="1"/>
  <c r="W239" i="1" a="1"/>
  <c r="W239" i="1" s="1"/>
  <c r="W240" i="1" a="1"/>
  <c r="W240" i="1" s="1"/>
  <c r="W241" i="1" a="1"/>
  <c r="W241" i="1" s="1"/>
  <c r="W242" i="1" a="1"/>
  <c r="W242" i="1" s="1"/>
  <c r="W243" i="1" a="1"/>
  <c r="W243" i="1" s="1"/>
  <c r="W244" i="1" a="1"/>
  <c r="W244" i="1" s="1"/>
  <c r="W245" i="1" a="1"/>
  <c r="W245" i="1" s="1"/>
  <c r="W246" i="1" a="1"/>
  <c r="W246" i="1" s="1"/>
  <c r="W247" i="1" a="1"/>
  <c r="W247" i="1" s="1"/>
  <c r="W248" i="1" a="1"/>
  <c r="W248" i="1" s="1"/>
  <c r="W249" i="1" a="1"/>
  <c r="W249" i="1" s="1"/>
  <c r="W250" i="1" a="1"/>
  <c r="W250" i="1" s="1"/>
  <c r="W251" i="1" a="1"/>
  <c r="W251" i="1" s="1"/>
  <c r="W252" i="1" a="1"/>
  <c r="W252" i="1" s="1"/>
  <c r="W253" i="1" a="1"/>
  <c r="W253" i="1" s="1"/>
  <c r="W254" i="1" a="1"/>
  <c r="W254" i="1" s="1"/>
  <c r="W255" i="1" a="1"/>
  <c r="W255" i="1" s="1"/>
  <c r="W256" i="1" a="1"/>
  <c r="W256" i="1" s="1"/>
  <c r="W257" i="1" a="1"/>
  <c r="W257" i="1" s="1"/>
  <c r="W258" i="1" a="1"/>
  <c r="W258" i="1" s="1"/>
  <c r="W259" i="1" a="1"/>
  <c r="W259" i="1" s="1"/>
  <c r="W260" i="1" a="1"/>
  <c r="W260" i="1" s="1"/>
  <c r="W261" i="1" a="1"/>
  <c r="W261" i="1" s="1"/>
  <c r="W262" i="1" a="1"/>
  <c r="W262" i="1" s="1"/>
  <c r="W263" i="1" a="1"/>
  <c r="W263" i="1" s="1"/>
  <c r="W264" i="1" a="1"/>
  <c r="W264" i="1" s="1"/>
  <c r="W265" i="1" a="1"/>
  <c r="W265" i="1" s="1"/>
  <c r="W266" i="1" a="1"/>
  <c r="W266" i="1" s="1"/>
  <c r="W267" i="1" a="1"/>
  <c r="W267" i="1" s="1"/>
  <c r="W268" i="1" a="1"/>
  <c r="W268" i="1" s="1"/>
  <c r="W269" i="1" a="1"/>
  <c r="W269" i="1" s="1"/>
  <c r="W270" i="1" a="1"/>
  <c r="W270" i="1" s="1"/>
  <c r="W271" i="1" a="1"/>
  <c r="W271" i="1" s="1"/>
  <c r="W272" i="1" a="1"/>
  <c r="W272" i="1" s="1"/>
  <c r="W273" i="1" a="1"/>
  <c r="W273" i="1" s="1"/>
  <c r="W274" i="1" a="1"/>
  <c r="W274" i="1" s="1"/>
  <c r="W275" i="1" a="1"/>
  <c r="W275" i="1" s="1"/>
  <c r="W276" i="1" a="1"/>
  <c r="W276" i="1" s="1"/>
  <c r="W277" i="1" a="1"/>
  <c r="W277" i="1" s="1"/>
  <c r="W278" i="1" a="1"/>
  <c r="W278" i="1" s="1"/>
  <c r="W279" i="1" a="1"/>
  <c r="W279" i="1" s="1"/>
  <c r="W280" i="1" a="1"/>
  <c r="W280" i="1" s="1"/>
  <c r="W281" i="1" a="1"/>
  <c r="W281" i="1" s="1"/>
  <c r="W282" i="1" a="1"/>
  <c r="W282" i="1" s="1"/>
  <c r="W283" i="1" a="1"/>
  <c r="W283" i="1" s="1"/>
  <c r="W284" i="1" a="1"/>
  <c r="W284" i="1" s="1"/>
  <c r="W285" i="1" a="1"/>
  <c r="W285" i="1" s="1"/>
  <c r="W286" i="1" a="1"/>
  <c r="W286" i="1" s="1"/>
  <c r="W287" i="1" a="1"/>
  <c r="W287" i="1" s="1"/>
  <c r="W288" i="1" a="1"/>
  <c r="W288" i="1" s="1"/>
  <c r="W289" i="1" a="1"/>
  <c r="W289" i="1" s="1"/>
  <c r="W290" i="1" a="1"/>
  <c r="W290" i="1" s="1"/>
  <c r="W291" i="1" a="1"/>
  <c r="W291" i="1" s="1"/>
  <c r="W292" i="1" a="1"/>
  <c r="W292" i="1" s="1"/>
  <c r="W293" i="1" a="1"/>
  <c r="W293" i="1" s="1"/>
  <c r="W294" i="1" a="1"/>
  <c r="W294" i="1" s="1"/>
  <c r="W295" i="1" a="1"/>
  <c r="W295" i="1" s="1"/>
  <c r="W296" i="1" a="1"/>
  <c r="W296" i="1" s="1"/>
  <c r="W297" i="1" a="1"/>
  <c r="W297" i="1" s="1"/>
  <c r="W298" i="1" a="1"/>
  <c r="W298" i="1" s="1"/>
  <c r="W299" i="1" a="1"/>
  <c r="W299" i="1" s="1"/>
  <c r="W300" i="1" a="1"/>
  <c r="W300" i="1" s="1"/>
  <c r="W301" i="1" a="1"/>
  <c r="W301" i="1" s="1"/>
  <c r="W302" i="1" a="1"/>
  <c r="W302" i="1" s="1"/>
  <c r="W303" i="1" a="1"/>
  <c r="W303" i="1" s="1"/>
  <c r="W304" i="1" a="1"/>
  <c r="W304" i="1" s="1"/>
  <c r="W305" i="1" a="1"/>
  <c r="W305" i="1" s="1"/>
  <c r="W306" i="1" a="1"/>
  <c r="W306" i="1" s="1"/>
  <c r="W307" i="1" a="1"/>
  <c r="W307" i="1" s="1"/>
  <c r="W308" i="1" a="1"/>
  <c r="W308" i="1" s="1"/>
  <c r="W309" i="1" a="1"/>
  <c r="W309" i="1" s="1"/>
  <c r="W310" i="1" a="1"/>
  <c r="W310" i="1" s="1"/>
  <c r="W311" i="1" a="1"/>
  <c r="W311" i="1" s="1"/>
  <c r="W312" i="1" a="1"/>
  <c r="W312" i="1" s="1"/>
  <c r="W313" i="1" a="1"/>
  <c r="W313" i="1" s="1"/>
  <c r="W314" i="1" a="1"/>
  <c r="W314" i="1" s="1"/>
  <c r="W315" i="1" a="1"/>
  <c r="W315" i="1" s="1"/>
  <c r="W316" i="1" a="1"/>
  <c r="W316" i="1" s="1"/>
  <c r="W317" i="1" a="1"/>
  <c r="W317" i="1" s="1"/>
  <c r="W318" i="1" a="1"/>
  <c r="W318" i="1" s="1"/>
  <c r="W319" i="1" a="1"/>
  <c r="W319" i="1" s="1"/>
  <c r="W320" i="1" a="1"/>
  <c r="W320" i="1" s="1"/>
  <c r="W321" i="1" a="1"/>
  <c r="W321" i="1" s="1"/>
  <c r="W322" i="1" a="1"/>
  <c r="W322" i="1" s="1"/>
  <c r="W323" i="1" a="1"/>
  <c r="W323" i="1" s="1"/>
  <c r="W324" i="1" a="1"/>
  <c r="W324" i="1" s="1"/>
  <c r="W325" i="1" a="1"/>
  <c r="W325" i="1" s="1"/>
  <c r="W326" i="1" a="1"/>
  <c r="W326" i="1" s="1"/>
  <c r="W327" i="1" a="1"/>
  <c r="W327" i="1" s="1"/>
  <c r="W328" i="1" a="1"/>
  <c r="W328" i="1" s="1"/>
  <c r="W329" i="1" a="1"/>
  <c r="W329" i="1" s="1"/>
  <c r="W330" i="1" a="1"/>
  <c r="W330" i="1" s="1"/>
  <c r="W331" i="1" a="1"/>
  <c r="W331" i="1" s="1"/>
  <c r="W332" i="1" a="1"/>
  <c r="W332" i="1" s="1"/>
  <c r="W333" i="1" a="1"/>
  <c r="W333" i="1" s="1"/>
  <c r="W334" i="1" a="1"/>
  <c r="W334" i="1" s="1"/>
  <c r="W335" i="1" a="1"/>
  <c r="W335" i="1" s="1"/>
  <c r="W336" i="1" a="1"/>
  <c r="W336" i="1" s="1"/>
  <c r="W337" i="1" a="1"/>
  <c r="W337" i="1" s="1"/>
  <c r="W338" i="1" a="1"/>
  <c r="W338" i="1" s="1"/>
  <c r="W339" i="1" a="1"/>
  <c r="W339" i="1" s="1"/>
  <c r="W340" i="1" a="1"/>
  <c r="W340" i="1" s="1"/>
  <c r="W341" i="1" a="1"/>
  <c r="W341" i="1" s="1"/>
  <c r="W342" i="1" a="1"/>
  <c r="W342" i="1" s="1"/>
  <c r="W343" i="1" a="1"/>
  <c r="W343" i="1" s="1"/>
  <c r="W344" i="1" a="1"/>
  <c r="W344" i="1" s="1"/>
  <c r="W345" i="1" a="1"/>
  <c r="W345" i="1" s="1"/>
  <c r="W346" i="1" a="1"/>
  <c r="W346" i="1" s="1"/>
  <c r="W347" i="1" a="1"/>
  <c r="W347" i="1" s="1"/>
  <c r="W348" i="1" a="1"/>
  <c r="W348" i="1" s="1"/>
  <c r="W349" i="1" a="1"/>
  <c r="W349" i="1" s="1"/>
  <c r="W350" i="1" a="1"/>
  <c r="W350" i="1" s="1"/>
  <c r="W351" i="1" a="1"/>
  <c r="W351" i="1" s="1"/>
  <c r="W352" i="1" a="1"/>
  <c r="W352" i="1" s="1"/>
  <c r="W353" i="1" a="1"/>
  <c r="W353" i="1" s="1"/>
  <c r="W354" i="1" a="1"/>
  <c r="W354" i="1" s="1"/>
  <c r="W355" i="1" a="1"/>
  <c r="W355" i="1" s="1"/>
  <c r="W356" i="1" a="1"/>
  <c r="W356" i="1" s="1"/>
  <c r="W357" i="1" a="1"/>
  <c r="W357" i="1" s="1"/>
  <c r="W358" i="1" a="1"/>
  <c r="W358" i="1" s="1"/>
  <c r="W359" i="1" a="1"/>
  <c r="W359" i="1" s="1"/>
  <c r="W360" i="1" a="1"/>
  <c r="W360" i="1" s="1"/>
  <c r="W361" i="1" a="1"/>
  <c r="W361" i="1" s="1"/>
  <c r="W362" i="1" a="1"/>
  <c r="W362" i="1" s="1"/>
  <c r="W363" i="1" a="1"/>
  <c r="W363" i="1" s="1"/>
  <c r="W364" i="1" a="1"/>
  <c r="W364" i="1" s="1"/>
  <c r="W365" i="1" a="1"/>
  <c r="W365" i="1" s="1"/>
  <c r="W366" i="1" a="1"/>
  <c r="W366" i="1" s="1"/>
  <c r="W367" i="1" a="1"/>
  <c r="W367" i="1" s="1"/>
  <c r="W368" i="1" a="1"/>
  <c r="W368" i="1" s="1"/>
  <c r="W369" i="1" a="1"/>
  <c r="W369" i="1" s="1"/>
  <c r="W370" i="1" a="1"/>
  <c r="W370" i="1" s="1"/>
  <c r="W371" i="1" a="1"/>
  <c r="W371" i="1" s="1"/>
  <c r="W372" i="1" a="1"/>
  <c r="W372" i="1" s="1"/>
  <c r="W373" i="1" a="1"/>
  <c r="W373" i="1" s="1"/>
  <c r="W374" i="1" a="1"/>
  <c r="W374" i="1" s="1"/>
  <c r="W375" i="1" a="1"/>
  <c r="W375" i="1" s="1"/>
  <c r="W376" i="1" a="1"/>
  <c r="W376" i="1" s="1"/>
  <c r="W377" i="1" a="1"/>
  <c r="W377" i="1" s="1"/>
  <c r="W378" i="1" a="1"/>
  <c r="W378" i="1" s="1"/>
  <c r="W379" i="1" a="1"/>
  <c r="W379" i="1" s="1"/>
  <c r="W380" i="1" a="1"/>
  <c r="W380" i="1" s="1"/>
  <c r="W381" i="1" a="1"/>
  <c r="W381" i="1" s="1"/>
  <c r="W382" i="1" a="1"/>
  <c r="W382" i="1" s="1"/>
  <c r="W383" i="1" a="1"/>
  <c r="W383" i="1" s="1"/>
  <c r="W384" i="1" a="1"/>
  <c r="W384" i="1" s="1"/>
  <c r="W385" i="1" a="1"/>
  <c r="W385" i="1" s="1"/>
  <c r="W386" i="1" a="1"/>
  <c r="W386" i="1" s="1"/>
  <c r="W387" i="1" a="1"/>
  <c r="W387" i="1" s="1"/>
  <c r="W388" i="1" a="1"/>
  <c r="W388" i="1" s="1"/>
  <c r="W389" i="1" a="1"/>
  <c r="W389" i="1" s="1"/>
  <c r="W390" i="1" a="1"/>
  <c r="W390" i="1" s="1"/>
  <c r="W391" i="1" a="1"/>
  <c r="W391" i="1" s="1"/>
  <c r="W392" i="1" a="1"/>
  <c r="W392" i="1" s="1"/>
  <c r="W393" i="1" a="1"/>
  <c r="W393" i="1" s="1"/>
  <c r="W394" i="1" a="1"/>
  <c r="W394" i="1" s="1"/>
  <c r="W395" i="1" a="1"/>
  <c r="W395" i="1" s="1"/>
  <c r="W396" i="1" a="1"/>
  <c r="W396" i="1" s="1"/>
  <c r="W397" i="1" a="1"/>
  <c r="W397" i="1" s="1"/>
  <c r="W398" i="1" a="1"/>
  <c r="W398" i="1" s="1"/>
  <c r="W399" i="1" a="1"/>
  <c r="W399" i="1" s="1"/>
  <c r="W400" i="1" a="1"/>
  <c r="W400" i="1" s="1"/>
  <c r="W401" i="1" a="1"/>
  <c r="W401" i="1" s="1"/>
  <c r="W402" i="1" a="1"/>
  <c r="W402" i="1" s="1"/>
  <c r="W403" i="1" a="1"/>
  <c r="W403" i="1" s="1"/>
  <c r="W404" i="1" a="1"/>
  <c r="W404" i="1" s="1"/>
  <c r="W405" i="1" a="1"/>
  <c r="W405" i="1" s="1"/>
  <c r="W406" i="1" a="1"/>
  <c r="W406" i="1" s="1"/>
  <c r="W407" i="1" a="1"/>
  <c r="W407" i="1" s="1"/>
  <c r="W408" i="1" a="1"/>
  <c r="W408" i="1" s="1"/>
  <c r="W409" i="1" a="1"/>
  <c r="W409" i="1" s="1"/>
  <c r="W410" i="1" a="1"/>
  <c r="W410" i="1" s="1"/>
  <c r="W411" i="1" a="1"/>
  <c r="W411" i="1" s="1"/>
  <c r="W412" i="1" a="1"/>
  <c r="W412" i="1" s="1"/>
  <c r="W413" i="1" a="1"/>
  <c r="W413" i="1" s="1"/>
  <c r="W414" i="1" a="1"/>
  <c r="W414" i="1" s="1"/>
  <c r="W415" i="1" a="1"/>
  <c r="W415" i="1" s="1"/>
  <c r="W416" i="1" a="1"/>
  <c r="W416" i="1" s="1"/>
  <c r="W417" i="1" a="1"/>
  <c r="W417" i="1" s="1"/>
  <c r="W418" i="1" a="1"/>
  <c r="W418" i="1" s="1"/>
  <c r="W419" i="1" a="1"/>
  <c r="W419" i="1" s="1"/>
  <c r="W420" i="1" a="1"/>
  <c r="W420" i="1" s="1"/>
  <c r="W421" i="1" a="1"/>
  <c r="W421" i="1" s="1"/>
  <c r="W422" i="1" a="1"/>
  <c r="W422" i="1" s="1"/>
  <c r="W423" i="1" a="1"/>
  <c r="W423" i="1" s="1"/>
  <c r="W424" i="1" a="1"/>
  <c r="W424" i="1" s="1"/>
  <c r="W425" i="1" a="1"/>
  <c r="W425" i="1" s="1"/>
  <c r="W426" i="1" a="1"/>
  <c r="W426" i="1" s="1"/>
  <c r="W427" i="1" a="1"/>
  <c r="W427" i="1" s="1"/>
  <c r="W428" i="1" a="1"/>
  <c r="W428" i="1" s="1"/>
  <c r="W429" i="1" a="1"/>
  <c r="W429" i="1" s="1"/>
  <c r="W430" i="1" a="1"/>
  <c r="W430" i="1" s="1"/>
  <c r="W431" i="1" a="1"/>
  <c r="W431" i="1" s="1"/>
  <c r="W432" i="1" a="1"/>
  <c r="W432" i="1" s="1"/>
  <c r="W433" i="1" a="1"/>
  <c r="W433" i="1" s="1"/>
  <c r="W434" i="1" a="1"/>
  <c r="W434" i="1" s="1"/>
  <c r="W435" i="1" a="1"/>
  <c r="W435" i="1" s="1"/>
  <c r="W436" i="1" a="1"/>
  <c r="W436" i="1" s="1"/>
  <c r="W437" i="1" a="1"/>
  <c r="W437" i="1" s="1"/>
  <c r="W438" i="1" a="1"/>
  <c r="W438" i="1" s="1"/>
  <c r="W439" i="1" a="1"/>
  <c r="W439" i="1" s="1"/>
  <c r="W440" i="1" a="1"/>
  <c r="W440" i="1" s="1"/>
  <c r="W441" i="1" a="1"/>
  <c r="W441" i="1" s="1"/>
  <c r="W442" i="1" a="1"/>
  <c r="W442" i="1" s="1"/>
  <c r="W443" i="1" a="1"/>
  <c r="W443" i="1" s="1"/>
  <c r="W444" i="1" a="1"/>
  <c r="W444" i="1" s="1"/>
  <c r="W445" i="1" a="1"/>
  <c r="W445" i="1" s="1"/>
  <c r="W446" i="1" a="1"/>
  <c r="W446" i="1" s="1"/>
  <c r="W447" i="1" a="1"/>
  <c r="W447" i="1" s="1"/>
  <c r="W448" i="1" a="1"/>
  <c r="W448" i="1" s="1"/>
  <c r="W449" i="1" a="1"/>
  <c r="W449" i="1" s="1"/>
  <c r="W450" i="1" a="1"/>
  <c r="W450" i="1" s="1"/>
  <c r="W451" i="1" a="1"/>
  <c r="W451" i="1" s="1"/>
  <c r="W452" i="1" a="1"/>
  <c r="W452" i="1" s="1"/>
  <c r="W453" i="1" a="1"/>
  <c r="W453" i="1" s="1"/>
  <c r="W454" i="1" a="1"/>
  <c r="W454" i="1" s="1"/>
  <c r="W455" i="1" a="1"/>
  <c r="W455" i="1" s="1"/>
  <c r="W456" i="1" a="1"/>
  <c r="W456" i="1" s="1"/>
  <c r="W457" i="1" a="1"/>
  <c r="W457" i="1" s="1"/>
  <c r="W458" i="1" a="1"/>
  <c r="W458" i="1" s="1"/>
  <c r="W459" i="1" a="1"/>
  <c r="W459" i="1" s="1"/>
  <c r="W460" i="1" a="1"/>
  <c r="W460" i="1" s="1"/>
  <c r="W461" i="1" a="1"/>
  <c r="W461" i="1" s="1"/>
  <c r="W462" i="1" a="1"/>
  <c r="W462" i="1" s="1"/>
  <c r="W463" i="1" a="1"/>
  <c r="W463" i="1" s="1"/>
  <c r="W464" i="1" a="1"/>
  <c r="W464" i="1" s="1"/>
  <c r="W465" i="1" a="1"/>
  <c r="W465" i="1" s="1"/>
  <c r="W466" i="1" a="1"/>
  <c r="W466" i="1" s="1"/>
  <c r="W467" i="1" a="1"/>
  <c r="W467" i="1" s="1"/>
  <c r="W468" i="1" a="1"/>
  <c r="W468" i="1" s="1"/>
  <c r="W469" i="1" a="1"/>
  <c r="W469" i="1" s="1"/>
  <c r="W470" i="1" a="1"/>
  <c r="W470" i="1" s="1"/>
  <c r="W471" i="1" a="1"/>
  <c r="W471" i="1" s="1"/>
  <c r="W472" i="1" a="1"/>
  <c r="W472" i="1" s="1"/>
  <c r="W473" i="1" a="1"/>
  <c r="W473" i="1" s="1"/>
  <c r="W474" i="1" a="1"/>
  <c r="W474" i="1" s="1"/>
  <c r="W475" i="1" a="1"/>
  <c r="W475" i="1" s="1"/>
  <c r="W476" i="1" a="1"/>
  <c r="W476" i="1" s="1"/>
  <c r="W477" i="1" a="1"/>
  <c r="W477" i="1" s="1"/>
  <c r="W478" i="1" a="1"/>
  <c r="W478" i="1" s="1"/>
  <c r="W479" i="1" a="1"/>
  <c r="W479" i="1" s="1"/>
  <c r="W480" i="1" a="1"/>
  <c r="W480" i="1" s="1"/>
  <c r="W481" i="1" a="1"/>
  <c r="W481" i="1" s="1"/>
  <c r="W482" i="1" a="1"/>
  <c r="W482" i="1" s="1"/>
  <c r="W483" i="1" a="1"/>
  <c r="W483" i="1" s="1"/>
  <c r="W484" i="1" a="1"/>
  <c r="W484" i="1" s="1"/>
  <c r="W485" i="1" a="1"/>
  <c r="W485" i="1" s="1"/>
  <c r="W486" i="1" a="1"/>
  <c r="W486" i="1" s="1"/>
  <c r="W487" i="1" a="1"/>
  <c r="W487" i="1" s="1"/>
  <c r="W488" i="1" a="1"/>
  <c r="W488" i="1" s="1"/>
  <c r="W489" i="1" a="1"/>
  <c r="W489" i="1" s="1"/>
  <c r="W490" i="1" a="1"/>
  <c r="W490" i="1" s="1"/>
  <c r="W491" i="1" a="1"/>
  <c r="W491" i="1" s="1"/>
  <c r="W492" i="1" a="1"/>
  <c r="W492" i="1" s="1"/>
  <c r="W493" i="1" a="1"/>
  <c r="W493" i="1" s="1"/>
  <c r="W494" i="1" a="1"/>
  <c r="W494" i="1" s="1"/>
  <c r="W495" i="1" a="1"/>
  <c r="W495" i="1" s="1"/>
  <c r="W496" i="1" a="1"/>
  <c r="W496" i="1" s="1"/>
  <c r="W497" i="1" a="1"/>
  <c r="W497" i="1" s="1"/>
  <c r="W498" i="1" a="1"/>
  <c r="W498" i="1" s="1"/>
  <c r="W499" i="1" a="1"/>
  <c r="W499" i="1" s="1"/>
  <c r="W500" i="1" a="1"/>
  <c r="W500" i="1" s="1"/>
  <c r="W501" i="1" a="1"/>
  <c r="W501" i="1" s="1"/>
  <c r="W502" i="1" a="1"/>
  <c r="W502" i="1" s="1"/>
  <c r="W503" i="1" a="1"/>
  <c r="W503" i="1" s="1"/>
  <c r="W504" i="1" a="1"/>
  <c r="W504" i="1" s="1"/>
  <c r="W505" i="1" a="1"/>
  <c r="W505" i="1" s="1"/>
  <c r="W506" i="1" a="1"/>
  <c r="W506" i="1" s="1"/>
  <c r="W507" i="1" a="1"/>
  <c r="W507" i="1" s="1"/>
  <c r="W508" i="1" a="1"/>
  <c r="W508" i="1" s="1"/>
  <c r="W509" i="1" a="1"/>
  <c r="W509" i="1" s="1"/>
  <c r="W510" i="1" a="1"/>
  <c r="W510" i="1" s="1"/>
  <c r="W511" i="1" a="1"/>
  <c r="W511" i="1" s="1"/>
  <c r="W512" i="1" a="1"/>
  <c r="W512" i="1" s="1"/>
  <c r="W513" i="1" a="1"/>
  <c r="W513" i="1" s="1"/>
  <c r="W514" i="1" a="1"/>
  <c r="W514" i="1" s="1"/>
  <c r="W515" i="1" a="1"/>
  <c r="W515" i="1" s="1"/>
  <c r="W516" i="1" a="1"/>
  <c r="W516" i="1" s="1"/>
  <c r="W517" i="1" a="1"/>
  <c r="W517" i="1" s="1"/>
  <c r="W518" i="1" a="1"/>
  <c r="W518" i="1" s="1"/>
  <c r="W519" i="1" a="1"/>
  <c r="W519" i="1" s="1"/>
  <c r="W520" i="1" a="1"/>
  <c r="W520" i="1" s="1"/>
  <c r="W521" i="1" a="1"/>
  <c r="W521" i="1" s="1"/>
  <c r="W522" i="1" a="1"/>
  <c r="W522" i="1" s="1"/>
  <c r="W523" i="1" a="1"/>
  <c r="W523" i="1" s="1"/>
  <c r="W524" i="1" a="1"/>
  <c r="W524" i="1" s="1"/>
  <c r="W525" i="1" a="1"/>
  <c r="W525" i="1" s="1"/>
  <c r="W526" i="1" a="1"/>
  <c r="W526" i="1" s="1"/>
  <c r="W527" i="1" a="1"/>
  <c r="W527" i="1" s="1"/>
  <c r="W528" i="1" a="1"/>
  <c r="W528" i="1" s="1"/>
  <c r="W529" i="1" a="1"/>
  <c r="W529" i="1" s="1"/>
  <c r="W530" i="1" a="1"/>
  <c r="W530" i="1" s="1"/>
  <c r="W531" i="1" a="1"/>
  <c r="W531" i="1" s="1"/>
  <c r="W532" i="1" a="1"/>
  <c r="W532" i="1" s="1"/>
  <c r="W533" i="1" a="1"/>
  <c r="W533" i="1" s="1"/>
  <c r="W534" i="1" a="1"/>
  <c r="W534" i="1" s="1"/>
  <c r="W535" i="1" a="1"/>
  <c r="W535" i="1" s="1"/>
  <c r="W536" i="1" a="1"/>
  <c r="W536" i="1" s="1"/>
  <c r="W537" i="1" a="1"/>
  <c r="W537" i="1" s="1"/>
  <c r="W538" i="1" a="1"/>
  <c r="W538" i="1" s="1"/>
  <c r="W539" i="1" a="1"/>
  <c r="W539" i="1" s="1"/>
  <c r="W540" i="1" a="1"/>
  <c r="W540" i="1" s="1"/>
  <c r="W541" i="1" a="1"/>
  <c r="W541" i="1" s="1"/>
  <c r="W542" i="1" a="1"/>
  <c r="W542" i="1" s="1"/>
  <c r="W543" i="1" a="1"/>
  <c r="W543" i="1" s="1"/>
  <c r="W544" i="1" a="1"/>
  <c r="W544" i="1" s="1"/>
  <c r="W545" i="1" a="1"/>
  <c r="W545" i="1" s="1"/>
  <c r="W546" i="1" a="1"/>
  <c r="W546" i="1" s="1"/>
  <c r="W547" i="1" a="1"/>
  <c r="W547" i="1" s="1"/>
  <c r="W548" i="1" a="1"/>
  <c r="W548" i="1" s="1"/>
  <c r="W549" i="1" a="1"/>
  <c r="W549" i="1" s="1"/>
  <c r="W550" i="1" a="1"/>
  <c r="W550" i="1" s="1"/>
  <c r="W551" i="1" a="1"/>
  <c r="W551" i="1" s="1"/>
  <c r="W552" i="1" a="1"/>
  <c r="W552" i="1" s="1"/>
  <c r="W553" i="1" a="1"/>
  <c r="W553" i="1" s="1"/>
  <c r="W554" i="1" a="1"/>
  <c r="W554" i="1" s="1"/>
  <c r="W555" i="1" a="1"/>
  <c r="W555" i="1" s="1"/>
  <c r="W556" i="1" a="1"/>
  <c r="W556" i="1" s="1"/>
  <c r="W557" i="1" a="1"/>
  <c r="W557" i="1" s="1"/>
  <c r="W558" i="1" a="1"/>
  <c r="W558" i="1" s="1"/>
  <c r="W559" i="1" a="1"/>
  <c r="W559" i="1" s="1"/>
  <c r="W560" i="1" a="1"/>
  <c r="W560" i="1" s="1"/>
  <c r="W561" i="1" a="1"/>
  <c r="W561" i="1" s="1"/>
  <c r="W562" i="1" a="1"/>
  <c r="W562" i="1" s="1"/>
  <c r="W563" i="1" a="1"/>
  <c r="W563" i="1" s="1"/>
  <c r="W564" i="1" a="1"/>
  <c r="W564" i="1" s="1"/>
  <c r="W565" i="1" a="1"/>
  <c r="W565" i="1" s="1"/>
  <c r="W566" i="1" a="1"/>
  <c r="W566" i="1" s="1"/>
  <c r="W567" i="1" a="1"/>
  <c r="W567" i="1" s="1"/>
  <c r="W568" i="1" a="1"/>
  <c r="W568" i="1" s="1"/>
  <c r="W569" i="1" a="1"/>
  <c r="W569" i="1" s="1"/>
  <c r="W570" i="1" a="1"/>
  <c r="W570" i="1" s="1"/>
  <c r="W571" i="1" a="1"/>
  <c r="W571" i="1" s="1"/>
  <c r="W572" i="1" a="1"/>
  <c r="W572" i="1" s="1"/>
  <c r="W573" i="1" a="1"/>
  <c r="W573" i="1" s="1"/>
  <c r="W574" i="1" a="1"/>
  <c r="W574" i="1" s="1"/>
  <c r="W575" i="1" a="1"/>
  <c r="W575" i="1" s="1"/>
  <c r="W576" i="1" a="1"/>
  <c r="W576" i="1" s="1"/>
  <c r="W577" i="1" a="1"/>
  <c r="W577" i="1" s="1"/>
  <c r="W578" i="1" a="1"/>
  <c r="W578" i="1" s="1"/>
  <c r="W579" i="1" a="1"/>
  <c r="W579" i="1" s="1"/>
  <c r="W580" i="1" a="1"/>
  <c r="W580" i="1" s="1"/>
  <c r="W581" i="1" a="1"/>
  <c r="W581" i="1" s="1"/>
  <c r="W582" i="1" a="1"/>
  <c r="W582" i="1" s="1"/>
  <c r="W583" i="1" a="1"/>
  <c r="W583" i="1" s="1"/>
  <c r="W584" i="1" a="1"/>
  <c r="W584" i="1" s="1"/>
  <c r="W585" i="1" a="1"/>
  <c r="W585" i="1" s="1"/>
  <c r="W586" i="1" a="1"/>
  <c r="W586" i="1" s="1"/>
  <c r="W587" i="1" a="1"/>
  <c r="W587" i="1" s="1"/>
  <c r="W588" i="1" a="1"/>
  <c r="W588" i="1" s="1"/>
  <c r="W589" i="1" a="1"/>
  <c r="W589" i="1" s="1"/>
  <c r="W590" i="1" a="1"/>
  <c r="W590" i="1" s="1"/>
  <c r="W591" i="1" a="1"/>
  <c r="W591" i="1" s="1"/>
  <c r="W592" i="1" a="1"/>
  <c r="W592" i="1" s="1"/>
  <c r="W593" i="1" a="1"/>
  <c r="W593" i="1" s="1"/>
  <c r="W594" i="1" a="1"/>
  <c r="W594" i="1" s="1"/>
  <c r="W595" i="1" a="1"/>
  <c r="W595" i="1" s="1"/>
  <c r="W596" i="1" a="1"/>
  <c r="W596" i="1" s="1"/>
  <c r="W597" i="1" a="1"/>
  <c r="W597" i="1" s="1"/>
  <c r="W598" i="1" a="1"/>
  <c r="W598" i="1" s="1"/>
  <c r="W599" i="1" a="1"/>
  <c r="W599" i="1" s="1"/>
  <c r="W600" i="1" a="1"/>
  <c r="W600" i="1" s="1"/>
  <c r="W601" i="1" a="1"/>
  <c r="W601" i="1" s="1"/>
  <c r="W602" i="1" a="1"/>
  <c r="W602" i="1" s="1"/>
  <c r="W603" i="1" a="1"/>
  <c r="W603" i="1" s="1"/>
  <c r="W604" i="1" a="1"/>
  <c r="W604" i="1" s="1"/>
  <c r="W605" i="1" a="1"/>
  <c r="W605" i="1" s="1"/>
  <c r="W606" i="1" a="1"/>
  <c r="W606" i="1" s="1"/>
  <c r="W607" i="1" a="1"/>
  <c r="W607" i="1" s="1"/>
  <c r="W608" i="1" a="1"/>
  <c r="W608" i="1" s="1"/>
  <c r="W609" i="1" a="1"/>
  <c r="W609" i="1" s="1"/>
  <c r="W610" i="1" a="1"/>
  <c r="W610" i="1" s="1"/>
  <c r="W611" i="1" a="1"/>
  <c r="W611" i="1" s="1"/>
  <c r="W612" i="1" a="1"/>
  <c r="W612" i="1" s="1"/>
  <c r="W613" i="1" a="1"/>
  <c r="W613" i="1" s="1"/>
  <c r="W614" i="1" a="1"/>
  <c r="W614" i="1" s="1"/>
  <c r="W615" i="1" a="1"/>
  <c r="W615" i="1" s="1"/>
  <c r="W616" i="1" a="1"/>
  <c r="W616" i="1" s="1"/>
  <c r="W617" i="1" a="1"/>
  <c r="W617" i="1" s="1"/>
  <c r="W618" i="1" a="1"/>
  <c r="W618" i="1" s="1"/>
  <c r="W619" i="1" a="1"/>
  <c r="W619" i="1" s="1"/>
  <c r="W620" i="1" a="1"/>
  <c r="W620" i="1" s="1"/>
  <c r="W621" i="1" a="1"/>
  <c r="W621" i="1" s="1"/>
  <c r="W622" i="1" a="1"/>
  <c r="W622" i="1" s="1"/>
  <c r="W623" i="1" a="1"/>
  <c r="W623" i="1" s="1"/>
  <c r="W624" i="1" a="1"/>
  <c r="W624" i="1" s="1"/>
  <c r="W625" i="1" a="1"/>
  <c r="W625" i="1" s="1"/>
  <c r="W626" i="1" a="1"/>
  <c r="W626" i="1" s="1"/>
  <c r="W627" i="1" a="1"/>
  <c r="W627" i="1" s="1"/>
  <c r="W628" i="1" a="1"/>
  <c r="W628" i="1" s="1"/>
  <c r="W629" i="1" a="1"/>
  <c r="W629" i="1" s="1"/>
  <c r="W630" i="1" a="1"/>
  <c r="W630" i="1" s="1"/>
  <c r="W631" i="1" a="1"/>
  <c r="W631" i="1" s="1"/>
  <c r="W632" i="1" a="1"/>
  <c r="W632" i="1" s="1"/>
  <c r="W633" i="1" a="1"/>
  <c r="W633" i="1" s="1"/>
  <c r="W634" i="1" a="1"/>
  <c r="W634" i="1" s="1"/>
  <c r="W635" i="1" a="1"/>
  <c r="W635" i="1" s="1"/>
  <c r="W636" i="1" a="1"/>
  <c r="W636" i="1" s="1"/>
  <c r="W637" i="1" a="1"/>
  <c r="W637" i="1" s="1"/>
  <c r="W638" i="1" a="1"/>
  <c r="W638" i="1" s="1"/>
  <c r="W639" i="1" a="1"/>
  <c r="W639" i="1" s="1"/>
  <c r="W640" i="1" a="1"/>
  <c r="W640" i="1" s="1"/>
  <c r="W641" i="1" a="1"/>
  <c r="W641" i="1" s="1"/>
  <c r="W642" i="1" a="1"/>
  <c r="W642" i="1" s="1"/>
  <c r="W643" i="1" a="1"/>
  <c r="W643" i="1" s="1"/>
  <c r="W644" i="1" a="1"/>
  <c r="W644" i="1" s="1"/>
  <c r="W645" i="1" a="1"/>
  <c r="W645" i="1" s="1"/>
  <c r="W646" i="1" a="1"/>
  <c r="W646" i="1" s="1"/>
  <c r="W647" i="1" a="1"/>
  <c r="W647" i="1" s="1"/>
  <c r="W648" i="1" a="1"/>
  <c r="W648" i="1" s="1"/>
  <c r="W649" i="1" a="1"/>
  <c r="W649" i="1" s="1"/>
  <c r="W650" i="1" a="1"/>
  <c r="W650" i="1" s="1"/>
  <c r="W651" i="1" a="1"/>
  <c r="W651" i="1" s="1"/>
  <c r="W652" i="1" a="1"/>
  <c r="W652" i="1" s="1"/>
  <c r="W653" i="1" a="1"/>
  <c r="W653" i="1" s="1"/>
  <c r="W654" i="1" a="1"/>
  <c r="W654" i="1" s="1"/>
  <c r="W655" i="1" a="1"/>
  <c r="W655" i="1" s="1"/>
  <c r="W656" i="1" a="1"/>
  <c r="W656" i="1" s="1"/>
  <c r="W657" i="1" a="1"/>
  <c r="W657" i="1" s="1"/>
  <c r="W658" i="1" a="1"/>
  <c r="W658" i="1" s="1"/>
  <c r="W659" i="1" a="1"/>
  <c r="W659" i="1" s="1"/>
  <c r="W660" i="1" a="1"/>
  <c r="W660" i="1" s="1"/>
  <c r="W661" i="1" a="1"/>
  <c r="W661" i="1" s="1"/>
  <c r="W662" i="1" a="1"/>
  <c r="W662" i="1" s="1"/>
  <c r="W663" i="1" a="1"/>
  <c r="W663" i="1" s="1"/>
  <c r="W664" i="1" a="1"/>
  <c r="W664" i="1" s="1"/>
  <c r="W665" i="1" a="1"/>
  <c r="W665" i="1" s="1"/>
  <c r="W666" i="1" a="1"/>
  <c r="W666" i="1" s="1"/>
  <c r="W667" i="1" a="1"/>
  <c r="W667" i="1" s="1"/>
  <c r="W668" i="1" a="1"/>
  <c r="W668" i="1" s="1"/>
  <c r="W669" i="1" a="1"/>
  <c r="W669" i="1" s="1"/>
  <c r="W670" i="1" a="1"/>
  <c r="W670" i="1" s="1"/>
  <c r="W671" i="1" a="1"/>
  <c r="W671" i="1" s="1"/>
  <c r="W672" i="1" a="1"/>
  <c r="W672" i="1" s="1"/>
  <c r="W673" i="1" a="1"/>
  <c r="W673" i="1" s="1"/>
  <c r="W674" i="1" a="1"/>
  <c r="W674" i="1" s="1"/>
  <c r="W675" i="1" a="1"/>
  <c r="W675" i="1" s="1"/>
  <c r="W676" i="1" a="1"/>
  <c r="W676" i="1" s="1"/>
  <c r="W677" i="1" a="1"/>
  <c r="W677" i="1" s="1"/>
  <c r="W678" i="1" a="1"/>
  <c r="W678" i="1" s="1"/>
  <c r="W679" i="1" a="1"/>
  <c r="W679" i="1" s="1"/>
  <c r="W680" i="1" a="1"/>
  <c r="W680" i="1" s="1"/>
  <c r="W681" i="1" a="1"/>
  <c r="W681" i="1" s="1"/>
  <c r="W682" i="1" a="1"/>
  <c r="W682" i="1" s="1"/>
  <c r="W683" i="1" a="1"/>
  <c r="W683" i="1" s="1"/>
  <c r="W684" i="1" a="1"/>
  <c r="W684" i="1" s="1"/>
  <c r="W685" i="1" a="1"/>
  <c r="W685" i="1" s="1"/>
  <c r="W686" i="1" a="1"/>
  <c r="W686" i="1" s="1"/>
  <c r="W687" i="1" a="1"/>
  <c r="W687" i="1" s="1"/>
  <c r="W688" i="1" a="1"/>
  <c r="W688" i="1" s="1"/>
  <c r="W689" i="1" a="1"/>
  <c r="W689" i="1" s="1"/>
  <c r="W690" i="1" a="1"/>
  <c r="W690" i="1" s="1"/>
  <c r="W691" i="1" a="1"/>
  <c r="W691" i="1" s="1"/>
  <c r="W692" i="1" a="1"/>
  <c r="W692" i="1" s="1"/>
  <c r="W693" i="1" a="1"/>
  <c r="W693" i="1" s="1"/>
  <c r="W694" i="1" a="1"/>
  <c r="W694" i="1" s="1"/>
  <c r="W695" i="1" a="1"/>
  <c r="W695" i="1" s="1"/>
  <c r="W696" i="1" a="1"/>
  <c r="W696" i="1" s="1"/>
  <c r="W697" i="1" a="1"/>
  <c r="W697" i="1" s="1"/>
  <c r="W698" i="1" a="1"/>
  <c r="W698" i="1" s="1"/>
  <c r="W699" i="1" a="1"/>
  <c r="W699" i="1" s="1"/>
  <c r="W700" i="1" a="1"/>
  <c r="W700" i="1" s="1"/>
  <c r="W701" i="1" a="1"/>
  <c r="W701" i="1" s="1"/>
  <c r="W702" i="1" a="1"/>
  <c r="W702" i="1" s="1"/>
  <c r="W703" i="1" a="1"/>
  <c r="W703" i="1" s="1"/>
  <c r="W704" i="1" a="1"/>
  <c r="W704" i="1" s="1"/>
  <c r="W705" i="1" a="1"/>
  <c r="W705" i="1" s="1"/>
  <c r="W706" i="1" a="1"/>
  <c r="W706" i="1" s="1"/>
  <c r="W707" i="1" a="1"/>
  <c r="W707" i="1" s="1"/>
  <c r="W708" i="1" a="1"/>
  <c r="W708" i="1" s="1"/>
  <c r="W709" i="1" a="1"/>
  <c r="W709" i="1" s="1"/>
  <c r="W710" i="1" a="1"/>
  <c r="W710" i="1" s="1"/>
  <c r="W711" i="1" a="1"/>
  <c r="W711" i="1" s="1"/>
  <c r="W712" i="1" a="1"/>
  <c r="W712" i="1" s="1"/>
  <c r="W713" i="1" a="1"/>
  <c r="W713" i="1" s="1"/>
  <c r="W714" i="1" a="1"/>
  <c r="W714" i="1" s="1"/>
  <c r="W715" i="1" a="1"/>
  <c r="W715" i="1" s="1"/>
  <c r="W716" i="1" a="1"/>
  <c r="W716" i="1" s="1"/>
  <c r="W717" i="1" a="1"/>
  <c r="W717" i="1" s="1"/>
  <c r="W718" i="1" a="1"/>
  <c r="W718" i="1" s="1"/>
  <c r="W719" i="1" a="1"/>
  <c r="W719" i="1" s="1"/>
  <c r="W720" i="1" a="1"/>
  <c r="W720" i="1" s="1"/>
  <c r="W721" i="1" a="1"/>
  <c r="W721" i="1" s="1"/>
  <c r="W722" i="1" a="1"/>
  <c r="W722" i="1" s="1"/>
  <c r="W723" i="1" a="1"/>
  <c r="W723" i="1" s="1"/>
  <c r="W724" i="1" a="1"/>
  <c r="W724" i="1" s="1"/>
  <c r="W725" i="1" a="1"/>
  <c r="W725" i="1" s="1"/>
  <c r="W726" i="1" a="1"/>
  <c r="W726" i="1" s="1"/>
  <c r="W727" i="1" a="1"/>
  <c r="W727" i="1" s="1"/>
  <c r="W728" i="1" a="1"/>
  <c r="W728" i="1" s="1"/>
  <c r="W729" i="1" a="1"/>
  <c r="W729" i="1" s="1"/>
  <c r="W730" i="1" a="1"/>
  <c r="W730" i="1" s="1"/>
  <c r="W731" i="1" a="1"/>
  <c r="W731" i="1" s="1"/>
  <c r="W732" i="1" a="1"/>
  <c r="W732" i="1" s="1"/>
  <c r="W733" i="1" a="1"/>
  <c r="W733" i="1" s="1"/>
  <c r="W734" i="1" a="1"/>
  <c r="W734" i="1" s="1"/>
  <c r="W735" i="1" a="1"/>
  <c r="W735" i="1" s="1"/>
  <c r="W736" i="1" a="1"/>
  <c r="W736" i="1" s="1"/>
  <c r="W737" i="1" a="1"/>
  <c r="W737" i="1" s="1"/>
  <c r="W738" i="1" a="1"/>
  <c r="W738" i="1" s="1"/>
  <c r="W739" i="1" a="1"/>
  <c r="W739" i="1" s="1"/>
  <c r="W740" i="1" a="1"/>
  <c r="W740" i="1" s="1"/>
  <c r="W741" i="1" a="1"/>
  <c r="W741" i="1" s="1"/>
  <c r="W742" i="1" a="1"/>
  <c r="W742" i="1" s="1"/>
  <c r="W743" i="1" a="1"/>
  <c r="W743" i="1" s="1"/>
  <c r="W744" i="1" a="1"/>
  <c r="W744" i="1" s="1"/>
  <c r="W745" i="1" a="1"/>
  <c r="W745" i="1" s="1"/>
  <c r="W746" i="1" a="1"/>
  <c r="W746" i="1" s="1"/>
  <c r="W747" i="1" a="1"/>
  <c r="W747" i="1" s="1"/>
  <c r="W748" i="1" a="1"/>
  <c r="W748" i="1" s="1"/>
  <c r="W749" i="1" a="1"/>
  <c r="W749" i="1" s="1"/>
  <c r="W750" i="1" a="1"/>
  <c r="W750" i="1" s="1"/>
  <c r="W751" i="1" a="1"/>
  <c r="W751" i="1" s="1"/>
  <c r="W752" i="1" a="1"/>
  <c r="W752" i="1" s="1"/>
  <c r="W753" i="1" a="1"/>
  <c r="W753" i="1" s="1"/>
  <c r="W754" i="1" a="1"/>
  <c r="W754" i="1" s="1"/>
  <c r="W755" i="1" a="1"/>
  <c r="W755" i="1" s="1"/>
  <c r="W756" i="1" a="1"/>
  <c r="W756" i="1" s="1"/>
  <c r="W757" i="1" a="1"/>
  <c r="W757" i="1" s="1"/>
  <c r="W758" i="1" a="1"/>
  <c r="W758" i="1" s="1"/>
  <c r="W759" i="1" a="1"/>
  <c r="W759" i="1" s="1"/>
  <c r="W760" i="1" a="1"/>
  <c r="W760" i="1" s="1"/>
  <c r="W761" i="1" a="1"/>
  <c r="W761" i="1" s="1"/>
  <c r="W762" i="1" a="1"/>
  <c r="W762" i="1" s="1"/>
  <c r="W763" i="1" a="1"/>
  <c r="W763" i="1" s="1"/>
  <c r="W764" i="1" a="1"/>
  <c r="W764" i="1" s="1"/>
  <c r="W765" i="1" a="1"/>
  <c r="W765" i="1" s="1"/>
  <c r="W766" i="1" a="1"/>
  <c r="W766" i="1" s="1"/>
  <c r="W767" i="1" a="1"/>
  <c r="W767" i="1" s="1"/>
  <c r="W768" i="1" a="1"/>
  <c r="W768" i="1" s="1"/>
  <c r="W769" i="1" a="1"/>
  <c r="W769" i="1" s="1"/>
  <c r="W770" i="1" a="1"/>
  <c r="W770" i="1" s="1"/>
  <c r="W771" i="1" a="1"/>
  <c r="W771" i="1" s="1"/>
  <c r="W772" i="1" a="1"/>
  <c r="W772" i="1" s="1"/>
  <c r="W773" i="1" a="1"/>
  <c r="W773" i="1" s="1"/>
  <c r="W774" i="1" a="1"/>
  <c r="W774" i="1" s="1"/>
  <c r="W775" i="1" a="1"/>
  <c r="W775" i="1" s="1"/>
  <c r="W776" i="1" a="1"/>
  <c r="W776" i="1" s="1"/>
  <c r="W777" i="1" a="1"/>
  <c r="W777" i="1" s="1"/>
  <c r="W778" i="1" a="1"/>
  <c r="W778" i="1" s="1"/>
  <c r="W779" i="1" a="1"/>
  <c r="W779" i="1" s="1"/>
  <c r="W780" i="1" a="1"/>
  <c r="W780" i="1" s="1"/>
  <c r="W781" i="1" a="1"/>
  <c r="W781" i="1" s="1"/>
  <c r="W782" i="1" a="1"/>
  <c r="W782" i="1" s="1"/>
  <c r="W783" i="1" a="1"/>
  <c r="W783" i="1" s="1"/>
  <c r="W784" i="1" a="1"/>
  <c r="W784" i="1" s="1"/>
  <c r="W785" i="1" a="1"/>
  <c r="W785" i="1" s="1"/>
  <c r="W786" i="1" a="1"/>
  <c r="W786" i="1" s="1"/>
  <c r="W787" i="1" a="1"/>
  <c r="W787" i="1" s="1"/>
  <c r="W788" i="1" a="1"/>
  <c r="W788" i="1" s="1"/>
  <c r="W789" i="1" a="1"/>
  <c r="W789" i="1" s="1"/>
  <c r="W790" i="1" a="1"/>
  <c r="W790" i="1" s="1"/>
  <c r="W791" i="1" a="1"/>
  <c r="W791" i="1" s="1"/>
  <c r="W792" i="1" a="1"/>
  <c r="W792" i="1" s="1"/>
  <c r="W793" i="1" a="1"/>
  <c r="W793" i="1" s="1"/>
  <c r="W794" i="1" a="1"/>
  <c r="W794" i="1" s="1"/>
  <c r="W795" i="1" a="1"/>
  <c r="W795" i="1" s="1"/>
  <c r="W796" i="1" a="1"/>
  <c r="W796" i="1" s="1"/>
  <c r="W797" i="1" a="1"/>
  <c r="W797" i="1" s="1"/>
  <c r="W798" i="1" a="1"/>
  <c r="W798" i="1" s="1"/>
  <c r="W799" i="1" a="1"/>
  <c r="W799" i="1" s="1"/>
  <c r="W800" i="1" a="1"/>
  <c r="W800" i="1" s="1"/>
  <c r="W801" i="1" a="1"/>
  <c r="W801" i="1" s="1"/>
  <c r="W802" i="1" a="1"/>
  <c r="W802" i="1" s="1"/>
  <c r="W803" i="1" a="1"/>
  <c r="W803" i="1" s="1"/>
  <c r="W804" i="1" a="1"/>
  <c r="W804" i="1" s="1"/>
  <c r="W805" i="1" a="1"/>
  <c r="W805" i="1" s="1"/>
  <c r="W806" i="1" a="1"/>
  <c r="W806" i="1" s="1"/>
  <c r="W807" i="1" a="1"/>
  <c r="W807" i="1" s="1"/>
  <c r="W808" i="1" a="1"/>
  <c r="W808" i="1" s="1"/>
  <c r="W809" i="1" a="1"/>
  <c r="W809" i="1" s="1"/>
  <c r="W810" i="1" a="1"/>
  <c r="W810" i="1" s="1"/>
  <c r="W811" i="1" a="1"/>
  <c r="W811" i="1" s="1"/>
  <c r="W812" i="1" a="1"/>
  <c r="W812" i="1" s="1"/>
  <c r="W813" i="1" a="1"/>
  <c r="W813" i="1" s="1"/>
  <c r="W814" i="1" a="1"/>
  <c r="W814" i="1" s="1"/>
  <c r="W815" i="1" a="1"/>
  <c r="W815" i="1" s="1"/>
  <c r="W816" i="1" a="1"/>
  <c r="W816" i="1" s="1"/>
  <c r="W817" i="1" a="1"/>
  <c r="W817" i="1" s="1"/>
  <c r="W818" i="1" a="1"/>
  <c r="W818" i="1" s="1"/>
  <c r="W819" i="1" a="1"/>
  <c r="W819" i="1" s="1"/>
  <c r="W820" i="1" a="1"/>
  <c r="W820" i="1" s="1"/>
  <c r="W821" i="1" a="1"/>
  <c r="W821" i="1" s="1"/>
  <c r="W822" i="1" a="1"/>
  <c r="W822" i="1" s="1"/>
  <c r="W823" i="1" a="1"/>
  <c r="W823" i="1" s="1"/>
  <c r="W824" i="1" a="1"/>
  <c r="W824" i="1" s="1"/>
  <c r="W825" i="1" a="1"/>
  <c r="W825" i="1" s="1"/>
  <c r="W826" i="1" a="1"/>
  <c r="W826" i="1" s="1"/>
  <c r="W827" i="1" a="1"/>
  <c r="W827" i="1" s="1"/>
  <c r="W828" i="1" a="1"/>
  <c r="W828" i="1" s="1"/>
  <c r="W829" i="1" a="1"/>
  <c r="W829" i="1" s="1"/>
  <c r="W830" i="1" a="1"/>
  <c r="W830" i="1" s="1"/>
  <c r="W831" i="1" a="1"/>
  <c r="W831" i="1" s="1"/>
  <c r="W832" i="1" a="1"/>
  <c r="W832" i="1" s="1"/>
  <c r="W833" i="1" a="1"/>
  <c r="W833" i="1" s="1"/>
  <c r="W834" i="1" a="1"/>
  <c r="W834" i="1" s="1"/>
  <c r="W835" i="1" a="1"/>
  <c r="W835" i="1" s="1"/>
  <c r="W836" i="1" a="1"/>
  <c r="W836" i="1" s="1"/>
  <c r="W837" i="1" a="1"/>
  <c r="W837" i="1" s="1"/>
  <c r="W838" i="1" a="1"/>
  <c r="W838" i="1" s="1"/>
  <c r="W839" i="1" a="1"/>
  <c r="W839" i="1" s="1"/>
  <c r="W840" i="1" a="1"/>
  <c r="W840" i="1" s="1"/>
  <c r="W841" i="1" a="1"/>
  <c r="W841" i="1" s="1"/>
  <c r="W842" i="1" a="1"/>
  <c r="W842" i="1" s="1"/>
  <c r="W843" i="1" a="1"/>
  <c r="W843" i="1" s="1"/>
  <c r="W844" i="1" a="1"/>
  <c r="W844" i="1" s="1"/>
  <c r="W845" i="1" a="1"/>
  <c r="W845" i="1" s="1"/>
  <c r="W846" i="1" a="1"/>
  <c r="W846" i="1" s="1"/>
  <c r="W847" i="1" a="1"/>
  <c r="W847" i="1" s="1"/>
  <c r="W848" i="1" a="1"/>
  <c r="W848" i="1" s="1"/>
  <c r="W849" i="1" a="1"/>
  <c r="W849" i="1" s="1"/>
  <c r="W850" i="1" a="1"/>
  <c r="W850" i="1" s="1"/>
  <c r="W851" i="1" a="1"/>
  <c r="W851" i="1" s="1"/>
  <c r="W852" i="1" a="1"/>
  <c r="W852" i="1" s="1"/>
  <c r="W853" i="1" a="1"/>
  <c r="W853" i="1" s="1"/>
  <c r="W854" i="1" a="1"/>
  <c r="W854" i="1" s="1"/>
  <c r="W855" i="1" a="1"/>
  <c r="W855" i="1" s="1"/>
  <c r="W856" i="1" a="1"/>
  <c r="W856" i="1" s="1"/>
  <c r="W857" i="1" a="1"/>
  <c r="W857" i="1" s="1"/>
  <c r="W858" i="1" a="1"/>
  <c r="W858" i="1" s="1"/>
  <c r="W859" i="1" a="1"/>
  <c r="W859" i="1" s="1"/>
  <c r="W860" i="1" a="1"/>
  <c r="W860" i="1" s="1"/>
  <c r="AE14" i="11" l="1"/>
  <c r="AE10" i="11" l="1"/>
  <c r="AF23" i="11" l="1"/>
  <c r="AF20" i="11" l="1"/>
  <c r="AF19" i="11" l="1"/>
  <c r="AF27" i="11" l="1"/>
  <c r="AF22" i="11" l="1"/>
  <c r="AF29" i="11" l="1"/>
  <c r="AF17" i="11" l="1"/>
  <c r="AF11" i="11" l="1"/>
  <c r="AC11" i="11"/>
  <c r="AH11" i="11" s="1"/>
  <c r="AF15" i="11" l="1"/>
  <c r="AF25" i="11" l="1"/>
  <c r="AD25" i="11"/>
  <c r="AI25" i="11" s="1"/>
  <c r="AF26" i="11" l="1"/>
  <c r="AC26" i="11"/>
  <c r="AH26" i="11" l="1"/>
  <c r="AF21" i="11" l="1"/>
  <c r="AD21" i="11"/>
  <c r="AI21" i="11" s="1"/>
  <c r="AC21" i="11"/>
  <c r="AH21" i="11" s="1"/>
  <c r="AD13" i="11" l="1"/>
  <c r="AI13" i="11" s="1"/>
  <c r="AF24" i="11" l="1"/>
  <c r="AD24" i="11"/>
  <c r="AI24" i="11" s="1"/>
  <c r="AC24" i="11"/>
  <c r="AH24" i="11" s="1"/>
  <c r="AD28" i="11" l="1"/>
  <c r="AI28" i="11" s="1"/>
  <c r="AC28" i="11"/>
  <c r="AH28" i="11" s="1"/>
  <c r="AF16" i="11" l="1"/>
  <c r="AD16" i="11"/>
  <c r="AI16" i="11" s="1"/>
  <c r="AC16" i="11"/>
  <c r="AH16" i="11" s="1"/>
  <c r="AC18" i="11" l="1"/>
  <c r="AH18" i="11" l="1"/>
  <c r="AD18" i="11" l="1"/>
  <c r="AI18" i="11" s="1"/>
  <c r="AE6" i="11"/>
  <c r="AF3" i="11" l="1"/>
  <c r="AD6" i="11"/>
  <c r="AI6" i="11" s="1"/>
  <c r="AE15" i="11"/>
  <c r="AG15" i="11" s="1"/>
  <c r="AJ15" i="11" s="1"/>
  <c r="AF10" i="11"/>
  <c r="AG10" i="11" s="1"/>
  <c r="AJ10" i="11" s="1"/>
  <c r="AC8" i="11"/>
  <c r="AH8" i="11" s="1"/>
  <c r="AE4" i="11"/>
  <c r="AE27" i="11"/>
  <c r="AG27" i="11" s="1"/>
  <c r="AJ27" i="11" s="1"/>
  <c r="AD5" i="11"/>
  <c r="AI5" i="11" s="1"/>
  <c r="AF13" i="11"/>
  <c r="AC7" i="11"/>
  <c r="AH7" i="11" s="1"/>
  <c r="AC10" i="11" l="1"/>
  <c r="AH10" i="11" s="1"/>
  <c r="AD19" i="11"/>
  <c r="AI19" i="11" s="1"/>
  <c r="AC22" i="11"/>
  <c r="AH22" i="11" s="1"/>
  <c r="AD4" i="11"/>
  <c r="AI4" i="11" s="1"/>
  <c r="AF7" i="11"/>
  <c r="AE8" i="11"/>
  <c r="AE11" i="11"/>
  <c r="AG11" i="11" s="1"/>
  <c r="AJ11" i="11" s="1"/>
  <c r="AD26" i="11"/>
  <c r="AI26" i="11" s="1"/>
  <c r="AC5" i="11"/>
  <c r="AH5" i="11" s="1"/>
  <c r="AF6" i="11"/>
  <c r="AG6" i="11" s="1"/>
  <c r="AJ6" i="11" s="1"/>
  <c r="AD15" i="11"/>
  <c r="AI15" i="11" s="1"/>
  <c r="AD10" i="11"/>
  <c r="AI10" i="11" s="1"/>
  <c r="AF5" i="11"/>
  <c r="AC3" i="11"/>
  <c r="AH3" i="11" s="1"/>
  <c r="AD11" i="11"/>
  <c r="AI11" i="11" s="1"/>
  <c r="AE7" i="11"/>
  <c r="AC4" i="11"/>
  <c r="AH4" i="11" s="1"/>
  <c r="AF14" i="11"/>
  <c r="AG14" i="11" s="1"/>
  <c r="AJ14" i="11" s="1"/>
  <c r="AF4" i="11"/>
  <c r="AG4" i="11" s="1"/>
  <c r="AJ4" i="11" s="1"/>
  <c r="AE19" i="11"/>
  <c r="AG19" i="11" s="1"/>
  <c r="AJ19" i="11" s="1"/>
  <c r="AD9" i="11"/>
  <c r="AD7" i="11"/>
  <c r="AI7" i="11" s="1"/>
  <c r="AF9" i="11"/>
  <c r="AC6" i="11"/>
  <c r="AH6" i="11" s="1"/>
  <c r="AF8" i="11"/>
  <c r="AE5" i="11"/>
  <c r="AD8" i="11"/>
  <c r="AI8" i="11" s="1"/>
  <c r="AD22" i="11"/>
  <c r="AI22" i="11" s="1"/>
  <c r="AD14" i="11"/>
  <c r="AI14" i="11" s="1"/>
  <c r="AD27" i="11"/>
  <c r="AI27" i="11" s="1"/>
  <c r="AC14" i="11"/>
  <c r="AH14" i="11" s="1"/>
  <c r="AG7" i="11" l="1"/>
  <c r="AJ7" i="11" s="1"/>
  <c r="AD23" i="11"/>
  <c r="AI23" i="11" s="1"/>
  <c r="AG5" i="11"/>
  <c r="AJ5" i="11" s="1"/>
  <c r="AG8" i="11"/>
  <c r="AJ8" i="11" s="1"/>
  <c r="AE23" i="11"/>
  <c r="AG23" i="11" s="1"/>
  <c r="AJ23" i="11" s="1"/>
  <c r="AF12" i="11" l="1"/>
  <c r="AD12" i="11"/>
  <c r="AI12" i="11" s="1"/>
  <c r="AC12" i="11"/>
  <c r="AH12" i="11" s="1"/>
  <c r="AI9" i="11" l="1"/>
  <c r="AC27" i="11" l="1"/>
  <c r="AH27" i="11" s="1"/>
  <c r="AC23" i="11" l="1"/>
  <c r="AH23" i="11" s="1"/>
  <c r="AE13" i="11" l="1"/>
  <c r="AG13" i="11" s="1"/>
  <c r="AJ13" i="11" s="1"/>
  <c r="AC13" i="11"/>
  <c r="AH13" i="11" s="1"/>
  <c r="AE9" i="11" l="1"/>
  <c r="AG9" i="11" s="1"/>
  <c r="AJ9" i="11" s="1"/>
  <c r="AC9" i="11"/>
  <c r="AH9" i="11" s="1"/>
  <c r="AD17" i="11" l="1"/>
  <c r="AI17" i="11" s="1"/>
  <c r="AE25" i="11" l="1"/>
  <c r="AG25" i="11" s="1"/>
  <c r="AJ25" i="11" s="1"/>
  <c r="AC25" i="11"/>
  <c r="AH25" i="11" s="1"/>
  <c r="AC19" i="11" l="1"/>
  <c r="AH19" i="11" s="1"/>
  <c r="AE20" i="11" l="1"/>
  <c r="AG20" i="11" s="1"/>
  <c r="AJ20" i="11" s="1"/>
  <c r="AC20" i="11"/>
  <c r="AH20" i="11" s="1"/>
  <c r="AD20" i="11"/>
  <c r="AI20" i="11" s="1"/>
  <c r="AE22" i="11" l="1"/>
  <c r="AG22" i="11" s="1"/>
  <c r="AJ22" i="11" s="1"/>
  <c r="AE29" i="11" l="1"/>
  <c r="AG29" i="11" s="1"/>
  <c r="AJ29" i="11" s="1"/>
  <c r="AD29" i="11"/>
  <c r="AI29" i="11" s="1"/>
  <c r="AC29" i="11"/>
  <c r="AH29" i="11" s="1"/>
  <c r="AE26" i="11" l="1"/>
  <c r="AG26" i="11" s="1"/>
  <c r="AJ26" i="11" s="1"/>
  <c r="AE16" i="11" l="1"/>
  <c r="AG16" i="11" s="1"/>
  <c r="AJ16" i="11" s="1"/>
  <c r="AE21" i="11" l="1"/>
  <c r="AG21" i="11" s="1"/>
  <c r="AJ21" i="11" s="1"/>
  <c r="AE12" i="11" l="1"/>
  <c r="AG12" i="11" s="1"/>
  <c r="AJ12" i="11" s="1"/>
  <c r="AE28" i="11" l="1"/>
  <c r="AE24" i="11" l="1"/>
  <c r="AG24" i="11" s="1"/>
  <c r="AJ24" i="11" s="1"/>
  <c r="AC15" i="11" l="1"/>
  <c r="AH15" i="11" s="1"/>
  <c r="AF28" i="11" l="1"/>
  <c r="AG28" i="11" s="1"/>
  <c r="AJ28" i="11" s="1"/>
  <c r="AF18" i="11"/>
  <c r="AC17" i="11"/>
  <c r="AH17" i="11" s="1"/>
  <c r="AE18" i="11"/>
  <c r="AE17" i="11"/>
  <c r="AG17" i="11" s="1"/>
  <c r="AJ17" i="11" s="1"/>
  <c r="AE3" i="11"/>
  <c r="AG3" i="11" s="1"/>
  <c r="AJ3" i="11" s="1"/>
  <c r="AD3" i="11"/>
  <c r="AI3" i="11" s="1"/>
  <c r="AG18" i="11" l="1"/>
  <c r="AJ18" i="11" s="1"/>
  <c r="W2" i="8" l="1"/>
  <c r="AS3" i="11" l="1" a="1"/>
  <c r="AS3" i="11" s="1"/>
  <c r="AR3" i="11" a="1"/>
  <c r="AR3" i="11" s="1"/>
  <c r="AP3" i="11" a="1"/>
  <c r="AP3" i="11" s="1"/>
  <c r="AT3" i="11" a="1"/>
  <c r="AT3" i="11" s="1"/>
  <c r="AO3" i="11" a="1"/>
  <c r="AO3" i="11" s="1"/>
  <c r="AQ3" i="11" a="1"/>
  <c r="AQ3" i="1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<sst xmlns="http://schemas.openxmlformats.org/spreadsheetml/2006/main" count="2358" uniqueCount="897">
  <si>
    <t>Period</t>
  </si>
  <si>
    <t>EventType</t>
  </si>
  <si>
    <t>OffensivePlay</t>
  </si>
  <si>
    <t>DefensivePlay</t>
  </si>
  <si>
    <t>Player</t>
  </si>
  <si>
    <t>Faceoff</t>
  </si>
  <si>
    <t>Shot</t>
  </si>
  <si>
    <t>Pass</t>
  </si>
  <si>
    <t>Goal</t>
  </si>
  <si>
    <t>Turnover</t>
  </si>
  <si>
    <t>Penalty</t>
  </si>
  <si>
    <t>Stoppage</t>
  </si>
  <si>
    <t>Hit</t>
  </si>
  <si>
    <t>Possession</t>
  </si>
  <si>
    <t>LoosePuck</t>
  </si>
  <si>
    <t>Save</t>
  </si>
  <si>
    <t>TeamPossessionChange</t>
  </si>
  <si>
    <t>Faceoff-AfterPenalty</t>
  </si>
  <si>
    <t>Faceoff-AfterGoal</t>
  </si>
  <si>
    <t>Faceoff-PeriodStart</t>
  </si>
  <si>
    <t>Shot-OnNet</t>
  </si>
  <si>
    <t>Shot-Missed</t>
  </si>
  <si>
    <t>Shot-Blocked</t>
  </si>
  <si>
    <t>Shot-BlockedSameTeam</t>
  </si>
  <si>
    <t>Shot-Deflected</t>
  </si>
  <si>
    <t>Shot-DeflectedOnNet</t>
  </si>
  <si>
    <t>Shot-Tipped</t>
  </si>
  <si>
    <t>Pass-Completed</t>
  </si>
  <si>
    <t>Pass-Missed</t>
  </si>
  <si>
    <t>Pass-Deflected</t>
  </si>
  <si>
    <t>Pass-Intercepted</t>
  </si>
  <si>
    <t>Turnover-Giveaway</t>
  </si>
  <si>
    <t>Turnover-Takeaway</t>
  </si>
  <si>
    <t>Zone-Entry</t>
  </si>
  <si>
    <t>Zone-Exit</t>
  </si>
  <si>
    <t>Zone-Keepin</t>
  </si>
  <si>
    <t>Penalty-Offsetting</t>
  </si>
  <si>
    <t>Stoppage-Freeze</t>
  </si>
  <si>
    <t>Stoppage-OutfofPlay</t>
  </si>
  <si>
    <t>Stoppage-PeriodEnd</t>
  </si>
  <si>
    <t>Stoppage-Goal</t>
  </si>
  <si>
    <t>Stoppage-Penalty</t>
  </si>
  <si>
    <t>Shootout-OnNet</t>
  </si>
  <si>
    <t>Shootout-Missed</t>
  </si>
  <si>
    <t>Shootout-Saved</t>
  </si>
  <si>
    <t>PenaltyShot-OnNet</t>
  </si>
  <si>
    <t>PenaltyShot-Missed</t>
  </si>
  <si>
    <t>PenaltyShot-Saved</t>
  </si>
  <si>
    <t>LoosePuck-Forecheck</t>
  </si>
  <si>
    <t>LoosePuck-Battle</t>
  </si>
  <si>
    <t>EventTypeDetail</t>
  </si>
  <si>
    <t>Shot-Wrist</t>
  </si>
  <si>
    <t>Shot-Slap</t>
  </si>
  <si>
    <t>Shot-Backhand</t>
  </si>
  <si>
    <t>Shot-Tip</t>
  </si>
  <si>
    <t>Shot-Snap</t>
  </si>
  <si>
    <t>Shot-WrapAround</t>
  </si>
  <si>
    <t>Shot-Bat</t>
  </si>
  <si>
    <t>Shot-Cradle</t>
  </si>
  <si>
    <t>Shot-Poke</t>
  </si>
  <si>
    <t>Shot-BetweenLegs</t>
  </si>
  <si>
    <t>Shot-Dumpin</t>
  </si>
  <si>
    <t>Shot-Deflection</t>
  </si>
  <si>
    <t>Shot-OneTime</t>
  </si>
  <si>
    <t>Shot-Other</t>
  </si>
  <si>
    <t>Pass-Stretch</t>
  </si>
  <si>
    <t>Pass-Rim/Wrap</t>
  </si>
  <si>
    <t>Pass-Backhand</t>
  </si>
  <si>
    <t>Pass-Forehand</t>
  </si>
  <si>
    <t>Pass-Bank</t>
  </si>
  <si>
    <t>Pass-Other</t>
  </si>
  <si>
    <t>Giveaway-Misplayed</t>
  </si>
  <si>
    <t>Giveaway-BattleLost</t>
  </si>
  <si>
    <t>Giveaway-PassIntercepted</t>
  </si>
  <si>
    <t>Giveaway-PassMissed</t>
  </si>
  <si>
    <t>Giveaway-PassBlocked</t>
  </si>
  <si>
    <t>Giveaway-ShotBlocked</t>
  </si>
  <si>
    <t>Giveaway-ShotMissed</t>
  </si>
  <si>
    <t>Giveaway-Other</t>
  </si>
  <si>
    <t>Takeaway-BattleWon</t>
  </si>
  <si>
    <t>Takeaway-PokeCheck</t>
  </si>
  <si>
    <t>Takeaway-PassIntercepted</t>
  </si>
  <si>
    <t>Takeaway-PassBlocked</t>
  </si>
  <si>
    <t>Takeaway-ShotBlocked</t>
  </si>
  <si>
    <t>Takeaway-Other</t>
  </si>
  <si>
    <t>ZoneEntry-Rush</t>
  </si>
  <si>
    <t>ZoneEntry-Pass</t>
  </si>
  <si>
    <t>ZoneEntry-DumpIn</t>
  </si>
  <si>
    <t>ZoneExit-Rush</t>
  </si>
  <si>
    <t>ZoneExit-Pass</t>
  </si>
  <si>
    <t>ZoneExit-Clear</t>
  </si>
  <si>
    <t>Zone-KeepIn</t>
  </si>
  <si>
    <t>Zone-Pinch</t>
  </si>
  <si>
    <t>Zone-Other</t>
  </si>
  <si>
    <t>Save-Glove</t>
  </si>
  <si>
    <t>Save-Blocker</t>
  </si>
  <si>
    <t>Save-LeftPad</t>
  </si>
  <si>
    <t>Save-RightPad</t>
  </si>
  <si>
    <t>Save-Stick</t>
  </si>
  <si>
    <t>Save-Scramble</t>
  </si>
  <si>
    <t>Save-Butterfly</t>
  </si>
  <si>
    <t>Save-Chest</t>
  </si>
  <si>
    <t>Save-Other</t>
  </si>
  <si>
    <t>Stoppage-StartofShootout</t>
  </si>
  <si>
    <t>Stoppage-PeriodStart</t>
  </si>
  <si>
    <t>Stoppage-PuckOutofPlay</t>
  </si>
  <si>
    <t>Stoppage-Icing</t>
  </si>
  <si>
    <t>Stoppage-Offsides</t>
  </si>
  <si>
    <t>Stoppage-GoalieStoppage</t>
  </si>
  <si>
    <t>Stoppage-ClockProblem</t>
  </si>
  <si>
    <t>Stoppage-HighStick</t>
  </si>
  <si>
    <t>Stoppage-ObjectsonIce</t>
  </si>
  <si>
    <t>Stoppage-HandPass</t>
  </si>
  <si>
    <t>Stoppage-NetDislodged</t>
  </si>
  <si>
    <t>Stoppage-HomeTimeout</t>
  </si>
  <si>
    <t>Stoppage-VisitorTimeout</t>
  </si>
  <si>
    <t>Stoppage-Injury</t>
  </si>
  <si>
    <t>Stoppage-OfficialInjury</t>
  </si>
  <si>
    <t>Stoppage-RinkRepair</t>
  </si>
  <si>
    <t>Stoppage-PlayerEquipment</t>
  </si>
  <si>
    <t>Stoppage-Challenge</t>
  </si>
  <si>
    <t>Stoppage-Other</t>
  </si>
  <si>
    <t>Penalty-Bench Penalty</t>
  </si>
  <si>
    <t>Penalty-Boarding</t>
  </si>
  <si>
    <t>Penalty-Charging</t>
  </si>
  <si>
    <t>Penalty-CrossChecking</t>
  </si>
  <si>
    <t>Penalty-DelayofGame</t>
  </si>
  <si>
    <t>Penalty-Diving</t>
  </si>
  <si>
    <t>Penalty-Elbowing</t>
  </si>
  <si>
    <t>Penalty-GoalieInterference</t>
  </si>
  <si>
    <t>Penalty-HighSticking</t>
  </si>
  <si>
    <t>Penalty-Holding</t>
  </si>
  <si>
    <t>Penalty-Interference</t>
  </si>
  <si>
    <t>Penalty-Fighting</t>
  </si>
  <si>
    <t>Penalty-Hooking</t>
  </si>
  <si>
    <t>Penalty-Roughing</t>
  </si>
  <si>
    <t>Penalty-Slashing</t>
  </si>
  <si>
    <t>Penalty-Misconduct</t>
  </si>
  <si>
    <t>Penalty-TooManyMenontheIce</t>
  </si>
  <si>
    <t>Penalty-Tripping</t>
  </si>
  <si>
    <t>Penalty-UnsportsmanlikeConduct</t>
  </si>
  <si>
    <t>Penalty-Other</t>
  </si>
  <si>
    <t>EventTypeDetail2</t>
  </si>
  <si>
    <t>DriveMiddle</t>
  </si>
  <si>
    <t>DriveWide</t>
  </si>
  <si>
    <t>DriveCorner</t>
  </si>
  <si>
    <t>DriveNetMiddle</t>
  </si>
  <si>
    <t>DriveNetWide</t>
  </si>
  <si>
    <t>CrashNet</t>
  </si>
  <si>
    <t>Delay</t>
  </si>
  <si>
    <t>Deke</t>
  </si>
  <si>
    <t>Chip</t>
  </si>
  <si>
    <t>Other</t>
  </si>
  <si>
    <t>DumpChase</t>
  </si>
  <si>
    <t>Forecheck</t>
  </si>
  <si>
    <t>Speed</t>
  </si>
  <si>
    <t>PokeCheck</t>
  </si>
  <si>
    <t>PokeCheckFailed</t>
  </si>
  <si>
    <t>SeperateFromPuck</t>
  </si>
  <si>
    <t>Backcheck</t>
  </si>
  <si>
    <t>FroceWide</t>
  </si>
  <si>
    <t>Contain</t>
  </si>
  <si>
    <t>BeatMiddle</t>
  </si>
  <si>
    <t>BeatWide</t>
  </si>
  <si>
    <t>BeatDeke</t>
  </si>
  <si>
    <t>BeatSpeed</t>
  </si>
  <si>
    <t>BoxOut</t>
  </si>
  <si>
    <t>Save-Rebound</t>
  </si>
  <si>
    <t>Save-Freeze</t>
  </si>
  <si>
    <t>ZoneEntry-Other</t>
  </si>
  <si>
    <t>ZoneExit-Other</t>
  </si>
  <si>
    <t>PenaltyShot/Shootout</t>
  </si>
  <si>
    <t>Pass_Completed</t>
  </si>
  <si>
    <t>Turnover_Giveaway</t>
  </si>
  <si>
    <t>Zone_Entry</t>
  </si>
  <si>
    <t>Penalty_Minor</t>
  </si>
  <si>
    <t>PenaltyShot_OnNet</t>
  </si>
  <si>
    <t>Stoppage_Period</t>
  </si>
  <si>
    <t>LoosePuck_Forecheck</t>
  </si>
  <si>
    <t>Save_Rebound</t>
  </si>
  <si>
    <t>Faceoff_AfterPenalty</t>
  </si>
  <si>
    <t>Shot_Missed</t>
  </si>
  <si>
    <t>Pass_Missed</t>
  </si>
  <si>
    <t>Turnover_Takeaway</t>
  </si>
  <si>
    <t>Zone_Exit</t>
  </si>
  <si>
    <t>Penalty_Offsetting</t>
  </si>
  <si>
    <t>PenaltyShot_Missed</t>
  </si>
  <si>
    <t>Stoppage_Play</t>
  </si>
  <si>
    <t>LoosePuck_Battle</t>
  </si>
  <si>
    <t>Save_Freeze</t>
  </si>
  <si>
    <t>Faceoff_AfterGoal</t>
  </si>
  <si>
    <t>Shot_Blocked</t>
  </si>
  <si>
    <t>Pass_Deflected</t>
  </si>
  <si>
    <t>Zone_Keepin</t>
  </si>
  <si>
    <t>Penalty_Major</t>
  </si>
  <si>
    <t>PenaltyShot_Saved</t>
  </si>
  <si>
    <t>Stoppage_Other</t>
  </si>
  <si>
    <t>Faceoff_PeriodStart</t>
  </si>
  <si>
    <t>Shot_BlockedSameTeam</t>
  </si>
  <si>
    <t>Pass_Intercepted</t>
  </si>
  <si>
    <t>ShootoutShot_OnNet</t>
  </si>
  <si>
    <t>Shot_Deflected</t>
  </si>
  <si>
    <t>ShootoutShot_Missed</t>
  </si>
  <si>
    <t>ShootoutShot_Saved</t>
  </si>
  <si>
    <t>Shot_Tipped</t>
  </si>
  <si>
    <t>Shot_OnNetSaved</t>
  </si>
  <si>
    <t>Shot_DeflectedOnNetSaved</t>
  </si>
  <si>
    <t>Shot_TippedOnNetSaved</t>
  </si>
  <si>
    <t>Shot_OnNetGoal</t>
  </si>
  <si>
    <t>Shot_TippedGoal</t>
  </si>
  <si>
    <t>Shot_DeflectedGoal</t>
  </si>
  <si>
    <t>Shot_OnNetTippedGoal</t>
  </si>
  <si>
    <t>Shot_OnNetDeflectedGoal</t>
  </si>
  <si>
    <t>Goal_Scored</t>
  </si>
  <si>
    <t>Goal_Shootout</t>
  </si>
  <si>
    <t>Goal_PenaltyShot</t>
  </si>
  <si>
    <t>Goal-Wrist</t>
  </si>
  <si>
    <t>Goal-Slap</t>
  </si>
  <si>
    <t>Goal-Backhand</t>
  </si>
  <si>
    <t>Goal-Tip</t>
  </si>
  <si>
    <t>Goal-Snap</t>
  </si>
  <si>
    <t>Goal-WrapAround</t>
  </si>
  <si>
    <t>Goal-Bat</t>
  </si>
  <si>
    <t>Goal-Cradle</t>
  </si>
  <si>
    <t>Goal-Poke</t>
  </si>
  <si>
    <t>Goal-BetweenLegs</t>
  </si>
  <si>
    <t>Goal-Dumpin</t>
  </si>
  <si>
    <t>Goal-Deflection</t>
  </si>
  <si>
    <t>Goal-OneTime</t>
  </si>
  <si>
    <t>Goal-Other</t>
  </si>
  <si>
    <t>Play</t>
  </si>
  <si>
    <t>Rebound</t>
  </si>
  <si>
    <t>Rebound_TeamRecovered</t>
  </si>
  <si>
    <t>Rebound_OppTeamRecovered</t>
  </si>
  <si>
    <t>Rebound_ShotGenerated</t>
  </si>
  <si>
    <t>Rebound_FlurryGenerated</t>
  </si>
  <si>
    <t>Faceoff_AfterStoppage</t>
  </si>
  <si>
    <t>PenaltyShot_Shootout</t>
  </si>
  <si>
    <t>Zone_Entry_Exit</t>
  </si>
  <si>
    <t>Type</t>
  </si>
  <si>
    <t>Shot_Goal</t>
  </si>
  <si>
    <t>DeadIce</t>
  </si>
  <si>
    <t>event_index</t>
  </si>
  <si>
    <t>sequence_index</t>
  </si>
  <si>
    <t>play_index</t>
  </si>
  <si>
    <t>player_role</t>
  </si>
  <si>
    <t>event_detail</t>
  </si>
  <si>
    <t>event_detail_2</t>
  </si>
  <si>
    <t>game_id</t>
  </si>
  <si>
    <t>home_team</t>
  </si>
  <si>
    <t>away_team</t>
  </si>
  <si>
    <t>-</t>
  </si>
  <si>
    <t>event_start_min</t>
  </si>
  <si>
    <t>event_start_sec</t>
  </si>
  <si>
    <t>event_end_min</t>
  </si>
  <si>
    <t>event_end_sec</t>
  </si>
  <si>
    <t>shift_index</t>
  </si>
  <si>
    <t>shift_start_type</t>
  </si>
  <si>
    <t>shift_stop_type</t>
  </si>
  <si>
    <t>shift_start_min</t>
  </si>
  <si>
    <t>shift_start_sec</t>
  </si>
  <si>
    <t>shift_end_min</t>
  </si>
  <si>
    <t>shift_end_sec</t>
  </si>
  <si>
    <t>home_forward_1</t>
  </si>
  <si>
    <t>home_forward_2</t>
  </si>
  <si>
    <t>home_forward_3</t>
  </si>
  <si>
    <t>home_defense_1</t>
  </si>
  <si>
    <t>home_defense_2</t>
  </si>
  <si>
    <t>home_goalie</t>
  </si>
  <si>
    <t>home_xtra</t>
  </si>
  <si>
    <t>away_forward_1</t>
  </si>
  <si>
    <t>away_forward_2</t>
  </si>
  <si>
    <t>away_forward_3</t>
  </si>
  <si>
    <t>away_defense_1</t>
  </si>
  <si>
    <t>away_defense_2</t>
  </si>
  <si>
    <t>away_goalie</t>
  </si>
  <si>
    <t>away_xtra</t>
  </si>
  <si>
    <t>stoppage_time</t>
  </si>
  <si>
    <t>home_ozone_start</t>
  </si>
  <si>
    <t>home_ozone_end</t>
  </si>
  <si>
    <t>home_dzone_start</t>
  </si>
  <si>
    <t>home_dzone_end</t>
  </si>
  <si>
    <t>home_nzone_start</t>
  </si>
  <si>
    <t>home_nzone_end</t>
  </si>
  <si>
    <t>PeriodStart</t>
  </si>
  <si>
    <t>Home Goalie Stoppage</t>
  </si>
  <si>
    <t>FaceoffAfterGoal</t>
  </si>
  <si>
    <t>GameStart</t>
  </si>
  <si>
    <t>FaceoffAfterPenalty</t>
  </si>
  <si>
    <t>OtherFaceoff</t>
  </si>
  <si>
    <t>DeadIce/Stoppage</t>
  </si>
  <si>
    <t>Period Start</t>
  </si>
  <si>
    <t>Period End</t>
  </si>
  <si>
    <t>Puck Out of Play</t>
  </si>
  <si>
    <t>Injury</t>
  </si>
  <si>
    <t>Home Penalty</t>
  </si>
  <si>
    <t>Away Penalty</t>
  </si>
  <si>
    <t>Away Goalie Stoppage</t>
  </si>
  <si>
    <t>Home Offside</t>
  </si>
  <si>
    <t>Home Icing</t>
  </si>
  <si>
    <t>Away Offside</t>
  </si>
  <si>
    <t>Away Icing</t>
  </si>
  <si>
    <t>Clock Problem</t>
  </si>
  <si>
    <t>Puck Frozen</t>
  </si>
  <si>
    <t>Puck in Crowd</t>
  </si>
  <si>
    <t>Goalie Stopped (after SOG)</t>
  </si>
  <si>
    <t>Referee or Linesperson</t>
  </si>
  <si>
    <t>High Stick</t>
  </si>
  <si>
    <t>Objects on Ice</t>
  </si>
  <si>
    <t>Hand Pass</t>
  </si>
  <si>
    <t>Premature Substitution</t>
  </si>
  <si>
    <t>Puck in Netting</t>
  </si>
  <si>
    <t>Puck in Benches</t>
  </si>
  <si>
    <t>Net Dislodged Offensive Skater</t>
  </si>
  <si>
    <t>Puck Frzn-Goalie-Bynd Ctr</t>
  </si>
  <si>
    <t>Skater Puck Frozen</t>
  </si>
  <si>
    <t>Valid stoppage type reasons (reason):</t>
  </si>
  <si>
    <t>TV timeout</t>
  </si>
  <si>
    <t>Home Timeout</t>
  </si>
  <si>
    <t>Visitor Timeout</t>
  </si>
  <si>
    <t>Player Injury</t>
  </si>
  <si>
    <t>Official Injury</t>
  </si>
  <si>
    <t>Rink Repair</t>
  </si>
  <si>
    <t>Ice problem</t>
  </si>
  <si>
    <t>Player Equipment</t>
  </si>
  <si>
    <t>Video Review</t>
  </si>
  <si>
    <t>Chlg Hm - off-side</t>
  </si>
  <si>
    <t>Chlg Vis - off-side</t>
  </si>
  <si>
    <t>Chlg Hm - goal interference</t>
  </si>
  <si>
    <t>Chlg Vis - goal interference</t>
  </si>
  <si>
    <t>Chlg League - off-side</t>
  </si>
  <si>
    <t>Chlg League - goal interference</t>
  </si>
  <si>
    <t>Switch sides</t>
  </si>
  <si>
    <t>Chlg Hm - Missed stoppage</t>
  </si>
  <si>
    <t>Chlg Vis - Missed stoppage</t>
  </si>
  <si>
    <t>Chlg League - Missed stoppage</t>
  </si>
  <si>
    <t>Chlg Hm - puck over glass</t>
  </si>
  <si>
    <t>Chlg Vis - puck over glass</t>
  </si>
  <si>
    <t>Chlg League - puck over glass</t>
  </si>
  <si>
    <t>Home Goal</t>
  </si>
  <si>
    <t>Away Goal</t>
  </si>
  <si>
    <t>Away Goalie Stopped (after Home SOG)</t>
  </si>
  <si>
    <t>Home Goalie Stopped (after Away SOG)</t>
  </si>
  <si>
    <t>shift_start</t>
  </si>
  <si>
    <t>shift_end</t>
  </si>
  <si>
    <t>home_team_strength</t>
  </si>
  <si>
    <t>away_team_strength</t>
  </si>
  <si>
    <t>home_team_en</t>
  </si>
  <si>
    <t>away_team_en</t>
  </si>
  <si>
    <t>home_team_pp</t>
  </si>
  <si>
    <t>home_team_pk</t>
  </si>
  <si>
    <t>away_team_pp</t>
  </si>
  <si>
    <t>away_team_pk</t>
  </si>
  <si>
    <t>situation</t>
  </si>
  <si>
    <t>Giveaway-ZoneClear/Dump</t>
  </si>
  <si>
    <t>Takeaway-ZoneClear/Dump</t>
  </si>
  <si>
    <t>duration</t>
  </si>
  <si>
    <t>time_start_total_seconds</t>
  </si>
  <si>
    <t>time_end_total_seconds</t>
  </si>
  <si>
    <t>shift_end_total_seconds</t>
  </si>
  <si>
    <t>shift_start_total_seconds</t>
  </si>
  <si>
    <t>shift_duration</t>
  </si>
  <si>
    <t>strength</t>
  </si>
  <si>
    <t>home_goals</t>
  </si>
  <si>
    <t>away_goals</t>
  </si>
  <si>
    <t>Giveaway-AttemptedZoneClear/Dump</t>
  </si>
  <si>
    <t>Takeaway-AttemptedZoneClear/Dump</t>
  </si>
  <si>
    <t>e</t>
  </si>
  <si>
    <t>o</t>
  </si>
  <si>
    <t>role_abrev</t>
  </si>
  <si>
    <t>role_number</t>
  </si>
  <si>
    <t>Pass-Dump</t>
  </si>
  <si>
    <t>Pass-Tipped</t>
  </si>
  <si>
    <t>ZoneEntry-Chip</t>
  </si>
  <si>
    <t>ZoneExit-Chip</t>
  </si>
  <si>
    <t>ZoneEntry-FromExitClear</t>
  </si>
  <si>
    <t>ZoneExit-PassMiss/Misplay</t>
  </si>
  <si>
    <t>ZoneEntry-OppTeam</t>
  </si>
  <si>
    <t>ZoneExit-OppTeam</t>
  </si>
  <si>
    <t>ZoneEntry-Lob</t>
  </si>
  <si>
    <t>ZoneExit-Lob</t>
  </si>
  <si>
    <t>Pass-Lob</t>
  </si>
  <si>
    <t>ZoneEntry-RushBreakaway</t>
  </si>
  <si>
    <t>Giveaway-ZoneEntry/ExitMisplay</t>
  </si>
  <si>
    <t>Save_Played</t>
  </si>
  <si>
    <t>Pass-Drop</t>
  </si>
  <si>
    <t>Play-Offensive</t>
  </si>
  <si>
    <t>Play-Defensive</t>
  </si>
  <si>
    <t>Play_Offensive</t>
  </si>
  <si>
    <t>Play_Defensive</t>
  </si>
  <si>
    <t>ZoneEntry-PassMiss/Misplay</t>
  </si>
  <si>
    <t>Giveaway-DumpInZone</t>
  </si>
  <si>
    <t>Timeout</t>
  </si>
  <si>
    <t>Intermission</t>
  </si>
  <si>
    <t>event_running_start</t>
  </si>
  <si>
    <t>event_running_end</t>
  </si>
  <si>
    <t>period_start_total_running_seconds</t>
  </si>
  <si>
    <t>running_intermission_duration</t>
  </si>
  <si>
    <t>Clockstop</t>
  </si>
  <si>
    <t>Faceoff-GameStart</t>
  </si>
  <si>
    <t>GameEnd</t>
  </si>
  <si>
    <t>Faceoff_GameStart</t>
  </si>
  <si>
    <t>Stoppage_GameEnd</t>
  </si>
  <si>
    <t>running_video_time</t>
  </si>
  <si>
    <t>shift_start_running_time</t>
  </si>
  <si>
    <t>shift_end_running_time</t>
  </si>
  <si>
    <t>Type_</t>
  </si>
  <si>
    <t>event_detail_</t>
  </si>
  <si>
    <t>event_detail_2_</t>
  </si>
  <si>
    <t>event_start_min_</t>
  </si>
  <si>
    <t>event_start_sec_</t>
  </si>
  <si>
    <t>event_end_min_</t>
  </si>
  <si>
    <t>event_end_sec_</t>
  </si>
  <si>
    <t>00</t>
  </si>
  <si>
    <t>ZoneEntry-CausedTurnover</t>
  </si>
  <si>
    <t>ZoneExit-CausedTurnover</t>
  </si>
  <si>
    <t>Save-Shoulder</t>
  </si>
  <si>
    <t>Penalty_Delayed</t>
  </si>
  <si>
    <t>Breakaway</t>
  </si>
  <si>
    <t>Play-DriveMiddle</t>
  </si>
  <si>
    <t>Play-DriveWide</t>
  </si>
  <si>
    <t>Play-DriveCorner</t>
  </si>
  <si>
    <t>Play-DriveNetMiddle</t>
  </si>
  <si>
    <t>Play-DriveNetWide</t>
  </si>
  <si>
    <t>Play-CrashNet</t>
  </si>
  <si>
    <t>Play-Delay</t>
  </si>
  <si>
    <t>Play-Chip</t>
  </si>
  <si>
    <t>Play-Other</t>
  </si>
  <si>
    <t>Play-DumpChase</t>
  </si>
  <si>
    <t>Play-Forecheck</t>
  </si>
  <si>
    <t>Play-Speed</t>
  </si>
  <si>
    <t>Play-Dump/RimInZone</t>
  </si>
  <si>
    <t>Play-PokeCheck</t>
  </si>
  <si>
    <t>Play-PokeCheckFailed</t>
  </si>
  <si>
    <t>Play-SeperateFromPuck</t>
  </si>
  <si>
    <t>Play-Backcheck</t>
  </si>
  <si>
    <t>Play-FroceWide</t>
  </si>
  <si>
    <t>Play-Contain</t>
  </si>
  <si>
    <t>Play-BeatMiddle</t>
  </si>
  <si>
    <t>Play-BeatWide</t>
  </si>
  <si>
    <t>Play-BeatDeke</t>
  </si>
  <si>
    <t>Play-BeatSpeed</t>
  </si>
  <si>
    <t>Play-BoxOut</t>
  </si>
  <si>
    <t>Save-Skate</t>
  </si>
  <si>
    <t>Pass-Deflected/TippedShot</t>
  </si>
  <si>
    <t>Pass-ReceiverMissed</t>
  </si>
  <si>
    <t>Giveaway-PassReceiverMissed</t>
  </si>
  <si>
    <t>Play-Deke</t>
  </si>
  <si>
    <t>Play-AttemptedClear</t>
  </si>
  <si>
    <t>successful</t>
  </si>
  <si>
    <t>Breakout</t>
  </si>
  <si>
    <t>play_detail1</t>
  </si>
  <si>
    <t>play_detail2</t>
  </si>
  <si>
    <t>play_detail_successful</t>
  </si>
  <si>
    <t>event_team_zone</t>
  </si>
  <si>
    <t>home_team_zone</t>
  </si>
  <si>
    <t>away_team_zone</t>
  </si>
  <si>
    <t>next_event</t>
  </si>
  <si>
    <t>last_event</t>
  </si>
  <si>
    <t>event_id</t>
  </si>
  <si>
    <t>play_id</t>
  </si>
  <si>
    <t>sequence_id</t>
  </si>
  <si>
    <t>next_faceoff</t>
  </si>
  <si>
    <t>last_faceoff</t>
  </si>
  <si>
    <t>next_team_zone_entry</t>
  </si>
  <si>
    <t>last_team_zone_entry</t>
  </si>
  <si>
    <t>next_team_zone_exit</t>
  </si>
  <si>
    <t>next_team_shot</t>
  </si>
  <si>
    <t>last_team_shot</t>
  </si>
  <si>
    <t>next_team_goal</t>
  </si>
  <si>
    <t>last_team_goal</t>
  </si>
  <si>
    <t>associated_faceoff_id</t>
  </si>
  <si>
    <t>associated_pass_id2</t>
  </si>
  <si>
    <t>associated_pass_id1</t>
  </si>
  <si>
    <t>associated_pass_id3</t>
  </si>
  <si>
    <t>associated_pass_id4</t>
  </si>
  <si>
    <t>associated_zone_entry</t>
  </si>
  <si>
    <t>assocaited_zone_exit</t>
  </si>
  <si>
    <t>assocaited_penalty</t>
  </si>
  <si>
    <t>assocaited_shot1</t>
  </si>
  <si>
    <t>assocaited_shot2</t>
  </si>
  <si>
    <t>assocaited_shot3</t>
  </si>
  <si>
    <t>assocaited_shot4</t>
  </si>
  <si>
    <t>associated_save1</t>
  </si>
  <si>
    <t>associated_save2</t>
  </si>
  <si>
    <t>associated_save3</t>
  </si>
  <si>
    <t>associated_save4</t>
  </si>
  <si>
    <t>associated_turnover1</t>
  </si>
  <si>
    <t>associated_turnover2</t>
  </si>
  <si>
    <t>associated_turnover3</t>
  </si>
  <si>
    <t>associated_turnover4</t>
  </si>
  <si>
    <t>assocaited_possession1</t>
  </si>
  <si>
    <t>assocaited_possession2</t>
  </si>
  <si>
    <t>assocaited_possession3</t>
  </si>
  <si>
    <t>assocaited_possession4</t>
  </si>
  <si>
    <t>associated_breakout</t>
  </si>
  <si>
    <t>assocaited_assist_secondary</t>
  </si>
  <si>
    <t>assocaited_assist_primary</t>
  </si>
  <si>
    <t>faceoff_id</t>
  </si>
  <si>
    <t>pass_id</t>
  </si>
  <si>
    <t>turnover_id</t>
  </si>
  <si>
    <t>shot_id</t>
  </si>
  <si>
    <t>save_id</t>
  </si>
  <si>
    <t>rebound_id</t>
  </si>
  <si>
    <t>goal_id</t>
  </si>
  <si>
    <t>penalty_id</t>
  </si>
  <si>
    <t>zone_entry_id</t>
  </si>
  <si>
    <t>zone_exit_id</t>
  </si>
  <si>
    <t>possession_id</t>
  </si>
  <si>
    <t>pre_shot_pass</t>
  </si>
  <si>
    <t>failed_entry</t>
  </si>
  <si>
    <t>failed_exit</t>
  </si>
  <si>
    <t>botched_retreivals</t>
  </si>
  <si>
    <t>retreival_lead_to_breakout</t>
  </si>
  <si>
    <t>possession_change</t>
  </si>
  <si>
    <t>side_of_puck</t>
  </si>
  <si>
    <t>Offensive</t>
  </si>
  <si>
    <t>Defensive</t>
  </si>
  <si>
    <t>linked_event_index</t>
  </si>
  <si>
    <t>DelayedPenalty</t>
  </si>
  <si>
    <t>Offset Penalty</t>
  </si>
  <si>
    <t>Velodrome</t>
  </si>
  <si>
    <t>Team_</t>
  </si>
  <si>
    <t>ZoneEntry-PenaltyKillClear</t>
  </si>
  <si>
    <t>ZoneExit-PenaltyKillClear</t>
  </si>
  <si>
    <t>play_tag1</t>
  </si>
  <si>
    <t>play_tag2</t>
  </si>
  <si>
    <t>Cycle</t>
  </si>
  <si>
    <t>Rush</t>
  </si>
  <si>
    <t>Zone_Change</t>
  </si>
  <si>
    <t>Slot</t>
  </si>
  <si>
    <t>LowToHigh</t>
  </si>
  <si>
    <t>HighToLow</t>
  </si>
  <si>
    <t>CrossIce</t>
  </si>
  <si>
    <t>forced_forcer</t>
  </si>
  <si>
    <t>pressured_pressurer</t>
  </si>
  <si>
    <t>high_danger</t>
  </si>
  <si>
    <t>Dump/RimInZone</t>
  </si>
  <si>
    <t>AssistPrimary</t>
  </si>
  <si>
    <t>AssistSecondary</t>
  </si>
  <si>
    <t>OpenIceDeke</t>
  </si>
  <si>
    <t>PuckRetrievalDumpIn</t>
  </si>
  <si>
    <t>PuckRetrievalShot</t>
  </si>
  <si>
    <t>PuckRetreivalTurnover</t>
  </si>
  <si>
    <t>PuckRetreivalPass</t>
  </si>
  <si>
    <t>EndToEndRush</t>
  </si>
  <si>
    <t>FrontofNet</t>
  </si>
  <si>
    <t>DumpInAttempt</t>
  </si>
  <si>
    <t>CutBack</t>
  </si>
  <si>
    <t>GiveAndGo</t>
  </si>
  <si>
    <t>Wheel</t>
  </si>
  <si>
    <t>Reverse</t>
  </si>
  <si>
    <t>QuickUp</t>
  </si>
  <si>
    <t>Screen</t>
  </si>
  <si>
    <t>ForecedOutside</t>
  </si>
  <si>
    <t>Zone</t>
  </si>
  <si>
    <t>BlockedShot</t>
  </si>
  <si>
    <t>PassIntercepted</t>
  </si>
  <si>
    <t>ClearingAttempt</t>
  </si>
  <si>
    <t>Pressure</t>
  </si>
  <si>
    <t>ZoneEntryDenial</t>
  </si>
  <si>
    <t>ZoneExitDenial</t>
  </si>
  <si>
    <t>PenaltyKillClear</t>
  </si>
  <si>
    <t>ManOnMan</t>
  </si>
  <si>
    <t>Tracker</t>
  </si>
  <si>
    <t>Surf</t>
  </si>
  <si>
    <t>InShotPassLane</t>
  </si>
  <si>
    <t>StickCheck</t>
  </si>
  <si>
    <t>OffensivePlay_Possession-DriveMiddle</t>
  </si>
  <si>
    <t>OffensivePlay_Zone-Breakout</t>
  </si>
  <si>
    <t>OffensivePlay_Possession-CutBack</t>
  </si>
  <si>
    <t>OffensivePlay_Zone-Dump/RimInZone</t>
  </si>
  <si>
    <t>Defensive_PlayShot-BlockedShot</t>
  </si>
  <si>
    <t>OffensivePlay_Zone-PuckRetrievalShot</t>
  </si>
  <si>
    <t>Regroup</t>
  </si>
  <si>
    <t>Counter</t>
  </si>
  <si>
    <t>SecondTouch</t>
  </si>
  <si>
    <t>ZoneExit</t>
  </si>
  <si>
    <t>ZoneEntry</t>
  </si>
  <si>
    <t>PuckRecoveryDumpIn</t>
  </si>
  <si>
    <t>PuckRecoveryShot</t>
  </si>
  <si>
    <t>PuckRecoveryTurnover</t>
  </si>
  <si>
    <t>PuckRecoveryPass</t>
  </si>
  <si>
    <t>PuckRetrievalRebound</t>
  </si>
  <si>
    <t>ForcedDumpin/Clear</t>
  </si>
  <si>
    <t>PuckRecoveryRebound</t>
  </si>
  <si>
    <t>PuckRetrieval</t>
  </si>
  <si>
    <t>PuckRecovery</t>
  </si>
  <si>
    <t>Pass-OneTouch</t>
  </si>
  <si>
    <t>Pass-SecondTouch</t>
  </si>
  <si>
    <t>Pass-QuickUp</t>
  </si>
  <si>
    <t>Pass-GiveAndGo</t>
  </si>
  <si>
    <t>Pass-Reverse</t>
  </si>
  <si>
    <t>ReceiverMissed</t>
  </si>
  <si>
    <t>u</t>
  </si>
  <si>
    <t>s</t>
  </si>
  <si>
    <t>AssistTertiary</t>
  </si>
  <si>
    <t>Context</t>
  </si>
  <si>
    <t>Dumpin</t>
  </si>
  <si>
    <t>Clear</t>
  </si>
  <si>
    <t>OffensivePlay_Zone-PuckRetreivalTurnover</t>
  </si>
  <si>
    <t>Defensive_PlayPossession-PokeCheck</t>
  </si>
  <si>
    <t>Defensive_PlayPossession-StickCheck</t>
  </si>
  <si>
    <t>OffensivePlay_Zone-DumpChase</t>
  </si>
  <si>
    <t>OffensivePlay_Zone-PuckRetrievalDumpIn</t>
  </si>
  <si>
    <t>Defensive_PlayPass-InShotPassLane</t>
  </si>
  <si>
    <t>Defensive_PlayPass-PassIntercepted</t>
  </si>
  <si>
    <t>OffensivePlay_Zone-PuckRetreivalPass</t>
  </si>
  <si>
    <t>OffensivePlay_Possession-DriveWide</t>
  </si>
  <si>
    <t>Defensive_PlayPossession-FroceWide</t>
  </si>
  <si>
    <t>Offensive_Zone-AttemptedKeepin</t>
  </si>
  <si>
    <t>OffensivePlay_Zone-PuckRecoveryShot</t>
  </si>
  <si>
    <t>Defensive_Zone-AttemptedBreakOutPass</t>
  </si>
  <si>
    <t>Defensive_Zone-AttemptedBreakOutRush</t>
  </si>
  <si>
    <t>Defensive_Zone-AttemptedBreakOutClear</t>
  </si>
  <si>
    <t>Offensive_Zone-AttemptedEntryPass</t>
  </si>
  <si>
    <t>Offensive_Zone-AttemptedEntryDumpIn</t>
  </si>
  <si>
    <t>Offensive_Zone-AttemptedEntryRush</t>
  </si>
  <si>
    <t>OffensivePlay_Zone-PuckRecoveryTurnover</t>
  </si>
  <si>
    <t>OffensivePlay_Pass-ReceiverMissed</t>
  </si>
  <si>
    <t>OffensivePlay_Zone-PuckRecoveryPass</t>
  </si>
  <si>
    <t>zone_change_index</t>
  </si>
  <si>
    <t>OffensivePlay_Possession-Chip</t>
  </si>
  <si>
    <t>Defensive_PlayZone-PuckRecoveryDumpIn</t>
  </si>
  <si>
    <t>OffensivePlay_Possession-OpenIceDeke</t>
  </si>
  <si>
    <t>Defensive_PlayPossession-BeatDeke</t>
  </si>
  <si>
    <t>Defensive_PlayPossession-Pressure</t>
  </si>
  <si>
    <t>OffensivePlay_Possession-Deke</t>
  </si>
  <si>
    <t>Defensive_PlayShot-FrontofNet</t>
  </si>
  <si>
    <t>OffensivePlay_Possession-FrontofNet</t>
  </si>
  <si>
    <t>OffensivePlay_Possession-CrashNet</t>
  </si>
  <si>
    <t>Defensive_PlayPossession-SeperateFromPuck</t>
  </si>
  <si>
    <t>Defensive_PlayZone-PuckRecoveryTurnover</t>
  </si>
  <si>
    <t>OffensivePlay_Possession-Delay</t>
  </si>
  <si>
    <t>Defensive_PlayPossession-BeatMiddle</t>
  </si>
  <si>
    <t>Defensive_PlayZone-PuckRetrievalShot</t>
  </si>
  <si>
    <t>OffensivePlay_Pass-Reverse</t>
  </si>
  <si>
    <t>Defensive_PlayPossession-BeatWide</t>
  </si>
  <si>
    <t>context</t>
  </si>
  <si>
    <t>LeadToBreakout</t>
  </si>
  <si>
    <t>LeadToZoneEntry</t>
  </si>
  <si>
    <t>LeadToTurnover</t>
  </si>
  <si>
    <t>LeadToShot</t>
  </si>
  <si>
    <t>LeadToGoal</t>
  </si>
  <si>
    <t>LeadToPenalty</t>
  </si>
  <si>
    <t>LeadToFailedBreakout</t>
  </si>
  <si>
    <t>LeadToFailedZoneEntry</t>
  </si>
  <si>
    <t>Defensive_PlayPossession-Surf</t>
  </si>
  <si>
    <t>OffensivePlay_Pass-QuickUp</t>
  </si>
  <si>
    <t>linked_event_id</t>
  </si>
  <si>
    <t>zone_change_id</t>
  </si>
  <si>
    <t>Defensive_PlayShot-BoxOut</t>
  </si>
  <si>
    <t>OffensivePlay_Zone-PuckRecoveryRebound</t>
  </si>
  <si>
    <t>OffensivePlay_Possession-DriveCorner</t>
  </si>
  <si>
    <t>OffensivePlay_Pass-SecondTouch</t>
  </si>
  <si>
    <t>OffensivePlay_Zone-DumpInAttempt</t>
  </si>
  <si>
    <t>Zone_Entryfailed</t>
  </si>
  <si>
    <t>Zone_ExitFailed</t>
  </si>
  <si>
    <t>Zone_KeepinFailed</t>
  </si>
  <si>
    <t>Zone-EntryFailed</t>
  </si>
  <si>
    <t>Zone-ExitFailed</t>
  </si>
  <si>
    <t>Zone-KeepinFailed</t>
  </si>
  <si>
    <t>Defensive_PlayPossession-Backcheck</t>
  </si>
  <si>
    <t>OffensivePlay_Possession-DriveNetMiddle</t>
  </si>
  <si>
    <t>OffensivePlay_Possession-DriveNetWide</t>
  </si>
  <si>
    <t>Defensive_PlayPossession-Contain</t>
  </si>
  <si>
    <t>Defensive_PlayPossession-BeatSpeed</t>
  </si>
  <si>
    <t>OffensivePlay_Possession-Other</t>
  </si>
  <si>
    <t>OffensivePlay_Possession-Speed</t>
  </si>
  <si>
    <t>Defensive_PlayPossession-Zone</t>
  </si>
  <si>
    <t>Defensive_PlayPossession-ManOnMan</t>
  </si>
  <si>
    <t>OffensivePlay_Possession-EndToEndRush</t>
  </si>
  <si>
    <t>Defensive_PlayPossession-Tracker</t>
  </si>
  <si>
    <t>OffensivePlay_Possession-Wheel</t>
  </si>
  <si>
    <t>OffensivePlay_Possession-ForecedOutside</t>
  </si>
  <si>
    <t>OffensivePlay_Pass-AssistPrimary</t>
  </si>
  <si>
    <t>OffensivePlay_Pass-AssistSecondary</t>
  </si>
  <si>
    <t>OffensivePlay_Pass-AssistTertiary</t>
  </si>
  <si>
    <t>OffensivePlay_Pass-GiveAndGo</t>
  </si>
  <si>
    <t>Defensive_PlayZone-ClearingAttempt</t>
  </si>
  <si>
    <t>Defensive_PlayZone-ZoneEntryDenial</t>
  </si>
  <si>
    <t>Defensive_PlayZone-ZoneExitDenial</t>
  </si>
  <si>
    <t>Defensive_PlayZone-PenaltyKillClear</t>
  </si>
  <si>
    <t>Defensive_PlayZone-PuckRetrievalDumpIn</t>
  </si>
  <si>
    <t>OffensivePlay_Shot-Screen</t>
  </si>
  <si>
    <t>Defensive_PlayZone-PuckRetreivalTurnover</t>
  </si>
  <si>
    <t>Defensive_PlayZone-PuckRetreivalPass</t>
  </si>
  <si>
    <t>OffensivePlay_Zone-Forecheck</t>
  </si>
  <si>
    <t>Defensive_PlayZone-PuckRetrievalRebound</t>
  </si>
  <si>
    <t>Defensive_PlayZone-PuckRecoveryShot</t>
  </si>
  <si>
    <t>OffensivePlay_Zone-Cycle</t>
  </si>
  <si>
    <t>Defensive_PlayZone-PuckRecoveryPass</t>
  </si>
  <si>
    <t>Defensive_PlayZone-PuckRecoveryRebound</t>
  </si>
  <si>
    <t>Defensive_PlayZone-ForcedDumpin/Clear</t>
  </si>
  <si>
    <t>OffensivePlay_Zone-PuckRetreivalRebound</t>
  </si>
  <si>
    <t>OffensivePlay_Zone-PuckRetreivalShot</t>
  </si>
  <si>
    <t>OffensivePlay_Zone-PuckRecoveryDumpIn</t>
  </si>
  <si>
    <t>Definition</t>
  </si>
  <si>
    <t>Next Event</t>
  </si>
  <si>
    <t>Linked Events</t>
  </si>
  <si>
    <t>Uses</t>
  </si>
  <si>
    <t>Pass, Turnover, Attempted Failed, Keepins</t>
  </si>
  <si>
    <t>Save Freeze</t>
  </si>
  <si>
    <t>Shot, Stoppage, Deadice</t>
  </si>
  <si>
    <t>Shot, Save</t>
  </si>
  <si>
    <t>Pass, Shot, Play</t>
  </si>
  <si>
    <t>Successful/Unsuccessful</t>
  </si>
  <si>
    <t>Successful Def</t>
  </si>
  <si>
    <t>Possession on zone entry when on breakaway</t>
  </si>
  <si>
    <t>Puck reterived after opp team touch/turnover'</t>
  </si>
  <si>
    <t>Puck recovered after same team touch/turnover</t>
  </si>
  <si>
    <t>Circle back in Nzone/Dzone</t>
  </si>
  <si>
    <t>Cut to middle of ice</t>
  </si>
  <si>
    <t>drive wide either foreced /unforced</t>
  </si>
  <si>
    <t>drive to offensive corner forced/unforced</t>
  </si>
  <si>
    <t>drive to slot from middle</t>
  </si>
  <si>
    <t>drive to slot from wide</t>
  </si>
  <si>
    <t>crash net for rebound</t>
  </si>
  <si>
    <t>dumped into ozone form ozone/nzone</t>
  </si>
  <si>
    <t>offensive players crashing puck after dumpin</t>
  </si>
  <si>
    <t>s/u</t>
  </si>
  <si>
    <t>successful if positive play made next</t>
  </si>
  <si>
    <t>sucessful if next play positive</t>
  </si>
  <si>
    <t>successful if next play positive</t>
  </si>
  <si>
    <t>tracking_event_index</t>
  </si>
  <si>
    <t>linked_event_index_</t>
  </si>
  <si>
    <t>ZoneEntry-Shot</t>
  </si>
  <si>
    <t>ZoneExit-Shot</t>
  </si>
  <si>
    <t>role_abrev_binary</t>
  </si>
  <si>
    <t>x</t>
  </si>
  <si>
    <t>Shot_MissedPost</t>
  </si>
  <si>
    <t>a</t>
  </si>
  <si>
    <t>17</t>
  </si>
  <si>
    <t>56</t>
  </si>
  <si>
    <t>n</t>
  </si>
  <si>
    <t>h</t>
  </si>
  <si>
    <t>d</t>
  </si>
  <si>
    <t>46</t>
  </si>
  <si>
    <t>31</t>
  </si>
  <si>
    <t>26</t>
  </si>
  <si>
    <t>25</t>
  </si>
  <si>
    <t>21</t>
  </si>
  <si>
    <t>0</t>
  </si>
  <si>
    <t>18</t>
  </si>
  <si>
    <t>15</t>
  </si>
  <si>
    <t>14</t>
  </si>
  <si>
    <t>12</t>
  </si>
  <si>
    <t>07</t>
  </si>
  <si>
    <t>01</t>
  </si>
  <si>
    <t>39</t>
  </si>
  <si>
    <t>35</t>
  </si>
  <si>
    <t>49</t>
  </si>
  <si>
    <t>5</t>
  </si>
  <si>
    <t>55</t>
  </si>
  <si>
    <t>11</t>
  </si>
  <si>
    <t>0.01</t>
  </si>
  <si>
    <t/>
  </si>
  <si>
    <t>GapControl</t>
  </si>
  <si>
    <t>BeatFake</t>
  </si>
  <si>
    <t>ForcedTurnover</t>
  </si>
  <si>
    <t>ForcedLostPossession</t>
  </si>
  <si>
    <t>ForcedMissedShot</t>
  </si>
  <si>
    <t>ForcedMissedPass</t>
  </si>
  <si>
    <t>FakeShot</t>
  </si>
  <si>
    <t>LoosePuckBattleWon</t>
  </si>
  <si>
    <t>LoosePuckBattleLost</t>
  </si>
  <si>
    <t>AttemptedKeepin</t>
  </si>
  <si>
    <t>AttemptedBreakOutPass</t>
  </si>
  <si>
    <t>AttemptedBreakOutRush</t>
  </si>
  <si>
    <t>AttemptedBreakOutClear</t>
  </si>
  <si>
    <t>AttemptedEntryDumpIn</t>
  </si>
  <si>
    <t>AttemptedEntryPass</t>
  </si>
  <si>
    <t>AttemptedEntryRush</t>
  </si>
  <si>
    <t>CededZoneExit</t>
  </si>
  <si>
    <t>CededZoneEntry</t>
  </si>
  <si>
    <t>PuckRetreivalFaceoff</t>
  </si>
  <si>
    <t>PuckRecoveryFaceoff</t>
  </si>
  <si>
    <t>PuckRetreivalOther</t>
  </si>
  <si>
    <t>PuckRecoveryOther</t>
  </si>
  <si>
    <t>RegroupClear</t>
  </si>
  <si>
    <t>RegroupDumpin</t>
  </si>
  <si>
    <t>ZoneKeepin</t>
  </si>
  <si>
    <t>PassDeflected</t>
  </si>
  <si>
    <t>StoppedDeke</t>
  </si>
  <si>
    <t>MisplayedPuck</t>
  </si>
  <si>
    <t>LostPuck</t>
  </si>
  <si>
    <t>ForceWide</t>
  </si>
  <si>
    <t>AttemptedBlockedShot</t>
  </si>
  <si>
    <t>team_</t>
  </si>
  <si>
    <t>player_game_number</t>
  </si>
  <si>
    <t>role_abrev_binary_</t>
  </si>
  <si>
    <t>event_team_zone_</t>
  </si>
  <si>
    <t>event_type_</t>
  </si>
  <si>
    <t>team_venue</t>
  </si>
  <si>
    <t>team_venue_abv</t>
  </si>
  <si>
    <t>home_team_zone_</t>
  </si>
  <si>
    <t>away_team_zone_</t>
  </si>
  <si>
    <t>team_venue_</t>
  </si>
  <si>
    <t>team_venue_abv_</t>
  </si>
  <si>
    <t>event_successful</t>
  </si>
  <si>
    <t>event_successful_</t>
  </si>
  <si>
    <t>period</t>
  </si>
  <si>
    <t>event_index_</t>
  </si>
  <si>
    <t>Shootout_OnNet</t>
  </si>
  <si>
    <t>Shootout_Missed</t>
  </si>
  <si>
    <t>Shootout_Saved</t>
  </si>
  <si>
    <t>Zone_EntryFailed</t>
  </si>
  <si>
    <t>play_details</t>
  </si>
  <si>
    <t>DelayedOffside</t>
  </si>
  <si>
    <t>DeflectedShot</t>
  </si>
  <si>
    <t>player_id</t>
  </si>
  <si>
    <t>player_team</t>
  </si>
  <si>
    <t>index</t>
  </si>
  <si>
    <t>team_game_id</t>
  </si>
  <si>
    <t>opp_team_game_id</t>
  </si>
  <si>
    <t>player_game_id</t>
  </si>
  <si>
    <t>team_name</t>
  </si>
  <si>
    <t>opp_team_name</t>
  </si>
  <si>
    <t>n_player_url</t>
  </si>
  <si>
    <t>player_position</t>
  </si>
  <si>
    <t>games_played</t>
  </si>
  <si>
    <t>goals</t>
  </si>
  <si>
    <t>assist</t>
  </si>
  <si>
    <t>goals_against</t>
  </si>
  <si>
    <t>pim</t>
  </si>
  <si>
    <t>shutouts</t>
  </si>
  <si>
    <t>team_id</t>
  </si>
  <si>
    <t>opp_team_id</t>
  </si>
  <si>
    <t>key</t>
  </si>
  <si>
    <t>player_full_name</t>
  </si>
  <si>
    <t>date</t>
  </si>
  <si>
    <t>season</t>
  </si>
  <si>
    <t>sub</t>
  </si>
  <si>
    <t>skill_rating</t>
  </si>
  <si>
    <t>Away Team Goals</t>
  </si>
  <si>
    <t>Home Team Goals</t>
  </si>
  <si>
    <t>Home Team Assists</t>
  </si>
  <si>
    <t>Home Team Penalties</t>
  </si>
  <si>
    <t>Away Team Assists</t>
  </si>
  <si>
    <t>Away Team Penalties</t>
  </si>
  <si>
    <t>In cell B3</t>
  </si>
  <si>
    <t>Goals</t>
  </si>
  <si>
    <t>Penalties</t>
  </si>
  <si>
    <t>AssistP</t>
  </si>
  <si>
    <t>AssistS</t>
  </si>
  <si>
    <t>Total Assists</t>
  </si>
  <si>
    <t>Goal Diff</t>
  </si>
  <si>
    <t>Penalty Diff</t>
  </si>
  <si>
    <t>Assist Diff</t>
  </si>
  <si>
    <t>Platinum</t>
  </si>
  <si>
    <t>play_detail_2</t>
  </si>
  <si>
    <t>play_detail1_</t>
  </si>
  <si>
    <t>play_detail2_</t>
  </si>
  <si>
    <t>play_detail_successful_</t>
  </si>
  <si>
    <t>pressured_pressurer_</t>
  </si>
  <si>
    <t>event_index_flag_</t>
  </si>
  <si>
    <t>linked_event_index_flag_</t>
  </si>
  <si>
    <t>sequence_index_flag_</t>
  </si>
  <si>
    <t>play_index_flag_</t>
  </si>
  <si>
    <t>AttemptedTip/Deflection</t>
  </si>
  <si>
    <t>sequence_index_</t>
  </si>
  <si>
    <t>play_index_</t>
  </si>
  <si>
    <t>Home</t>
  </si>
  <si>
    <t>Away</t>
  </si>
  <si>
    <t>player_game_number_</t>
  </si>
  <si>
    <t>venue</t>
  </si>
  <si>
    <t>38</t>
  </si>
  <si>
    <t>PuckRecoveryRetreivalDumpIn</t>
  </si>
  <si>
    <t>PuckRecoveryRetreivalFaceoff</t>
  </si>
  <si>
    <t>PuckRecoveryRetreivalOther</t>
  </si>
  <si>
    <t>PuckRecoveryRetreivalPass</t>
  </si>
  <si>
    <t>PuckRecoveryRetreivalRebound</t>
  </si>
  <si>
    <t>PuckRecoveryRetreivalShot</t>
  </si>
  <si>
    <t>PuckRecoveryRetreivalTurnover</t>
  </si>
  <si>
    <t>PuckRecoveryRetreivalAttemptedClear</t>
  </si>
  <si>
    <t>PuckRecoveryRetreivalClear</t>
  </si>
  <si>
    <t>PuckRecoveryRetreivalLoosePuckBattle</t>
  </si>
  <si>
    <t>RecoveryRetreivalDumpIn</t>
  </si>
  <si>
    <t>RecoveryRetreivalFaceoff</t>
  </si>
  <si>
    <t>RecoveryRetreivalOther</t>
  </si>
  <si>
    <t>RecoveryRetreivalPass</t>
  </si>
  <si>
    <t>RecoveryRetreivalRebound</t>
  </si>
  <si>
    <t>RecoveryRetreivalShot</t>
  </si>
  <si>
    <t>RecoveryRetreivalTurnover</t>
  </si>
  <si>
    <t>RecoveryRetrievalDumpIn</t>
  </si>
  <si>
    <t>RecoveryRetrievalShot</t>
  </si>
  <si>
    <t>AttemptedShot</t>
  </si>
  <si>
    <t>AttemptedPass</t>
  </si>
  <si>
    <t>PassForTip</t>
  </si>
  <si>
    <t>home_team_plus</t>
  </si>
  <si>
    <t>home_team_minus</t>
  </si>
  <si>
    <t>away_team_plus</t>
  </si>
  <si>
    <t>away_team_minus</t>
  </si>
  <si>
    <t>event_team_zone2_</t>
  </si>
  <si>
    <t>Dup</t>
  </si>
  <si>
    <t>player_num_dup_</t>
  </si>
  <si>
    <t>=FILTER([BLB_Tables.xlsx]fact_gameroster!$A:$Z,[BLB_Tables.xlsx]fact_gameroster!$B:$B=events!$BB$2)'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</si>
</sst>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49" fontId="0" fillId="0" borderId="0" xfId="1" applyNumberFormat="1" applyFont="1"/>
    <xf numFmtId="164" fontId="0" fillId="0" borderId="0" xfId="1" applyNumberFormat="1" applyFont="1"/>
    <xf numFmtId="0" fontId="0" fillId="3" borderId="0" xfId="0" applyFill="1" applyAlignment="1">
      <alignment horizontal="center" vertical="center" wrapText="1"/>
    </xf>
    <xf numFmtId="164" fontId="0" fillId="0" borderId="0" xfId="0" applyNumberFormat="1"/>
    <xf numFmtId="0" fontId="4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/>
    <xf numFmtId="0" fontId="3" fillId="6" borderId="0" xfId="0" applyFont="1" applyFill="1"/>
    <xf numFmtId="0" fontId="0" fillId="6" borderId="0" xfId="0" applyFill="1"/>
    <xf numFmtId="0" fontId="0" fillId="2" borderId="0" xfId="0" applyFill="1"/>
    <xf numFmtId="0" fontId="0" fillId="7" borderId="0" xfId="0" applyFill="1"/>
    <xf numFmtId="0" fontId="3" fillId="5" borderId="1" xfId="0" applyFont="1" applyFill="1" applyBorder="1" applyAlignment="1">
      <alignment horizontal="center" vertical="center" wrapText="1"/>
    </xf>
    <xf numFmtId="164" fontId="3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64" fontId="3" fillId="2" borderId="0" xfId="1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0" fontId="0" fillId="0" borderId="0" xfId="0" quotePrefix="1"/>
    <xf numFmtId="164" fontId="0" fillId="0" borderId="0" xfId="1" applyNumberFormat="1" applyFont="1" applyFill="1"/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3" fillId="2" borderId="2" xfId="0" applyFont="1" applyFill="1" applyBorder="1" applyAlignment="1">
      <alignment horizontal="center" vertical="center" wrapText="1"/>
    </xf>
    <xf numFmtId="49" fontId="3" fillId="8" borderId="0" xfId="0" applyNumberFormat="1" applyFont="1" applyFill="1" applyAlignment="1">
      <alignment horizontal="center" vertical="center" wrapText="1"/>
    </xf>
    <xf numFmtId="49" fontId="0" fillId="8" borderId="0" xfId="0" applyNumberFormat="1" applyFill="1"/>
    <xf numFmtId="0" fontId="0" fillId="8" borderId="0" xfId="0" applyFill="1"/>
    <xf numFmtId="49" fontId="3" fillId="8" borderId="1" xfId="0" applyNumberFormat="1" applyFont="1" applyFill="1" applyBorder="1" applyAlignment="1">
      <alignment horizontal="center" vertical="center" wrapText="1"/>
    </xf>
    <xf numFmtId="49" fontId="0" fillId="8" borderId="1" xfId="0" applyNumberFormat="1" applyFill="1" applyBorder="1"/>
    <xf numFmtId="0" fontId="3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0" fillId="9" borderId="0" xfId="0" applyFill="1"/>
    <xf numFmtId="0" fontId="3" fillId="10" borderId="0" xfId="0" applyFont="1" applyFill="1" applyAlignment="1">
      <alignment horizontal="center" vertical="center" wrapText="1"/>
    </xf>
    <xf numFmtId="0" fontId="0" fillId="10" borderId="0" xfId="0" applyFill="1"/>
    <xf numFmtId="49" fontId="0" fillId="7" borderId="0" xfId="0" applyNumberFormat="1" applyFill="1"/>
    <xf numFmtId="49" fontId="0" fillId="7" borderId="1" xfId="0" applyNumberFormat="1" applyFill="1" applyBorder="1"/>
    <xf numFmtId="0" fontId="0" fillId="8" borderId="1" xfId="0" applyFill="1" applyBorder="1"/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0</v>
    <v>3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9AB4-E8FF-9D43-AA82-D735CBAF8F65}">
  <dimension ref="A1:AY66"/>
  <sheetViews>
    <sheetView workbookViewId="0">
      <selection activeCell="G4" sqref="G4"/>
    </sheetView>
  </sheetViews>
  <sheetFormatPr baseColWidth="10" defaultRowHeight="16" x14ac:dyDescent="0.2"/>
  <sheetData>
    <row r="1" spans="1:51" ht="68" x14ac:dyDescent="0.2">
      <c r="A1" s="2" t="s">
        <v>256</v>
      </c>
      <c r="B1" s="9" t="s">
        <v>0</v>
      </c>
      <c r="C1" s="2" t="s">
        <v>259</v>
      </c>
      <c r="D1" s="8" t="s">
        <v>260</v>
      </c>
      <c r="E1" s="2" t="s">
        <v>261</v>
      </c>
      <c r="F1" s="8" t="s">
        <v>262</v>
      </c>
      <c r="G1" s="9" t="s">
        <v>257</v>
      </c>
      <c r="H1" s="12" t="s">
        <v>258</v>
      </c>
      <c r="I1" s="2" t="s">
        <v>263</v>
      </c>
      <c r="J1" s="2" t="s">
        <v>264</v>
      </c>
      <c r="K1" s="2" t="s">
        <v>265</v>
      </c>
      <c r="L1" s="2" t="s">
        <v>266</v>
      </c>
      <c r="M1" s="2" t="s">
        <v>267</v>
      </c>
      <c r="N1" s="2" t="s">
        <v>269</v>
      </c>
      <c r="O1" s="12" t="s">
        <v>268</v>
      </c>
      <c r="P1" s="9" t="s">
        <v>270</v>
      </c>
      <c r="Q1" s="2" t="s">
        <v>271</v>
      </c>
      <c r="R1" s="2" t="s">
        <v>272</v>
      </c>
      <c r="S1" s="2" t="s">
        <v>273</v>
      </c>
      <c r="T1" s="2" t="s">
        <v>274</v>
      </c>
      <c r="U1" s="2" t="s">
        <v>276</v>
      </c>
      <c r="V1" s="2" t="s">
        <v>275</v>
      </c>
      <c r="W1" s="10" t="s">
        <v>277</v>
      </c>
      <c r="X1" s="13" t="s">
        <v>278</v>
      </c>
      <c r="Y1" s="11" t="s">
        <v>279</v>
      </c>
      <c r="Z1" s="16" t="s">
        <v>280</v>
      </c>
      <c r="AA1" s="11" t="s">
        <v>281</v>
      </c>
      <c r="AB1" s="16" t="s">
        <v>282</v>
      </c>
      <c r="AC1" s="11" t="s">
        <v>283</v>
      </c>
      <c r="AD1" s="2" t="s">
        <v>248</v>
      </c>
      <c r="AE1" s="2" t="s">
        <v>249</v>
      </c>
      <c r="AF1" s="2" t="s">
        <v>250</v>
      </c>
      <c r="AG1" s="2" t="s">
        <v>360</v>
      </c>
      <c r="AH1" s="2" t="s">
        <v>359</v>
      </c>
      <c r="AI1" s="2" t="s">
        <v>361</v>
      </c>
      <c r="AJ1" s="2" t="s">
        <v>345</v>
      </c>
      <c r="AK1" s="2" t="s">
        <v>346</v>
      </c>
      <c r="AL1" s="2" t="s">
        <v>347</v>
      </c>
      <c r="AM1" s="2" t="s">
        <v>348</v>
      </c>
      <c r="AN1" s="2" t="s">
        <v>350</v>
      </c>
      <c r="AO1" s="2" t="s">
        <v>349</v>
      </c>
      <c r="AP1" s="2" t="s">
        <v>351</v>
      </c>
      <c r="AQ1" s="2" t="s">
        <v>352</v>
      </c>
      <c r="AR1" s="2" t="s">
        <v>353</v>
      </c>
      <c r="AS1" s="2" t="s">
        <v>362</v>
      </c>
      <c r="AT1" s="2" t="s">
        <v>363</v>
      </c>
      <c r="AU1" s="2" t="s">
        <v>364</v>
      </c>
      <c r="AV1" s="18" t="s">
        <v>396</v>
      </c>
      <c r="AW1" s="18" t="s">
        <v>403</v>
      </c>
      <c r="AX1" s="2" t="s">
        <v>404</v>
      </c>
      <c r="AY1" s="2" t="s">
        <v>405</v>
      </c>
    </row>
    <row r="2" spans="1:51" x14ac:dyDescent="0.2">
      <c r="A2">
        <v>40</v>
      </c>
      <c r="B2">
        <v>1</v>
      </c>
      <c r="C2">
        <v>2</v>
      </c>
      <c r="D2" t="s">
        <v>747</v>
      </c>
      <c r="E2">
        <v>0</v>
      </c>
      <c r="F2" t="s">
        <v>750</v>
      </c>
      <c r="G2" t="s">
        <v>289</v>
      </c>
      <c r="H2" t="s">
        <v>341</v>
      </c>
      <c r="I2">
        <v>42</v>
      </c>
      <c r="J2">
        <v>14</v>
      </c>
      <c r="K2">
        <v>61</v>
      </c>
      <c r="L2">
        <v>22</v>
      </c>
      <c r="M2">
        <v>9</v>
      </c>
      <c r="O2">
        <v>39</v>
      </c>
      <c r="P2">
        <v>91</v>
      </c>
      <c r="Q2">
        <v>80</v>
      </c>
      <c r="R2">
        <v>89</v>
      </c>
      <c r="S2">
        <v>4</v>
      </c>
      <c r="T2">
        <v>25</v>
      </c>
      <c r="V2">
        <v>30</v>
      </c>
      <c r="Y2">
        <v>1</v>
      </c>
    </row>
    <row r="3" spans="1:51" x14ac:dyDescent="0.2">
      <c r="A3">
        <v>41</v>
      </c>
      <c r="B3">
        <v>1</v>
      </c>
      <c r="C3">
        <v>0</v>
      </c>
      <c r="D3" t="s">
        <v>750</v>
      </c>
      <c r="E3">
        <v>0</v>
      </c>
      <c r="F3" t="s">
        <v>755</v>
      </c>
      <c r="G3" t="s">
        <v>289</v>
      </c>
      <c r="H3" t="s">
        <v>292</v>
      </c>
      <c r="I3">
        <v>42</v>
      </c>
      <c r="J3">
        <v>14</v>
      </c>
      <c r="K3">
        <v>61</v>
      </c>
      <c r="L3">
        <v>22</v>
      </c>
      <c r="M3">
        <v>9</v>
      </c>
      <c r="O3">
        <v>39</v>
      </c>
      <c r="P3">
        <v>77</v>
      </c>
      <c r="Q3">
        <v>13</v>
      </c>
      <c r="R3">
        <v>68</v>
      </c>
      <c r="S3">
        <v>4</v>
      </c>
      <c r="T3">
        <v>25</v>
      </c>
      <c r="V3">
        <v>30</v>
      </c>
      <c r="Y3">
        <v>1</v>
      </c>
    </row>
    <row r="4" spans="1:51" x14ac:dyDescent="0.2">
      <c r="A4">
        <v>42</v>
      </c>
      <c r="B4">
        <v>1</v>
      </c>
      <c r="G4" t="s">
        <v>393</v>
      </c>
    </row>
    <row r="5" spans="1:51" x14ac:dyDescent="0.2">
      <c r="A5">
        <v>43</v>
      </c>
      <c r="B5">
        <v>2</v>
      </c>
      <c r="C5">
        <v>18</v>
      </c>
      <c r="D5">
        <v>0</v>
      </c>
      <c r="E5">
        <v>17</v>
      </c>
      <c r="F5" t="s">
        <v>743</v>
      </c>
      <c r="G5" t="s">
        <v>284</v>
      </c>
      <c r="H5" t="s">
        <v>341</v>
      </c>
      <c r="I5">
        <v>70</v>
      </c>
      <c r="J5">
        <v>14</v>
      </c>
      <c r="K5">
        <v>55</v>
      </c>
      <c r="L5">
        <v>91</v>
      </c>
      <c r="M5">
        <v>84</v>
      </c>
      <c r="O5">
        <v>39</v>
      </c>
      <c r="P5">
        <v>77</v>
      </c>
      <c r="Q5">
        <v>13</v>
      </c>
      <c r="R5">
        <v>68</v>
      </c>
      <c r="S5">
        <v>44</v>
      </c>
      <c r="T5">
        <v>18</v>
      </c>
      <c r="V5">
        <v>30</v>
      </c>
      <c r="Y5">
        <v>1</v>
      </c>
    </row>
    <row r="8" spans="1:51" x14ac:dyDescent="0.2">
      <c r="A8">
        <v>105</v>
      </c>
      <c r="B8">
        <v>3</v>
      </c>
      <c r="C8">
        <v>1</v>
      </c>
      <c r="D8" t="s">
        <v>748</v>
      </c>
      <c r="E8">
        <v>0</v>
      </c>
      <c r="F8" t="s">
        <v>751</v>
      </c>
      <c r="I8">
        <v>42</v>
      </c>
      <c r="J8">
        <v>24</v>
      </c>
      <c r="K8">
        <v>61</v>
      </c>
      <c r="L8">
        <v>91</v>
      </c>
      <c r="M8">
        <v>84</v>
      </c>
      <c r="O8">
        <v>39</v>
      </c>
      <c r="P8">
        <v>77</v>
      </c>
      <c r="Q8">
        <v>12</v>
      </c>
      <c r="R8">
        <v>68</v>
      </c>
      <c r="S8">
        <v>44</v>
      </c>
      <c r="T8">
        <v>18</v>
      </c>
      <c r="V8">
        <v>30</v>
      </c>
      <c r="AA8">
        <v>1</v>
      </c>
    </row>
    <row r="9" spans="1:51" x14ac:dyDescent="0.2">
      <c r="A9">
        <v>106</v>
      </c>
      <c r="B9">
        <v>3</v>
      </c>
      <c r="C9">
        <v>0</v>
      </c>
      <c r="D9" t="s">
        <v>751</v>
      </c>
      <c r="E9">
        <v>0</v>
      </c>
      <c r="F9" t="s">
        <v>755</v>
      </c>
      <c r="H9" t="s">
        <v>400</v>
      </c>
      <c r="I9">
        <v>42</v>
      </c>
      <c r="J9">
        <v>24</v>
      </c>
      <c r="K9">
        <v>61</v>
      </c>
      <c r="L9">
        <v>91</v>
      </c>
      <c r="M9">
        <v>84</v>
      </c>
      <c r="O9">
        <v>39</v>
      </c>
      <c r="P9">
        <v>77</v>
      </c>
      <c r="Q9">
        <v>12</v>
      </c>
      <c r="R9">
        <v>56</v>
      </c>
      <c r="S9">
        <v>44</v>
      </c>
      <c r="T9">
        <v>18</v>
      </c>
      <c r="U9">
        <v>3</v>
      </c>
      <c r="AA9">
        <v>1</v>
      </c>
    </row>
    <row r="10" spans="1:51" x14ac:dyDescent="0.2">
      <c r="A10">
        <v>107</v>
      </c>
      <c r="B10">
        <v>3</v>
      </c>
      <c r="C10">
        <v>0</v>
      </c>
      <c r="D10" t="s">
        <v>755</v>
      </c>
    </row>
    <row r="25" spans="1:42" ht="34" x14ac:dyDescent="0.2">
      <c r="A25" s="20" t="s">
        <v>242</v>
      </c>
      <c r="B25" s="20" t="s">
        <v>725</v>
      </c>
      <c r="C25" s="20" t="s">
        <v>518</v>
      </c>
      <c r="D25" s="20" t="s">
        <v>724</v>
      </c>
      <c r="E25" s="23" t="s">
        <v>243</v>
      </c>
      <c r="F25" s="23" t="s">
        <v>244</v>
      </c>
      <c r="G25" s="29" t="s">
        <v>621</v>
      </c>
      <c r="H25" s="1" t="s">
        <v>0</v>
      </c>
      <c r="I25" s="21" t="s">
        <v>409</v>
      </c>
      <c r="J25" s="21" t="s">
        <v>410</v>
      </c>
      <c r="K25" s="21" t="s">
        <v>411</v>
      </c>
      <c r="L25" s="22" t="s">
        <v>412</v>
      </c>
      <c r="M25" s="1" t="s">
        <v>252</v>
      </c>
      <c r="N25" s="1" t="s">
        <v>253</v>
      </c>
      <c r="O25" s="1" t="s">
        <v>254</v>
      </c>
      <c r="P25" s="7" t="s">
        <v>255</v>
      </c>
      <c r="Q25" s="20" t="s">
        <v>522</v>
      </c>
      <c r="R25" s="20" t="s">
        <v>4</v>
      </c>
      <c r="S25" s="20" t="s">
        <v>728</v>
      </c>
      <c r="T25" s="20" t="s">
        <v>369</v>
      </c>
      <c r="U25" s="20" t="s">
        <v>406</v>
      </c>
      <c r="V25" s="20" t="s">
        <v>407</v>
      </c>
      <c r="W25" s="20" t="s">
        <v>408</v>
      </c>
      <c r="X25" s="23" t="s">
        <v>449</v>
      </c>
      <c r="Y25" s="20" t="s">
        <v>451</v>
      </c>
      <c r="Z25" s="20" t="s">
        <v>452</v>
      </c>
      <c r="AA25" s="23" t="s">
        <v>453</v>
      </c>
      <c r="AB25" s="23" t="s">
        <v>638</v>
      </c>
      <c r="AC25" s="23" t="s">
        <v>525</v>
      </c>
      <c r="AD25" s="23" t="s">
        <v>526</v>
      </c>
      <c r="AE25" s="23" t="s">
        <v>536</v>
      </c>
      <c r="AF25" s="20" t="s">
        <v>454</v>
      </c>
      <c r="AG25" s="1" t="s">
        <v>455</v>
      </c>
      <c r="AH25" s="1" t="s">
        <v>456</v>
      </c>
      <c r="AI25" s="20" t="s">
        <v>534</v>
      </c>
      <c r="AJ25" s="20" t="s">
        <v>535</v>
      </c>
    </row>
    <row r="27" spans="1:42" x14ac:dyDescent="0.2">
      <c r="A27">
        <v>599</v>
      </c>
      <c r="B27" t="s">
        <v>756</v>
      </c>
      <c r="C27" t="s">
        <v>756</v>
      </c>
      <c r="D27" t="s">
        <v>756</v>
      </c>
      <c r="H27">
        <v>1</v>
      </c>
      <c r="I27" t="s">
        <v>742</v>
      </c>
      <c r="J27" t="s">
        <v>748</v>
      </c>
      <c r="Q27" t="s">
        <v>731</v>
      </c>
      <c r="R27">
        <v>13</v>
      </c>
      <c r="S27">
        <v>1</v>
      </c>
      <c r="T27" t="s">
        <v>367</v>
      </c>
      <c r="U27" t="s">
        <v>6</v>
      </c>
      <c r="V27" t="s">
        <v>181</v>
      </c>
      <c r="W27" t="s">
        <v>53</v>
      </c>
      <c r="X27" t="s">
        <v>594</v>
      </c>
      <c r="AF27" t="s">
        <v>368</v>
      </c>
      <c r="AJ27">
        <v>1</v>
      </c>
      <c r="AM27" t="s">
        <v>6</v>
      </c>
      <c r="AN27" t="s">
        <v>181</v>
      </c>
      <c r="AP27" t="s">
        <v>516</v>
      </c>
    </row>
    <row r="28" spans="1:42" x14ac:dyDescent="0.2">
      <c r="A28">
        <v>599</v>
      </c>
      <c r="B28" t="s">
        <v>756</v>
      </c>
      <c r="C28" t="s">
        <v>756</v>
      </c>
      <c r="D28" t="s">
        <v>756</v>
      </c>
      <c r="H28">
        <v>1</v>
      </c>
      <c r="R28">
        <v>9</v>
      </c>
      <c r="T28" t="s">
        <v>368</v>
      </c>
      <c r="Y28" t="s">
        <v>602</v>
      </c>
      <c r="AA28" t="s">
        <v>595</v>
      </c>
      <c r="AJ28">
        <v>1</v>
      </c>
      <c r="AM28" t="s">
        <v>6</v>
      </c>
      <c r="AN28" t="s">
        <v>181</v>
      </c>
      <c r="AP28" t="s">
        <v>517</v>
      </c>
    </row>
    <row r="29" spans="1:42" x14ac:dyDescent="0.2">
      <c r="A29">
        <v>600</v>
      </c>
      <c r="B29" t="s">
        <v>756</v>
      </c>
      <c r="C29" t="s">
        <v>756</v>
      </c>
      <c r="D29" t="s">
        <v>756</v>
      </c>
      <c r="H29">
        <v>1</v>
      </c>
      <c r="I29" t="s">
        <v>742</v>
      </c>
      <c r="J29" t="s">
        <v>413</v>
      </c>
      <c r="T29" t="s">
        <v>368</v>
      </c>
      <c r="U29" t="s">
        <v>11</v>
      </c>
      <c r="V29" t="s">
        <v>177</v>
      </c>
      <c r="W29" t="s">
        <v>39</v>
      </c>
      <c r="AM29" t="s">
        <v>11</v>
      </c>
      <c r="AN29" t="s">
        <v>177</v>
      </c>
      <c r="AP29" t="s">
        <v>756</v>
      </c>
    </row>
    <row r="30" spans="1:42" x14ac:dyDescent="0.2">
      <c r="A30">
        <v>601</v>
      </c>
      <c r="B30" t="s">
        <v>756</v>
      </c>
      <c r="C30" t="s">
        <v>756</v>
      </c>
      <c r="D30" t="s">
        <v>756</v>
      </c>
      <c r="H30">
        <v>2</v>
      </c>
      <c r="I30" t="s">
        <v>733</v>
      </c>
      <c r="J30" t="s">
        <v>737</v>
      </c>
      <c r="K30" t="s">
        <v>753</v>
      </c>
      <c r="L30" t="s">
        <v>749</v>
      </c>
      <c r="T30" t="s">
        <v>368</v>
      </c>
      <c r="U30" t="s">
        <v>393</v>
      </c>
      <c r="AM30" t="s">
        <v>393</v>
      </c>
      <c r="AN30" t="s">
        <v>756</v>
      </c>
      <c r="AP30" t="s">
        <v>756</v>
      </c>
    </row>
    <row r="31" spans="1:42" x14ac:dyDescent="0.2">
      <c r="A31">
        <v>602</v>
      </c>
      <c r="B31" t="s">
        <v>756</v>
      </c>
      <c r="C31" t="s">
        <v>756</v>
      </c>
      <c r="D31" t="s">
        <v>756</v>
      </c>
      <c r="H31">
        <v>2</v>
      </c>
      <c r="I31" t="s">
        <v>743</v>
      </c>
      <c r="J31" t="s">
        <v>413</v>
      </c>
      <c r="Q31" t="s">
        <v>735</v>
      </c>
      <c r="R31">
        <v>70</v>
      </c>
      <c r="S31">
        <v>1</v>
      </c>
      <c r="T31" t="s">
        <v>367</v>
      </c>
      <c r="U31" t="s">
        <v>5</v>
      </c>
      <c r="V31" t="s">
        <v>197</v>
      </c>
      <c r="AF31" t="s">
        <v>734</v>
      </c>
      <c r="AM31" t="s">
        <v>5</v>
      </c>
      <c r="AN31" t="s">
        <v>197</v>
      </c>
      <c r="AP31" t="s">
        <v>516</v>
      </c>
    </row>
    <row r="34" spans="1:42" x14ac:dyDescent="0.2">
      <c r="A34">
        <v>1438</v>
      </c>
      <c r="B34">
        <v>223</v>
      </c>
      <c r="H34">
        <v>3</v>
      </c>
      <c r="I34" t="s">
        <v>752</v>
      </c>
      <c r="J34" t="s">
        <v>753</v>
      </c>
      <c r="Q34" t="s">
        <v>735</v>
      </c>
      <c r="R34">
        <v>61</v>
      </c>
      <c r="S34">
        <v>1</v>
      </c>
      <c r="T34" t="s">
        <v>367</v>
      </c>
      <c r="U34" t="s">
        <v>6</v>
      </c>
      <c r="V34" t="s">
        <v>240</v>
      </c>
      <c r="AF34" t="s">
        <v>368</v>
      </c>
      <c r="AM34" t="s">
        <v>6</v>
      </c>
      <c r="AN34" t="s">
        <v>240</v>
      </c>
      <c r="AP34" t="s">
        <v>516</v>
      </c>
    </row>
    <row r="35" spans="1:42" x14ac:dyDescent="0.2">
      <c r="A35">
        <v>1438</v>
      </c>
      <c r="B35">
        <v>223</v>
      </c>
      <c r="H35">
        <v>3</v>
      </c>
      <c r="R35">
        <v>30</v>
      </c>
      <c r="T35" t="s">
        <v>368</v>
      </c>
      <c r="AM35" t="s">
        <v>6</v>
      </c>
      <c r="AN35" t="s">
        <v>240</v>
      </c>
      <c r="AP35" t="s">
        <v>517</v>
      </c>
    </row>
    <row r="36" spans="1:42" x14ac:dyDescent="0.2">
      <c r="A36">
        <v>1439</v>
      </c>
      <c r="B36">
        <v>223</v>
      </c>
      <c r="H36">
        <v>3</v>
      </c>
      <c r="I36" t="s">
        <v>752</v>
      </c>
      <c r="J36" t="s">
        <v>753</v>
      </c>
      <c r="Q36" t="s">
        <v>735</v>
      </c>
      <c r="R36">
        <v>61</v>
      </c>
      <c r="S36">
        <v>1</v>
      </c>
      <c r="T36" t="s">
        <v>367</v>
      </c>
      <c r="U36" t="s">
        <v>8</v>
      </c>
      <c r="V36" t="s">
        <v>213</v>
      </c>
      <c r="W36" t="s">
        <v>216</v>
      </c>
      <c r="AF36" t="s">
        <v>368</v>
      </c>
      <c r="AM36" t="s">
        <v>8</v>
      </c>
      <c r="AN36" t="s">
        <v>213</v>
      </c>
      <c r="AP36" t="s">
        <v>516</v>
      </c>
    </row>
    <row r="37" spans="1:42" x14ac:dyDescent="0.2">
      <c r="A37">
        <v>1439</v>
      </c>
      <c r="B37">
        <v>223</v>
      </c>
      <c r="H37">
        <v>3</v>
      </c>
      <c r="R37">
        <v>30</v>
      </c>
      <c r="T37" t="s">
        <v>368</v>
      </c>
      <c r="AM37" t="s">
        <v>8</v>
      </c>
      <c r="AN37" t="s">
        <v>213</v>
      </c>
      <c r="AP37" t="s">
        <v>517</v>
      </c>
    </row>
    <row r="38" spans="1:42" x14ac:dyDescent="0.2">
      <c r="A38">
        <v>1440</v>
      </c>
      <c r="B38">
        <v>223</v>
      </c>
      <c r="H38">
        <v>3</v>
      </c>
      <c r="I38" t="s">
        <v>752</v>
      </c>
      <c r="J38" t="s">
        <v>753</v>
      </c>
      <c r="Q38" t="s">
        <v>735</v>
      </c>
      <c r="R38">
        <v>61</v>
      </c>
      <c r="S38">
        <v>1</v>
      </c>
      <c r="T38" t="s">
        <v>367</v>
      </c>
      <c r="U38" t="s">
        <v>11</v>
      </c>
      <c r="V38" t="s">
        <v>187</v>
      </c>
      <c r="W38" t="s">
        <v>40</v>
      </c>
      <c r="AF38" t="s">
        <v>368</v>
      </c>
      <c r="AJ38">
        <v>1</v>
      </c>
      <c r="AM38" t="s">
        <v>11</v>
      </c>
      <c r="AN38" t="s">
        <v>187</v>
      </c>
      <c r="AP38" t="s">
        <v>756</v>
      </c>
    </row>
    <row r="39" spans="1:42" x14ac:dyDescent="0.2">
      <c r="A39">
        <v>1441</v>
      </c>
      <c r="B39">
        <v>223</v>
      </c>
      <c r="H39">
        <v>3</v>
      </c>
      <c r="I39" t="s">
        <v>752</v>
      </c>
      <c r="J39" t="s">
        <v>753</v>
      </c>
      <c r="K39" t="s">
        <v>752</v>
      </c>
      <c r="L39" t="s">
        <v>738</v>
      </c>
      <c r="Q39" t="s">
        <v>735</v>
      </c>
      <c r="R39">
        <v>61</v>
      </c>
      <c r="S39">
        <v>1</v>
      </c>
      <c r="T39" t="s">
        <v>367</v>
      </c>
      <c r="U39" t="s">
        <v>241</v>
      </c>
      <c r="AF39" t="s">
        <v>368</v>
      </c>
      <c r="AJ39">
        <v>1</v>
      </c>
      <c r="AM39" t="s">
        <v>241</v>
      </c>
      <c r="AN39" t="s">
        <v>756</v>
      </c>
      <c r="AP39" t="s">
        <v>756</v>
      </c>
    </row>
    <row r="43" spans="1:42" x14ac:dyDescent="0.2">
      <c r="A43">
        <v>1590</v>
      </c>
      <c r="H43">
        <v>3</v>
      </c>
      <c r="I43" t="s">
        <v>742</v>
      </c>
      <c r="J43" t="s">
        <v>739</v>
      </c>
      <c r="Q43" t="s">
        <v>735</v>
      </c>
      <c r="R43">
        <v>84</v>
      </c>
      <c r="S43">
        <v>1</v>
      </c>
      <c r="T43" t="s">
        <v>367</v>
      </c>
      <c r="U43" t="s">
        <v>417</v>
      </c>
      <c r="AF43" t="s">
        <v>736</v>
      </c>
      <c r="AJ43">
        <v>1</v>
      </c>
      <c r="AM43" t="s">
        <v>417</v>
      </c>
      <c r="AN43" t="s">
        <v>756</v>
      </c>
      <c r="AP43" t="s">
        <v>516</v>
      </c>
    </row>
    <row r="44" spans="1:42" x14ac:dyDescent="0.2">
      <c r="A44">
        <v>1590</v>
      </c>
      <c r="H44">
        <v>3</v>
      </c>
      <c r="R44">
        <v>3</v>
      </c>
      <c r="T44" t="s">
        <v>368</v>
      </c>
      <c r="AJ44">
        <v>1</v>
      </c>
      <c r="AM44" t="s">
        <v>417</v>
      </c>
      <c r="AN44" t="s">
        <v>756</v>
      </c>
      <c r="AP44" t="s">
        <v>517</v>
      </c>
    </row>
    <row r="45" spans="1:42" x14ac:dyDescent="0.2">
      <c r="A45">
        <v>1591</v>
      </c>
      <c r="B45">
        <v>247</v>
      </c>
      <c r="H45">
        <v>3</v>
      </c>
      <c r="I45" t="s">
        <v>742</v>
      </c>
      <c r="J45" t="s">
        <v>740</v>
      </c>
      <c r="Q45" t="s">
        <v>731</v>
      </c>
      <c r="R45">
        <v>18</v>
      </c>
      <c r="S45">
        <v>1</v>
      </c>
      <c r="T45" t="s">
        <v>367</v>
      </c>
      <c r="U45" t="s">
        <v>6</v>
      </c>
      <c r="V45" t="s">
        <v>205</v>
      </c>
      <c r="W45" t="s">
        <v>51</v>
      </c>
      <c r="X45" t="s">
        <v>595</v>
      </c>
      <c r="AF45" t="s">
        <v>368</v>
      </c>
      <c r="AM45" t="s">
        <v>6</v>
      </c>
      <c r="AN45" t="s">
        <v>205</v>
      </c>
      <c r="AP45" t="s">
        <v>516</v>
      </c>
    </row>
    <row r="46" spans="1:42" x14ac:dyDescent="0.2">
      <c r="A46">
        <v>1591</v>
      </c>
      <c r="B46">
        <v>247</v>
      </c>
      <c r="H46">
        <v>3</v>
      </c>
      <c r="R46">
        <v>77</v>
      </c>
      <c r="S46">
        <v>1</v>
      </c>
      <c r="T46" t="s">
        <v>367</v>
      </c>
      <c r="Y46" t="s">
        <v>684</v>
      </c>
      <c r="AM46" t="s">
        <v>6</v>
      </c>
      <c r="AN46" t="s">
        <v>205</v>
      </c>
      <c r="AP46" t="s">
        <v>516</v>
      </c>
    </row>
    <row r="47" spans="1:42" x14ac:dyDescent="0.2">
      <c r="A47">
        <v>1591</v>
      </c>
      <c r="B47">
        <v>247</v>
      </c>
      <c r="H47">
        <v>3</v>
      </c>
      <c r="R47">
        <v>39</v>
      </c>
      <c r="T47" t="s">
        <v>368</v>
      </c>
      <c r="AM47" t="s">
        <v>6</v>
      </c>
      <c r="AN47" t="s">
        <v>205</v>
      </c>
      <c r="AP47" t="s">
        <v>517</v>
      </c>
    </row>
    <row r="48" spans="1:42" x14ac:dyDescent="0.2">
      <c r="A48">
        <v>1592</v>
      </c>
      <c r="B48">
        <v>247</v>
      </c>
      <c r="H48">
        <v>3</v>
      </c>
      <c r="I48" t="s">
        <v>742</v>
      </c>
      <c r="J48" t="s">
        <v>740</v>
      </c>
      <c r="Q48" t="s">
        <v>735</v>
      </c>
      <c r="R48">
        <v>39</v>
      </c>
      <c r="S48">
        <v>1</v>
      </c>
      <c r="T48" t="s">
        <v>367</v>
      </c>
      <c r="U48" t="s">
        <v>15</v>
      </c>
      <c r="V48" t="s">
        <v>179</v>
      </c>
      <c r="W48" t="s">
        <v>95</v>
      </c>
      <c r="AF48" t="s">
        <v>736</v>
      </c>
      <c r="AM48" t="s">
        <v>15</v>
      </c>
      <c r="AN48" t="s">
        <v>179</v>
      </c>
      <c r="AP48" t="s">
        <v>517</v>
      </c>
    </row>
    <row r="49" spans="1:42" x14ac:dyDescent="0.2">
      <c r="A49">
        <v>1592</v>
      </c>
      <c r="B49">
        <v>247</v>
      </c>
      <c r="H49">
        <v>3</v>
      </c>
      <c r="R49">
        <v>18</v>
      </c>
      <c r="T49" t="s">
        <v>368</v>
      </c>
      <c r="AM49" t="s">
        <v>15</v>
      </c>
      <c r="AN49" t="s">
        <v>179</v>
      </c>
      <c r="AP49" t="s">
        <v>516</v>
      </c>
    </row>
    <row r="50" spans="1:42" x14ac:dyDescent="0.2">
      <c r="A50">
        <v>1592</v>
      </c>
      <c r="B50">
        <v>247</v>
      </c>
      <c r="H50">
        <v>3</v>
      </c>
      <c r="R50">
        <v>77</v>
      </c>
      <c r="T50" t="s">
        <v>368</v>
      </c>
      <c r="Y50" t="s">
        <v>684</v>
      </c>
      <c r="AM50" t="s">
        <v>15</v>
      </c>
      <c r="AN50" t="s">
        <v>179</v>
      </c>
      <c r="AP50" t="s">
        <v>516</v>
      </c>
    </row>
    <row r="51" spans="1:42" x14ac:dyDescent="0.2">
      <c r="A51">
        <v>1593</v>
      </c>
      <c r="B51">
        <v>247</v>
      </c>
      <c r="H51">
        <v>3</v>
      </c>
      <c r="I51" t="s">
        <v>742</v>
      </c>
      <c r="J51" t="s">
        <v>740</v>
      </c>
      <c r="Q51" t="s">
        <v>735</v>
      </c>
      <c r="R51">
        <v>39</v>
      </c>
      <c r="S51">
        <v>1</v>
      </c>
      <c r="T51" t="s">
        <v>367</v>
      </c>
      <c r="AF51" t="s">
        <v>736</v>
      </c>
      <c r="AM51" t="s">
        <v>756</v>
      </c>
      <c r="AN51" t="s">
        <v>756</v>
      </c>
      <c r="AP51" t="s">
        <v>516</v>
      </c>
    </row>
    <row r="52" spans="1:42" x14ac:dyDescent="0.2">
      <c r="A52">
        <v>1594</v>
      </c>
      <c r="H52">
        <v>3</v>
      </c>
      <c r="I52" t="s">
        <v>742</v>
      </c>
      <c r="J52" t="s">
        <v>741</v>
      </c>
      <c r="Q52" t="s">
        <v>731</v>
      </c>
      <c r="R52">
        <v>56</v>
      </c>
      <c r="S52">
        <v>1</v>
      </c>
      <c r="T52" t="s">
        <v>367</v>
      </c>
      <c r="U52" t="s">
        <v>13</v>
      </c>
      <c r="V52" t="s">
        <v>587</v>
      </c>
      <c r="X52" t="s">
        <v>594</v>
      </c>
      <c r="Y52" t="s">
        <v>611</v>
      </c>
      <c r="AA52" t="s">
        <v>594</v>
      </c>
      <c r="AF52" t="s">
        <v>368</v>
      </c>
      <c r="AM52" t="s">
        <v>13</v>
      </c>
      <c r="AN52" t="s">
        <v>587</v>
      </c>
      <c r="AP52" t="s">
        <v>516</v>
      </c>
    </row>
    <row r="53" spans="1:42" x14ac:dyDescent="0.2">
      <c r="A53">
        <v>1595</v>
      </c>
      <c r="H53">
        <v>3</v>
      </c>
      <c r="I53" t="s">
        <v>742</v>
      </c>
      <c r="J53" t="s">
        <v>741</v>
      </c>
      <c r="Q53" t="s">
        <v>731</v>
      </c>
      <c r="R53">
        <v>56</v>
      </c>
      <c r="S53">
        <v>1</v>
      </c>
      <c r="T53" t="s">
        <v>367</v>
      </c>
      <c r="U53" t="s">
        <v>7</v>
      </c>
      <c r="V53" t="s">
        <v>182</v>
      </c>
      <c r="W53" t="s">
        <v>68</v>
      </c>
      <c r="X53" t="s">
        <v>594</v>
      </c>
      <c r="Y53" t="s">
        <v>654</v>
      </c>
      <c r="AA53" t="s">
        <v>594</v>
      </c>
      <c r="AF53" t="s">
        <v>368</v>
      </c>
      <c r="AJ53">
        <v>1</v>
      </c>
      <c r="AM53" t="s">
        <v>7</v>
      </c>
      <c r="AN53" t="s">
        <v>182</v>
      </c>
      <c r="AP53" t="s">
        <v>516</v>
      </c>
    </row>
    <row r="54" spans="1:42" x14ac:dyDescent="0.2">
      <c r="A54">
        <v>1595</v>
      </c>
      <c r="H54">
        <v>3</v>
      </c>
      <c r="R54">
        <v>3</v>
      </c>
      <c r="S54">
        <v>1</v>
      </c>
      <c r="T54" t="s">
        <v>367</v>
      </c>
      <c r="AM54" t="s">
        <v>7</v>
      </c>
      <c r="AN54" t="s">
        <v>182</v>
      </c>
      <c r="AP54" t="s">
        <v>516</v>
      </c>
    </row>
    <row r="55" spans="1:42" x14ac:dyDescent="0.2">
      <c r="A55">
        <v>1595</v>
      </c>
      <c r="H55">
        <v>3</v>
      </c>
      <c r="R55">
        <v>91</v>
      </c>
      <c r="T55" t="s">
        <v>368</v>
      </c>
      <c r="AJ55">
        <v>1</v>
      </c>
      <c r="AM55" t="s">
        <v>7</v>
      </c>
      <c r="AN55" t="s">
        <v>182</v>
      </c>
      <c r="AP55" t="s">
        <v>517</v>
      </c>
    </row>
    <row r="56" spans="1:42" x14ac:dyDescent="0.2">
      <c r="A56">
        <v>1596</v>
      </c>
      <c r="H56">
        <v>3</v>
      </c>
      <c r="I56" t="s">
        <v>742</v>
      </c>
      <c r="J56" t="s">
        <v>741</v>
      </c>
      <c r="Q56" t="s">
        <v>735</v>
      </c>
      <c r="S56">
        <v>1</v>
      </c>
      <c r="T56" t="s">
        <v>367</v>
      </c>
      <c r="U56" t="s">
        <v>238</v>
      </c>
      <c r="V56" t="s">
        <v>184</v>
      </c>
      <c r="W56" t="s">
        <v>378</v>
      </c>
      <c r="AF56" t="s">
        <v>736</v>
      </c>
      <c r="AM56" t="s">
        <v>238</v>
      </c>
      <c r="AN56" t="s">
        <v>184</v>
      </c>
      <c r="AP56" t="s">
        <v>516</v>
      </c>
    </row>
    <row r="57" spans="1:42" x14ac:dyDescent="0.2">
      <c r="A57">
        <v>1597</v>
      </c>
      <c r="H57">
        <v>3</v>
      </c>
      <c r="I57" t="s">
        <v>742</v>
      </c>
      <c r="J57" t="s">
        <v>732</v>
      </c>
      <c r="K57" t="s">
        <v>742</v>
      </c>
      <c r="L57" t="s">
        <v>744</v>
      </c>
      <c r="Q57" t="s">
        <v>731</v>
      </c>
      <c r="R57">
        <v>44</v>
      </c>
      <c r="S57">
        <v>1</v>
      </c>
      <c r="T57" t="s">
        <v>367</v>
      </c>
      <c r="U57" t="s">
        <v>13</v>
      </c>
      <c r="V57" t="s">
        <v>587</v>
      </c>
      <c r="X57" t="s">
        <v>595</v>
      </c>
      <c r="Y57" t="s">
        <v>618</v>
      </c>
      <c r="AA57" t="s">
        <v>595</v>
      </c>
      <c r="AF57" t="s">
        <v>734</v>
      </c>
      <c r="AM57" t="s">
        <v>13</v>
      </c>
      <c r="AN57" t="s">
        <v>587</v>
      </c>
      <c r="AP57" t="s">
        <v>516</v>
      </c>
    </row>
    <row r="58" spans="1:42" x14ac:dyDescent="0.2">
      <c r="A58">
        <v>1598</v>
      </c>
      <c r="H58">
        <v>3</v>
      </c>
      <c r="I58" t="s">
        <v>742</v>
      </c>
      <c r="J58" t="s">
        <v>744</v>
      </c>
      <c r="Q58" t="s">
        <v>731</v>
      </c>
      <c r="R58">
        <v>44</v>
      </c>
      <c r="S58">
        <v>1</v>
      </c>
      <c r="T58" t="s">
        <v>367</v>
      </c>
      <c r="U58" t="s">
        <v>7</v>
      </c>
      <c r="V58" t="s">
        <v>172</v>
      </c>
      <c r="W58" t="s">
        <v>68</v>
      </c>
      <c r="X58" t="s">
        <v>595</v>
      </c>
      <c r="AF58" t="s">
        <v>734</v>
      </c>
      <c r="AM58" t="s">
        <v>7</v>
      </c>
      <c r="AN58" t="s">
        <v>172</v>
      </c>
      <c r="AP58" t="s">
        <v>516</v>
      </c>
    </row>
    <row r="59" spans="1:42" x14ac:dyDescent="0.2">
      <c r="A59">
        <v>1598</v>
      </c>
      <c r="H59">
        <v>3</v>
      </c>
      <c r="R59">
        <v>18</v>
      </c>
      <c r="S59">
        <v>1</v>
      </c>
      <c r="T59" t="s">
        <v>367</v>
      </c>
      <c r="AM59" t="s">
        <v>7</v>
      </c>
      <c r="AN59" t="s">
        <v>172</v>
      </c>
      <c r="AP59" t="s">
        <v>516</v>
      </c>
    </row>
    <row r="60" spans="1:42" x14ac:dyDescent="0.2">
      <c r="A60">
        <v>1599</v>
      </c>
      <c r="H60">
        <v>3</v>
      </c>
      <c r="I60" t="s">
        <v>742</v>
      </c>
      <c r="J60" t="s">
        <v>745</v>
      </c>
      <c r="Q60" t="s">
        <v>731</v>
      </c>
      <c r="R60">
        <v>18</v>
      </c>
      <c r="S60">
        <v>1</v>
      </c>
      <c r="T60" t="s">
        <v>367</v>
      </c>
      <c r="U60" t="s">
        <v>238</v>
      </c>
      <c r="V60" t="s">
        <v>174</v>
      </c>
      <c r="W60" t="s">
        <v>85</v>
      </c>
      <c r="X60" t="s">
        <v>594</v>
      </c>
      <c r="AF60" t="s">
        <v>368</v>
      </c>
      <c r="AJ60">
        <v>1</v>
      </c>
      <c r="AM60" t="s">
        <v>238</v>
      </c>
      <c r="AN60" t="s">
        <v>174</v>
      </c>
      <c r="AP60" t="s">
        <v>516</v>
      </c>
    </row>
    <row r="61" spans="1:42" x14ac:dyDescent="0.2">
      <c r="A61">
        <v>1599</v>
      </c>
      <c r="H61">
        <v>3</v>
      </c>
      <c r="R61">
        <v>24</v>
      </c>
      <c r="T61" t="s">
        <v>368</v>
      </c>
      <c r="AJ61">
        <v>1</v>
      </c>
      <c r="AM61" t="s">
        <v>238</v>
      </c>
      <c r="AN61" t="s">
        <v>174</v>
      </c>
      <c r="AP61" t="s">
        <v>517</v>
      </c>
    </row>
    <row r="62" spans="1:42" x14ac:dyDescent="0.2">
      <c r="A62">
        <v>1600</v>
      </c>
      <c r="H62">
        <v>3</v>
      </c>
      <c r="I62" t="s">
        <v>742</v>
      </c>
      <c r="J62" t="s">
        <v>746</v>
      </c>
      <c r="Q62" t="s">
        <v>735</v>
      </c>
      <c r="R62">
        <v>24</v>
      </c>
      <c r="S62">
        <v>1</v>
      </c>
      <c r="T62" t="s">
        <v>367</v>
      </c>
      <c r="U62" t="s">
        <v>9</v>
      </c>
      <c r="V62" t="s">
        <v>183</v>
      </c>
      <c r="W62" t="s">
        <v>79</v>
      </c>
      <c r="X62" t="s">
        <v>595</v>
      </c>
      <c r="Y62" t="s">
        <v>631</v>
      </c>
      <c r="AA62" t="s">
        <v>595</v>
      </c>
      <c r="AF62" t="s">
        <v>736</v>
      </c>
      <c r="AJ62">
        <v>1</v>
      </c>
      <c r="AM62" t="s">
        <v>9</v>
      </c>
      <c r="AN62" t="s">
        <v>183</v>
      </c>
      <c r="AP62" t="s">
        <v>517</v>
      </c>
    </row>
    <row r="63" spans="1:42" x14ac:dyDescent="0.2">
      <c r="A63">
        <v>1600</v>
      </c>
      <c r="H63">
        <v>3</v>
      </c>
      <c r="R63">
        <v>91</v>
      </c>
      <c r="S63">
        <v>1</v>
      </c>
      <c r="T63" t="s">
        <v>367</v>
      </c>
      <c r="Y63" t="s">
        <v>602</v>
      </c>
      <c r="AA63" t="s">
        <v>595</v>
      </c>
      <c r="AJ63">
        <v>1</v>
      </c>
      <c r="AM63" t="s">
        <v>9</v>
      </c>
      <c r="AN63" t="s">
        <v>183</v>
      </c>
      <c r="AP63" t="s">
        <v>517</v>
      </c>
    </row>
    <row r="64" spans="1:42" x14ac:dyDescent="0.2">
      <c r="A64">
        <v>1600</v>
      </c>
      <c r="H64">
        <v>3</v>
      </c>
      <c r="R64">
        <v>18</v>
      </c>
      <c r="T64" t="s">
        <v>368</v>
      </c>
      <c r="AJ64">
        <v>1</v>
      </c>
      <c r="AM64" t="s">
        <v>9</v>
      </c>
      <c r="AN64" t="s">
        <v>183</v>
      </c>
      <c r="AP64" t="s">
        <v>516</v>
      </c>
    </row>
    <row r="65" spans="1:42" x14ac:dyDescent="0.2">
      <c r="A65">
        <v>1601</v>
      </c>
      <c r="B65">
        <v>248</v>
      </c>
      <c r="H65">
        <v>3</v>
      </c>
      <c r="I65" t="s">
        <v>742</v>
      </c>
      <c r="J65" t="s">
        <v>754</v>
      </c>
      <c r="Q65" t="s">
        <v>735</v>
      </c>
      <c r="R65">
        <v>84</v>
      </c>
      <c r="S65">
        <v>1</v>
      </c>
      <c r="T65" t="s">
        <v>367</v>
      </c>
      <c r="U65" t="s">
        <v>10</v>
      </c>
      <c r="V65" t="s">
        <v>175</v>
      </c>
      <c r="W65" t="s">
        <v>139</v>
      </c>
      <c r="AF65" t="s">
        <v>736</v>
      </c>
      <c r="AM65" t="s">
        <v>10</v>
      </c>
      <c r="AN65" t="s">
        <v>175</v>
      </c>
      <c r="AP65" t="s">
        <v>516</v>
      </c>
    </row>
    <row r="66" spans="1:42" x14ac:dyDescent="0.2">
      <c r="A66">
        <v>1602</v>
      </c>
      <c r="B66">
        <v>248</v>
      </c>
      <c r="H66">
        <v>3</v>
      </c>
      <c r="I66" t="s">
        <v>742</v>
      </c>
      <c r="J66" t="s">
        <v>754</v>
      </c>
      <c r="K66" t="s">
        <v>742</v>
      </c>
      <c r="L66" t="s">
        <v>413</v>
      </c>
      <c r="Q66" t="s">
        <v>735</v>
      </c>
      <c r="R66">
        <v>84</v>
      </c>
      <c r="S66">
        <v>1</v>
      </c>
      <c r="T66" t="s">
        <v>367</v>
      </c>
      <c r="U66" t="s">
        <v>11</v>
      </c>
      <c r="V66" t="s">
        <v>177</v>
      </c>
      <c r="W66" t="s">
        <v>39</v>
      </c>
      <c r="AF66" t="s">
        <v>736</v>
      </c>
      <c r="AM66" t="s">
        <v>11</v>
      </c>
      <c r="AN66" t="s">
        <v>177</v>
      </c>
      <c r="AP66" t="s">
        <v>756</v>
      </c>
    </row>
  </sheetData>
  <conditionalFormatting sqref="A25:AJ25">
    <cfRule type="expression" dxfId="7" priority="1" stopIfTrue="1">
      <formula>$A25&lt;$A26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47B2-7444-B245-A004-A349BFD42DF6}">
  <dimension ref="A1:C72"/>
  <sheetViews>
    <sheetView workbookViewId="0">
      <selection activeCell="A7" sqref="A7"/>
    </sheetView>
  </sheetViews>
  <sheetFormatPr baseColWidth="10" defaultRowHeight="16" x14ac:dyDescent="0.2"/>
  <cols>
    <col min="1" max="1" width="57.6640625" customWidth="1"/>
    <col min="3" max="3" width="18.83203125" customWidth="1"/>
  </cols>
  <sheetData>
    <row r="1" spans="1:3" ht="17" x14ac:dyDescent="0.2">
      <c r="A1" s="30" t="s">
        <v>356</v>
      </c>
      <c r="C1" s="33" t="s">
        <v>638</v>
      </c>
    </row>
    <row r="2" spans="1:3" ht="17" x14ac:dyDescent="0.2">
      <c r="A2" s="31" t="s">
        <v>357</v>
      </c>
      <c r="C2" s="33" t="s">
        <v>525</v>
      </c>
    </row>
    <row r="3" spans="1:3" ht="17" x14ac:dyDescent="0.2">
      <c r="A3" s="31" t="s">
        <v>358</v>
      </c>
      <c r="C3" s="33" t="s">
        <v>526</v>
      </c>
    </row>
    <row r="4" spans="1:3" ht="17" x14ac:dyDescent="0.2">
      <c r="A4" s="31" t="s">
        <v>256</v>
      </c>
      <c r="C4" s="33" t="s">
        <v>536</v>
      </c>
    </row>
    <row r="5" spans="1:3" x14ac:dyDescent="0.2">
      <c r="A5" s="32" t="s">
        <v>245</v>
      </c>
    </row>
    <row r="6" spans="1:3" x14ac:dyDescent="0.2">
      <c r="A6" s="31" t="s">
        <v>370</v>
      </c>
    </row>
    <row r="7" spans="1:3" x14ac:dyDescent="0.2">
      <c r="A7" s="30" t="s">
        <v>397</v>
      </c>
    </row>
    <row r="8" spans="1:3" x14ac:dyDescent="0.2">
      <c r="A8" s="31" t="s">
        <v>396</v>
      </c>
    </row>
    <row r="9" spans="1:3" x14ac:dyDescent="0.2">
      <c r="A9" s="31" t="s">
        <v>403</v>
      </c>
    </row>
    <row r="10" spans="1:3" x14ac:dyDescent="0.2">
      <c r="A10" s="31" t="s">
        <v>394</v>
      </c>
    </row>
    <row r="11" spans="1:3" x14ac:dyDescent="0.2">
      <c r="A11" s="31" t="s">
        <v>395</v>
      </c>
    </row>
    <row r="12" spans="1:3" x14ac:dyDescent="0.2">
      <c r="A12" s="31" t="s">
        <v>459</v>
      </c>
    </row>
    <row r="13" spans="1:3" x14ac:dyDescent="0.2">
      <c r="A13" s="31" t="s">
        <v>649</v>
      </c>
    </row>
    <row r="14" spans="1:3" x14ac:dyDescent="0.2">
      <c r="A14" s="31" t="s">
        <v>460</v>
      </c>
    </row>
    <row r="15" spans="1:3" x14ac:dyDescent="0.2">
      <c r="A15" s="31" t="s">
        <v>461</v>
      </c>
    </row>
    <row r="16" spans="1:3" x14ac:dyDescent="0.2">
      <c r="A16" s="31" t="s">
        <v>650</v>
      </c>
    </row>
    <row r="17" spans="1:1" x14ac:dyDescent="0.2">
      <c r="A17" s="31" t="s">
        <v>457</v>
      </c>
    </row>
    <row r="18" spans="1:1" x14ac:dyDescent="0.2">
      <c r="A18" s="31" t="s">
        <v>458</v>
      </c>
    </row>
    <row r="19" spans="1:1" x14ac:dyDescent="0.2">
      <c r="A19" s="31" t="s">
        <v>462</v>
      </c>
    </row>
    <row r="20" spans="1:1" x14ac:dyDescent="0.2">
      <c r="A20" s="31" t="s">
        <v>463</v>
      </c>
    </row>
    <row r="21" spans="1:1" x14ac:dyDescent="0.2">
      <c r="A21" s="31" t="s">
        <v>464</v>
      </c>
    </row>
    <row r="22" spans="1:1" x14ac:dyDescent="0.2">
      <c r="A22" s="31" t="s">
        <v>465</v>
      </c>
    </row>
    <row r="23" spans="1:1" x14ac:dyDescent="0.2">
      <c r="A23" s="31" t="s">
        <v>466</v>
      </c>
    </row>
    <row r="24" spans="1:1" x14ac:dyDescent="0.2">
      <c r="A24" s="31" t="s">
        <v>466</v>
      </c>
    </row>
    <row r="25" spans="1:1" x14ac:dyDescent="0.2">
      <c r="A25" s="31" t="s">
        <v>467</v>
      </c>
    </row>
    <row r="26" spans="1:1" x14ac:dyDescent="0.2">
      <c r="A26" s="31" t="s">
        <v>468</v>
      </c>
    </row>
    <row r="27" spans="1:1" x14ac:dyDescent="0.2">
      <c r="A27" s="31" t="s">
        <v>469</v>
      </c>
    </row>
    <row r="28" spans="1:1" x14ac:dyDescent="0.2">
      <c r="A28" s="31" t="s">
        <v>470</v>
      </c>
    </row>
    <row r="29" spans="1:1" x14ac:dyDescent="0.2">
      <c r="A29" s="31" t="s">
        <v>471</v>
      </c>
    </row>
    <row r="30" spans="1:1" x14ac:dyDescent="0.2">
      <c r="A30" s="31" t="s">
        <v>473</v>
      </c>
    </row>
    <row r="31" spans="1:1" x14ac:dyDescent="0.2">
      <c r="A31" s="31" t="s">
        <v>472</v>
      </c>
    </row>
    <row r="32" spans="1:1" x14ac:dyDescent="0.2">
      <c r="A32" s="31" t="s">
        <v>474</v>
      </c>
    </row>
    <row r="33" spans="1:1" x14ac:dyDescent="0.2">
      <c r="A33" s="31" t="s">
        <v>475</v>
      </c>
    </row>
    <row r="34" spans="1:1" x14ac:dyDescent="0.2">
      <c r="A34" s="31" t="s">
        <v>476</v>
      </c>
    </row>
    <row r="35" spans="1:1" x14ac:dyDescent="0.2">
      <c r="A35" s="31" t="s">
        <v>477</v>
      </c>
    </row>
    <row r="36" spans="1:1" x14ac:dyDescent="0.2">
      <c r="A36" s="31" t="s">
        <v>478</v>
      </c>
    </row>
    <row r="37" spans="1:1" x14ac:dyDescent="0.2">
      <c r="A37" s="31" t="s">
        <v>479</v>
      </c>
    </row>
    <row r="38" spans="1:1" x14ac:dyDescent="0.2">
      <c r="A38" s="31" t="s">
        <v>480</v>
      </c>
    </row>
    <row r="39" spans="1:1" x14ac:dyDescent="0.2">
      <c r="A39" s="31" t="s">
        <v>481</v>
      </c>
    </row>
    <row r="40" spans="1:1" x14ac:dyDescent="0.2">
      <c r="A40" s="31" t="s">
        <v>482</v>
      </c>
    </row>
    <row r="41" spans="1:1" x14ac:dyDescent="0.2">
      <c r="A41" s="31" t="s">
        <v>483</v>
      </c>
    </row>
    <row r="42" spans="1:1" x14ac:dyDescent="0.2">
      <c r="A42" s="31" t="s">
        <v>484</v>
      </c>
    </row>
    <row r="43" spans="1:1" x14ac:dyDescent="0.2">
      <c r="A43" s="31" t="s">
        <v>485</v>
      </c>
    </row>
    <row r="44" spans="1:1" x14ac:dyDescent="0.2">
      <c r="A44" s="31" t="s">
        <v>486</v>
      </c>
    </row>
    <row r="45" spans="1:1" x14ac:dyDescent="0.2">
      <c r="A45" s="31" t="s">
        <v>487</v>
      </c>
    </row>
    <row r="46" spans="1:1" x14ac:dyDescent="0.2">
      <c r="A46" s="31" t="s">
        <v>488</v>
      </c>
    </row>
    <row r="47" spans="1:1" x14ac:dyDescent="0.2">
      <c r="A47" s="31" t="s">
        <v>489</v>
      </c>
    </row>
    <row r="48" spans="1:1" x14ac:dyDescent="0.2">
      <c r="A48" s="31" t="s">
        <v>490</v>
      </c>
    </row>
    <row r="49" spans="1:1" x14ac:dyDescent="0.2">
      <c r="A49" s="31" t="s">
        <v>491</v>
      </c>
    </row>
    <row r="50" spans="1:1" x14ac:dyDescent="0.2">
      <c r="A50" s="31" t="s">
        <v>492</v>
      </c>
    </row>
    <row r="51" spans="1:1" x14ac:dyDescent="0.2">
      <c r="A51" s="31" t="s">
        <v>493</v>
      </c>
    </row>
    <row r="52" spans="1:1" x14ac:dyDescent="0.2">
      <c r="A52" s="31" t="s">
        <v>494</v>
      </c>
    </row>
    <row r="53" spans="1:1" x14ac:dyDescent="0.2">
      <c r="A53" s="31" t="s">
        <v>495</v>
      </c>
    </row>
    <row r="54" spans="1:1" x14ac:dyDescent="0.2">
      <c r="A54" s="31" t="s">
        <v>497</v>
      </c>
    </row>
    <row r="55" spans="1:1" x14ac:dyDescent="0.2">
      <c r="A55" s="31" t="s">
        <v>496</v>
      </c>
    </row>
    <row r="56" spans="1:1" x14ac:dyDescent="0.2">
      <c r="A56" s="31" t="s">
        <v>498</v>
      </c>
    </row>
    <row r="57" spans="1:1" x14ac:dyDescent="0.2">
      <c r="A57" s="31" t="s">
        <v>499</v>
      </c>
    </row>
    <row r="58" spans="1:1" x14ac:dyDescent="0.2">
      <c r="A58" s="31" t="s">
        <v>500</v>
      </c>
    </row>
    <row r="59" spans="1:1" x14ac:dyDescent="0.2">
      <c r="A59" s="31" t="s">
        <v>501</v>
      </c>
    </row>
    <row r="60" spans="1:1" x14ac:dyDescent="0.2">
      <c r="A60" s="31" t="s">
        <v>502</v>
      </c>
    </row>
    <row r="61" spans="1:1" x14ac:dyDescent="0.2">
      <c r="A61" s="31" t="s">
        <v>503</v>
      </c>
    </row>
    <row r="62" spans="1:1" x14ac:dyDescent="0.2">
      <c r="A62" s="31" t="s">
        <v>504</v>
      </c>
    </row>
    <row r="63" spans="1:1" x14ac:dyDescent="0.2">
      <c r="A63" s="31" t="s">
        <v>505</v>
      </c>
    </row>
    <row r="64" spans="1:1" x14ac:dyDescent="0.2">
      <c r="A64" s="31" t="s">
        <v>506</v>
      </c>
    </row>
    <row r="65" spans="1:1" x14ac:dyDescent="0.2">
      <c r="A65" s="31" t="s">
        <v>507</v>
      </c>
    </row>
    <row r="66" spans="1:1" x14ac:dyDescent="0.2">
      <c r="A66" s="31" t="s">
        <v>508</v>
      </c>
    </row>
    <row r="67" spans="1:1" x14ac:dyDescent="0.2">
      <c r="A67" s="31" t="s">
        <v>509</v>
      </c>
    </row>
    <row r="68" spans="1:1" x14ac:dyDescent="0.2">
      <c r="A68" s="31" t="s">
        <v>510</v>
      </c>
    </row>
    <row r="69" spans="1:1" x14ac:dyDescent="0.2">
      <c r="A69" s="31" t="s">
        <v>511</v>
      </c>
    </row>
    <row r="70" spans="1:1" x14ac:dyDescent="0.2">
      <c r="A70" s="31" t="s">
        <v>513</v>
      </c>
    </row>
    <row r="71" spans="1:1" x14ac:dyDescent="0.2">
      <c r="A71" s="31" t="s">
        <v>512</v>
      </c>
    </row>
    <row r="72" spans="1:1" x14ac:dyDescent="0.2">
      <c r="A72" s="31" t="s">
        <v>514</v>
      </c>
    </row>
  </sheetData>
  <conditionalFormatting sqref="A1:A72">
    <cfRule type="expression" dxfId="6" priority="2" stopIfTrue="1">
      <formula>$A1&lt;$A2</formula>
    </cfRule>
  </conditionalFormatting>
  <conditionalFormatting sqref="C1:C4">
    <cfRule type="expression" dxfId="5" priority="1" stopIfTrue="1">
      <formula>$A1&lt;$A2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BB87-8E62-5845-9DA4-9A73CBFF24F9}">
  <dimension ref="A1:BU147"/>
  <sheetViews>
    <sheetView topLeftCell="E1" workbookViewId="0">
      <pane ySplit="1" topLeftCell="A9" activePane="bottomLeft" state="frozen"/>
      <selection pane="bottomLeft" activeCell="P48" sqref="P48"/>
    </sheetView>
  </sheetViews>
  <sheetFormatPr baseColWidth="10" defaultRowHeight="16" x14ac:dyDescent="0.2"/>
  <cols>
    <col min="1" max="1" width="20.6640625" style="26" bestFit="1" customWidth="1"/>
    <col min="2" max="4" width="20" customWidth="1"/>
    <col min="5" max="5" width="35.1640625" bestFit="1" customWidth="1"/>
    <col min="6" max="7" width="12" customWidth="1"/>
    <col min="8" max="8" width="35.1640625" customWidth="1"/>
    <col min="9" max="9" width="3.5" customWidth="1"/>
    <col min="10" max="10" width="21" style="26" bestFit="1" customWidth="1"/>
    <col min="11" max="17" width="26.6640625" customWidth="1"/>
    <col min="18" max="18" width="4" customWidth="1"/>
    <col min="19" max="19" width="32.83203125" style="26" bestFit="1" customWidth="1"/>
    <col min="21" max="22" width="24" customWidth="1"/>
    <col min="23" max="26" width="21" customWidth="1"/>
    <col min="27" max="27" width="4.5" customWidth="1"/>
    <col min="28" max="28" width="36.6640625" style="26" bestFit="1" customWidth="1"/>
    <col min="36" max="36" width="4" customWidth="1"/>
    <col min="37" max="37" width="39" style="26" bestFit="1" customWidth="1"/>
    <col min="45" max="45" width="4.5" customWidth="1"/>
    <col min="46" max="46" width="9.83203125" style="26" bestFit="1" customWidth="1"/>
    <col min="52" max="52" width="10.83203125" style="26"/>
    <col min="58" max="58" width="20.1640625" style="26" bestFit="1" customWidth="1"/>
    <col min="65" max="65" width="17.1640625" style="26" bestFit="1" customWidth="1"/>
    <col min="70" max="70" width="33.33203125" style="26" bestFit="1" customWidth="1"/>
  </cols>
  <sheetData>
    <row r="1" spans="1:73" s="24" customFormat="1" x14ac:dyDescent="0.2">
      <c r="A1" s="25" t="s">
        <v>1</v>
      </c>
      <c r="B1" s="24" t="s">
        <v>697</v>
      </c>
      <c r="C1" s="24" t="s">
        <v>698</v>
      </c>
      <c r="D1" s="24" t="s">
        <v>700</v>
      </c>
      <c r="E1" s="24" t="s">
        <v>699</v>
      </c>
      <c r="F1" s="24" t="s">
        <v>706</v>
      </c>
      <c r="G1" s="24" t="s">
        <v>707</v>
      </c>
      <c r="J1" s="25" t="s">
        <v>50</v>
      </c>
      <c r="K1" s="24" t="s">
        <v>697</v>
      </c>
      <c r="L1" s="24" t="s">
        <v>698</v>
      </c>
      <c r="M1" s="24" t="s">
        <v>700</v>
      </c>
      <c r="N1" s="24" t="s">
        <v>699</v>
      </c>
      <c r="O1" s="24" t="s">
        <v>706</v>
      </c>
      <c r="P1" s="24" t="s">
        <v>707</v>
      </c>
      <c r="S1" s="25" t="s">
        <v>142</v>
      </c>
      <c r="T1" s="24" t="s">
        <v>697</v>
      </c>
      <c r="U1" s="24" t="s">
        <v>698</v>
      </c>
      <c r="V1" s="24" t="s">
        <v>700</v>
      </c>
      <c r="W1" s="24" t="s">
        <v>699</v>
      </c>
      <c r="X1" s="24" t="s">
        <v>706</v>
      </c>
      <c r="Y1" s="24" t="s">
        <v>707</v>
      </c>
      <c r="AC1" s="24" t="s">
        <v>697</v>
      </c>
      <c r="AD1" s="24" t="s">
        <v>698</v>
      </c>
      <c r="AE1" s="24" t="s">
        <v>700</v>
      </c>
      <c r="AF1" s="24" t="s">
        <v>699</v>
      </c>
      <c r="AG1" s="24" t="s">
        <v>706</v>
      </c>
      <c r="AH1" s="24" t="s">
        <v>707</v>
      </c>
      <c r="AL1" s="24" t="s">
        <v>697</v>
      </c>
      <c r="AM1" s="24" t="s">
        <v>698</v>
      </c>
      <c r="AN1" s="24" t="s">
        <v>700</v>
      </c>
      <c r="AO1" s="24" t="s">
        <v>699</v>
      </c>
      <c r="AP1" s="24" t="s">
        <v>699</v>
      </c>
      <c r="AQ1" s="24" t="s">
        <v>706</v>
      </c>
      <c r="AR1" s="24" t="s">
        <v>707</v>
      </c>
      <c r="AT1" s="25" t="s">
        <v>525</v>
      </c>
      <c r="AU1" s="24" t="s">
        <v>697</v>
      </c>
      <c r="AV1" s="24" t="s">
        <v>698</v>
      </c>
      <c r="AW1" s="24" t="s">
        <v>700</v>
      </c>
      <c r="AX1" s="24" t="s">
        <v>699</v>
      </c>
      <c r="AZ1" s="25" t="s">
        <v>526</v>
      </c>
      <c r="BA1" s="24" t="s">
        <v>697</v>
      </c>
      <c r="BB1" s="24" t="s">
        <v>698</v>
      </c>
      <c r="BC1" s="24" t="s">
        <v>700</v>
      </c>
      <c r="BD1" s="24" t="s">
        <v>699</v>
      </c>
      <c r="BF1" s="25" t="s">
        <v>597</v>
      </c>
      <c r="BG1" s="24" t="s">
        <v>697</v>
      </c>
      <c r="BH1" s="24" t="s">
        <v>698</v>
      </c>
      <c r="BI1" s="24" t="s">
        <v>700</v>
      </c>
      <c r="BJ1" s="24" t="s">
        <v>699</v>
      </c>
      <c r="BM1" s="25" t="s">
        <v>343</v>
      </c>
      <c r="BN1" s="24" t="s">
        <v>697</v>
      </c>
      <c r="BO1" s="24" t="s">
        <v>698</v>
      </c>
      <c r="BP1" s="24" t="s">
        <v>699</v>
      </c>
      <c r="BR1" s="25" t="s">
        <v>344</v>
      </c>
      <c r="BS1" s="24" t="s">
        <v>697</v>
      </c>
      <c r="BT1" s="24" t="s">
        <v>698</v>
      </c>
      <c r="BU1" s="24" t="s">
        <v>699</v>
      </c>
    </row>
    <row r="2" spans="1:73" x14ac:dyDescent="0.2">
      <c r="A2" s="26" t="s">
        <v>5</v>
      </c>
      <c r="J2" s="26" t="s">
        <v>5</v>
      </c>
      <c r="S2" s="26" t="s">
        <v>171</v>
      </c>
      <c r="AB2" s="25" t="s">
        <v>516</v>
      </c>
      <c r="AH2" t="s">
        <v>722</v>
      </c>
      <c r="AK2" s="25" t="s">
        <v>517</v>
      </c>
      <c r="AR2" t="s">
        <v>722</v>
      </c>
      <c r="AT2" s="26" t="s">
        <v>531</v>
      </c>
      <c r="AZ2" s="26" t="s">
        <v>528</v>
      </c>
      <c r="BF2" s="26" t="s">
        <v>639</v>
      </c>
      <c r="BM2" s="26" t="s">
        <v>284</v>
      </c>
      <c r="BR2" s="26" t="s">
        <v>251</v>
      </c>
    </row>
    <row r="3" spans="1:73" x14ac:dyDescent="0.2">
      <c r="A3" s="26" t="s">
        <v>6</v>
      </c>
      <c r="E3" t="s">
        <v>15</v>
      </c>
      <c r="J3" s="26" t="s">
        <v>17</v>
      </c>
      <c r="S3" s="26" t="s">
        <v>176</v>
      </c>
      <c r="X3" t="s">
        <v>595</v>
      </c>
      <c r="AB3" s="26" t="s">
        <v>568</v>
      </c>
      <c r="AK3" s="26" t="s">
        <v>601</v>
      </c>
      <c r="AT3" s="26" t="s">
        <v>532</v>
      </c>
      <c r="AZ3" s="26" t="s">
        <v>527</v>
      </c>
      <c r="BF3" s="26" t="s">
        <v>640</v>
      </c>
      <c r="BM3" s="26" t="s">
        <v>286</v>
      </c>
      <c r="BR3" s="26" t="s">
        <v>291</v>
      </c>
    </row>
    <row r="4" spans="1:73" x14ac:dyDescent="0.2">
      <c r="A4" s="26" t="s">
        <v>7</v>
      </c>
      <c r="J4" s="26" t="s">
        <v>18</v>
      </c>
      <c r="S4" s="26" t="s">
        <v>186</v>
      </c>
      <c r="X4" t="s">
        <v>594</v>
      </c>
      <c r="AB4" s="26" t="s">
        <v>608</v>
      </c>
      <c r="AK4" s="26" t="s">
        <v>631</v>
      </c>
      <c r="AT4" s="26" t="s">
        <v>533</v>
      </c>
      <c r="AZ4" s="26" t="s">
        <v>154</v>
      </c>
      <c r="BF4" s="26" t="s">
        <v>641</v>
      </c>
      <c r="BM4" s="26" t="s">
        <v>287</v>
      </c>
      <c r="BR4" s="26" t="s">
        <v>292</v>
      </c>
    </row>
    <row r="5" spans="1:73" x14ac:dyDescent="0.2">
      <c r="A5" s="26" t="s">
        <v>8</v>
      </c>
      <c r="E5" t="s">
        <v>6</v>
      </c>
      <c r="J5" s="26" t="s">
        <v>19</v>
      </c>
      <c r="S5" s="26" t="s">
        <v>195</v>
      </c>
      <c r="X5" t="s">
        <v>595</v>
      </c>
      <c r="AB5" s="26" t="s">
        <v>653</v>
      </c>
      <c r="AK5" s="26" t="s">
        <v>662</v>
      </c>
      <c r="AT5" s="26" t="s">
        <v>530</v>
      </c>
      <c r="AZ5" s="26" t="s">
        <v>598</v>
      </c>
      <c r="BF5" s="26" t="s">
        <v>642</v>
      </c>
      <c r="BM5" s="26" t="s">
        <v>288</v>
      </c>
      <c r="BR5" s="26" t="s">
        <v>293</v>
      </c>
    </row>
    <row r="6" spans="1:73" x14ac:dyDescent="0.2">
      <c r="A6" s="26" t="s">
        <v>9</v>
      </c>
      <c r="E6" t="s">
        <v>705</v>
      </c>
      <c r="J6" s="27" t="s">
        <v>20</v>
      </c>
      <c r="S6" s="26" t="s">
        <v>200</v>
      </c>
      <c r="X6" t="s">
        <v>595</v>
      </c>
      <c r="AB6" s="26" t="s">
        <v>663</v>
      </c>
      <c r="AK6" s="26" t="s">
        <v>609</v>
      </c>
      <c r="AZ6" s="26" t="s">
        <v>574</v>
      </c>
      <c r="BF6" s="26" t="s">
        <v>643</v>
      </c>
      <c r="BM6" s="26" t="s">
        <v>289</v>
      </c>
      <c r="BR6" s="26" t="s">
        <v>294</v>
      </c>
    </row>
    <row r="7" spans="1:73" x14ac:dyDescent="0.2">
      <c r="A7" s="26" t="s">
        <v>238</v>
      </c>
      <c r="E7" t="s">
        <v>701</v>
      </c>
      <c r="J7" s="26" t="s">
        <v>21</v>
      </c>
      <c r="S7" s="26" t="s">
        <v>202</v>
      </c>
      <c r="X7" t="s">
        <v>594</v>
      </c>
      <c r="AB7" s="26" t="s">
        <v>664</v>
      </c>
      <c r="AK7" s="26" t="s">
        <v>665</v>
      </c>
      <c r="AZ7" s="26" t="s">
        <v>575</v>
      </c>
      <c r="BF7" s="26" t="s">
        <v>644</v>
      </c>
      <c r="BM7" s="26" t="s">
        <v>290</v>
      </c>
      <c r="BR7" s="26" t="s">
        <v>295</v>
      </c>
    </row>
    <row r="8" spans="1:73" x14ac:dyDescent="0.2">
      <c r="A8" s="26" t="s">
        <v>10</v>
      </c>
      <c r="J8" s="26" t="s">
        <v>22</v>
      </c>
      <c r="S8" s="26" t="s">
        <v>203</v>
      </c>
      <c r="X8" t="s">
        <v>595</v>
      </c>
      <c r="AB8" s="26" t="s">
        <v>630</v>
      </c>
      <c r="AK8" s="26" t="s">
        <v>634</v>
      </c>
      <c r="AZ8" s="26" t="s">
        <v>577</v>
      </c>
      <c r="BF8" s="26" t="s">
        <v>645</v>
      </c>
      <c r="BM8" s="26" t="s">
        <v>393</v>
      </c>
      <c r="BR8" s="26" t="s">
        <v>296</v>
      </c>
    </row>
    <row r="9" spans="1:73" x14ac:dyDescent="0.2">
      <c r="A9" s="26" t="s">
        <v>237</v>
      </c>
      <c r="J9" s="26" t="s">
        <v>23</v>
      </c>
      <c r="AB9" s="26" t="s">
        <v>633</v>
      </c>
      <c r="AK9" s="26" t="s">
        <v>637</v>
      </c>
      <c r="AZ9" s="26" t="s">
        <v>578</v>
      </c>
      <c r="BF9" s="26" t="s">
        <v>646</v>
      </c>
      <c r="BM9" s="26" t="s">
        <v>519</v>
      </c>
      <c r="BR9" s="26" t="s">
        <v>285</v>
      </c>
    </row>
    <row r="10" spans="1:73" x14ac:dyDescent="0.2">
      <c r="A10" s="26" t="s">
        <v>11</v>
      </c>
      <c r="E10" t="s">
        <v>702</v>
      </c>
      <c r="J10" s="26" t="s">
        <v>24</v>
      </c>
      <c r="S10" s="26" t="s">
        <v>177</v>
      </c>
      <c r="AB10" s="26" t="s">
        <v>627</v>
      </c>
      <c r="AK10" s="26" t="s">
        <v>625</v>
      </c>
      <c r="AZ10" s="26" t="s">
        <v>599</v>
      </c>
      <c r="BM10" s="26" t="s">
        <v>287</v>
      </c>
      <c r="BR10" s="26" t="s">
        <v>297</v>
      </c>
    </row>
    <row r="11" spans="1:73" x14ac:dyDescent="0.2">
      <c r="A11" s="26" t="s">
        <v>12</v>
      </c>
      <c r="J11" s="28" t="s">
        <v>25</v>
      </c>
      <c r="S11" s="26" t="s">
        <v>187</v>
      </c>
      <c r="AB11" s="26" t="s">
        <v>622</v>
      </c>
      <c r="AK11" s="26" t="s">
        <v>666</v>
      </c>
      <c r="BR11" s="26" t="s">
        <v>298</v>
      </c>
    </row>
    <row r="12" spans="1:73" x14ac:dyDescent="0.2">
      <c r="A12" s="26" t="s">
        <v>13</v>
      </c>
      <c r="J12" s="26" t="s">
        <v>26</v>
      </c>
      <c r="S12" s="26" t="s">
        <v>196</v>
      </c>
      <c r="AB12" s="26" t="s">
        <v>667</v>
      </c>
      <c r="AK12" s="26" t="s">
        <v>626</v>
      </c>
      <c r="BR12" s="26" t="s">
        <v>299</v>
      </c>
    </row>
    <row r="13" spans="1:73" x14ac:dyDescent="0.2">
      <c r="A13" s="26" t="s">
        <v>14</v>
      </c>
      <c r="J13" s="26" t="s">
        <v>27</v>
      </c>
      <c r="S13" s="26" t="s">
        <v>402</v>
      </c>
      <c r="AB13" s="26" t="s">
        <v>668</v>
      </c>
      <c r="AK13" s="26" t="s">
        <v>669</v>
      </c>
      <c r="BR13" s="26" t="s">
        <v>300</v>
      </c>
    </row>
    <row r="14" spans="1:73" x14ac:dyDescent="0.2">
      <c r="A14" s="26" t="s">
        <v>15</v>
      </c>
      <c r="E14" t="s">
        <v>703</v>
      </c>
      <c r="J14" s="26" t="s">
        <v>28</v>
      </c>
      <c r="AB14" s="26" t="s">
        <v>624</v>
      </c>
      <c r="AK14" s="26" t="s">
        <v>670</v>
      </c>
      <c r="BR14" s="26" t="s">
        <v>301</v>
      </c>
    </row>
    <row r="15" spans="1:73" x14ac:dyDescent="0.2">
      <c r="A15" s="26" t="s">
        <v>16</v>
      </c>
      <c r="J15" s="26" t="s">
        <v>29</v>
      </c>
      <c r="S15" s="26" t="s">
        <v>179</v>
      </c>
      <c r="AB15" s="26" t="s">
        <v>671</v>
      </c>
      <c r="AK15" s="26" t="s">
        <v>672</v>
      </c>
      <c r="BR15" s="26" t="s">
        <v>302</v>
      </c>
    </row>
    <row r="16" spans="1:73" x14ac:dyDescent="0.2">
      <c r="A16" s="26" t="s">
        <v>231</v>
      </c>
      <c r="E16" t="s">
        <v>704</v>
      </c>
      <c r="J16" s="26" t="s">
        <v>30</v>
      </c>
      <c r="S16" s="26" t="s">
        <v>189</v>
      </c>
      <c r="AB16" s="26" t="s">
        <v>629</v>
      </c>
      <c r="AK16" s="26" t="s">
        <v>647</v>
      </c>
      <c r="BR16" s="26" t="s">
        <v>303</v>
      </c>
    </row>
    <row r="17" spans="1:70" x14ac:dyDescent="0.2">
      <c r="A17" s="26" t="s">
        <v>241</v>
      </c>
      <c r="J17" s="26" t="s">
        <v>31</v>
      </c>
      <c r="S17" s="26" t="s">
        <v>384</v>
      </c>
      <c r="AB17" s="26" t="s">
        <v>570</v>
      </c>
      <c r="AK17" s="26" t="s">
        <v>602</v>
      </c>
      <c r="BR17" s="26" t="s">
        <v>304</v>
      </c>
    </row>
    <row r="18" spans="1:70" x14ac:dyDescent="0.2">
      <c r="A18" s="26" t="s">
        <v>230</v>
      </c>
      <c r="J18" s="26" t="s">
        <v>32</v>
      </c>
      <c r="AB18" s="26" t="s">
        <v>673</v>
      </c>
      <c r="AK18" s="26" t="s">
        <v>606</v>
      </c>
      <c r="BR18" s="26" t="s">
        <v>305</v>
      </c>
    </row>
    <row r="19" spans="1:70" x14ac:dyDescent="0.2">
      <c r="A19" s="26" t="s">
        <v>392</v>
      </c>
      <c r="J19" s="26" t="s">
        <v>33</v>
      </c>
      <c r="S19" s="26" t="s">
        <v>65</v>
      </c>
      <c r="X19" t="s">
        <v>720</v>
      </c>
      <c r="AB19" s="26" t="s">
        <v>674</v>
      </c>
      <c r="AK19" s="26" t="s">
        <v>605</v>
      </c>
      <c r="BR19" s="26" t="s">
        <v>306</v>
      </c>
    </row>
    <row r="20" spans="1:70" x14ac:dyDescent="0.2">
      <c r="A20" s="26" t="s">
        <v>393</v>
      </c>
      <c r="J20" s="26" t="s">
        <v>34</v>
      </c>
      <c r="S20" s="26" t="s">
        <v>66</v>
      </c>
      <c r="X20" t="s">
        <v>720</v>
      </c>
      <c r="AB20" s="26" t="s">
        <v>675</v>
      </c>
      <c r="AK20" s="26" t="s">
        <v>651</v>
      </c>
      <c r="BR20" s="26" t="s">
        <v>307</v>
      </c>
    </row>
    <row r="21" spans="1:70" x14ac:dyDescent="0.2">
      <c r="A21" s="26" t="s">
        <v>398</v>
      </c>
      <c r="J21" s="26" t="s">
        <v>35</v>
      </c>
      <c r="S21" s="26" t="s">
        <v>67</v>
      </c>
      <c r="X21" t="s">
        <v>720</v>
      </c>
      <c r="AB21" s="26" t="s">
        <v>676</v>
      </c>
      <c r="AK21" s="26" t="s">
        <v>572</v>
      </c>
      <c r="BR21" s="26" t="s">
        <v>308</v>
      </c>
    </row>
    <row r="22" spans="1:70" x14ac:dyDescent="0.2">
      <c r="A22" s="26" t="s">
        <v>287</v>
      </c>
      <c r="J22" s="26" t="s">
        <v>656</v>
      </c>
      <c r="S22" s="26" t="s">
        <v>68</v>
      </c>
      <c r="X22" t="s">
        <v>720</v>
      </c>
      <c r="AB22" s="26" t="s">
        <v>677</v>
      </c>
      <c r="AK22" s="26" t="s">
        <v>628</v>
      </c>
      <c r="BR22" s="26" t="s">
        <v>309</v>
      </c>
    </row>
    <row r="23" spans="1:70" x14ac:dyDescent="0.2">
      <c r="A23" s="26" t="s">
        <v>400</v>
      </c>
      <c r="J23" s="26" t="s">
        <v>657</v>
      </c>
      <c r="S23" s="26" t="s">
        <v>69</v>
      </c>
      <c r="X23" t="s">
        <v>720</v>
      </c>
      <c r="AB23" s="26" t="s">
        <v>678</v>
      </c>
      <c r="AK23" s="26" t="s">
        <v>679</v>
      </c>
      <c r="BR23" s="26" t="s">
        <v>310</v>
      </c>
    </row>
    <row r="24" spans="1:70" x14ac:dyDescent="0.2">
      <c r="A24" s="26" t="s">
        <v>417</v>
      </c>
      <c r="J24" s="26" t="s">
        <v>658</v>
      </c>
      <c r="S24" s="26" t="s">
        <v>371</v>
      </c>
      <c r="X24" t="s">
        <v>720</v>
      </c>
      <c r="AB24" s="26" t="s">
        <v>636</v>
      </c>
      <c r="AK24" s="26" t="s">
        <v>680</v>
      </c>
      <c r="BR24" s="26" t="s">
        <v>311</v>
      </c>
    </row>
    <row r="25" spans="1:70" x14ac:dyDescent="0.2">
      <c r="A25" s="26" t="s">
        <v>529</v>
      </c>
      <c r="J25" s="26" t="s">
        <v>10</v>
      </c>
      <c r="S25" s="26" t="s">
        <v>372</v>
      </c>
      <c r="X25" t="s">
        <v>720</v>
      </c>
      <c r="AB25" s="26" t="s">
        <v>648</v>
      </c>
      <c r="AK25" s="26" t="s">
        <v>681</v>
      </c>
      <c r="BR25" s="26" t="s">
        <v>312</v>
      </c>
    </row>
    <row r="26" spans="1:70" x14ac:dyDescent="0.2">
      <c r="J26" s="26" t="s">
        <v>36</v>
      </c>
      <c r="S26" s="26" t="s">
        <v>381</v>
      </c>
      <c r="X26" t="s">
        <v>720</v>
      </c>
      <c r="AB26" s="26" t="s">
        <v>654</v>
      </c>
      <c r="AK26" s="26" t="s">
        <v>682</v>
      </c>
      <c r="BR26" s="26" t="s">
        <v>313</v>
      </c>
    </row>
    <row r="27" spans="1:70" x14ac:dyDescent="0.2">
      <c r="J27" s="26" t="s">
        <v>37</v>
      </c>
      <c r="S27" s="26" t="s">
        <v>385</v>
      </c>
      <c r="X27" t="s">
        <v>720</v>
      </c>
      <c r="AB27" s="26" t="s">
        <v>619</v>
      </c>
      <c r="AK27" s="26" t="s">
        <v>683</v>
      </c>
      <c r="BR27" s="26" t="s">
        <v>314</v>
      </c>
    </row>
    <row r="28" spans="1:70" x14ac:dyDescent="0.2">
      <c r="J28" s="26" t="s">
        <v>38</v>
      </c>
      <c r="S28" s="26" t="s">
        <v>444</v>
      </c>
      <c r="X28" t="s">
        <v>720</v>
      </c>
      <c r="AB28" s="26" t="s">
        <v>684</v>
      </c>
      <c r="AK28" s="26" t="s">
        <v>635</v>
      </c>
      <c r="BR28" s="26" t="s">
        <v>315</v>
      </c>
    </row>
    <row r="29" spans="1:70" x14ac:dyDescent="0.2">
      <c r="J29" s="26" t="s">
        <v>39</v>
      </c>
      <c r="S29" s="26" t="s">
        <v>445</v>
      </c>
      <c r="X29" t="s">
        <v>720</v>
      </c>
      <c r="AB29" s="26" t="s">
        <v>569</v>
      </c>
      <c r="AK29" s="26" t="s">
        <v>685</v>
      </c>
      <c r="BR29" s="26" t="s">
        <v>316</v>
      </c>
    </row>
    <row r="30" spans="1:70" x14ac:dyDescent="0.2">
      <c r="J30" s="26" t="s">
        <v>40</v>
      </c>
      <c r="S30" s="28" t="s">
        <v>588</v>
      </c>
      <c r="X30" t="s">
        <v>720</v>
      </c>
      <c r="AB30" s="26" t="s">
        <v>603</v>
      </c>
      <c r="AK30" s="26" t="s">
        <v>686</v>
      </c>
      <c r="BR30" s="26" t="s">
        <v>317</v>
      </c>
    </row>
    <row r="31" spans="1:70" x14ac:dyDescent="0.2">
      <c r="J31" s="26" t="s">
        <v>41</v>
      </c>
      <c r="S31" s="28" t="s">
        <v>589</v>
      </c>
      <c r="X31" t="s">
        <v>720</v>
      </c>
      <c r="AB31" s="26" t="s">
        <v>687</v>
      </c>
      <c r="AK31" s="26" t="s">
        <v>688</v>
      </c>
      <c r="BR31" s="26" t="s">
        <v>318</v>
      </c>
    </row>
    <row r="32" spans="1:70" x14ac:dyDescent="0.2">
      <c r="J32" s="26" t="s">
        <v>42</v>
      </c>
      <c r="S32" s="28" t="s">
        <v>590</v>
      </c>
      <c r="X32" t="s">
        <v>720</v>
      </c>
      <c r="AB32" s="26" t="s">
        <v>571</v>
      </c>
      <c r="AK32" s="26" t="s">
        <v>623</v>
      </c>
      <c r="BR32" s="26" t="s">
        <v>319</v>
      </c>
    </row>
    <row r="33" spans="10:70" x14ac:dyDescent="0.2">
      <c r="J33" s="26" t="s">
        <v>43</v>
      </c>
      <c r="S33" s="28" t="s">
        <v>591</v>
      </c>
      <c r="X33" t="s">
        <v>720</v>
      </c>
      <c r="AB33" s="26" t="s">
        <v>655</v>
      </c>
      <c r="AK33" s="26" t="s">
        <v>689</v>
      </c>
      <c r="BR33" s="26" t="s">
        <v>320</v>
      </c>
    </row>
    <row r="34" spans="10:70" x14ac:dyDescent="0.2">
      <c r="J34" s="26" t="s">
        <v>44</v>
      </c>
      <c r="S34" s="28" t="s">
        <v>592</v>
      </c>
      <c r="X34" t="s">
        <v>720</v>
      </c>
      <c r="AB34" s="26" t="s">
        <v>569</v>
      </c>
      <c r="AK34" s="26" t="s">
        <v>632</v>
      </c>
      <c r="BR34" s="26" t="s">
        <v>321</v>
      </c>
    </row>
    <row r="35" spans="10:70" x14ac:dyDescent="0.2">
      <c r="J35" s="26" t="s">
        <v>45</v>
      </c>
      <c r="S35" s="28" t="s">
        <v>70</v>
      </c>
      <c r="X35" t="s">
        <v>720</v>
      </c>
      <c r="AB35" s="26" t="s">
        <v>690</v>
      </c>
      <c r="AK35" s="26" t="s">
        <v>691</v>
      </c>
      <c r="BR35" s="26" t="s">
        <v>322</v>
      </c>
    </row>
    <row r="36" spans="10:70" x14ac:dyDescent="0.2">
      <c r="J36" s="26" t="s">
        <v>46</v>
      </c>
      <c r="AB36" s="26" t="s">
        <v>604</v>
      </c>
      <c r="AK36" s="26" t="s">
        <v>692</v>
      </c>
      <c r="BR36" s="26" t="s">
        <v>323</v>
      </c>
    </row>
    <row r="37" spans="10:70" x14ac:dyDescent="0.2">
      <c r="J37" s="26" t="s">
        <v>47</v>
      </c>
      <c r="S37" s="26" t="s">
        <v>71</v>
      </c>
      <c r="AB37" s="26" t="s">
        <v>573</v>
      </c>
      <c r="AK37" s="26" t="s">
        <v>693</v>
      </c>
      <c r="BR37" s="26" t="s">
        <v>324</v>
      </c>
    </row>
    <row r="38" spans="10:70" x14ac:dyDescent="0.2">
      <c r="J38" s="26" t="s">
        <v>48</v>
      </c>
      <c r="S38" s="26" t="s">
        <v>72</v>
      </c>
      <c r="AB38" s="26" t="s">
        <v>600</v>
      </c>
      <c r="AK38" s="26" t="s">
        <v>610</v>
      </c>
      <c r="BR38" s="26" t="s">
        <v>325</v>
      </c>
    </row>
    <row r="39" spans="10:70" x14ac:dyDescent="0.2">
      <c r="J39" s="26" t="s">
        <v>49</v>
      </c>
      <c r="S39" s="26" t="s">
        <v>73</v>
      </c>
      <c r="AB39" s="26" t="s">
        <v>607</v>
      </c>
      <c r="AK39" s="26" t="s">
        <v>612</v>
      </c>
      <c r="BR39" s="26" t="s">
        <v>326</v>
      </c>
    </row>
    <row r="40" spans="10:70" x14ac:dyDescent="0.2">
      <c r="J40" s="26" t="s">
        <v>167</v>
      </c>
      <c r="S40" s="26" t="s">
        <v>74</v>
      </c>
      <c r="AB40" s="26" t="s">
        <v>694</v>
      </c>
      <c r="AK40" s="26" t="s">
        <v>613</v>
      </c>
      <c r="BR40" s="26" t="s">
        <v>327</v>
      </c>
    </row>
    <row r="41" spans="10:70" x14ac:dyDescent="0.2">
      <c r="J41" s="26" t="s">
        <v>168</v>
      </c>
      <c r="S41" s="26" t="s">
        <v>75</v>
      </c>
      <c r="AB41" s="26" t="s">
        <v>695</v>
      </c>
      <c r="AK41" s="26" t="s">
        <v>614</v>
      </c>
      <c r="BR41" s="26" t="s">
        <v>328</v>
      </c>
    </row>
    <row r="42" spans="10:70" x14ac:dyDescent="0.2">
      <c r="J42" s="26" t="s">
        <v>15</v>
      </c>
      <c r="S42" s="26" t="s">
        <v>446</v>
      </c>
      <c r="AB42" s="26" t="s">
        <v>696</v>
      </c>
      <c r="AK42" s="26" t="s">
        <v>616</v>
      </c>
      <c r="BR42" s="26" t="s">
        <v>329</v>
      </c>
    </row>
    <row r="43" spans="10:70" x14ac:dyDescent="0.2">
      <c r="J43" s="26" t="s">
        <v>241</v>
      </c>
      <c r="S43" s="26" t="s">
        <v>76</v>
      </c>
      <c r="AB43" s="26" t="s">
        <v>611</v>
      </c>
      <c r="AK43" s="26" t="s">
        <v>615</v>
      </c>
      <c r="BR43" s="26" t="s">
        <v>330</v>
      </c>
    </row>
    <row r="44" spans="10:70" x14ac:dyDescent="0.2">
      <c r="J44" s="26" t="s">
        <v>230</v>
      </c>
      <c r="S44" s="26" t="s">
        <v>77</v>
      </c>
      <c r="AB44" s="26" t="s">
        <v>618</v>
      </c>
      <c r="AK44" s="26" t="s">
        <v>617</v>
      </c>
      <c r="BR44" s="26" t="s">
        <v>331</v>
      </c>
    </row>
    <row r="45" spans="10:70" x14ac:dyDescent="0.2">
      <c r="J45" s="26" t="s">
        <v>399</v>
      </c>
      <c r="S45" s="26" t="s">
        <v>354</v>
      </c>
      <c r="AB45" s="26" t="s">
        <v>620</v>
      </c>
      <c r="BR45" s="26" t="s">
        <v>332</v>
      </c>
    </row>
    <row r="46" spans="10:70" x14ac:dyDescent="0.2">
      <c r="J46" s="26" t="s">
        <v>418</v>
      </c>
      <c r="K46" t="s">
        <v>708</v>
      </c>
      <c r="S46" s="26" t="s">
        <v>365</v>
      </c>
      <c r="AB46" s="26" t="s">
        <v>652</v>
      </c>
      <c r="BR46" s="26" t="s">
        <v>333</v>
      </c>
    </row>
    <row r="47" spans="10:70" x14ac:dyDescent="0.2">
      <c r="J47" s="26" t="s">
        <v>586</v>
      </c>
      <c r="K47" t="s">
        <v>709</v>
      </c>
      <c r="O47" t="s">
        <v>720</v>
      </c>
      <c r="P47" t="s">
        <v>723</v>
      </c>
      <c r="S47" s="26" t="s">
        <v>383</v>
      </c>
      <c r="AB47" s="26" t="s">
        <v>610</v>
      </c>
      <c r="BR47" s="26" t="s">
        <v>334</v>
      </c>
    </row>
    <row r="48" spans="10:70" x14ac:dyDescent="0.2">
      <c r="J48" s="26" t="s">
        <v>587</v>
      </c>
      <c r="K48" t="s">
        <v>710</v>
      </c>
      <c r="O48" t="s">
        <v>720</v>
      </c>
      <c r="S48" s="26" t="s">
        <v>391</v>
      </c>
      <c r="AB48" s="26" t="s">
        <v>612</v>
      </c>
      <c r="BR48" s="26" t="s">
        <v>335</v>
      </c>
    </row>
    <row r="49" spans="10:70" x14ac:dyDescent="0.2">
      <c r="J49" s="26" t="s">
        <v>574</v>
      </c>
      <c r="K49" t="s">
        <v>711</v>
      </c>
      <c r="O49" t="s">
        <v>720</v>
      </c>
      <c r="S49" s="26" t="s">
        <v>78</v>
      </c>
      <c r="AB49" s="26" t="s">
        <v>613</v>
      </c>
      <c r="BR49" s="26" t="s">
        <v>336</v>
      </c>
    </row>
    <row r="50" spans="10:70" x14ac:dyDescent="0.2">
      <c r="O50" t="s">
        <v>720</v>
      </c>
      <c r="AB50" s="26" t="s">
        <v>614</v>
      </c>
      <c r="BR50" s="26" t="s">
        <v>337</v>
      </c>
    </row>
    <row r="51" spans="10:70" x14ac:dyDescent="0.2">
      <c r="S51" s="26" t="s">
        <v>79</v>
      </c>
      <c r="AB51" s="26" t="s">
        <v>616</v>
      </c>
      <c r="BR51" s="26" t="s">
        <v>338</v>
      </c>
    </row>
    <row r="52" spans="10:70" x14ac:dyDescent="0.2">
      <c r="S52" s="26" t="s">
        <v>80</v>
      </c>
      <c r="AB52" s="26" t="s">
        <v>615</v>
      </c>
      <c r="BR52" s="26" t="s">
        <v>339</v>
      </c>
    </row>
    <row r="53" spans="10:70" x14ac:dyDescent="0.2">
      <c r="S53" s="26" t="s">
        <v>81</v>
      </c>
      <c r="AB53" s="26" t="s">
        <v>617</v>
      </c>
      <c r="BR53" s="26" t="s">
        <v>340</v>
      </c>
    </row>
    <row r="54" spans="10:70" x14ac:dyDescent="0.2">
      <c r="S54" s="26" t="s">
        <v>82</v>
      </c>
      <c r="BR54" s="26" t="s">
        <v>341</v>
      </c>
    </row>
    <row r="55" spans="10:70" x14ac:dyDescent="0.2">
      <c r="S55" s="26" t="s">
        <v>83</v>
      </c>
      <c r="BR55" s="26" t="s">
        <v>342</v>
      </c>
    </row>
    <row r="56" spans="10:70" x14ac:dyDescent="0.2">
      <c r="S56" s="26" t="s">
        <v>355</v>
      </c>
      <c r="BR56" s="26" t="s">
        <v>290</v>
      </c>
    </row>
    <row r="57" spans="10:70" x14ac:dyDescent="0.2">
      <c r="S57" s="26" t="s">
        <v>366</v>
      </c>
      <c r="BR57" s="26" t="s">
        <v>520</v>
      </c>
    </row>
    <row r="58" spans="10:70" x14ac:dyDescent="0.2">
      <c r="S58" s="26" t="s">
        <v>84</v>
      </c>
      <c r="BR58" s="26" t="s">
        <v>400</v>
      </c>
    </row>
    <row r="60" spans="10:70" x14ac:dyDescent="0.2">
      <c r="S60" s="26" t="s">
        <v>659</v>
      </c>
      <c r="X60" t="s">
        <v>720</v>
      </c>
    </row>
    <row r="61" spans="10:70" x14ac:dyDescent="0.2">
      <c r="S61" s="26" t="s">
        <v>85</v>
      </c>
      <c r="X61" t="s">
        <v>720</v>
      </c>
    </row>
    <row r="62" spans="10:70" x14ac:dyDescent="0.2">
      <c r="S62" s="26" t="s">
        <v>86</v>
      </c>
      <c r="X62" t="s">
        <v>720</v>
      </c>
    </row>
    <row r="63" spans="10:70" x14ac:dyDescent="0.2">
      <c r="S63" s="26" t="s">
        <v>87</v>
      </c>
      <c r="X63" t="s">
        <v>720</v>
      </c>
    </row>
    <row r="64" spans="10:70" x14ac:dyDescent="0.2">
      <c r="S64" s="26" t="s">
        <v>373</v>
      </c>
      <c r="X64" t="s">
        <v>720</v>
      </c>
    </row>
    <row r="65" spans="19:24" x14ac:dyDescent="0.2">
      <c r="S65" s="26" t="s">
        <v>375</v>
      </c>
      <c r="X65" t="s">
        <v>720</v>
      </c>
    </row>
    <row r="66" spans="19:24" x14ac:dyDescent="0.2">
      <c r="S66" s="26" t="s">
        <v>390</v>
      </c>
      <c r="X66" t="s">
        <v>720</v>
      </c>
    </row>
    <row r="67" spans="19:24" x14ac:dyDescent="0.2">
      <c r="S67" s="26" t="s">
        <v>377</v>
      </c>
      <c r="X67" t="s">
        <v>720</v>
      </c>
    </row>
    <row r="68" spans="19:24" x14ac:dyDescent="0.2">
      <c r="S68" s="26" t="s">
        <v>379</v>
      </c>
      <c r="X68" t="s">
        <v>720</v>
      </c>
    </row>
    <row r="69" spans="19:24" x14ac:dyDescent="0.2">
      <c r="S69" s="26" t="s">
        <v>382</v>
      </c>
      <c r="X69" t="s">
        <v>720</v>
      </c>
    </row>
    <row r="70" spans="19:24" x14ac:dyDescent="0.2">
      <c r="S70" s="26" t="s">
        <v>414</v>
      </c>
      <c r="X70" t="s">
        <v>720</v>
      </c>
    </row>
    <row r="71" spans="19:24" x14ac:dyDescent="0.2">
      <c r="S71" s="26" t="s">
        <v>523</v>
      </c>
      <c r="X71" t="s">
        <v>720</v>
      </c>
    </row>
    <row r="72" spans="19:24" x14ac:dyDescent="0.2">
      <c r="S72" s="26" t="s">
        <v>169</v>
      </c>
      <c r="X72" t="s">
        <v>720</v>
      </c>
    </row>
    <row r="74" spans="19:24" x14ac:dyDescent="0.2">
      <c r="S74" s="26" t="s">
        <v>660</v>
      </c>
      <c r="X74" t="s">
        <v>720</v>
      </c>
    </row>
    <row r="75" spans="19:24" x14ac:dyDescent="0.2">
      <c r="S75" s="26" t="s">
        <v>88</v>
      </c>
      <c r="X75" t="s">
        <v>720</v>
      </c>
    </row>
    <row r="76" spans="19:24" x14ac:dyDescent="0.2">
      <c r="S76" s="26" t="s">
        <v>89</v>
      </c>
      <c r="X76" t="s">
        <v>720</v>
      </c>
    </row>
    <row r="77" spans="19:24" x14ac:dyDescent="0.2">
      <c r="S77" s="26" t="s">
        <v>90</v>
      </c>
      <c r="X77" t="s">
        <v>720</v>
      </c>
    </row>
    <row r="78" spans="19:24" x14ac:dyDescent="0.2">
      <c r="S78" s="26" t="s">
        <v>374</v>
      </c>
      <c r="X78" t="s">
        <v>720</v>
      </c>
    </row>
    <row r="79" spans="19:24" x14ac:dyDescent="0.2">
      <c r="S79" s="26" t="s">
        <v>376</v>
      </c>
      <c r="X79" t="s">
        <v>720</v>
      </c>
    </row>
    <row r="80" spans="19:24" x14ac:dyDescent="0.2">
      <c r="S80" s="26" t="s">
        <v>378</v>
      </c>
      <c r="X80" t="s">
        <v>720</v>
      </c>
    </row>
    <row r="81" spans="19:25" x14ac:dyDescent="0.2">
      <c r="S81" s="26" t="s">
        <v>380</v>
      </c>
      <c r="X81" t="s">
        <v>720</v>
      </c>
    </row>
    <row r="82" spans="19:25" x14ac:dyDescent="0.2">
      <c r="S82" s="26" t="s">
        <v>415</v>
      </c>
      <c r="X82" t="s">
        <v>720</v>
      </c>
    </row>
    <row r="83" spans="19:25" x14ac:dyDescent="0.2">
      <c r="S83" s="26" t="s">
        <v>524</v>
      </c>
      <c r="X83" t="s">
        <v>720</v>
      </c>
    </row>
    <row r="84" spans="19:25" x14ac:dyDescent="0.2">
      <c r="S84" s="26" t="s">
        <v>170</v>
      </c>
      <c r="X84" t="s">
        <v>720</v>
      </c>
    </row>
    <row r="86" spans="19:25" x14ac:dyDescent="0.2">
      <c r="S86" s="26" t="s">
        <v>661</v>
      </c>
      <c r="X86" t="s">
        <v>720</v>
      </c>
    </row>
    <row r="87" spans="19:25" x14ac:dyDescent="0.2">
      <c r="S87" s="26" t="s">
        <v>91</v>
      </c>
      <c r="X87" t="s">
        <v>720</v>
      </c>
    </row>
    <row r="88" spans="19:25" x14ac:dyDescent="0.2">
      <c r="S88" s="26" t="s">
        <v>92</v>
      </c>
      <c r="X88" t="s">
        <v>720</v>
      </c>
    </row>
    <row r="89" spans="19:25" x14ac:dyDescent="0.2">
      <c r="S89" s="26" t="s">
        <v>93</v>
      </c>
      <c r="X89" t="s">
        <v>720</v>
      </c>
    </row>
    <row r="91" spans="19:25" x14ac:dyDescent="0.2">
      <c r="S91" s="26" t="s">
        <v>2</v>
      </c>
      <c r="Y91" t="s">
        <v>721</v>
      </c>
    </row>
    <row r="92" spans="19:25" x14ac:dyDescent="0.2">
      <c r="S92" s="26" t="s">
        <v>143</v>
      </c>
      <c r="T92" t="s">
        <v>712</v>
      </c>
      <c r="X92" t="s">
        <v>720</v>
      </c>
    </row>
    <row r="93" spans="19:25" x14ac:dyDescent="0.2">
      <c r="S93" s="26" t="s">
        <v>144</v>
      </c>
      <c r="T93" t="s">
        <v>713</v>
      </c>
      <c r="X93" t="s">
        <v>720</v>
      </c>
    </row>
    <row r="94" spans="19:25" x14ac:dyDescent="0.2">
      <c r="S94" s="26" t="s">
        <v>145</v>
      </c>
      <c r="T94" t="s">
        <v>714</v>
      </c>
      <c r="X94" t="s">
        <v>720</v>
      </c>
    </row>
    <row r="95" spans="19:25" x14ac:dyDescent="0.2">
      <c r="S95" s="26" t="s">
        <v>146</v>
      </c>
      <c r="T95" t="s">
        <v>715</v>
      </c>
      <c r="X95" t="s">
        <v>720</v>
      </c>
    </row>
    <row r="96" spans="19:25" x14ac:dyDescent="0.2">
      <c r="S96" s="26" t="s">
        <v>147</v>
      </c>
      <c r="T96" t="s">
        <v>716</v>
      </c>
      <c r="X96" t="s">
        <v>720</v>
      </c>
    </row>
    <row r="97" spans="19:25" x14ac:dyDescent="0.2">
      <c r="S97" s="26" t="s">
        <v>148</v>
      </c>
      <c r="T97" t="s">
        <v>717</v>
      </c>
      <c r="X97" t="s">
        <v>720</v>
      </c>
    </row>
    <row r="98" spans="19:25" x14ac:dyDescent="0.2">
      <c r="S98" s="26" t="s">
        <v>149</v>
      </c>
      <c r="X98" t="s">
        <v>720</v>
      </c>
    </row>
    <row r="99" spans="19:25" x14ac:dyDescent="0.2">
      <c r="S99" s="26" t="s">
        <v>150</v>
      </c>
      <c r="X99" t="s">
        <v>720</v>
      </c>
    </row>
    <row r="100" spans="19:25" x14ac:dyDescent="0.2">
      <c r="S100" s="26" t="s">
        <v>151</v>
      </c>
      <c r="X100" t="s">
        <v>720</v>
      </c>
    </row>
    <row r="101" spans="19:25" x14ac:dyDescent="0.2">
      <c r="S101" s="26" t="s">
        <v>152</v>
      </c>
      <c r="X101" t="s">
        <v>720</v>
      </c>
    </row>
    <row r="102" spans="19:25" x14ac:dyDescent="0.2">
      <c r="S102" s="26" t="s">
        <v>153</v>
      </c>
      <c r="T102" t="s">
        <v>718</v>
      </c>
      <c r="X102" t="s">
        <v>720</v>
      </c>
    </row>
    <row r="103" spans="19:25" x14ac:dyDescent="0.2">
      <c r="S103" s="26" t="s">
        <v>154</v>
      </c>
      <c r="T103" t="s">
        <v>719</v>
      </c>
      <c r="X103" t="s">
        <v>720</v>
      </c>
    </row>
    <row r="104" spans="19:25" x14ac:dyDescent="0.2">
      <c r="S104" s="26" t="s">
        <v>155</v>
      </c>
      <c r="X104" t="s">
        <v>720</v>
      </c>
    </row>
    <row r="106" spans="19:25" x14ac:dyDescent="0.2">
      <c r="S106" s="26" t="s">
        <v>3</v>
      </c>
      <c r="Y106" t="s">
        <v>721</v>
      </c>
    </row>
    <row r="107" spans="19:25" x14ac:dyDescent="0.2">
      <c r="S107" s="26" t="s">
        <v>156</v>
      </c>
      <c r="X107" t="s">
        <v>720</v>
      </c>
    </row>
    <row r="108" spans="19:25" x14ac:dyDescent="0.2">
      <c r="S108" s="26" t="s">
        <v>157</v>
      </c>
      <c r="X108" t="s">
        <v>720</v>
      </c>
    </row>
    <row r="109" spans="19:25" x14ac:dyDescent="0.2">
      <c r="S109" s="26" t="s">
        <v>158</v>
      </c>
      <c r="X109" t="s">
        <v>720</v>
      </c>
    </row>
    <row r="110" spans="19:25" x14ac:dyDescent="0.2">
      <c r="S110" s="26" t="s">
        <v>159</v>
      </c>
      <c r="X110" t="s">
        <v>720</v>
      </c>
    </row>
    <row r="111" spans="19:25" x14ac:dyDescent="0.2">
      <c r="S111" s="26" t="s">
        <v>160</v>
      </c>
      <c r="X111" t="s">
        <v>720</v>
      </c>
    </row>
    <row r="112" spans="19:25" x14ac:dyDescent="0.2">
      <c r="S112" s="26" t="s">
        <v>161</v>
      </c>
      <c r="X112" t="s">
        <v>720</v>
      </c>
    </row>
    <row r="113" spans="19:24" x14ac:dyDescent="0.2">
      <c r="S113" s="26" t="s">
        <v>162</v>
      </c>
      <c r="X113" t="s">
        <v>720</v>
      </c>
    </row>
    <row r="114" spans="19:24" x14ac:dyDescent="0.2">
      <c r="S114" s="26" t="s">
        <v>163</v>
      </c>
      <c r="X114" t="s">
        <v>720</v>
      </c>
    </row>
    <row r="115" spans="19:24" x14ac:dyDescent="0.2">
      <c r="S115" s="26" t="s">
        <v>164</v>
      </c>
      <c r="X115" t="s">
        <v>720</v>
      </c>
    </row>
    <row r="116" spans="19:24" x14ac:dyDescent="0.2">
      <c r="S116" s="26" t="s">
        <v>165</v>
      </c>
      <c r="X116" t="s">
        <v>720</v>
      </c>
    </row>
    <row r="117" spans="19:24" x14ac:dyDescent="0.2">
      <c r="S117" s="26" t="s">
        <v>166</v>
      </c>
      <c r="X117" t="s">
        <v>720</v>
      </c>
    </row>
    <row r="118" spans="19:24" x14ac:dyDescent="0.2">
      <c r="S118" s="26" t="s">
        <v>152</v>
      </c>
      <c r="X118" t="s">
        <v>720</v>
      </c>
    </row>
    <row r="120" spans="19:24" x14ac:dyDescent="0.2">
      <c r="S120" s="26" t="s">
        <v>51</v>
      </c>
      <c r="X120" t="s">
        <v>720</v>
      </c>
    </row>
    <row r="121" spans="19:24" x14ac:dyDescent="0.2">
      <c r="S121" s="26" t="s">
        <v>52</v>
      </c>
      <c r="X121" t="s">
        <v>720</v>
      </c>
    </row>
    <row r="122" spans="19:24" x14ac:dyDescent="0.2">
      <c r="S122" s="26" t="s">
        <v>53</v>
      </c>
      <c r="X122" t="s">
        <v>720</v>
      </c>
    </row>
    <row r="123" spans="19:24" x14ac:dyDescent="0.2">
      <c r="S123" s="26" t="s">
        <v>55</v>
      </c>
      <c r="X123" t="s">
        <v>720</v>
      </c>
    </row>
    <row r="124" spans="19:24" x14ac:dyDescent="0.2">
      <c r="S124" s="26" t="s">
        <v>56</v>
      </c>
      <c r="X124" t="s">
        <v>720</v>
      </c>
    </row>
    <row r="125" spans="19:24" x14ac:dyDescent="0.2">
      <c r="S125" s="26" t="s">
        <v>57</v>
      </c>
      <c r="X125" t="s">
        <v>720</v>
      </c>
    </row>
    <row r="126" spans="19:24" x14ac:dyDescent="0.2">
      <c r="S126" s="26" t="s">
        <v>58</v>
      </c>
      <c r="X126" t="s">
        <v>720</v>
      </c>
    </row>
    <row r="127" spans="19:24" x14ac:dyDescent="0.2">
      <c r="S127" s="26" t="s">
        <v>59</v>
      </c>
      <c r="X127" t="s">
        <v>720</v>
      </c>
    </row>
    <row r="128" spans="19:24" x14ac:dyDescent="0.2">
      <c r="S128" s="26" t="s">
        <v>60</v>
      </c>
      <c r="X128" t="s">
        <v>720</v>
      </c>
    </row>
    <row r="129" spans="19:24" x14ac:dyDescent="0.2">
      <c r="S129" s="26" t="s">
        <v>54</v>
      </c>
      <c r="X129" t="s">
        <v>720</v>
      </c>
    </row>
    <row r="130" spans="19:24" x14ac:dyDescent="0.2">
      <c r="S130" s="26" t="s">
        <v>64</v>
      </c>
      <c r="X130" t="s">
        <v>720</v>
      </c>
    </row>
    <row r="132" spans="19:24" x14ac:dyDescent="0.2">
      <c r="S132" s="26" t="s">
        <v>94</v>
      </c>
    </row>
    <row r="133" spans="19:24" x14ac:dyDescent="0.2">
      <c r="S133" s="26" t="s">
        <v>95</v>
      </c>
    </row>
    <row r="134" spans="19:24" x14ac:dyDescent="0.2">
      <c r="S134" s="26" t="s">
        <v>96</v>
      </c>
    </row>
    <row r="135" spans="19:24" x14ac:dyDescent="0.2">
      <c r="S135" s="26" t="s">
        <v>97</v>
      </c>
    </row>
    <row r="136" spans="19:24" x14ac:dyDescent="0.2">
      <c r="S136" s="26" t="s">
        <v>98</v>
      </c>
    </row>
    <row r="137" spans="19:24" x14ac:dyDescent="0.2">
      <c r="S137" s="26" t="s">
        <v>99</v>
      </c>
    </row>
    <row r="138" spans="19:24" x14ac:dyDescent="0.2">
      <c r="S138" s="26" t="s">
        <v>100</v>
      </c>
    </row>
    <row r="139" spans="19:24" x14ac:dyDescent="0.2">
      <c r="S139" s="26" t="s">
        <v>101</v>
      </c>
    </row>
    <row r="140" spans="19:24" x14ac:dyDescent="0.2">
      <c r="S140" s="26" t="s">
        <v>416</v>
      </c>
    </row>
    <row r="141" spans="19:24" x14ac:dyDescent="0.2">
      <c r="S141" s="26" t="s">
        <v>443</v>
      </c>
    </row>
    <row r="142" spans="19:24" x14ac:dyDescent="0.2">
      <c r="S142" s="26" t="s">
        <v>102</v>
      </c>
    </row>
    <row r="144" spans="19:24" x14ac:dyDescent="0.2">
      <c r="S144" s="26" t="s">
        <v>232</v>
      </c>
    </row>
    <row r="145" spans="19:19" x14ac:dyDescent="0.2">
      <c r="S145" s="26" t="s">
        <v>233</v>
      </c>
    </row>
    <row r="146" spans="19:19" x14ac:dyDescent="0.2">
      <c r="S146" s="26" t="s">
        <v>234</v>
      </c>
    </row>
    <row r="147" spans="19:19" x14ac:dyDescent="0.2">
      <c r="S147" s="26" t="s">
        <v>235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E449-BB39-5C43-8DC0-DEC76A4E5AA4}">
  <dimension ref="A1:BQ139"/>
  <sheetViews>
    <sheetView topLeftCell="BA109" workbookViewId="0">
      <selection activeCell="BK140" sqref="BK140"/>
    </sheetView>
  </sheetViews>
  <sheetFormatPr baseColWidth="10" defaultRowHeight="16" x14ac:dyDescent="0.2"/>
  <cols>
    <col min="1" max="1" width="13.5" customWidth="1"/>
    <col min="7" max="7" width="16.6640625" customWidth="1"/>
    <col min="8" max="8" width="25.5" customWidth="1"/>
    <col min="9" max="9" width="16.5" customWidth="1"/>
    <col min="14" max="14" width="19.33203125" customWidth="1"/>
    <col min="15" max="15" width="19.6640625" customWidth="1"/>
    <col min="16" max="16" width="18.5" customWidth="1"/>
    <col min="17" max="17" width="17.33203125" customWidth="1"/>
    <col min="22" max="22" width="18.5" customWidth="1"/>
    <col min="24" max="24" width="23.83203125" bestFit="1" customWidth="1"/>
    <col min="27" max="27" width="28.83203125" bestFit="1" customWidth="1"/>
    <col min="29" max="29" width="27.5" customWidth="1"/>
    <col min="32" max="32" width="21.5" customWidth="1"/>
    <col min="41" max="41" width="24.33203125" customWidth="1"/>
    <col min="63" max="63" width="32.33203125" customWidth="1"/>
    <col min="64" max="64" width="32" bestFit="1" customWidth="1"/>
    <col min="65" max="65" width="23.83203125" bestFit="1" customWidth="1"/>
    <col min="69" max="69" width="21" customWidth="1"/>
  </cols>
  <sheetData>
    <row r="1" spans="1:69" s="2" customFormat="1" ht="51" x14ac:dyDescent="0.2">
      <c r="A1" s="2" t="s">
        <v>1</v>
      </c>
      <c r="B1" s="2" t="s">
        <v>50</v>
      </c>
      <c r="C1" s="2" t="s">
        <v>142</v>
      </c>
      <c r="D1" s="2" t="s">
        <v>2</v>
      </c>
      <c r="E1" s="2" t="s">
        <v>3</v>
      </c>
      <c r="F1" s="2" t="s">
        <v>230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238</v>
      </c>
      <c r="M1" s="2" t="s">
        <v>10</v>
      </c>
      <c r="N1" s="2" t="s">
        <v>171</v>
      </c>
      <c r="O1" s="2" t="s">
        <v>11</v>
      </c>
      <c r="P1" s="2" t="s">
        <v>14</v>
      </c>
      <c r="Q1" s="2" t="s">
        <v>15</v>
      </c>
      <c r="R1" s="2" t="s">
        <v>172</v>
      </c>
      <c r="S1" s="2" t="s">
        <v>182</v>
      </c>
      <c r="T1" s="2" t="s">
        <v>192</v>
      </c>
      <c r="U1" s="2" t="s">
        <v>199</v>
      </c>
      <c r="V1" s="2" t="s">
        <v>173</v>
      </c>
      <c r="W1" s="2" t="s">
        <v>183</v>
      </c>
      <c r="X1" s="2" t="s">
        <v>174</v>
      </c>
      <c r="Y1" s="2" t="s">
        <v>184</v>
      </c>
      <c r="Z1" s="2" t="s">
        <v>193</v>
      </c>
      <c r="AA1" s="2" t="s">
        <v>194</v>
      </c>
      <c r="AB1" s="2" t="s">
        <v>175</v>
      </c>
      <c r="AC1" s="2" t="s">
        <v>185</v>
      </c>
      <c r="AD1" s="2" t="s">
        <v>187</v>
      </c>
      <c r="AE1" s="2" t="s">
        <v>177</v>
      </c>
      <c r="AF1" s="2" t="s">
        <v>196</v>
      </c>
      <c r="AG1" s="2" t="s">
        <v>803</v>
      </c>
      <c r="AH1" s="2" t="s">
        <v>804</v>
      </c>
      <c r="AI1" s="2" t="s">
        <v>805</v>
      </c>
      <c r="AJ1" s="2" t="s">
        <v>176</v>
      </c>
      <c r="AK1" s="2" t="s">
        <v>186</v>
      </c>
      <c r="AL1" s="2" t="s">
        <v>195</v>
      </c>
      <c r="AM1" s="2" t="s">
        <v>179</v>
      </c>
      <c r="AN1" s="2" t="s">
        <v>189</v>
      </c>
      <c r="AO1" s="2" t="s">
        <v>205</v>
      </c>
      <c r="AP1" s="2" t="s">
        <v>181</v>
      </c>
      <c r="AQ1" s="2" t="s">
        <v>191</v>
      </c>
      <c r="AR1" s="2" t="s">
        <v>198</v>
      </c>
      <c r="AS1" s="2" t="s">
        <v>201</v>
      </c>
      <c r="AT1" s="2" t="s">
        <v>206</v>
      </c>
      <c r="AU1" s="2" t="s">
        <v>207</v>
      </c>
      <c r="AV1" s="2" t="s">
        <v>208</v>
      </c>
      <c r="AW1" s="2" t="s">
        <v>209</v>
      </c>
      <c r="AX1" s="2" t="s">
        <v>210</v>
      </c>
      <c r="AY1" s="2" t="s">
        <v>213</v>
      </c>
      <c r="AZ1" s="2" t="s">
        <v>214</v>
      </c>
      <c r="BA1" s="2" t="s">
        <v>215</v>
      </c>
      <c r="BB1" s="2" t="s">
        <v>384</v>
      </c>
      <c r="BC1" s="2" t="s">
        <v>231</v>
      </c>
      <c r="BD1" s="2" t="s">
        <v>388</v>
      </c>
      <c r="BE1" s="2" t="s">
        <v>389</v>
      </c>
      <c r="BF1" t="s">
        <v>13</v>
      </c>
      <c r="BG1" t="s">
        <v>5</v>
      </c>
      <c r="BH1" s="2" t="s">
        <v>730</v>
      </c>
      <c r="BI1" s="2" t="s">
        <v>343</v>
      </c>
      <c r="BJ1" s="2" t="s">
        <v>344</v>
      </c>
      <c r="BK1" s="2" t="s">
        <v>516</v>
      </c>
      <c r="BL1" s="2" t="s">
        <v>517</v>
      </c>
      <c r="BM1" s="2" t="s">
        <v>806</v>
      </c>
      <c r="BN1" s="2" t="s">
        <v>657</v>
      </c>
      <c r="BO1" s="2" t="s">
        <v>658</v>
      </c>
      <c r="BQ1" s="2" t="s">
        <v>807</v>
      </c>
    </row>
    <row r="2" spans="1:69" x14ac:dyDescent="0.2">
      <c r="F2" t="s">
        <v>388</v>
      </c>
      <c r="G2" t="s">
        <v>180</v>
      </c>
      <c r="H2" t="s">
        <v>205</v>
      </c>
      <c r="I2" t="s">
        <v>172</v>
      </c>
      <c r="J2" t="s">
        <v>213</v>
      </c>
      <c r="K2" t="s">
        <v>173</v>
      </c>
      <c r="L2" t="s">
        <v>174</v>
      </c>
      <c r="M2" t="s">
        <v>175</v>
      </c>
      <c r="N2" t="s">
        <v>176</v>
      </c>
      <c r="O2" t="s">
        <v>177</v>
      </c>
      <c r="P2" t="s">
        <v>178</v>
      </c>
      <c r="Q2" t="s">
        <v>179</v>
      </c>
      <c r="R2" t="s">
        <v>65</v>
      </c>
      <c r="S2" t="s">
        <v>65</v>
      </c>
      <c r="T2" t="s">
        <v>65</v>
      </c>
      <c r="U2" t="s">
        <v>65</v>
      </c>
      <c r="V2" t="s">
        <v>71</v>
      </c>
      <c r="W2" t="s">
        <v>79</v>
      </c>
      <c r="X2" t="s">
        <v>85</v>
      </c>
      <c r="Y2" t="s">
        <v>88</v>
      </c>
      <c r="Z2" t="s">
        <v>91</v>
      </c>
      <c r="AA2" t="s">
        <v>122</v>
      </c>
      <c r="AB2" t="s">
        <v>122</v>
      </c>
      <c r="AC2" t="s">
        <v>122</v>
      </c>
      <c r="AD2" t="s">
        <v>106</v>
      </c>
      <c r="AE2" t="s">
        <v>103</v>
      </c>
      <c r="AF2" t="s">
        <v>111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94</v>
      </c>
      <c r="AN2" t="s">
        <v>94</v>
      </c>
      <c r="AO2" t="s">
        <v>51</v>
      </c>
      <c r="AP2" t="s">
        <v>51</v>
      </c>
      <c r="AQ2" t="s">
        <v>51</v>
      </c>
      <c r="AR2" t="s">
        <v>51</v>
      </c>
      <c r="AS2" t="s">
        <v>62</v>
      </c>
      <c r="AT2" t="s">
        <v>62</v>
      </c>
      <c r="AU2" t="s">
        <v>54</v>
      </c>
      <c r="AV2" t="s">
        <v>51</v>
      </c>
      <c r="AX2" t="s">
        <v>62</v>
      </c>
      <c r="AY2" t="s">
        <v>216</v>
      </c>
      <c r="AZ2" t="s">
        <v>216</v>
      </c>
      <c r="BA2" t="s">
        <v>216</v>
      </c>
      <c r="BB2" t="s">
        <v>94</v>
      </c>
      <c r="BC2" t="s">
        <v>232</v>
      </c>
      <c r="BE2" t="s">
        <v>432</v>
      </c>
      <c r="BF2" t="s">
        <v>418</v>
      </c>
      <c r="BG2" t="s">
        <v>6</v>
      </c>
      <c r="BH2" t="s">
        <v>51</v>
      </c>
      <c r="BI2" t="s">
        <v>284</v>
      </c>
      <c r="BJ2" t="s">
        <v>251</v>
      </c>
      <c r="BK2" t="s">
        <v>538</v>
      </c>
      <c r="BL2" t="s">
        <v>787</v>
      </c>
      <c r="BM2" t="s">
        <v>85</v>
      </c>
      <c r="BN2" t="s">
        <v>88</v>
      </c>
      <c r="BO2" t="s">
        <v>91</v>
      </c>
      <c r="BQ2" t="str" cm="1">
        <f t="array" ref="BQ2:BQ113">_xlfn._xlws.SORT(_xlfn.UNIQUE(BK2:BK1000))</f>
        <v>AssistPrimary</v>
      </c>
    </row>
    <row r="3" spans="1:69" x14ac:dyDescent="0.2">
      <c r="A3" t="s">
        <v>5</v>
      </c>
      <c r="B3" t="s">
        <v>5</v>
      </c>
      <c r="C3" t="s">
        <v>51</v>
      </c>
      <c r="D3" t="s">
        <v>143</v>
      </c>
      <c r="E3" t="s">
        <v>156</v>
      </c>
      <c r="F3" t="s">
        <v>389</v>
      </c>
      <c r="G3" t="s">
        <v>190</v>
      </c>
      <c r="H3" t="s">
        <v>181</v>
      </c>
      <c r="I3" t="s">
        <v>182</v>
      </c>
      <c r="J3" t="s">
        <v>214</v>
      </c>
      <c r="K3" t="s">
        <v>183</v>
      </c>
      <c r="L3" t="s">
        <v>184</v>
      </c>
      <c r="M3" t="s">
        <v>185</v>
      </c>
      <c r="N3" t="s">
        <v>186</v>
      </c>
      <c r="O3" t="s">
        <v>187</v>
      </c>
      <c r="P3" t="s">
        <v>188</v>
      </c>
      <c r="Q3" t="s">
        <v>189</v>
      </c>
      <c r="R3" t="s">
        <v>66</v>
      </c>
      <c r="S3" t="s">
        <v>66</v>
      </c>
      <c r="T3" t="s">
        <v>66</v>
      </c>
      <c r="U3" t="s">
        <v>66</v>
      </c>
      <c r="V3" t="s">
        <v>72</v>
      </c>
      <c r="W3" t="s">
        <v>80</v>
      </c>
      <c r="X3" t="s">
        <v>86</v>
      </c>
      <c r="Y3" t="s">
        <v>89</v>
      </c>
      <c r="Z3" t="s">
        <v>92</v>
      </c>
      <c r="AA3" t="s">
        <v>123</v>
      </c>
      <c r="AB3" t="s">
        <v>123</v>
      </c>
      <c r="AC3" t="s">
        <v>123</v>
      </c>
      <c r="AD3" t="s">
        <v>107</v>
      </c>
      <c r="AE3" t="s">
        <v>104</v>
      </c>
      <c r="AF3" t="s">
        <v>114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95</v>
      </c>
      <c r="AN3" t="s">
        <v>95</v>
      </c>
      <c r="AO3" t="s">
        <v>52</v>
      </c>
      <c r="AP3" t="s">
        <v>52</v>
      </c>
      <c r="AQ3" t="s">
        <v>52</v>
      </c>
      <c r="AR3" t="s">
        <v>52</v>
      </c>
      <c r="AS3" t="s">
        <v>51</v>
      </c>
      <c r="AT3" t="s">
        <v>51</v>
      </c>
      <c r="AU3" t="s">
        <v>51</v>
      </c>
      <c r="AV3" t="s">
        <v>52</v>
      </c>
      <c r="AW3" t="s">
        <v>51</v>
      </c>
      <c r="AX3" t="s">
        <v>51</v>
      </c>
      <c r="AY3" t="s">
        <v>217</v>
      </c>
      <c r="AZ3" t="s">
        <v>217</v>
      </c>
      <c r="BA3" t="s">
        <v>217</v>
      </c>
      <c r="BB3" t="s">
        <v>95</v>
      </c>
      <c r="BC3" t="s">
        <v>233</v>
      </c>
      <c r="BD3" t="s">
        <v>419</v>
      </c>
      <c r="BE3" t="s">
        <v>433</v>
      </c>
      <c r="BF3" t="s">
        <v>586</v>
      </c>
      <c r="BG3" t="s">
        <v>7</v>
      </c>
      <c r="BH3" t="s">
        <v>52</v>
      </c>
      <c r="BI3" t="s">
        <v>286</v>
      </c>
      <c r="BJ3" t="s">
        <v>291</v>
      </c>
      <c r="BK3" t="s">
        <v>539</v>
      </c>
      <c r="BL3" t="s">
        <v>769</v>
      </c>
      <c r="BM3" t="s">
        <v>86</v>
      </c>
      <c r="BN3" t="s">
        <v>89</v>
      </c>
      <c r="BO3" t="s">
        <v>92</v>
      </c>
      <c r="BQ3" t="str">
        <v>AssistSecondary</v>
      </c>
    </row>
    <row r="4" spans="1:69" x14ac:dyDescent="0.2">
      <c r="A4" t="s">
        <v>6</v>
      </c>
      <c r="B4" t="s">
        <v>17</v>
      </c>
      <c r="C4" t="s">
        <v>52</v>
      </c>
      <c r="D4" t="s">
        <v>144</v>
      </c>
      <c r="E4" t="s">
        <v>157</v>
      </c>
      <c r="G4" t="s">
        <v>197</v>
      </c>
      <c r="H4" t="s">
        <v>191</v>
      </c>
      <c r="I4" t="s">
        <v>192</v>
      </c>
      <c r="J4" t="s">
        <v>215</v>
      </c>
      <c r="L4" t="s">
        <v>193</v>
      </c>
      <c r="M4" t="s">
        <v>194</v>
      </c>
      <c r="N4" t="s">
        <v>195</v>
      </c>
      <c r="O4" s="3" t="s">
        <v>196</v>
      </c>
      <c r="Q4" t="s">
        <v>384</v>
      </c>
      <c r="R4" t="s">
        <v>67</v>
      </c>
      <c r="S4" t="s">
        <v>67</v>
      </c>
      <c r="T4" t="s">
        <v>67</v>
      </c>
      <c r="U4" t="s">
        <v>67</v>
      </c>
      <c r="V4" t="s">
        <v>73</v>
      </c>
      <c r="W4" t="s">
        <v>81</v>
      </c>
      <c r="X4" t="s">
        <v>87</v>
      </c>
      <c r="Y4" t="s">
        <v>90</v>
      </c>
      <c r="Z4" t="s">
        <v>93</v>
      </c>
      <c r="AA4" t="s">
        <v>124</v>
      </c>
      <c r="AB4" t="s">
        <v>124</v>
      </c>
      <c r="AC4" t="s">
        <v>124</v>
      </c>
      <c r="AD4" t="s">
        <v>109</v>
      </c>
      <c r="AE4" t="s">
        <v>39</v>
      </c>
      <c r="AF4" t="s">
        <v>115</v>
      </c>
      <c r="AG4" t="s">
        <v>53</v>
      </c>
      <c r="AH4" t="s">
        <v>53</v>
      </c>
      <c r="AI4" t="s">
        <v>53</v>
      </c>
      <c r="AJ4" t="s">
        <v>53</v>
      </c>
      <c r="AK4" t="s">
        <v>53</v>
      </c>
      <c r="AL4" t="s">
        <v>53</v>
      </c>
      <c r="AM4" t="s">
        <v>96</v>
      </c>
      <c r="AN4" t="s">
        <v>96</v>
      </c>
      <c r="AO4" t="s">
        <v>53</v>
      </c>
      <c r="AP4" t="s">
        <v>53</v>
      </c>
      <c r="AQ4" t="s">
        <v>53</v>
      </c>
      <c r="AR4" t="s">
        <v>53</v>
      </c>
      <c r="AS4" t="s">
        <v>52</v>
      </c>
      <c r="AT4" t="s">
        <v>52</v>
      </c>
      <c r="AU4" t="s">
        <v>52</v>
      </c>
      <c r="AV4" t="s">
        <v>53</v>
      </c>
      <c r="AW4" t="s">
        <v>52</v>
      </c>
      <c r="AX4" t="s">
        <v>52</v>
      </c>
      <c r="AY4" t="s">
        <v>218</v>
      </c>
      <c r="AZ4" t="s">
        <v>218</v>
      </c>
      <c r="BA4" t="s">
        <v>218</v>
      </c>
      <c r="BB4" t="s">
        <v>96</v>
      </c>
      <c r="BC4" t="s">
        <v>234</v>
      </c>
      <c r="BD4" t="s">
        <v>420</v>
      </c>
      <c r="BE4" t="s">
        <v>434</v>
      </c>
      <c r="BF4" t="s">
        <v>587</v>
      </c>
      <c r="BG4" t="s">
        <v>8</v>
      </c>
      <c r="BH4" t="s">
        <v>53</v>
      </c>
      <c r="BI4" t="s">
        <v>287</v>
      </c>
      <c r="BJ4" t="s">
        <v>292</v>
      </c>
      <c r="BK4" t="s">
        <v>596</v>
      </c>
      <c r="BL4" t="s">
        <v>767</v>
      </c>
      <c r="BM4" t="s">
        <v>87</v>
      </c>
      <c r="BN4" t="s">
        <v>90</v>
      </c>
      <c r="BO4" t="s">
        <v>93</v>
      </c>
      <c r="BQ4" t="str">
        <v>AssistTertiary</v>
      </c>
    </row>
    <row r="5" spans="1:69" x14ac:dyDescent="0.2">
      <c r="A5" t="s">
        <v>7</v>
      </c>
      <c r="B5" t="s">
        <v>18</v>
      </c>
      <c r="C5" t="s">
        <v>53</v>
      </c>
      <c r="D5" t="s">
        <v>145</v>
      </c>
      <c r="E5" t="s">
        <v>158</v>
      </c>
      <c r="G5" t="s">
        <v>236</v>
      </c>
      <c r="H5" t="s">
        <v>198</v>
      </c>
      <c r="I5" t="s">
        <v>199</v>
      </c>
      <c r="L5" t="s">
        <v>656</v>
      </c>
      <c r="N5" t="s">
        <v>200</v>
      </c>
      <c r="O5" t="s">
        <v>402</v>
      </c>
      <c r="R5" t="s">
        <v>68</v>
      </c>
      <c r="S5" t="s">
        <v>68</v>
      </c>
      <c r="T5" t="s">
        <v>68</v>
      </c>
      <c r="U5" t="s">
        <v>68</v>
      </c>
      <c r="V5" t="s">
        <v>74</v>
      </c>
      <c r="W5" t="s">
        <v>82</v>
      </c>
      <c r="X5" t="s">
        <v>373</v>
      </c>
      <c r="Y5" t="s">
        <v>374</v>
      </c>
      <c r="AA5" t="s">
        <v>125</v>
      </c>
      <c r="AB5" t="s">
        <v>125</v>
      </c>
      <c r="AC5" t="s">
        <v>125</v>
      </c>
      <c r="AD5" t="s">
        <v>110</v>
      </c>
      <c r="AF5" t="s">
        <v>118</v>
      </c>
      <c r="AG5" t="s">
        <v>55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 t="s">
        <v>97</v>
      </c>
      <c r="AN5" t="s">
        <v>97</v>
      </c>
      <c r="AO5" t="s">
        <v>55</v>
      </c>
      <c r="AP5" t="s">
        <v>55</v>
      </c>
      <c r="AQ5" t="s">
        <v>55</v>
      </c>
      <c r="AR5" t="s">
        <v>55</v>
      </c>
      <c r="AS5" t="s">
        <v>53</v>
      </c>
      <c r="AT5" t="s">
        <v>53</v>
      </c>
      <c r="AU5" t="s">
        <v>53</v>
      </c>
      <c r="AV5" t="s">
        <v>55</v>
      </c>
      <c r="AW5" t="s">
        <v>53</v>
      </c>
      <c r="AX5" t="s">
        <v>53</v>
      </c>
      <c r="AY5" t="s">
        <v>219</v>
      </c>
      <c r="AZ5" t="s">
        <v>220</v>
      </c>
      <c r="BA5" t="s">
        <v>220</v>
      </c>
      <c r="BB5" t="s">
        <v>97</v>
      </c>
      <c r="BC5" t="s">
        <v>235</v>
      </c>
      <c r="BD5" t="s">
        <v>421</v>
      </c>
      <c r="BE5" t="s">
        <v>435</v>
      </c>
      <c r="BF5" t="s">
        <v>574</v>
      </c>
      <c r="BG5" t="s">
        <v>9</v>
      </c>
      <c r="BH5" t="s">
        <v>55</v>
      </c>
      <c r="BI5" t="s">
        <v>288</v>
      </c>
      <c r="BJ5" t="s">
        <v>293</v>
      </c>
      <c r="BK5" t="s">
        <v>769</v>
      </c>
      <c r="BL5" t="s">
        <v>768</v>
      </c>
      <c r="BM5" t="s">
        <v>373</v>
      </c>
      <c r="BN5" t="s">
        <v>374</v>
      </c>
      <c r="BQ5" t="str">
        <v>AttemptedBlockedShot</v>
      </c>
    </row>
    <row r="6" spans="1:69" x14ac:dyDescent="0.2">
      <c r="A6" t="s">
        <v>8</v>
      </c>
      <c r="B6" t="s">
        <v>19</v>
      </c>
      <c r="C6" t="s">
        <v>54</v>
      </c>
      <c r="D6" t="s">
        <v>146</v>
      </c>
      <c r="E6" t="s">
        <v>159</v>
      </c>
      <c r="G6" t="s">
        <v>401</v>
      </c>
      <c r="H6" t="s">
        <v>201</v>
      </c>
      <c r="L6" t="s">
        <v>657</v>
      </c>
      <c r="N6" t="s">
        <v>202</v>
      </c>
      <c r="R6" t="s">
        <v>69</v>
      </c>
      <c r="S6" t="s">
        <v>69</v>
      </c>
      <c r="T6" t="s">
        <v>69</v>
      </c>
      <c r="U6" t="s">
        <v>69</v>
      </c>
      <c r="V6" t="s">
        <v>75</v>
      </c>
      <c r="W6" t="s">
        <v>83</v>
      </c>
      <c r="X6" t="s">
        <v>375</v>
      </c>
      <c r="Y6" t="s">
        <v>376</v>
      </c>
      <c r="AA6" t="s">
        <v>126</v>
      </c>
      <c r="AB6" t="s">
        <v>126</v>
      </c>
      <c r="AC6" t="s">
        <v>126</v>
      </c>
      <c r="AD6" t="s">
        <v>112</v>
      </c>
      <c r="AF6" t="s">
        <v>119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98</v>
      </c>
      <c r="AN6" t="s">
        <v>98</v>
      </c>
      <c r="AO6" t="s">
        <v>56</v>
      </c>
      <c r="AP6" t="s">
        <v>56</v>
      </c>
      <c r="AQ6" t="s">
        <v>56</v>
      </c>
      <c r="AR6" t="s">
        <v>56</v>
      </c>
      <c r="AS6" t="s">
        <v>55</v>
      </c>
      <c r="AT6" t="s">
        <v>55</v>
      </c>
      <c r="AU6" t="s">
        <v>55</v>
      </c>
      <c r="AV6" t="s">
        <v>56</v>
      </c>
      <c r="AW6" t="s">
        <v>55</v>
      </c>
      <c r="AX6" t="s">
        <v>55</v>
      </c>
      <c r="AY6" t="s">
        <v>220</v>
      </c>
      <c r="AZ6" t="s">
        <v>221</v>
      </c>
      <c r="BA6" t="s">
        <v>221</v>
      </c>
      <c r="BB6" t="s">
        <v>98</v>
      </c>
      <c r="BD6" t="s">
        <v>422</v>
      </c>
      <c r="BE6" t="s">
        <v>436</v>
      </c>
      <c r="BG6" t="s">
        <v>238</v>
      </c>
      <c r="BH6" t="s">
        <v>56</v>
      </c>
      <c r="BI6" t="s">
        <v>289</v>
      </c>
      <c r="BJ6" t="s">
        <v>294</v>
      </c>
      <c r="BK6" t="s">
        <v>767</v>
      </c>
      <c r="BL6" t="s">
        <v>770</v>
      </c>
      <c r="BM6" t="s">
        <v>375</v>
      </c>
      <c r="BN6" t="s">
        <v>376</v>
      </c>
      <c r="BQ6" t="str">
        <v>AttemptedBreakOutClear</v>
      </c>
    </row>
    <row r="7" spans="1:69" x14ac:dyDescent="0.2">
      <c r="A7" t="s">
        <v>9</v>
      </c>
      <c r="B7" t="s">
        <v>20</v>
      </c>
      <c r="C7" t="s">
        <v>55</v>
      </c>
      <c r="D7" t="s">
        <v>147</v>
      </c>
      <c r="E7" t="s">
        <v>160</v>
      </c>
      <c r="H7" t="s">
        <v>206</v>
      </c>
      <c r="L7" t="s">
        <v>658</v>
      </c>
      <c r="N7" t="s">
        <v>203</v>
      </c>
      <c r="R7" t="s">
        <v>371</v>
      </c>
      <c r="S7" t="s">
        <v>371</v>
      </c>
      <c r="T7" t="s">
        <v>371</v>
      </c>
      <c r="U7" t="s">
        <v>371</v>
      </c>
      <c r="V7" t="s">
        <v>446</v>
      </c>
      <c r="W7" t="s">
        <v>355</v>
      </c>
      <c r="X7" t="s">
        <v>390</v>
      </c>
      <c r="Y7" t="s">
        <v>378</v>
      </c>
      <c r="AA7" t="s">
        <v>127</v>
      </c>
      <c r="AB7" t="s">
        <v>127</v>
      </c>
      <c r="AC7" t="s">
        <v>127</v>
      </c>
      <c r="AD7" t="s">
        <v>113</v>
      </c>
      <c r="AF7" t="s">
        <v>120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99</v>
      </c>
      <c r="AN7" t="s">
        <v>99</v>
      </c>
      <c r="AO7" t="s">
        <v>57</v>
      </c>
      <c r="AP7" t="s">
        <v>57</v>
      </c>
      <c r="AQ7" t="s">
        <v>57</v>
      </c>
      <c r="AR7" t="s">
        <v>57</v>
      </c>
      <c r="AS7" t="s">
        <v>56</v>
      </c>
      <c r="AT7" t="s">
        <v>56</v>
      </c>
      <c r="AU7" t="s">
        <v>56</v>
      </c>
      <c r="AV7" t="s">
        <v>57</v>
      </c>
      <c r="AW7" t="s">
        <v>56</v>
      </c>
      <c r="AX7" t="s">
        <v>56</v>
      </c>
      <c r="AY7" t="s">
        <v>221</v>
      </c>
      <c r="AZ7" t="s">
        <v>222</v>
      </c>
      <c r="BA7" t="s">
        <v>222</v>
      </c>
      <c r="BB7" t="s">
        <v>99</v>
      </c>
      <c r="BD7" t="s">
        <v>423</v>
      </c>
      <c r="BE7" t="s">
        <v>437</v>
      </c>
      <c r="BG7" t="s">
        <v>10</v>
      </c>
      <c r="BH7" t="s">
        <v>57</v>
      </c>
      <c r="BI7" t="s">
        <v>290</v>
      </c>
      <c r="BJ7" t="s">
        <v>295</v>
      </c>
      <c r="BK7" t="s">
        <v>768</v>
      </c>
      <c r="BL7" t="s">
        <v>771</v>
      </c>
      <c r="BM7" t="s">
        <v>390</v>
      </c>
      <c r="BN7" t="s">
        <v>378</v>
      </c>
      <c r="BQ7" t="str">
        <v>AttemptedBreakOutPass</v>
      </c>
    </row>
    <row r="8" spans="1:69" x14ac:dyDescent="0.2">
      <c r="A8" t="s">
        <v>238</v>
      </c>
      <c r="B8" t="s">
        <v>21</v>
      </c>
      <c r="C8" t="s">
        <v>56</v>
      </c>
      <c r="D8" t="s">
        <v>148</v>
      </c>
      <c r="E8" t="s">
        <v>161</v>
      </c>
      <c r="H8" t="s">
        <v>204</v>
      </c>
      <c r="R8" t="s">
        <v>372</v>
      </c>
      <c r="S8" t="s">
        <v>372</v>
      </c>
      <c r="T8" t="s">
        <v>372</v>
      </c>
      <c r="U8" t="s">
        <v>372</v>
      </c>
      <c r="V8" t="s">
        <v>76</v>
      </c>
      <c r="W8" t="s">
        <v>366</v>
      </c>
      <c r="X8" t="s">
        <v>377</v>
      </c>
      <c r="Y8" t="s">
        <v>380</v>
      </c>
      <c r="AA8" t="s">
        <v>128</v>
      </c>
      <c r="AB8" t="s">
        <v>128</v>
      </c>
      <c r="AC8" t="s">
        <v>128</v>
      </c>
      <c r="AD8" t="s">
        <v>116</v>
      </c>
      <c r="AF8" t="s">
        <v>121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100</v>
      </c>
      <c r="AN8" t="s">
        <v>100</v>
      </c>
      <c r="AO8" t="s">
        <v>58</v>
      </c>
      <c r="AP8" t="s">
        <v>58</v>
      </c>
      <c r="AQ8" t="s">
        <v>58</v>
      </c>
      <c r="AR8" t="s">
        <v>58</v>
      </c>
      <c r="AS8" t="s">
        <v>57</v>
      </c>
      <c r="AT8" t="s">
        <v>57</v>
      </c>
      <c r="AU8" t="s">
        <v>57</v>
      </c>
      <c r="AV8" t="s">
        <v>58</v>
      </c>
      <c r="AW8" t="s">
        <v>57</v>
      </c>
      <c r="AX8" t="s">
        <v>57</v>
      </c>
      <c r="AY8" t="s">
        <v>222</v>
      </c>
      <c r="AZ8" t="s">
        <v>223</v>
      </c>
      <c r="BA8" t="s">
        <v>223</v>
      </c>
      <c r="BB8" t="s">
        <v>100</v>
      </c>
      <c r="BD8" t="s">
        <v>424</v>
      </c>
      <c r="BE8" t="s">
        <v>438</v>
      </c>
      <c r="BG8" t="s">
        <v>237</v>
      </c>
      <c r="BH8" t="s">
        <v>58</v>
      </c>
      <c r="BI8" t="s">
        <v>393</v>
      </c>
      <c r="BJ8" t="s">
        <v>296</v>
      </c>
      <c r="BK8" t="s">
        <v>770</v>
      </c>
      <c r="BL8" t="s">
        <v>772</v>
      </c>
      <c r="BM8" t="s">
        <v>377</v>
      </c>
      <c r="BN8" t="s">
        <v>380</v>
      </c>
      <c r="BQ8" t="str">
        <v>AttemptedBreakOutRush</v>
      </c>
    </row>
    <row r="9" spans="1:69" x14ac:dyDescent="0.2">
      <c r="A9" t="s">
        <v>10</v>
      </c>
      <c r="B9" t="s">
        <v>22</v>
      </c>
      <c r="C9" t="s">
        <v>57</v>
      </c>
      <c r="D9" t="s">
        <v>149</v>
      </c>
      <c r="E9" t="s">
        <v>162</v>
      </c>
      <c r="H9" t="s">
        <v>207</v>
      </c>
      <c r="R9" t="s">
        <v>381</v>
      </c>
      <c r="S9" t="s">
        <v>381</v>
      </c>
      <c r="T9" t="s">
        <v>381</v>
      </c>
      <c r="U9" t="s">
        <v>381</v>
      </c>
      <c r="V9" t="s">
        <v>77</v>
      </c>
      <c r="W9" t="s">
        <v>84</v>
      </c>
      <c r="X9" t="s">
        <v>379</v>
      </c>
      <c r="Y9" t="s">
        <v>415</v>
      </c>
      <c r="AA9" t="s">
        <v>129</v>
      </c>
      <c r="AB9" t="s">
        <v>129</v>
      </c>
      <c r="AC9" t="s">
        <v>129</v>
      </c>
      <c r="AD9" t="s">
        <v>108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101</v>
      </c>
      <c r="AN9" t="s">
        <v>101</v>
      </c>
      <c r="AO9" t="s">
        <v>59</v>
      </c>
      <c r="AP9" t="s">
        <v>59</v>
      </c>
      <c r="AQ9" t="s">
        <v>59</v>
      </c>
      <c r="AR9" t="s">
        <v>59</v>
      </c>
      <c r="AS9" t="s">
        <v>58</v>
      </c>
      <c r="AT9" t="s">
        <v>58</v>
      </c>
      <c r="AU9" t="s">
        <v>58</v>
      </c>
      <c r="AV9" t="s">
        <v>59</v>
      </c>
      <c r="AW9" t="s">
        <v>58</v>
      </c>
      <c r="AX9" t="s">
        <v>58</v>
      </c>
      <c r="AY9" t="s">
        <v>223</v>
      </c>
      <c r="AZ9" t="s">
        <v>224</v>
      </c>
      <c r="BA9" t="s">
        <v>224</v>
      </c>
      <c r="BB9" t="s">
        <v>101</v>
      </c>
      <c r="BD9" t="s">
        <v>425</v>
      </c>
      <c r="BE9" t="s">
        <v>439</v>
      </c>
      <c r="BG9" t="s">
        <v>11</v>
      </c>
      <c r="BH9" t="s">
        <v>59</v>
      </c>
      <c r="BI9" t="s">
        <v>519</v>
      </c>
      <c r="BJ9" t="s">
        <v>285</v>
      </c>
      <c r="BK9" t="s">
        <v>771</v>
      </c>
      <c r="BL9" t="s">
        <v>766</v>
      </c>
      <c r="BM9" t="s">
        <v>379</v>
      </c>
      <c r="BN9" t="s">
        <v>415</v>
      </c>
      <c r="BQ9" t="str">
        <v>AttemptedEntryDumpIn</v>
      </c>
    </row>
    <row r="10" spans="1:69" x14ac:dyDescent="0.2">
      <c r="A10" t="s">
        <v>237</v>
      </c>
      <c r="B10" t="s">
        <v>23</v>
      </c>
      <c r="C10" t="s">
        <v>58</v>
      </c>
      <c r="D10" t="s">
        <v>150</v>
      </c>
      <c r="E10" t="s">
        <v>163</v>
      </c>
      <c r="H10" t="s">
        <v>208</v>
      </c>
      <c r="R10" t="s">
        <v>385</v>
      </c>
      <c r="S10" t="s">
        <v>385</v>
      </c>
      <c r="T10" t="s">
        <v>385</v>
      </c>
      <c r="U10" t="s">
        <v>385</v>
      </c>
      <c r="V10" t="s">
        <v>354</v>
      </c>
      <c r="X10" t="s">
        <v>382</v>
      </c>
      <c r="Y10" t="s">
        <v>524</v>
      </c>
      <c r="AA10" t="s">
        <v>130</v>
      </c>
      <c r="AB10" t="s">
        <v>130</v>
      </c>
      <c r="AC10" t="s">
        <v>130</v>
      </c>
      <c r="AD10" t="s">
        <v>105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416</v>
      </c>
      <c r="AN10" t="s">
        <v>416</v>
      </c>
      <c r="AO10" t="s">
        <v>60</v>
      </c>
      <c r="AP10" t="s">
        <v>60</v>
      </c>
      <c r="AQ10" t="s">
        <v>60</v>
      </c>
      <c r="AR10" t="s">
        <v>60</v>
      </c>
      <c r="AS10" t="s">
        <v>59</v>
      </c>
      <c r="AT10" t="s">
        <v>59</v>
      </c>
      <c r="AU10" t="s">
        <v>59</v>
      </c>
      <c r="AV10" t="s">
        <v>60</v>
      </c>
      <c r="AW10" t="s">
        <v>59</v>
      </c>
      <c r="AX10" t="s">
        <v>59</v>
      </c>
      <c r="AY10" t="s">
        <v>224</v>
      </c>
      <c r="AZ10" t="s">
        <v>225</v>
      </c>
      <c r="BA10" t="s">
        <v>225</v>
      </c>
      <c r="BB10" t="s">
        <v>102</v>
      </c>
      <c r="BD10" t="s">
        <v>447</v>
      </c>
      <c r="BE10" t="s">
        <v>440</v>
      </c>
      <c r="BG10" t="s">
        <v>12</v>
      </c>
      <c r="BH10" t="s">
        <v>60</v>
      </c>
      <c r="BI10" t="s">
        <v>287</v>
      </c>
      <c r="BJ10" t="s">
        <v>297</v>
      </c>
      <c r="BK10" t="s">
        <v>772</v>
      </c>
      <c r="BL10" t="s">
        <v>159</v>
      </c>
      <c r="BM10" t="s">
        <v>382</v>
      </c>
      <c r="BN10" t="s">
        <v>524</v>
      </c>
      <c r="BQ10" t="str">
        <v>AttemptedEntryPass</v>
      </c>
    </row>
    <row r="11" spans="1:69" x14ac:dyDescent="0.2">
      <c r="A11" t="s">
        <v>11</v>
      </c>
      <c r="B11" t="s">
        <v>24</v>
      </c>
      <c r="C11" t="s">
        <v>59</v>
      </c>
      <c r="D11" t="s">
        <v>151</v>
      </c>
      <c r="E11" t="s">
        <v>164</v>
      </c>
      <c r="H11" t="s">
        <v>211</v>
      </c>
      <c r="R11" t="s">
        <v>444</v>
      </c>
      <c r="S11" t="s">
        <v>444</v>
      </c>
      <c r="T11" t="s">
        <v>444</v>
      </c>
      <c r="U11" t="s">
        <v>444</v>
      </c>
      <c r="V11" t="s">
        <v>365</v>
      </c>
      <c r="X11" t="s">
        <v>414</v>
      </c>
      <c r="Y11" t="s">
        <v>727</v>
      </c>
      <c r="AA11" t="s">
        <v>131</v>
      </c>
      <c r="AB11" t="s">
        <v>131</v>
      </c>
      <c r="AC11" t="s">
        <v>131</v>
      </c>
      <c r="AD11" t="s">
        <v>41</v>
      </c>
      <c r="AG11" t="s">
        <v>54</v>
      </c>
      <c r="AH11" t="s">
        <v>54</v>
      </c>
      <c r="AI11" t="s">
        <v>64</v>
      </c>
      <c r="AJ11" t="s">
        <v>64</v>
      </c>
      <c r="AK11" t="s">
        <v>64</v>
      </c>
      <c r="AL11" t="s">
        <v>64</v>
      </c>
      <c r="AM11" t="s">
        <v>443</v>
      </c>
      <c r="AN11" t="s">
        <v>443</v>
      </c>
      <c r="AO11" t="s">
        <v>61</v>
      </c>
      <c r="AP11" t="s">
        <v>61</v>
      </c>
      <c r="AQ11" t="s">
        <v>61</v>
      </c>
      <c r="AR11" t="s">
        <v>61</v>
      </c>
      <c r="AS11" t="s">
        <v>60</v>
      </c>
      <c r="AT11" t="s">
        <v>60</v>
      </c>
      <c r="AU11" t="s">
        <v>60</v>
      </c>
      <c r="AV11" t="s">
        <v>61</v>
      </c>
      <c r="AW11" t="s">
        <v>60</v>
      </c>
      <c r="AX11" t="s">
        <v>60</v>
      </c>
      <c r="AY11" t="s">
        <v>225</v>
      </c>
      <c r="AZ11" t="s">
        <v>229</v>
      </c>
      <c r="BA11" t="s">
        <v>229</v>
      </c>
      <c r="BD11" t="s">
        <v>426</v>
      </c>
      <c r="BE11" t="s">
        <v>441</v>
      </c>
      <c r="BG11" t="s">
        <v>13</v>
      </c>
      <c r="BH11" t="s">
        <v>61</v>
      </c>
      <c r="BJ11" t="s">
        <v>298</v>
      </c>
      <c r="BK11" t="s">
        <v>766</v>
      </c>
      <c r="BL11" t="s">
        <v>164</v>
      </c>
      <c r="BM11" t="s">
        <v>414</v>
      </c>
      <c r="BN11" t="s">
        <v>170</v>
      </c>
      <c r="BQ11" t="str">
        <v>AttemptedEntryRush</v>
      </c>
    </row>
    <row r="12" spans="1:69" x14ac:dyDescent="0.2">
      <c r="A12" t="s">
        <v>12</v>
      </c>
      <c r="B12" t="s">
        <v>25</v>
      </c>
      <c r="C12" t="s">
        <v>60</v>
      </c>
      <c r="D12" t="s">
        <v>152</v>
      </c>
      <c r="E12" t="s">
        <v>165</v>
      </c>
      <c r="H12" t="s">
        <v>212</v>
      </c>
      <c r="R12" t="s">
        <v>445</v>
      </c>
      <c r="S12" t="s">
        <v>445</v>
      </c>
      <c r="T12" t="s">
        <v>445</v>
      </c>
      <c r="U12" t="s">
        <v>445</v>
      </c>
      <c r="V12" t="s">
        <v>383</v>
      </c>
      <c r="X12" t="s">
        <v>523</v>
      </c>
      <c r="Y12" t="s">
        <v>170</v>
      </c>
      <c r="AA12" t="s">
        <v>132</v>
      </c>
      <c r="AB12" t="s">
        <v>132</v>
      </c>
      <c r="AC12" t="s">
        <v>132</v>
      </c>
      <c r="AD12" t="s">
        <v>40</v>
      </c>
      <c r="AG12" t="s">
        <v>64</v>
      </c>
      <c r="AH12" t="s">
        <v>64</v>
      </c>
      <c r="AM12" t="s">
        <v>102</v>
      </c>
      <c r="AN12" t="s">
        <v>102</v>
      </c>
      <c r="AO12" t="s">
        <v>63</v>
      </c>
      <c r="AP12" t="s">
        <v>63</v>
      </c>
      <c r="AQ12" t="s">
        <v>63</v>
      </c>
      <c r="AR12" t="s">
        <v>63</v>
      </c>
      <c r="AS12" t="s">
        <v>61</v>
      </c>
      <c r="AT12" t="s">
        <v>61</v>
      </c>
      <c r="AU12" t="s">
        <v>61</v>
      </c>
      <c r="AV12" t="s">
        <v>63</v>
      </c>
      <c r="AW12" t="s">
        <v>61</v>
      </c>
      <c r="AX12" t="s">
        <v>61</v>
      </c>
      <c r="AY12" t="s">
        <v>226</v>
      </c>
      <c r="BD12" t="s">
        <v>427</v>
      </c>
      <c r="BE12" t="s">
        <v>442</v>
      </c>
      <c r="BG12" t="s">
        <v>14</v>
      </c>
      <c r="BH12" t="s">
        <v>63</v>
      </c>
      <c r="BJ12" t="s">
        <v>299</v>
      </c>
      <c r="BK12" t="s">
        <v>450</v>
      </c>
      <c r="BL12" t="s">
        <v>758</v>
      </c>
      <c r="BM12" t="s">
        <v>523</v>
      </c>
      <c r="BQ12" t="str">
        <v>AttemptedKeepin</v>
      </c>
    </row>
    <row r="13" spans="1:69" x14ac:dyDescent="0.2">
      <c r="A13" t="s">
        <v>13</v>
      </c>
      <c r="B13" t="s">
        <v>26</v>
      </c>
      <c r="C13" t="s">
        <v>61</v>
      </c>
      <c r="D13" t="s">
        <v>153</v>
      </c>
      <c r="E13" t="s">
        <v>166</v>
      </c>
      <c r="H13" t="s">
        <v>240</v>
      </c>
      <c r="R13" t="s">
        <v>588</v>
      </c>
      <c r="S13" t="s">
        <v>70</v>
      </c>
      <c r="T13" t="s">
        <v>70</v>
      </c>
      <c r="U13" t="s">
        <v>70</v>
      </c>
      <c r="V13" t="s">
        <v>391</v>
      </c>
      <c r="X13" t="s">
        <v>726</v>
      </c>
      <c r="AA13" t="s">
        <v>134</v>
      </c>
      <c r="AB13" t="s">
        <v>133</v>
      </c>
      <c r="AC13" t="s">
        <v>133</v>
      </c>
      <c r="AO13" t="s">
        <v>54</v>
      </c>
      <c r="AP13" t="s">
        <v>204</v>
      </c>
      <c r="AQ13" t="s">
        <v>204</v>
      </c>
      <c r="AR13" t="s">
        <v>204</v>
      </c>
      <c r="AS13" t="s">
        <v>63</v>
      </c>
      <c r="AT13" t="s">
        <v>63</v>
      </c>
      <c r="AU13" t="s">
        <v>63</v>
      </c>
      <c r="AV13" t="s">
        <v>64</v>
      </c>
      <c r="AW13" t="s">
        <v>63</v>
      </c>
      <c r="AX13" t="s">
        <v>63</v>
      </c>
      <c r="AY13" t="s">
        <v>227</v>
      </c>
      <c r="BD13" t="s">
        <v>428</v>
      </c>
      <c r="BE13" t="s">
        <v>448</v>
      </c>
      <c r="BG13" t="s">
        <v>15</v>
      </c>
      <c r="BH13" t="s">
        <v>204</v>
      </c>
      <c r="BJ13" t="s">
        <v>300</v>
      </c>
      <c r="BK13" t="s">
        <v>450</v>
      </c>
      <c r="BL13" t="s">
        <v>162</v>
      </c>
      <c r="BM13" t="s">
        <v>169</v>
      </c>
      <c r="BQ13" t="str">
        <v>AttemptedPass</v>
      </c>
    </row>
    <row r="14" spans="1:69" x14ac:dyDescent="0.2">
      <c r="A14" t="s">
        <v>14</v>
      </c>
      <c r="B14" t="s">
        <v>27</v>
      </c>
      <c r="C14" t="s">
        <v>62</v>
      </c>
      <c r="D14" t="s">
        <v>154</v>
      </c>
      <c r="E14" t="s">
        <v>152</v>
      </c>
      <c r="H14" t="s">
        <v>730</v>
      </c>
      <c r="R14" t="s">
        <v>589</v>
      </c>
      <c r="S14" t="s">
        <v>589</v>
      </c>
      <c r="T14" t="s">
        <v>589</v>
      </c>
      <c r="U14" t="s">
        <v>589</v>
      </c>
      <c r="V14" t="s">
        <v>78</v>
      </c>
      <c r="X14" t="s">
        <v>169</v>
      </c>
      <c r="AA14" t="s">
        <v>135</v>
      </c>
      <c r="AB14" t="s">
        <v>134</v>
      </c>
      <c r="AC14" t="s">
        <v>134</v>
      </c>
      <c r="AO14" t="s">
        <v>64</v>
      </c>
      <c r="AP14" t="s">
        <v>64</v>
      </c>
      <c r="AQ14" t="s">
        <v>64</v>
      </c>
      <c r="AR14" t="s">
        <v>64</v>
      </c>
      <c r="AS14" t="s">
        <v>64</v>
      </c>
      <c r="AT14" t="s">
        <v>64</v>
      </c>
      <c r="AU14" t="s">
        <v>64</v>
      </c>
      <c r="AV14" t="s">
        <v>62</v>
      </c>
      <c r="AW14" t="s">
        <v>64</v>
      </c>
      <c r="AX14" t="s">
        <v>64</v>
      </c>
      <c r="AY14" t="s">
        <v>228</v>
      </c>
      <c r="BD14" t="s">
        <v>429</v>
      </c>
      <c r="BE14" t="s">
        <v>427</v>
      </c>
      <c r="BG14" t="s">
        <v>16</v>
      </c>
      <c r="BH14" t="s">
        <v>64</v>
      </c>
      <c r="BJ14" t="s">
        <v>301</v>
      </c>
      <c r="BK14" t="s">
        <v>774</v>
      </c>
      <c r="BL14" t="s">
        <v>165</v>
      </c>
      <c r="BQ14" t="str">
        <v>AttemptedShot</v>
      </c>
    </row>
    <row r="15" spans="1:69" x14ac:dyDescent="0.2">
      <c r="A15" t="s">
        <v>15</v>
      </c>
      <c r="B15" t="s">
        <v>28</v>
      </c>
      <c r="C15" t="s">
        <v>63</v>
      </c>
      <c r="D15" t="s">
        <v>155</v>
      </c>
      <c r="R15" t="s">
        <v>590</v>
      </c>
      <c r="S15" t="s">
        <v>590</v>
      </c>
      <c r="T15" t="s">
        <v>590</v>
      </c>
      <c r="U15" t="s">
        <v>590</v>
      </c>
      <c r="AA15" t="s">
        <v>136</v>
      </c>
      <c r="AB15" t="s">
        <v>135</v>
      </c>
      <c r="AC15" t="s">
        <v>135</v>
      </c>
      <c r="AV15" t="s">
        <v>54</v>
      </c>
      <c r="AY15" t="s">
        <v>229</v>
      </c>
      <c r="BD15" t="s">
        <v>430</v>
      </c>
      <c r="BG15" t="s">
        <v>231</v>
      </c>
      <c r="BJ15" t="s">
        <v>302</v>
      </c>
      <c r="BK15" t="s">
        <v>773</v>
      </c>
      <c r="BL15" t="s">
        <v>163</v>
      </c>
      <c r="BQ15" t="str">
        <v>AttemptedTip/Deflection</v>
      </c>
    </row>
    <row r="16" spans="1:69" x14ac:dyDescent="0.2">
      <c r="A16" t="s">
        <v>16</v>
      </c>
      <c r="B16" t="s">
        <v>29</v>
      </c>
      <c r="C16" t="s">
        <v>64</v>
      </c>
      <c r="R16" t="s">
        <v>591</v>
      </c>
      <c r="S16" t="s">
        <v>591</v>
      </c>
      <c r="T16" t="s">
        <v>591</v>
      </c>
      <c r="U16" t="s">
        <v>591</v>
      </c>
      <c r="AA16" t="s">
        <v>138</v>
      </c>
      <c r="AB16" t="s">
        <v>136</v>
      </c>
      <c r="AC16" t="s">
        <v>136</v>
      </c>
      <c r="BD16" t="s">
        <v>431</v>
      </c>
      <c r="BJ16" t="s">
        <v>303</v>
      </c>
      <c r="BK16" t="s">
        <v>151</v>
      </c>
      <c r="BL16" t="s">
        <v>556</v>
      </c>
      <c r="BQ16" t="str">
        <v>Backcheck</v>
      </c>
    </row>
    <row r="17" spans="1:69" x14ac:dyDescent="0.2">
      <c r="A17" t="s">
        <v>231</v>
      </c>
      <c r="B17" t="s">
        <v>30</v>
      </c>
      <c r="C17" t="s">
        <v>65</v>
      </c>
      <c r="R17" t="s">
        <v>592</v>
      </c>
      <c r="S17" t="s">
        <v>592</v>
      </c>
      <c r="T17" t="s">
        <v>592</v>
      </c>
      <c r="U17" t="s">
        <v>592</v>
      </c>
      <c r="AA17" t="s">
        <v>139</v>
      </c>
      <c r="AB17" t="s">
        <v>137</v>
      </c>
      <c r="AC17" t="s">
        <v>137</v>
      </c>
      <c r="BJ17" t="s">
        <v>304</v>
      </c>
      <c r="BK17" t="s">
        <v>148</v>
      </c>
      <c r="BL17" t="s">
        <v>166</v>
      </c>
      <c r="BQ17" t="str">
        <v>BeatDeke</v>
      </c>
    </row>
    <row r="18" spans="1:69" x14ac:dyDescent="0.2">
      <c r="A18" t="s">
        <v>241</v>
      </c>
      <c r="B18" t="s">
        <v>31</v>
      </c>
      <c r="C18" t="s">
        <v>66</v>
      </c>
      <c r="R18" t="s">
        <v>70</v>
      </c>
      <c r="S18" t="s">
        <v>70</v>
      </c>
      <c r="T18" t="s">
        <v>70</v>
      </c>
      <c r="U18" t="s">
        <v>70</v>
      </c>
      <c r="AA18" t="s">
        <v>141</v>
      </c>
      <c r="AB18" t="s">
        <v>138</v>
      </c>
      <c r="AC18" t="s">
        <v>138</v>
      </c>
      <c r="BJ18" t="s">
        <v>305</v>
      </c>
      <c r="BK18" t="s">
        <v>548</v>
      </c>
      <c r="BL18" t="s">
        <v>774</v>
      </c>
      <c r="BQ18" t="str">
        <v>BeatFake</v>
      </c>
    </row>
    <row r="19" spans="1:69" x14ac:dyDescent="0.2">
      <c r="A19" t="s">
        <v>230</v>
      </c>
      <c r="B19" t="s">
        <v>32</v>
      </c>
      <c r="C19" t="s">
        <v>67</v>
      </c>
      <c r="AB19" t="s">
        <v>139</v>
      </c>
      <c r="AC19" t="s">
        <v>139</v>
      </c>
      <c r="BJ19" t="s">
        <v>306</v>
      </c>
      <c r="BK19" t="s">
        <v>527</v>
      </c>
      <c r="BL19" t="s">
        <v>773</v>
      </c>
      <c r="BQ19" t="str">
        <v>BeatMiddle</v>
      </c>
    </row>
    <row r="20" spans="1:69" x14ac:dyDescent="0.2">
      <c r="A20" t="s">
        <v>392</v>
      </c>
      <c r="B20" t="s">
        <v>33</v>
      </c>
      <c r="C20" t="s">
        <v>68</v>
      </c>
      <c r="AB20" t="s">
        <v>140</v>
      </c>
      <c r="AC20" t="s">
        <v>140</v>
      </c>
      <c r="BJ20" t="s">
        <v>307</v>
      </c>
      <c r="BK20" t="s">
        <v>150</v>
      </c>
      <c r="BL20" t="s">
        <v>558</v>
      </c>
      <c r="BQ20" t="str">
        <v>BeatSpeed</v>
      </c>
    </row>
    <row r="21" spans="1:69" x14ac:dyDescent="0.2">
      <c r="A21" t="s">
        <v>393</v>
      </c>
      <c r="B21" t="s">
        <v>34</v>
      </c>
      <c r="C21" t="s">
        <v>69</v>
      </c>
      <c r="AB21" t="s">
        <v>141</v>
      </c>
      <c r="AC21" t="s">
        <v>141</v>
      </c>
      <c r="BJ21" t="s">
        <v>308</v>
      </c>
      <c r="BK21" t="s">
        <v>149</v>
      </c>
      <c r="BL21" t="s">
        <v>161</v>
      </c>
      <c r="BQ21" t="str">
        <v>BeatWide</v>
      </c>
    </row>
    <row r="22" spans="1:69" x14ac:dyDescent="0.2">
      <c r="A22" t="s">
        <v>398</v>
      </c>
      <c r="B22" t="s">
        <v>35</v>
      </c>
      <c r="C22" t="s">
        <v>70</v>
      </c>
      <c r="BJ22" t="s">
        <v>309</v>
      </c>
      <c r="BK22" t="s">
        <v>145</v>
      </c>
      <c r="BL22" t="s">
        <v>584</v>
      </c>
      <c r="BQ22" t="str">
        <v>BlockedShot</v>
      </c>
    </row>
    <row r="23" spans="1:69" x14ac:dyDescent="0.2">
      <c r="A23" t="s">
        <v>287</v>
      </c>
      <c r="B23" t="s">
        <v>10</v>
      </c>
      <c r="C23" t="s">
        <v>71</v>
      </c>
      <c r="BJ23" t="s">
        <v>310</v>
      </c>
      <c r="BK23" t="s">
        <v>143</v>
      </c>
      <c r="BL23" t="s">
        <v>760</v>
      </c>
      <c r="BQ23" t="str">
        <v>BoxOut</v>
      </c>
    </row>
    <row r="24" spans="1:69" x14ac:dyDescent="0.2">
      <c r="A24" t="s">
        <v>400</v>
      </c>
      <c r="B24" t="s">
        <v>36</v>
      </c>
      <c r="C24" t="s">
        <v>72</v>
      </c>
      <c r="BJ24" t="s">
        <v>311</v>
      </c>
      <c r="BK24" t="s">
        <v>146</v>
      </c>
      <c r="BL24" t="s">
        <v>762</v>
      </c>
      <c r="BQ24" t="str">
        <v>Breakout</v>
      </c>
    </row>
    <row r="25" spans="1:69" x14ac:dyDescent="0.2">
      <c r="A25" t="s">
        <v>417</v>
      </c>
      <c r="B25" t="s">
        <v>37</v>
      </c>
      <c r="C25" t="s">
        <v>73</v>
      </c>
      <c r="BJ25" t="s">
        <v>312</v>
      </c>
      <c r="BK25" t="s">
        <v>147</v>
      </c>
      <c r="BL25" t="s">
        <v>761</v>
      </c>
      <c r="BQ25" t="str">
        <v>CededZoneEntry</v>
      </c>
    </row>
    <row r="26" spans="1:69" x14ac:dyDescent="0.2">
      <c r="A26" t="s">
        <v>529</v>
      </c>
      <c r="B26" t="s">
        <v>38</v>
      </c>
      <c r="C26" t="s">
        <v>74</v>
      </c>
      <c r="BJ26" t="s">
        <v>313</v>
      </c>
      <c r="BK26" t="s">
        <v>144</v>
      </c>
      <c r="BL26" t="s">
        <v>759</v>
      </c>
      <c r="BQ26" t="str">
        <v>CededZoneExit</v>
      </c>
    </row>
    <row r="27" spans="1:69" x14ac:dyDescent="0.2">
      <c r="B27" t="s">
        <v>39</v>
      </c>
      <c r="C27" t="s">
        <v>75</v>
      </c>
      <c r="BJ27" t="s">
        <v>314</v>
      </c>
      <c r="BK27" t="s">
        <v>537</v>
      </c>
      <c r="BL27" t="s">
        <v>786</v>
      </c>
      <c r="BQ27" t="str">
        <v>Chip</v>
      </c>
    </row>
    <row r="28" spans="1:69" x14ac:dyDescent="0.2">
      <c r="B28" t="s">
        <v>40</v>
      </c>
      <c r="C28" t="s">
        <v>76</v>
      </c>
      <c r="BJ28" t="s">
        <v>315</v>
      </c>
      <c r="BK28" t="s">
        <v>153</v>
      </c>
      <c r="BL28" t="s">
        <v>154</v>
      </c>
      <c r="BQ28" t="str">
        <v>ClearingAttempt</v>
      </c>
    </row>
    <row r="29" spans="1:69" x14ac:dyDescent="0.2">
      <c r="B29" t="s">
        <v>41</v>
      </c>
      <c r="C29" t="s">
        <v>77</v>
      </c>
      <c r="BJ29" t="s">
        <v>316</v>
      </c>
      <c r="BK29" t="s">
        <v>547</v>
      </c>
      <c r="BL29" t="s">
        <v>546</v>
      </c>
      <c r="BQ29" t="str">
        <v>Contain</v>
      </c>
    </row>
    <row r="30" spans="1:69" x14ac:dyDescent="0.2">
      <c r="B30" t="s">
        <v>42</v>
      </c>
      <c r="C30" t="s">
        <v>78</v>
      </c>
      <c r="BJ30" t="s">
        <v>317</v>
      </c>
      <c r="BK30" t="s">
        <v>545</v>
      </c>
      <c r="BL30" t="s">
        <v>757</v>
      </c>
      <c r="BQ30" t="str">
        <v>CrashNet</v>
      </c>
    </row>
    <row r="31" spans="1:69" x14ac:dyDescent="0.2">
      <c r="B31" t="s">
        <v>43</v>
      </c>
      <c r="C31" t="s">
        <v>79</v>
      </c>
      <c r="BJ31" t="s">
        <v>318</v>
      </c>
      <c r="BK31" t="s">
        <v>763</v>
      </c>
      <c r="BL31" t="s">
        <v>566</v>
      </c>
      <c r="BQ31" t="str">
        <v>CutBack</v>
      </c>
    </row>
    <row r="32" spans="1:69" x14ac:dyDescent="0.2">
      <c r="B32" t="s">
        <v>44</v>
      </c>
      <c r="C32" t="s">
        <v>80</v>
      </c>
      <c r="BJ32" t="s">
        <v>319</v>
      </c>
      <c r="BK32" t="s">
        <v>554</v>
      </c>
      <c r="BL32" t="s">
        <v>765</v>
      </c>
      <c r="BQ32" t="str">
        <v>Cycle</v>
      </c>
    </row>
    <row r="33" spans="2:69" x14ac:dyDescent="0.2">
      <c r="B33" t="s">
        <v>45</v>
      </c>
      <c r="C33" t="s">
        <v>81</v>
      </c>
      <c r="BJ33" t="s">
        <v>320</v>
      </c>
      <c r="BK33" t="s">
        <v>154</v>
      </c>
      <c r="BL33" t="s">
        <v>764</v>
      </c>
      <c r="BQ33" t="str">
        <v>DeflectedShot</v>
      </c>
    </row>
    <row r="34" spans="2:69" x14ac:dyDescent="0.2">
      <c r="B34" t="s">
        <v>46</v>
      </c>
      <c r="C34" t="s">
        <v>82</v>
      </c>
      <c r="BJ34" t="s">
        <v>321</v>
      </c>
      <c r="BK34" t="s">
        <v>546</v>
      </c>
      <c r="BL34" t="s">
        <v>563</v>
      </c>
      <c r="BQ34" t="str">
        <v>Deke</v>
      </c>
    </row>
    <row r="35" spans="2:69" x14ac:dyDescent="0.2">
      <c r="B35" t="s">
        <v>47</v>
      </c>
      <c r="C35" t="s">
        <v>83</v>
      </c>
      <c r="BJ35" t="s">
        <v>322</v>
      </c>
      <c r="BK35" t="s">
        <v>549</v>
      </c>
      <c r="BL35" t="s">
        <v>782</v>
      </c>
      <c r="BQ35" t="str">
        <v>Delay</v>
      </c>
    </row>
    <row r="36" spans="2:69" x14ac:dyDescent="0.2">
      <c r="B36" t="s">
        <v>48</v>
      </c>
      <c r="C36" t="s">
        <v>84</v>
      </c>
      <c r="BJ36" t="s">
        <v>323</v>
      </c>
      <c r="BK36" t="s">
        <v>765</v>
      </c>
      <c r="BL36" t="s">
        <v>557</v>
      </c>
      <c r="BQ36" t="str">
        <v>DelayedOffside</v>
      </c>
    </row>
    <row r="37" spans="2:69" x14ac:dyDescent="0.2">
      <c r="B37" t="s">
        <v>49</v>
      </c>
      <c r="C37" t="s">
        <v>85</v>
      </c>
      <c r="BJ37" t="s">
        <v>324</v>
      </c>
      <c r="BK37" t="s">
        <v>764</v>
      </c>
      <c r="BL37" t="s">
        <v>562</v>
      </c>
      <c r="BQ37" t="str">
        <v>DriveCorner</v>
      </c>
    </row>
    <row r="38" spans="2:69" x14ac:dyDescent="0.2">
      <c r="B38" t="s">
        <v>167</v>
      </c>
      <c r="C38" t="s">
        <v>86</v>
      </c>
      <c r="BJ38" t="s">
        <v>325</v>
      </c>
      <c r="BK38" t="s">
        <v>785</v>
      </c>
      <c r="BL38" t="s">
        <v>156</v>
      </c>
      <c r="BQ38" t="str">
        <v>DriveMiddle</v>
      </c>
    </row>
    <row r="39" spans="2:69" x14ac:dyDescent="0.2">
      <c r="B39" t="s">
        <v>168</v>
      </c>
      <c r="C39" t="s">
        <v>87</v>
      </c>
      <c r="BJ39" t="s">
        <v>326</v>
      </c>
      <c r="BK39" t="s">
        <v>784</v>
      </c>
      <c r="BL39" t="s">
        <v>559</v>
      </c>
      <c r="BQ39" t="str">
        <v>DriveNetMiddle</v>
      </c>
    </row>
    <row r="40" spans="2:69" x14ac:dyDescent="0.2">
      <c r="B40" t="s">
        <v>15</v>
      </c>
      <c r="C40" t="s">
        <v>88</v>
      </c>
      <c r="BJ40" t="s">
        <v>327</v>
      </c>
      <c r="BK40" t="s">
        <v>540</v>
      </c>
      <c r="BL40" t="s">
        <v>579</v>
      </c>
      <c r="BQ40" t="str">
        <v>DriveNetWide</v>
      </c>
    </row>
    <row r="41" spans="2:69" x14ac:dyDescent="0.2">
      <c r="B41" t="s">
        <v>241</v>
      </c>
      <c r="C41" t="s">
        <v>89</v>
      </c>
      <c r="BJ41" t="s">
        <v>328</v>
      </c>
      <c r="BK41" t="s">
        <v>152</v>
      </c>
      <c r="BL41" t="s">
        <v>776</v>
      </c>
      <c r="BQ41" t="str">
        <v>DriveWide</v>
      </c>
    </row>
    <row r="42" spans="2:69" x14ac:dyDescent="0.2">
      <c r="B42" t="s">
        <v>230</v>
      </c>
      <c r="C42" t="s">
        <v>90</v>
      </c>
      <c r="BJ42" t="s">
        <v>329</v>
      </c>
      <c r="BK42" t="s">
        <v>877</v>
      </c>
      <c r="BL42" t="s">
        <v>778</v>
      </c>
      <c r="BQ42" t="str">
        <v>Dump/RimInZone</v>
      </c>
    </row>
    <row r="43" spans="2:69" x14ac:dyDescent="0.2">
      <c r="B43" t="s">
        <v>399</v>
      </c>
      <c r="C43" t="s">
        <v>91</v>
      </c>
      <c r="BJ43" t="s">
        <v>330</v>
      </c>
      <c r="BK43" t="s">
        <v>878</v>
      </c>
      <c r="BL43" t="s">
        <v>582</v>
      </c>
      <c r="BQ43" t="str">
        <v>DumpChase</v>
      </c>
    </row>
    <row r="44" spans="2:69" x14ac:dyDescent="0.2">
      <c r="C44" t="s">
        <v>92</v>
      </c>
      <c r="BJ44" t="s">
        <v>331</v>
      </c>
      <c r="BK44" t="s">
        <v>879</v>
      </c>
      <c r="BL44" t="s">
        <v>585</v>
      </c>
      <c r="BQ44" t="str">
        <v>DumpInAttempt</v>
      </c>
    </row>
    <row r="45" spans="2:69" x14ac:dyDescent="0.2">
      <c r="C45" t="s">
        <v>93</v>
      </c>
      <c r="BJ45" t="s">
        <v>332</v>
      </c>
      <c r="BK45" t="s">
        <v>880</v>
      </c>
      <c r="BL45" t="s">
        <v>580</v>
      </c>
      <c r="BQ45" t="str">
        <v>EndToEndRush</v>
      </c>
    </row>
    <row r="46" spans="2:69" x14ac:dyDescent="0.2">
      <c r="C46" t="s">
        <v>94</v>
      </c>
      <c r="BJ46" t="s">
        <v>333</v>
      </c>
      <c r="BK46" t="s">
        <v>881</v>
      </c>
      <c r="BL46" t="s">
        <v>581</v>
      </c>
      <c r="BQ46" t="str">
        <v>FakeShot</v>
      </c>
    </row>
    <row r="47" spans="2:69" x14ac:dyDescent="0.2">
      <c r="C47" t="s">
        <v>95</v>
      </c>
      <c r="BJ47" t="s">
        <v>334</v>
      </c>
      <c r="BK47" t="s">
        <v>882</v>
      </c>
      <c r="BL47" t="s">
        <v>775</v>
      </c>
      <c r="BQ47" t="str">
        <v>ForcedDumpin/Clear</v>
      </c>
    </row>
    <row r="48" spans="2:69" x14ac:dyDescent="0.2">
      <c r="C48" t="s">
        <v>96</v>
      </c>
      <c r="BJ48" t="s">
        <v>335</v>
      </c>
      <c r="BK48" t="s">
        <v>883</v>
      </c>
      <c r="BL48" t="s">
        <v>777</v>
      </c>
      <c r="BQ48" t="str">
        <v>ForcedLostPossession</v>
      </c>
    </row>
    <row r="49" spans="3:69" x14ac:dyDescent="0.2">
      <c r="C49" t="s">
        <v>97</v>
      </c>
      <c r="BJ49" t="s">
        <v>336</v>
      </c>
      <c r="BK49" t="s">
        <v>878</v>
      </c>
      <c r="BL49" t="s">
        <v>544</v>
      </c>
      <c r="BQ49" t="str">
        <v>ForcedMissedPass</v>
      </c>
    </row>
    <row r="50" spans="3:69" x14ac:dyDescent="0.2">
      <c r="C50" t="s">
        <v>98</v>
      </c>
      <c r="BJ50" t="s">
        <v>337</v>
      </c>
      <c r="BK50" t="s">
        <v>879</v>
      </c>
      <c r="BL50" t="s">
        <v>543</v>
      </c>
      <c r="BQ50" t="str">
        <v>ForcedMissedShot</v>
      </c>
    </row>
    <row r="51" spans="3:69" x14ac:dyDescent="0.2">
      <c r="C51" t="s">
        <v>99</v>
      </c>
      <c r="BJ51" t="s">
        <v>338</v>
      </c>
      <c r="BK51" t="s">
        <v>880</v>
      </c>
      <c r="BL51" t="s">
        <v>541</v>
      </c>
      <c r="BQ51" t="str">
        <v>ForcedTurnover</v>
      </c>
    </row>
    <row r="52" spans="3:69" x14ac:dyDescent="0.2">
      <c r="C52" t="s">
        <v>100</v>
      </c>
      <c r="BJ52" t="s">
        <v>339</v>
      </c>
      <c r="BK52" t="s">
        <v>881</v>
      </c>
      <c r="BL52" t="s">
        <v>583</v>
      </c>
      <c r="BQ52" t="str">
        <v>ForceWide</v>
      </c>
    </row>
    <row r="53" spans="3:69" x14ac:dyDescent="0.2">
      <c r="C53" t="s">
        <v>101</v>
      </c>
      <c r="BJ53" t="s">
        <v>340</v>
      </c>
      <c r="BK53" t="s">
        <v>882</v>
      </c>
      <c r="BL53" t="s">
        <v>542</v>
      </c>
      <c r="BQ53" t="str">
        <v>ForecedOutside</v>
      </c>
    </row>
    <row r="54" spans="3:69" x14ac:dyDescent="0.2">
      <c r="C54" t="s">
        <v>102</v>
      </c>
      <c r="BJ54" t="s">
        <v>341</v>
      </c>
      <c r="BK54" t="s">
        <v>883</v>
      </c>
      <c r="BL54" t="s">
        <v>779</v>
      </c>
      <c r="BQ54" t="str">
        <v>Forecheck</v>
      </c>
    </row>
    <row r="55" spans="3:69" x14ac:dyDescent="0.2">
      <c r="C55" t="s">
        <v>103</v>
      </c>
      <c r="BJ55" t="s">
        <v>342</v>
      </c>
      <c r="BK55" t="s">
        <v>884</v>
      </c>
      <c r="BL55" t="s">
        <v>158</v>
      </c>
      <c r="BQ55" t="str">
        <v>FrontofNet</v>
      </c>
    </row>
    <row r="56" spans="3:69" x14ac:dyDescent="0.2">
      <c r="C56" t="s">
        <v>104</v>
      </c>
      <c r="BJ56" t="s">
        <v>290</v>
      </c>
      <c r="BK56" t="s">
        <v>885</v>
      </c>
      <c r="BL56" t="s">
        <v>567</v>
      </c>
      <c r="BQ56" t="str">
        <v>GapControl</v>
      </c>
    </row>
    <row r="57" spans="3:69" x14ac:dyDescent="0.2">
      <c r="C57" t="s">
        <v>39</v>
      </c>
      <c r="BJ57" t="s">
        <v>520</v>
      </c>
      <c r="BK57" t="s">
        <v>552</v>
      </c>
      <c r="BL57" t="s">
        <v>783</v>
      </c>
      <c r="BQ57" t="str">
        <v>GiveAndGo</v>
      </c>
    </row>
    <row r="58" spans="3:69" x14ac:dyDescent="0.2">
      <c r="C58" t="s">
        <v>105</v>
      </c>
      <c r="BJ58" t="s">
        <v>400</v>
      </c>
      <c r="BK58" t="s">
        <v>593</v>
      </c>
      <c r="BL58" t="s">
        <v>565</v>
      </c>
      <c r="BQ58" t="str">
        <v>InShotPassLane</v>
      </c>
    </row>
    <row r="59" spans="3:69" x14ac:dyDescent="0.2">
      <c r="C59" t="s">
        <v>41</v>
      </c>
      <c r="BK59" t="s">
        <v>574</v>
      </c>
      <c r="BL59" t="s">
        <v>564</v>
      </c>
      <c r="BQ59" t="str">
        <v>LoosePuckBattleLost</v>
      </c>
    </row>
    <row r="60" spans="3:69" x14ac:dyDescent="0.2">
      <c r="C60" t="s">
        <v>106</v>
      </c>
      <c r="BK60" t="s">
        <v>780</v>
      </c>
      <c r="BL60" t="s">
        <v>555</v>
      </c>
      <c r="BQ60" t="str">
        <v>LoosePuckBattleWon</v>
      </c>
    </row>
    <row r="61" spans="3:69" x14ac:dyDescent="0.2">
      <c r="C61" t="s">
        <v>107</v>
      </c>
      <c r="BK61" t="s">
        <v>551</v>
      </c>
      <c r="BL61" t="s">
        <v>560</v>
      </c>
      <c r="BQ61" t="str">
        <v>LostPuck</v>
      </c>
    </row>
    <row r="62" spans="3:69" x14ac:dyDescent="0.2">
      <c r="C62" t="s">
        <v>108</v>
      </c>
      <c r="BK62" t="s">
        <v>553</v>
      </c>
      <c r="BL62" t="s">
        <v>561</v>
      </c>
      <c r="BQ62" t="str">
        <v>ManOnMan</v>
      </c>
    </row>
    <row r="63" spans="3:69" x14ac:dyDescent="0.2">
      <c r="C63" t="s">
        <v>109</v>
      </c>
      <c r="BK63" t="s">
        <v>576</v>
      </c>
      <c r="BQ63" t="str">
        <v>MisplayedPuck</v>
      </c>
    </row>
    <row r="64" spans="3:69" x14ac:dyDescent="0.2">
      <c r="C64" t="s">
        <v>110</v>
      </c>
      <c r="BK64" t="s">
        <v>155</v>
      </c>
      <c r="BQ64" t="str">
        <v>OpenIceDeke</v>
      </c>
    </row>
    <row r="65" spans="3:69" x14ac:dyDescent="0.2">
      <c r="C65" t="s">
        <v>111</v>
      </c>
      <c r="BK65" t="s">
        <v>550</v>
      </c>
      <c r="BQ65" t="str">
        <v>Other</v>
      </c>
    </row>
    <row r="66" spans="3:69" x14ac:dyDescent="0.2">
      <c r="C66" t="s">
        <v>112</v>
      </c>
      <c r="BK66" t="s">
        <v>781</v>
      </c>
      <c r="BQ66" t="str">
        <v>PassDeflected</v>
      </c>
    </row>
    <row r="67" spans="3:69" x14ac:dyDescent="0.2">
      <c r="C67" t="s">
        <v>113</v>
      </c>
      <c r="BK67" t="s">
        <v>787</v>
      </c>
      <c r="BQ67" t="str">
        <v>PassForTip</v>
      </c>
    </row>
    <row r="68" spans="3:69" x14ac:dyDescent="0.2">
      <c r="C68" t="s">
        <v>114</v>
      </c>
      <c r="BK68" t="s">
        <v>769</v>
      </c>
      <c r="BQ68" t="str">
        <v>PassIntercepted</v>
      </c>
    </row>
    <row r="69" spans="3:69" x14ac:dyDescent="0.2">
      <c r="C69" t="s">
        <v>115</v>
      </c>
      <c r="BK69" t="s">
        <v>767</v>
      </c>
      <c r="BQ69" t="str">
        <v>PenaltyKillClear</v>
      </c>
    </row>
    <row r="70" spans="3:69" x14ac:dyDescent="0.2">
      <c r="C70" t="s">
        <v>116</v>
      </c>
      <c r="BK70" t="s">
        <v>768</v>
      </c>
      <c r="BQ70" t="str">
        <v>PokeCheck</v>
      </c>
    </row>
    <row r="71" spans="3:69" x14ac:dyDescent="0.2">
      <c r="C71" t="s">
        <v>117</v>
      </c>
      <c r="BK71" t="s">
        <v>770</v>
      </c>
      <c r="BQ71" t="str">
        <v>Pressure</v>
      </c>
    </row>
    <row r="72" spans="3:69" x14ac:dyDescent="0.2">
      <c r="C72" t="s">
        <v>118</v>
      </c>
      <c r="BK72" t="s">
        <v>771</v>
      </c>
      <c r="BQ72" t="str">
        <v>PuckRecoveryRetreivalAttemptedClear</v>
      </c>
    </row>
    <row r="73" spans="3:69" x14ac:dyDescent="0.2">
      <c r="C73" t="s">
        <v>119</v>
      </c>
      <c r="BK73" t="s">
        <v>772</v>
      </c>
      <c r="BQ73" t="str">
        <v>PuckRecoveryRetreivalClear</v>
      </c>
    </row>
    <row r="74" spans="3:69" x14ac:dyDescent="0.2">
      <c r="C74" t="s">
        <v>120</v>
      </c>
      <c r="BK74" t="s">
        <v>766</v>
      </c>
      <c r="BQ74" t="str">
        <v>PuckRecoveryRetreivalDumpIn</v>
      </c>
    </row>
    <row r="75" spans="3:69" x14ac:dyDescent="0.2">
      <c r="C75" t="s">
        <v>121</v>
      </c>
      <c r="BK75" t="s">
        <v>159</v>
      </c>
      <c r="BQ75" t="str">
        <v>PuckRecoveryRetreivalFaceoff</v>
      </c>
    </row>
    <row r="76" spans="3:69" x14ac:dyDescent="0.2">
      <c r="C76" t="s">
        <v>122</v>
      </c>
      <c r="BK76" t="s">
        <v>164</v>
      </c>
      <c r="BQ76" t="str">
        <v>PuckRecoveryRetreivalLoosePuckBattle</v>
      </c>
    </row>
    <row r="77" spans="3:69" x14ac:dyDescent="0.2">
      <c r="C77" t="s">
        <v>123</v>
      </c>
      <c r="BK77" t="s">
        <v>758</v>
      </c>
      <c r="BQ77" t="str">
        <v>PuckRecoveryRetreivalOther</v>
      </c>
    </row>
    <row r="78" spans="3:69" x14ac:dyDescent="0.2">
      <c r="C78" t="s">
        <v>124</v>
      </c>
      <c r="BK78" t="s">
        <v>162</v>
      </c>
      <c r="BQ78" t="str">
        <v>PuckRecoveryRetreivalPass</v>
      </c>
    </row>
    <row r="79" spans="3:69" x14ac:dyDescent="0.2">
      <c r="C79" t="s">
        <v>125</v>
      </c>
      <c r="BK79" t="s">
        <v>165</v>
      </c>
      <c r="BQ79" t="str">
        <v>PuckRecoveryRetreivalRebound</v>
      </c>
    </row>
    <row r="80" spans="3:69" x14ac:dyDescent="0.2">
      <c r="C80" t="s">
        <v>126</v>
      </c>
      <c r="BK80" t="s">
        <v>163</v>
      </c>
      <c r="BQ80" t="str">
        <v>PuckRecoveryRetreivalShot</v>
      </c>
    </row>
    <row r="81" spans="3:69" x14ac:dyDescent="0.2">
      <c r="C81" t="s">
        <v>127</v>
      </c>
      <c r="BK81" t="s">
        <v>556</v>
      </c>
      <c r="BQ81" t="str">
        <v>PuckRecoveryRetreivalTurnover</v>
      </c>
    </row>
    <row r="82" spans="3:69" x14ac:dyDescent="0.2">
      <c r="C82" t="s">
        <v>128</v>
      </c>
      <c r="BK82" t="s">
        <v>166</v>
      </c>
      <c r="BQ82" t="str">
        <v>PuckRetrievalDumpIn</v>
      </c>
    </row>
    <row r="83" spans="3:69" x14ac:dyDescent="0.2">
      <c r="C83" t="s">
        <v>129</v>
      </c>
      <c r="BK83" t="s">
        <v>774</v>
      </c>
      <c r="BQ83" t="str">
        <v>PuckRetrievalRebound</v>
      </c>
    </row>
    <row r="84" spans="3:69" x14ac:dyDescent="0.2">
      <c r="C84" t="s">
        <v>130</v>
      </c>
      <c r="BK84" t="s">
        <v>773</v>
      </c>
      <c r="BQ84" t="str">
        <v>PuckRetrievalShot</v>
      </c>
    </row>
    <row r="85" spans="3:69" x14ac:dyDescent="0.2">
      <c r="C85" t="s">
        <v>131</v>
      </c>
      <c r="BK85" t="s">
        <v>558</v>
      </c>
      <c r="BQ85" t="str">
        <v>QuickUp</v>
      </c>
    </row>
    <row r="86" spans="3:69" x14ac:dyDescent="0.2">
      <c r="C86" t="s">
        <v>132</v>
      </c>
      <c r="BK86" t="s">
        <v>161</v>
      </c>
      <c r="BQ86" t="str">
        <v>ReceiverMissed</v>
      </c>
    </row>
    <row r="87" spans="3:69" x14ac:dyDescent="0.2">
      <c r="C87" t="s">
        <v>133</v>
      </c>
      <c r="BK87" t="s">
        <v>584</v>
      </c>
      <c r="BQ87" t="str">
        <v>RecoveryRetreivalDumpIn</v>
      </c>
    </row>
    <row r="88" spans="3:69" x14ac:dyDescent="0.2">
      <c r="C88" t="s">
        <v>134</v>
      </c>
      <c r="BK88" t="s">
        <v>760</v>
      </c>
      <c r="BQ88" t="str">
        <v>RecoveryRetreivalFaceoff</v>
      </c>
    </row>
    <row r="89" spans="3:69" x14ac:dyDescent="0.2">
      <c r="C89" t="s">
        <v>135</v>
      </c>
      <c r="BK89" t="s">
        <v>762</v>
      </c>
      <c r="BQ89" t="str">
        <v>RecoveryRetreivalOther</v>
      </c>
    </row>
    <row r="90" spans="3:69" x14ac:dyDescent="0.2">
      <c r="C90" t="s">
        <v>136</v>
      </c>
      <c r="BK90" t="s">
        <v>761</v>
      </c>
      <c r="BQ90" t="str">
        <v>RecoveryRetreivalPass</v>
      </c>
    </row>
    <row r="91" spans="3:69" x14ac:dyDescent="0.2">
      <c r="C91" t="s">
        <v>137</v>
      </c>
      <c r="BK91" t="s">
        <v>759</v>
      </c>
      <c r="BQ91" t="str">
        <v>RecoveryRetreivalRebound</v>
      </c>
    </row>
    <row r="92" spans="3:69" x14ac:dyDescent="0.2">
      <c r="C92" t="s">
        <v>138</v>
      </c>
      <c r="BK92" t="s">
        <v>786</v>
      </c>
      <c r="BQ92" t="str">
        <v>RecoveryRetreivalShot</v>
      </c>
    </row>
    <row r="93" spans="3:69" x14ac:dyDescent="0.2">
      <c r="C93" t="s">
        <v>139</v>
      </c>
      <c r="BK93" t="s">
        <v>154</v>
      </c>
      <c r="BQ93" t="str">
        <v>RecoveryRetreivalTurnover</v>
      </c>
    </row>
    <row r="94" spans="3:69" x14ac:dyDescent="0.2">
      <c r="C94" t="s">
        <v>140</v>
      </c>
      <c r="BK94" t="s">
        <v>546</v>
      </c>
      <c r="BQ94" t="str">
        <v>RecoveryRetrievalDumpIn</v>
      </c>
    </row>
    <row r="95" spans="3:69" x14ac:dyDescent="0.2">
      <c r="C95" t="s">
        <v>141</v>
      </c>
      <c r="BK95" t="s">
        <v>757</v>
      </c>
      <c r="BQ95" t="str">
        <v>RecoveryRetrievalShot</v>
      </c>
    </row>
    <row r="96" spans="3:69" x14ac:dyDescent="0.2">
      <c r="C96" t="s">
        <v>241</v>
      </c>
      <c r="BK96" t="s">
        <v>566</v>
      </c>
      <c r="BQ96" t="str">
        <v>Regroup</v>
      </c>
    </row>
    <row r="97" spans="3:69" x14ac:dyDescent="0.2">
      <c r="C97" t="s">
        <v>386</v>
      </c>
      <c r="BK97" t="s">
        <v>765</v>
      </c>
      <c r="BQ97" t="str">
        <v>RegroupClear</v>
      </c>
    </row>
    <row r="98" spans="3:69" x14ac:dyDescent="0.2">
      <c r="C98" t="s">
        <v>387</v>
      </c>
      <c r="BK98" t="s">
        <v>764</v>
      </c>
      <c r="BQ98" t="str">
        <v>RegroupDumpin</v>
      </c>
    </row>
    <row r="99" spans="3:69" x14ac:dyDescent="0.2">
      <c r="BK99" t="s">
        <v>563</v>
      </c>
      <c r="BQ99" t="str">
        <v>Reverse</v>
      </c>
    </row>
    <row r="100" spans="3:69" x14ac:dyDescent="0.2">
      <c r="BK100" t="s">
        <v>782</v>
      </c>
      <c r="BQ100" t="str">
        <v>Screen</v>
      </c>
    </row>
    <row r="101" spans="3:69" x14ac:dyDescent="0.2">
      <c r="BK101" t="s">
        <v>557</v>
      </c>
      <c r="BQ101" t="str">
        <v>SecondTouch</v>
      </c>
    </row>
    <row r="102" spans="3:69" x14ac:dyDescent="0.2">
      <c r="BK102" t="s">
        <v>562</v>
      </c>
      <c r="BQ102" t="str">
        <v>SeperateFromPuck</v>
      </c>
    </row>
    <row r="103" spans="3:69" x14ac:dyDescent="0.2">
      <c r="BK103" t="s">
        <v>156</v>
      </c>
      <c r="BQ103" t="str">
        <v>Speed</v>
      </c>
    </row>
    <row r="104" spans="3:69" x14ac:dyDescent="0.2">
      <c r="BK104" t="s">
        <v>559</v>
      </c>
      <c r="BQ104" t="str">
        <v>StickCheck</v>
      </c>
    </row>
    <row r="105" spans="3:69" x14ac:dyDescent="0.2">
      <c r="BK105" t="s">
        <v>867</v>
      </c>
      <c r="BQ105" t="str">
        <v>StoppedDeke</v>
      </c>
    </row>
    <row r="106" spans="3:69" x14ac:dyDescent="0.2">
      <c r="BK106" t="s">
        <v>868</v>
      </c>
      <c r="BQ106" t="str">
        <v>Surf</v>
      </c>
    </row>
    <row r="107" spans="3:69" x14ac:dyDescent="0.2">
      <c r="BK107" t="s">
        <v>869</v>
      </c>
      <c r="BQ107" t="str">
        <v>Tracker</v>
      </c>
    </row>
    <row r="108" spans="3:69" x14ac:dyDescent="0.2">
      <c r="BK108" t="s">
        <v>870</v>
      </c>
      <c r="BQ108" t="str">
        <v>Wheel</v>
      </c>
    </row>
    <row r="109" spans="3:69" x14ac:dyDescent="0.2">
      <c r="BK109" t="s">
        <v>871</v>
      </c>
      <c r="BQ109" t="str">
        <v>Zone</v>
      </c>
    </row>
    <row r="110" spans="3:69" x14ac:dyDescent="0.2">
      <c r="BK110" t="s">
        <v>872</v>
      </c>
      <c r="BQ110" t="str">
        <v>ZoneEntryDenial</v>
      </c>
    </row>
    <row r="111" spans="3:69" x14ac:dyDescent="0.2">
      <c r="BK111" t="s">
        <v>873</v>
      </c>
      <c r="BQ111" t="str">
        <v>ZoneExitDenial</v>
      </c>
    </row>
    <row r="112" spans="3:69" x14ac:dyDescent="0.2">
      <c r="BK112" t="s">
        <v>868</v>
      </c>
      <c r="BQ112" t="str">
        <v>ZoneKeepin</v>
      </c>
    </row>
    <row r="113" spans="63:69" x14ac:dyDescent="0.2">
      <c r="BK113" t="s">
        <v>869</v>
      </c>
      <c r="BQ113">
        <v>0</v>
      </c>
    </row>
    <row r="114" spans="63:69" x14ac:dyDescent="0.2">
      <c r="BK114" t="s">
        <v>870</v>
      </c>
    </row>
    <row r="115" spans="63:69" x14ac:dyDescent="0.2">
      <c r="BK115" t="s">
        <v>873</v>
      </c>
    </row>
    <row r="116" spans="63:69" x14ac:dyDescent="0.2">
      <c r="BK116" t="s">
        <v>541</v>
      </c>
    </row>
    <row r="117" spans="63:69" x14ac:dyDescent="0.2">
      <c r="BK117" t="s">
        <v>583</v>
      </c>
    </row>
    <row r="118" spans="63:69" x14ac:dyDescent="0.2">
      <c r="BK118" t="s">
        <v>542</v>
      </c>
    </row>
    <row r="119" spans="63:69" x14ac:dyDescent="0.2">
      <c r="BK119" t="s">
        <v>779</v>
      </c>
    </row>
    <row r="120" spans="63:69" x14ac:dyDescent="0.2">
      <c r="BK120" t="s">
        <v>158</v>
      </c>
    </row>
    <row r="121" spans="63:69" x14ac:dyDescent="0.2">
      <c r="BK121" t="s">
        <v>567</v>
      </c>
    </row>
    <row r="122" spans="63:69" x14ac:dyDescent="0.2">
      <c r="BK122" t="s">
        <v>783</v>
      </c>
    </row>
    <row r="123" spans="63:69" x14ac:dyDescent="0.2">
      <c r="BK123" t="s">
        <v>565</v>
      </c>
    </row>
    <row r="124" spans="63:69" x14ac:dyDescent="0.2">
      <c r="BK124" t="s">
        <v>564</v>
      </c>
    </row>
    <row r="125" spans="63:69" x14ac:dyDescent="0.2">
      <c r="BK125" t="s">
        <v>555</v>
      </c>
    </row>
    <row r="126" spans="63:69" x14ac:dyDescent="0.2">
      <c r="BK126" t="s">
        <v>560</v>
      </c>
    </row>
    <row r="127" spans="63:69" x14ac:dyDescent="0.2">
      <c r="BK127" t="s">
        <v>561</v>
      </c>
    </row>
    <row r="128" spans="63:69" x14ac:dyDescent="0.2">
      <c r="BK128" t="s">
        <v>808</v>
      </c>
    </row>
    <row r="129" spans="63:63" x14ac:dyDescent="0.2">
      <c r="BK129" t="s">
        <v>809</v>
      </c>
    </row>
    <row r="130" spans="63:63" x14ac:dyDescent="0.2">
      <c r="BK130" t="s">
        <v>874</v>
      </c>
    </row>
    <row r="131" spans="63:63" x14ac:dyDescent="0.2">
      <c r="BK131" t="s">
        <v>874</v>
      </c>
    </row>
    <row r="132" spans="63:63" x14ac:dyDescent="0.2">
      <c r="BK132" t="s">
        <v>875</v>
      </c>
    </row>
    <row r="133" spans="63:63" x14ac:dyDescent="0.2">
      <c r="BK133" t="s">
        <v>875</v>
      </c>
    </row>
    <row r="134" spans="63:63" x14ac:dyDescent="0.2">
      <c r="BK134" t="s">
        <v>876</v>
      </c>
    </row>
    <row r="135" spans="63:63" x14ac:dyDescent="0.2">
      <c r="BK135" t="s">
        <v>876</v>
      </c>
    </row>
    <row r="136" spans="63:63" x14ac:dyDescent="0.2">
      <c r="BK136" t="s">
        <v>859</v>
      </c>
    </row>
    <row r="137" spans="63:63" x14ac:dyDescent="0.2">
      <c r="BK137" t="s">
        <v>886</v>
      </c>
    </row>
    <row r="138" spans="63:63" x14ac:dyDescent="0.2">
      <c r="BK138" t="s">
        <v>887</v>
      </c>
    </row>
    <row r="139" spans="63:63" x14ac:dyDescent="0.2">
      <c r="BK139" t="s">
        <v>888</v>
      </c>
    </row>
  </sheetData>
  <sortState xmlns:xlrd2="http://schemas.microsoft.com/office/spreadsheetml/2017/richdata2" ref="BL2:BL60">
    <sortCondition ref="BL2:BL60"/>
  </sortState>
  <phoneticPr fontId="2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0568-2B3A-4A48-AC24-E8A68FC7CC92}">
  <sheetPr>
    <tabColor theme="7"/>
  </sheetPr>
  <dimension ref="A1:BU4000"/>
  <sheetViews>
    <sheetView tabSelected="1" topLeftCell="BA1" zoomScale="90" zoomScaleNormal="90" workbookViewId="0">
      <pane ySplit="1" topLeftCell="A2" activePane="bottomLeft" state="frozen"/>
      <selection pane="bottomLeft" activeCell="BW3" sqref="BW3"/>
    </sheetView>
  </sheetViews>
  <sheetFormatPr baseColWidth="10" defaultRowHeight="16" x14ac:dyDescent="0.2"/>
  <cols>
    <col min="1" max="1" width="5.33203125" customWidth="1"/>
    <col min="2" max="2" width="6.33203125" style="50" customWidth="1"/>
    <col min="3" max="3" width="6" style="50" customWidth="1"/>
    <col min="4" max="4" width="6" style="52" customWidth="1"/>
    <col min="5" max="5" width="7.1640625" customWidth="1"/>
    <col min="6" max="6" width="8.6640625" style="45" customWidth="1"/>
    <col min="7" max="7" width="7.5" customWidth="1"/>
    <col min="8" max="8" width="7.1640625" style="55" customWidth="1"/>
    <col min="9" max="10" width="7.6640625" style="45" customWidth="1"/>
    <col min="11" max="11" width="17.6640625" customWidth="1"/>
    <col min="12" max="12" width="18.83203125" customWidth="1"/>
    <col min="13" max="13" width="14.33203125" customWidth="1"/>
    <col min="14" max="14" width="11.5" customWidth="1"/>
    <col min="15" max="15" width="16.83203125" customWidth="1"/>
    <col min="16" max="16" width="13.83203125" customWidth="1"/>
    <col min="17" max="17" width="10" customWidth="1"/>
    <col min="18" max="18" width="8" style="52" customWidth="1"/>
    <col min="19" max="19" width="9.1640625" customWidth="1"/>
    <col min="20" max="20" width="8.33203125" customWidth="1"/>
    <col min="21" max="21" width="5.33203125" customWidth="1"/>
    <col min="22" max="22" width="6" customWidth="1"/>
    <col min="23" max="25" width="11" customWidth="1"/>
    <col min="26" max="26" width="8.1640625" customWidth="1"/>
    <col min="27" max="27" width="12" customWidth="1"/>
    <col min="28" max="28" width="12.6640625" customWidth="1"/>
    <col min="29" max="29" width="17.1640625" customWidth="1"/>
    <col min="30" max="31" width="10.5" customWidth="1"/>
    <col min="32" max="32" width="10.33203125" customWidth="1"/>
    <col min="33" max="34" width="10.83203125" customWidth="1"/>
    <col min="35" max="36" width="8.33203125" customWidth="1"/>
    <col min="37" max="37" width="15.1640625" customWidth="1"/>
    <col min="38" max="38" width="10.5" customWidth="1"/>
    <col min="39" max="41" width="10.33203125" customWidth="1"/>
    <col min="42" max="42" width="18.33203125" customWidth="1"/>
    <col min="43" max="45" width="15.1640625" customWidth="1"/>
    <col min="46" max="46" width="12" customWidth="1"/>
    <col min="47" max="48" width="17.1640625" customWidth="1"/>
    <col min="49" max="52" width="13.33203125" customWidth="1"/>
    <col min="53" max="53" width="7" style="6" customWidth="1"/>
    <col min="54" max="54" width="7.6640625" customWidth="1"/>
    <col min="55" max="55" width="8.1640625" customWidth="1"/>
    <col min="56" max="56" width="10.1640625" customWidth="1"/>
    <col min="57" max="57" width="13.5" customWidth="1"/>
    <col min="58" max="58" width="15.5" customWidth="1"/>
    <col min="59" max="59" width="15.1640625" customWidth="1"/>
    <col min="60" max="60" width="13.33203125" customWidth="1"/>
    <col min="61" max="61" width="10.83203125" customWidth="1"/>
    <col min="62" max="62" width="11.83203125" customWidth="1"/>
    <col min="63" max="64" width="10.83203125" customWidth="1"/>
    <col min="65" max="65" width="12.5" customWidth="1"/>
    <col min="66" max="67" width="12.83203125" customWidth="1"/>
    <col min="68" max="69" width="10.83203125" customWidth="1"/>
    <col min="70" max="70" width="22" customWidth="1"/>
    <col min="71" max="71" width="12.5" customWidth="1"/>
  </cols>
  <sheetData>
    <row r="1" spans="1:73" s="1" customFormat="1" ht="85" x14ac:dyDescent="0.2">
      <c r="A1" s="20" t="s">
        <v>855</v>
      </c>
      <c r="B1" s="49" t="s">
        <v>857</v>
      </c>
      <c r="C1" s="49" t="s">
        <v>858</v>
      </c>
      <c r="D1" s="51" t="s">
        <v>856</v>
      </c>
      <c r="E1" s="21" t="s">
        <v>409</v>
      </c>
      <c r="F1" s="43" t="s">
        <v>410</v>
      </c>
      <c r="G1" s="21" t="s">
        <v>411</v>
      </c>
      <c r="H1" s="46" t="s">
        <v>412</v>
      </c>
      <c r="I1" s="48" t="s">
        <v>864</v>
      </c>
      <c r="J1" s="48" t="s">
        <v>791</v>
      </c>
      <c r="K1" s="20" t="s">
        <v>792</v>
      </c>
      <c r="L1" s="20" t="s">
        <v>407</v>
      </c>
      <c r="M1" s="20" t="s">
        <v>408</v>
      </c>
      <c r="N1" s="20" t="s">
        <v>800</v>
      </c>
      <c r="O1" s="20" t="s">
        <v>851</v>
      </c>
      <c r="P1" s="20" t="s">
        <v>852</v>
      </c>
      <c r="Q1" s="20" t="s">
        <v>853</v>
      </c>
      <c r="R1" s="51" t="s">
        <v>854</v>
      </c>
      <c r="S1" s="1" t="s">
        <v>802</v>
      </c>
      <c r="T1" s="1" t="s">
        <v>725</v>
      </c>
      <c r="U1" s="1" t="s">
        <v>860</v>
      </c>
      <c r="V1" s="1" t="s">
        <v>861</v>
      </c>
      <c r="W1" s="20" t="s">
        <v>788</v>
      </c>
      <c r="X1" s="1" t="s">
        <v>789</v>
      </c>
      <c r="Y1" s="1" t="s">
        <v>895</v>
      </c>
      <c r="Z1" s="1" t="s">
        <v>790</v>
      </c>
      <c r="AA1" s="1" t="s">
        <v>242</v>
      </c>
      <c r="AB1" s="1" t="s">
        <v>518</v>
      </c>
      <c r="AC1" s="1" t="s">
        <v>724</v>
      </c>
      <c r="AD1" s="42" t="s">
        <v>801</v>
      </c>
      <c r="AE1" s="35" t="s">
        <v>252</v>
      </c>
      <c r="AF1" s="35" t="s">
        <v>253</v>
      </c>
      <c r="AG1" s="35" t="s">
        <v>254</v>
      </c>
      <c r="AH1" s="35" t="s">
        <v>255</v>
      </c>
      <c r="AI1" s="35" t="s">
        <v>369</v>
      </c>
      <c r="AJ1" s="35" t="s">
        <v>893</v>
      </c>
      <c r="AK1" s="35" t="s">
        <v>454</v>
      </c>
      <c r="AL1" s="35" t="s">
        <v>795</v>
      </c>
      <c r="AM1" s="35" t="s">
        <v>796</v>
      </c>
      <c r="AN1" s="35" t="s">
        <v>797</v>
      </c>
      <c r="AO1" s="35" t="s">
        <v>798</v>
      </c>
      <c r="AP1" s="35" t="s">
        <v>455</v>
      </c>
      <c r="AQ1" s="35" t="s">
        <v>456</v>
      </c>
      <c r="AR1" s="35" t="s">
        <v>793</v>
      </c>
      <c r="AS1" s="35" t="s">
        <v>794</v>
      </c>
      <c r="AT1" s="35" t="s">
        <v>515</v>
      </c>
      <c r="AU1" s="35" t="s">
        <v>243</v>
      </c>
      <c r="AV1" s="35" t="s">
        <v>244</v>
      </c>
      <c r="AW1" s="35" t="s">
        <v>451</v>
      </c>
      <c r="AX1" s="35" t="s">
        <v>850</v>
      </c>
      <c r="AY1" s="35" t="s">
        <v>453</v>
      </c>
      <c r="AZ1" s="35" t="s">
        <v>535</v>
      </c>
      <c r="BA1" s="42" t="s">
        <v>621</v>
      </c>
      <c r="BB1" s="35" t="s">
        <v>248</v>
      </c>
      <c r="BC1" s="35" t="s">
        <v>249</v>
      </c>
      <c r="BD1" s="35" t="s">
        <v>250</v>
      </c>
      <c r="BE1" s="35" t="s">
        <v>239</v>
      </c>
      <c r="BF1" s="35" t="s">
        <v>246</v>
      </c>
      <c r="BG1" s="35" t="s">
        <v>247</v>
      </c>
      <c r="BH1" s="35" t="s">
        <v>799</v>
      </c>
      <c r="BI1" s="35" t="s">
        <v>256</v>
      </c>
      <c r="BJ1" s="34" t="s">
        <v>356</v>
      </c>
      <c r="BK1" s="35" t="s">
        <v>357</v>
      </c>
      <c r="BL1" s="35" t="s">
        <v>358</v>
      </c>
      <c r="BM1" s="34" t="s">
        <v>397</v>
      </c>
      <c r="BN1" s="35" t="s">
        <v>396</v>
      </c>
      <c r="BO1" s="35" t="s">
        <v>403</v>
      </c>
      <c r="BP1" s="35" t="s">
        <v>394</v>
      </c>
      <c r="BQ1" s="35" t="s">
        <v>395</v>
      </c>
      <c r="BR1" s="35" t="s">
        <v>245</v>
      </c>
      <c r="BS1" s="35" t="s">
        <v>370</v>
      </c>
      <c r="BT1" s="35" t="s">
        <v>810</v>
      </c>
      <c r="BU1" s="35" t="s">
        <v>811</v>
      </c>
    </row>
    <row r="2" spans="1:73" ht="16" customHeight="1" x14ac:dyDescent="0.2">
      <c r="E2" s="4"/>
      <c r="F2" s="44"/>
      <c r="G2" s="4"/>
      <c r="H2" s="47"/>
      <c r="K2" t="s">
        <v>287</v>
      </c>
      <c r="S2">
        <v>0</v>
      </c>
      <c r="Y2" t="b">
        <f>IF(X2&lt;&gt;"",VLOOKUP(X2,game_rosters!$C$43:$E$64,3,FALSE))</f>
        <v>0</v>
      </c>
      <c r="Z2" t="s">
        <v>729</v>
      </c>
      <c r="AA2">
        <f>S2+1000</f>
        <v>1000</v>
      </c>
      <c r="AB2" t="str">
        <f>IF(T2&lt;&gt;"",9000+T2,"")</f>
        <v/>
      </c>
      <c r="AC2">
        <f t="shared" ref="AC2:AC65" si="0">IF(AB2&lt;&gt;"",AB2,S2+1000)</f>
        <v>1000</v>
      </c>
      <c r="AD2" s="6">
        <v>1</v>
      </c>
      <c r="AG2" t="str">
        <f>IF(G2&lt;&gt;"",G2,IF($S2=$S1,AG1,""))</f>
        <v/>
      </c>
      <c r="AH2" t="str">
        <f>IF(H2&lt;&gt;"",H2,IF($S2=$S1,AH1,""))</f>
        <v/>
      </c>
      <c r="AI2" t="str">
        <f>IF(Z2="x","",IF(Z2=1,"e","o"))</f>
        <v/>
      </c>
      <c r="AJ2" t="str">
        <f>IF($J2&lt;&gt;"",$J2,IF($AC2=$AC1,AJ1,""))</f>
        <v/>
      </c>
      <c r="AK2" t="str">
        <f>IF($J2&lt;&gt;"",$J2,IF($AC2=$AC1,AK1,""))</f>
        <v/>
      </c>
      <c r="AL2" t="str">
        <f>IF($W2="","",IF($AJ2="","",IF($W2="h",$AJ2,IF($AJ2="n","n",IF(AND($W2="a",$AJ2="d"),"o",IF(AND($W2="a",$AJ2="o"),"d"))))))</f>
        <v/>
      </c>
      <c r="AM2" t="str">
        <f>IF($W2="","",IF(J2="","",IF(AL2="n","n",IF(AL2="d","o",IF(AL2="o","d","")))))</f>
        <v/>
      </c>
      <c r="AN2" t="str">
        <f>IF(AO2="H","Home",IF(AO2="A","Away",""))</f>
        <v/>
      </c>
      <c r="AO2" t="str">
        <f>IF($W2&lt;&gt;"",$W2,IF($AC2=$AC1,AO1,""))</f>
        <v/>
      </c>
      <c r="AP2" t="str">
        <f t="shared" ref="AP2:AS3" si="1">IF(AL2&lt;&gt;"",AL2,IF($AC2=$AC1,AP1,""))</f>
        <v/>
      </c>
      <c r="AQ2" t="str">
        <f t="shared" si="1"/>
        <v/>
      </c>
      <c r="AR2" t="str">
        <f t="shared" si="1"/>
        <v/>
      </c>
      <c r="AS2" t="str">
        <f t="shared" si="1"/>
        <v/>
      </c>
      <c r="AT2" t="str">
        <f>IF(AND(AI2="e",OR(BE2="Save",BF2="Turnover_Takeaway",BF2="Play_Defensive")),"Defensive",IF(AND(AI2="o",OR(BE2="Save",BF2="Turnover_Takeaway",BF2="Play_Defensive")),"Offensive",IF(OR(BE2="Deadice",BE2="Stoppage",BE2="Intermission"),"",IF(AI2="e","Offensive",IF(AI2="o","Defensive","")))))</f>
        <v/>
      </c>
      <c r="AU2" t="str">
        <f>IF(U2&lt;&gt;"",U2+5000,"")</f>
        <v/>
      </c>
      <c r="AV2" t="str">
        <f>IF(V2&lt;&gt;"",V2+6000,"")</f>
        <v/>
      </c>
      <c r="AW2" t="str" cm="1">
        <f t="array" ref="AW2">IFERROR(IF(O2&lt;&gt;"",O2,IF(OR($S2="",$T2=""),"",IF(O2&lt;&gt;"",O2,IF($T2&lt;&gt;"",_xlfn._xlws.FILTER(O:O,($BU:$BU=$BU2)*($I:$I=$I2)*($T:$T=$T2)*($S:$S=_xlfn.MINIFS($S:$S,$T:$T,"="&amp;$T2)),"")))))&amp;"",IF(O2="","",""))&amp;""</f>
        <v/>
      </c>
      <c r="AX2" t="str" cm="1">
        <f t="array" ref="AX2">IFERROR(IF(P2&lt;&gt;"",P2,IF(OR($S2="",$T2=""),"",IF($T2&lt;&gt;"",_xlfn._xlws.FILTER(P:P,($BU:$BU=$BU2)*($I:$I=$I2)*($T:$T=$T2)*($S:$S=_xlfn.MINIFS($S:$S,$T:$T,"="&amp;$T2)),""))))&amp;"",IF(P2="","",""))&amp;""</f>
        <v/>
      </c>
      <c r="AY2" t="str" cm="1">
        <f t="array" ref="AY2">IFERROR(IF(Q2&lt;&gt;"",Q2,IF(OR($S2="",$T2=""),"",IF($T2&lt;&gt;"",_xlfn._xlws.FILTER(Q:Q,($BU:$BU=$BU2)*($I:$I=$I2)*($T:$T=$T2)*($S:$S=_xlfn.MINIFS($S:$S,$T:$T,"="&amp;$T2)),""))))&amp;"",IF(Q2="","",""))&amp;""</f>
        <v/>
      </c>
      <c r="AZ2" t="str" cm="1">
        <f t="array" ref="AZ2">IFERROR(IF(R2&lt;&gt;"",R2,IF(OR($S2="",$T2=""),"",IF($T2&lt;&gt;"",_xlfn._xlws.FILTER(R:R,($BU:$BU=$BU2)*($I:$I=$I2)*($T:$T=$T2)*($S:$S=_xlfn.MINIFS($S:$S,$T:$T,"="&amp;$T2)),""))))&amp;"",IF(R2="","",""))&amp;""</f>
        <v/>
      </c>
      <c r="BA2" s="6">
        <v>1</v>
      </c>
      <c r="BB2" s="40">
        <v>18969</v>
      </c>
      <c r="BC2" s="40" t="s">
        <v>849</v>
      </c>
      <c r="BD2" s="40" t="s">
        <v>521</v>
      </c>
      <c r="BE2" t="str">
        <f>IF(K2&lt;&gt;"",K2,IF(S2=S1,K2,""))</f>
        <v>GameStart</v>
      </c>
      <c r="BJ2" s="15"/>
      <c r="BM2" s="15"/>
      <c r="BN2">
        <v>0</v>
      </c>
      <c r="BO2">
        <v>0</v>
      </c>
      <c r="BP2">
        <f>IF(BO2&lt;5,0,BO2-5)</f>
        <v>0</v>
      </c>
      <c r="BQ2" s="17">
        <f>BP2+BJ2+5</f>
        <v>5</v>
      </c>
      <c r="BT2" t="str">
        <f>IFERROR(VLOOKUP(BB2&amp;BU2&amp;I2,game_rosters!U:W,3,FALSE),"")</f>
        <v/>
      </c>
      <c r="BU2" t="str">
        <f>IF(AR2="","",IF(AND(AR2="Away",AI2="e"),BD2,IF(AND(AR2="Home",AI2="e"),BC2,IF(AND(AR2="Away",AI2="o"),BC2,IF(AND(AR2="Home",AI2="o"),BD2)))))</f>
        <v/>
      </c>
    </row>
    <row r="3" spans="1:73" ht="16" customHeight="1" x14ac:dyDescent="0.2">
      <c r="A3">
        <v>1</v>
      </c>
      <c r="E3" s="4" t="s">
        <v>743</v>
      </c>
      <c r="F3" s="44" t="s">
        <v>413</v>
      </c>
      <c r="G3" s="4"/>
      <c r="H3" s="47"/>
      <c r="J3" s="45" t="s">
        <v>734</v>
      </c>
      <c r="K3" t="s">
        <v>5</v>
      </c>
      <c r="L3" t="s">
        <v>401</v>
      </c>
      <c r="N3" t="str">
        <f>IF(K3="","",IF(K3="Goal","s",IF(AND(K3="Zone_Entry_Exit",OR(ISNUMBER(SEARCH("fail",L3)),ISNUMBER(SEARCH("FromExitClear",M3)),ISNUMBER(SEARCH("miss",M3)))),"u",IF(AND(K3="Zone_Entry_Exit",OR(NOT(ISNUMBER(SEARCH("fail",L3))),NOT(ISNUMBER(SEARCH("FromExitClear",M3))),NOT(ISNUMBER(SEARCH("miss",M3))))),"s",IF(AND(OR(K3="Shot",K3="Pass"),OR(ISNUMBER(SEARCH("complete",L3)),ISNUMBER(SEARCH("goal",L3)),ISNUMBER(SEARCH("OnNet",L3)))),"s",IF(L3="Turnover_Giveaway","u",IF(AND(OR(K3="Shot",K3="Pass"),OR(ISNUMBER(SEARCH("fail",L3)),NOT(ISNUMBER(SEARCH("complete",L3))),NOT(ISNUMBER(SEARCH("OnNet",L3))))),"u","")))))))</f>
        <v/>
      </c>
      <c r="Q3" t="str">
        <f>IF(O3="","",IF(AND(N3&lt;&gt;"",OR(O3&lt;&gt;"",P3&lt;&gt;"")),N3,IF(OR(ISNUMBER(SEARCH("attemp",O3)),ISNUMBER(SEARCH("mis",O3)),ISNUMBER(SEARCH("fail",O3)),ISNUMBER(SEARCH("loss",O3)),ISNUMBER(SEARCH("lost",O3)),ISNUMBER(SEARCH("attemp",P3)),ISNUMBER(SEARCH("mis",P3)),ISNUMBER(SEARCH("fail",P3)),ISNUMBER(SEARCH("loss",P3)),ISNUMBER(SEARCH("lost",P3))),"u","")))</f>
        <v/>
      </c>
      <c r="S3">
        <f>IF(A3=1,MAX($S$2:$S2)+1,IF($I3&lt;&gt;"",$S2,""))</f>
        <v>1</v>
      </c>
      <c r="T3" t="str">
        <f>IF(D3=1,MAX($T$2:$T2)+1,IF(S3=S2,$T2,IF(D3="x",T2,IF(D2="x","",""))))</f>
        <v/>
      </c>
      <c r="U3" t="str">
        <f>IF(B3=1,MAX($U$2:$U2)+1,IF(AND($T3&lt;&gt;"",$T3=$T2),$U2,IF(B3="x",U2,"")))</f>
        <v/>
      </c>
      <c r="V3" t="str">
        <f>IF(C3=1,MAX($V$2:$V2)+1,IF(AND($T3&lt;&gt;"",$T3=$T2),$U2,IF(C3="x",V2,"")))</f>
        <v/>
      </c>
      <c r="W3" t="s">
        <v>735</v>
      </c>
      <c r="X3" cm="1">
        <f t="array" ref="X3">IF(S3="","",IF($I3&lt;&gt;"",$I3,INDEX($I$2:$I2,ROW()-COUNTIFS($T$2:$T2,"="&amp;$T3,$S$2:$S2,"&lt;&gt;"&amp;$S3)-1)))</f>
        <v>0</v>
      </c>
      <c r="Y3" t="e">
        <f>IF(X3&lt;&gt;"",VLOOKUP(X3,game_rosters!$C$43:$E$64,3,FALSE))</f>
        <v>#N/A</v>
      </c>
      <c r="Z3" t="str" cm="1">
        <f t="array" ref="Z3">IFERROR(IF(_xlfn._xlws.FILTER(game_rosters!$J:$J,(game_rosters!$G:$G=events!$AN3)*(game_rosters!$J:$J=events!$X3))&gt;0,1,""),"")</f>
        <v/>
      </c>
      <c r="AA3">
        <f>S3+1000</f>
        <v>1001</v>
      </c>
      <c r="AB3" t="str">
        <f>IF(T3&lt;&gt;"",9000+T3,"")</f>
        <v/>
      </c>
      <c r="AC3">
        <f t="shared" si="0"/>
        <v>1001</v>
      </c>
      <c r="AD3" s="6">
        <f>IF(K3="Intermission",AD2+1,AD2)</f>
        <v>1</v>
      </c>
      <c r="AE3" t="str">
        <f>IF(E3&lt;&gt;"",E3,IF($AC3=$AC2,AE2,IF(AG2&lt;&gt;"",AG2,IF(AE2&lt;&gt;"",AE2,""))))</f>
        <v>18</v>
      </c>
      <c r="AF3" t="str">
        <f>IF(F3&lt;&gt;"",F3,IF($AC3=$AC2,AF2,IF(AH2&lt;&gt;"",AH2,IF(AF2&lt;&gt;"",AF2,""))))</f>
        <v>00</v>
      </c>
      <c r="AG3" t="str">
        <f>IF(G3&lt;&gt;"",G3,IF($AC3=$AC2,AG2,IF(H3="","",AE3)))</f>
        <v/>
      </c>
      <c r="AI3" t="str">
        <f>IF(Z3="x","",IF(Z3=1,"e","o"))</f>
        <v>o</v>
      </c>
      <c r="AJ3" t="str">
        <f>IF($J3&lt;&gt;"",$J3,IF($AC3=$AC2,AJ2,""))</f>
        <v>n</v>
      </c>
      <c r="AK3" t="str">
        <f>IF($J3&lt;&gt;"",$J3,IF($AC3=$AC2,AK2,""))</f>
        <v>n</v>
      </c>
      <c r="AL3" t="str">
        <f>IF($W3="","",IF($AJ3="","",IF($W3="h",$AJ3,IF($AJ3="n","n",IF(AND($W3="a",$AJ3="d"),"o",IF(AND($W3="a",$AJ3="o"),"d"))))))</f>
        <v>n</v>
      </c>
      <c r="AM3" t="str">
        <f>IF($W3="","",IF(J3="","",IF(AL3="n","n",IF(AL3="d","o",IF(AL3="o","d","")))))</f>
        <v>n</v>
      </c>
      <c r="AN3" t="str">
        <f>IF(AO3="H","Home",IF(AO3="A","Away",""))</f>
        <v>Home</v>
      </c>
      <c r="AO3" t="str">
        <f>IF($W3&lt;&gt;"",$W3,IF($AC3=$AC2,AO2,""))</f>
        <v>h</v>
      </c>
      <c r="AP3" t="str">
        <f t="shared" si="1"/>
        <v>n</v>
      </c>
      <c r="AQ3" t="str">
        <f t="shared" si="1"/>
        <v>n</v>
      </c>
      <c r="AR3" t="str">
        <f t="shared" si="1"/>
        <v>Home</v>
      </c>
      <c r="AS3" t="str">
        <f t="shared" si="1"/>
        <v>h</v>
      </c>
      <c r="AT3" t="str">
        <f>IF(AND(AI3="e",OR(BE3="Save",BF3="Turnover_Takeaway",BF3="Play_Defensive")),"Defensive",IF(AND(AI3="o",OR(BE3="Save",BF3="Turnover_Takeaway",BF3="Play_Defensive")),"Offensive",IF(OR(BE3="Deadice",BE3="Stoppage",BE3="Intermission"),"",IF(AI3="e","Offensive",IF(AI3="o","Defensive","")))))</f>
        <v>Defensive</v>
      </c>
      <c r="AU3" t="str">
        <f>IF(U3&lt;&gt;"",U3+5000,"")</f>
        <v/>
      </c>
      <c r="AV3" t="str">
        <f>IF(V3&lt;&gt;"",V3+6000,"")</f>
        <v/>
      </c>
      <c r="AW3" t="str" cm="1">
        <f t="array" ref="AW3">IFERROR(IF(O3&lt;&gt;"",O3,IF(OR($S3="",$T3=""),"",IF(O3&lt;&gt;"",O3,IF($T3&lt;&gt;"",_xlfn._xlws.FILTER(O:O,($BU:$BU=$BU3)*($I:$I=$I3)*($T:$T=$T3)*($S:$S=_xlfn.MINIFS($S:$S,$T:$T,"="&amp;$T3)),"")))))&amp;"",IF(O3="","",""))&amp;""</f>
        <v/>
      </c>
      <c r="AX3" t="str" cm="1">
        <f t="array" ref="AX3">IFERROR(IF(P3&lt;&gt;"",P3,IF(OR($S3="",$T3=""),"",IF($T3&lt;&gt;"",_xlfn._xlws.FILTER(P:P,($BU:$BU=$BU3)*($I:$I=$I3)*($T:$T=$T3)*($S:$S=_xlfn.MINIFS($S:$S,$T:$T,"="&amp;$T3)),""))))&amp;"",IF(P3="","",""))&amp;""</f>
        <v/>
      </c>
      <c r="AY3" t="str" cm="1">
        <f t="array" ref="AY3">IFERROR(IF(Q3&lt;&gt;"",Q3,IF(OR($S3="",$T3=""),"",IF($T3&lt;&gt;"",_xlfn._xlws.FILTER(Q:Q,($BU:$BU=$BU3)*($I:$I=$I3)*($T:$T=$T3)*($S:$S=_xlfn.MINIFS($S:$S,$T:$T,"="&amp;$T3)),""))))&amp;"",IF(Q3="","",""))&amp;""</f>
        <v/>
      </c>
      <c r="AZ3" t="str" cm="1">
        <f t="array" ref="AZ3">IFERROR(IF(R3&lt;&gt;"",R3,IF(OR($S3="",$T3=""),"",IF($T3&lt;&gt;"",_xlfn._xlws.FILTER(R:R,($BU:$BU=$BU3)*($I:$I=$I3)*($T:$T=$T3)*($S:$S=_xlfn.MINIFS($S:$S,$T:$T,"="&amp;$T3)),""))))&amp;"",IF(R3="","",""))&amp;""</f>
        <v/>
      </c>
      <c r="BA3" s="6">
        <f>IF(OR(L3="Zone_Entry",L3="Zone_Exit"),BA2+1,BA2)</f>
        <v>1</v>
      </c>
      <c r="BB3">
        <f>BB2</f>
        <v>18969</v>
      </c>
      <c r="BC3" t="str">
        <f t="shared" ref="BC3:BD3" si="2">BC2</f>
        <v>Platinum</v>
      </c>
      <c r="BD3" t="str">
        <f t="shared" si="2"/>
        <v>Velodrome</v>
      </c>
      <c r="BE3" t="str">
        <f>IF($K3&lt;&gt;"",$K3,IF($S3=$S2,BE2,""))</f>
        <v>Faceoff</v>
      </c>
      <c r="BF3" t="str">
        <f>IF(L3&lt;&gt;"",L3,IF($S3=$S2,BF2,""))</f>
        <v>Faceoff_GameStart</v>
      </c>
      <c r="BG3" t="str">
        <f>IF(M3&lt;&gt;"",M3,IF($S3=$S2,BG2,""))</f>
        <v/>
      </c>
      <c r="BH3" t="str">
        <f>IF($N3&lt;&gt;"",$N3,IF($S3=$S2,BH2,""))</f>
        <v/>
      </c>
      <c r="BI3" cm="1">
        <f t="array" ref="BI3">IFERROR(_xlfn._xlws.FILTER(shifts!A:A,(shifts!B:B=events!AD3)*(shifts!AG:AG&gt;=events!BK3)*(shifts!AH:AH&lt;=events!BL3)),BI2)</f>
        <v>1</v>
      </c>
      <c r="BJ3" s="15">
        <f>IF(AND(AG3="",AH3=""),0,((AE3*60)+AF3)-((AG3*60)+AH3))</f>
        <v>0</v>
      </c>
      <c r="BK3">
        <f>(AE3*60)+AF3</f>
        <v>1080</v>
      </c>
      <c r="BL3">
        <f>IF(AND(AG3="",AH3=""),BK3,((AG3*60)+AH3))</f>
        <v>1080</v>
      </c>
      <c r="BM3" s="15">
        <f>SUMIFS(BJ$2:BJ3,K$2:K3,"=Intermission")+SUMIFS(BJ$2:BJ3,K$2:K3,"=Timeout")</f>
        <v>0</v>
      </c>
      <c r="BN3">
        <f>IF(AD3=1,0,IF(AD3=2,1080+BM3,IF(AD3=3,(1080*2)+BM3,0)))</f>
        <v>0</v>
      </c>
      <c r="BO3" s="19">
        <f>IF(K3="Intermission",BO2,((1080)-((AE3*60)+AF3))+BN3)</f>
        <v>0</v>
      </c>
      <c r="BP3">
        <f>IF(BO3&lt;5,0,BO3-5)</f>
        <v>0</v>
      </c>
      <c r="BQ3" s="17">
        <f>BP3+BJ3+5</f>
        <v>5</v>
      </c>
      <c r="BR3" t="str">
        <f>IF(AI3="e","event_team_player_"&amp;BS3,IF(AI3="o","opp_team_player_"&amp;BS3,""))</f>
        <v>opp_team_player_1</v>
      </c>
      <c r="BS3">
        <f>COUNTIFS(S$3:S3,"="&amp;S3,AI$3:AI3,"="&amp;AI3)</f>
        <v>1</v>
      </c>
      <c r="BT3" t="str">
        <f>IFERROR(VLOOKUP(BB3&amp;BU3&amp;X3,game_rosters!U:W,3,FALSE),"")</f>
        <v/>
      </c>
      <c r="BU3" t="str">
        <f>IF(AR3="","",IF(AND(AR3="Away",AI3="e"),BD3,IF(AND(AR3="Home",AI3="e"),BC3,IF(AND(AR3="Away",AI3="o"),BC3,IF(AND(AR3="Home",AI3="o"),BD3)))))</f>
        <v>Velodrome</v>
      </c>
    </row>
    <row r="4" spans="1:73" x14ac:dyDescent="0.2">
      <c r="A4" s="28" t="str">
        <f t="shared" ref="A4:A68" si="3">IF(K4&lt;&gt;"",1,IF(D4="x","x",""))</f>
        <v/>
      </c>
      <c r="B4" s="28"/>
      <c r="C4" s="28"/>
      <c r="D4" s="28"/>
      <c r="E4" s="53"/>
      <c r="F4" s="53"/>
      <c r="G4" s="53"/>
      <c r="H4" s="54"/>
      <c r="I4" s="28"/>
      <c r="J4" s="28"/>
      <c r="K4" s="28"/>
      <c r="L4" s="28"/>
      <c r="M4" s="28"/>
      <c r="N4" s="28" t="str">
        <f>IF(K4="","",IF(K4="Goal","s",IF(AND(K4="Zone_Entry_Exit",OR(ISNUMBER(SEARCH("fail",L4)),ISNUMBER(SEARCH("FromExitClear",M4)),ISNUMBER(SEARCH("miss",M4)))),"u",IF(AND(K4="Zone_Entry_Exit",OR(NOT(ISNUMBER(SEARCH("fail",L4))),NOT(ISNUMBER(SEARCH("FromExitClear",M4))),NOT(ISNUMBER(SEARCH("miss",M4))))),"s",IF(AND(OR(K4="Shot",K4="Pass"),OR(ISNUMBER(SEARCH("complete",L4)),ISNUMBER(SEARCH("goal",L4)),ISNUMBER(SEARCH("OnNet",L4)))),"s",IF(L4="Turnover_Giveaway","u",IF(AND(OR(K4="Shot",K4="Pass"),OR(ISNUMBER(SEARCH("fail",L4)),NOT(ISNUMBER(SEARCH("complete",L4))),NOT(ISNUMBER(SEARCH("OnNet",L4))))),"u","")))))))</f>
        <v/>
      </c>
      <c r="O4" s="28"/>
      <c r="P4" s="28"/>
      <c r="Q4" s="28" t="str">
        <f>IF(O4="","",IF(AND(N4&lt;&gt;"",OR(O4&lt;&gt;"",P4&lt;&gt;"")),N4,IF(OR(ISNUMBER(SEARCH("attemp",O4)),ISNUMBER(SEARCH("mis",O4)),ISNUMBER(SEARCH("fail",O4)),ISNUMBER(SEARCH("loss",O4)),ISNUMBER(SEARCH("lost",O4)),ISNUMBER(SEARCH("attemp",P4)),ISNUMBER(SEARCH("mis",P4)),ISNUMBER(SEARCH("fail",P4)),ISNUMBER(SEARCH("loss",P4)),ISNUMBER(SEARCH("lost",P4))),"u","")))</f>
        <v/>
      </c>
      <c r="R4" s="28"/>
      <c r="S4" s="28" t="str">
        <f>IF(A4=1,MAX($S$2:$S3)+1,IF($I4&lt;&gt;"",$S3,""))</f>
        <v/>
      </c>
      <c r="T4" s="28" t="str">
        <f>IF(D4=1,MAX($T$2:$T3)+1,IF(S4=S3,$T3,IF(D4="x",T3,IF(D3="x","",""))))</f>
        <v/>
      </c>
      <c r="U4" s="28" t="str">
        <f>IF(B4=1,MAX($U$2:$U3)+1,IF(AND($T4&lt;&gt;"",$T4=$T3),$U3,IF(B4="x",U3,"")))</f>
        <v/>
      </c>
      <c r="V4" s="28" t="str">
        <f>IF(C4=1,MAX($V$2:$V3)+1,IF(AND($T4&lt;&gt;"",$T4=$T3),$U3,IF(C4="x",V3,"")))</f>
        <v/>
      </c>
      <c r="W4" s="28" t="str" cm="1">
        <f t="array" ref="W4">IFERROR(_xlfn._xlws.FILTER(game_rosters!AB:AB,(game_rosters!J:J=events!X4)*(K4&lt;&gt;"")),"")</f>
        <v/>
      </c>
      <c r="X4" s="28" t="str" cm="1">
        <f t="array" ref="X4">IF(S4="","",IF($I4&lt;&gt;"",$I4,INDEX($I$2:$I3,ROW()-COUNTIFS($T$2:$T3,"="&amp;$T4,$S$2:$S3,"&lt;&gt;"&amp;$S4)-1)))</f>
        <v/>
      </c>
      <c r="Y4" s="28" t="b">
        <f>IF(X4&lt;&gt;"",VLOOKUP(X4,game_rosters!$C$43:$E$64,3,FALSE))</f>
        <v>0</v>
      </c>
      <c r="Z4" s="28" t="str" cm="1">
        <f t="array" ref="Z4">IFERROR(IF(_xlfn._xlws.FILTER(game_rosters!$J:$J,(game_rosters!$G:$G=events!$AN4)*(game_rosters!$J:$J=events!$X4))&gt;0,1,""),"")</f>
        <v/>
      </c>
      <c r="AA4" s="28" t="e">
        <f t="shared" ref="AA4:AA67" si="4">S4+1000</f>
        <v>#VALUE!</v>
      </c>
      <c r="AB4" s="28" t="str">
        <f t="shared" ref="AB4:AB67" si="5">IF(T4&lt;&gt;"",9000+T4,"")</f>
        <v/>
      </c>
      <c r="AC4" s="28" t="e">
        <f t="shared" si="0"/>
        <v>#VALUE!</v>
      </c>
      <c r="AD4" s="6">
        <f t="shared" ref="AD4" si="6">IF(K4="Intermission",AD3+1,AD3)</f>
        <v>1</v>
      </c>
      <c r="AE4" t="e">
        <f t="shared" ref="AE4" si="7">IF(E4&lt;&gt;"",E4,IF($AC4=$AC3,AE3,IF(AG3&lt;&gt;"",AG3,IF(AE3&lt;&gt;"",AE3,""))))</f>
        <v>#VALUE!</v>
      </c>
      <c r="AF4" t="e">
        <f t="shared" ref="AF4" si="8">IF(F4&lt;&gt;"",F4,IF($AC4=$AC3,AF3,IF(AH3&lt;&gt;"",AH3,IF(AF3&lt;&gt;"",AF3,""))))</f>
        <v>#VALUE!</v>
      </c>
      <c r="AG4" t="e">
        <f t="shared" ref="AG4" si="9">IF(G4&lt;&gt;"",G4,IF($AC4=$AC3,AG3,IF(H4="","",AE4)))</f>
        <v>#VALUE!</v>
      </c>
      <c r="AI4" t="str">
        <f t="shared" ref="AI4" si="10">IF(Z4="x","",IF(Z4=1,"e","o"))</f>
        <v>o</v>
      </c>
      <c r="AJ4" t="e">
        <f t="shared" ref="AJ4" si="11">IF($J4&lt;&gt;"",$J4,IF($AC4=$AC3,AJ3,""))</f>
        <v>#VALUE!</v>
      </c>
      <c r="AK4" t="e">
        <f t="shared" ref="AK4" si="12">IF($J4&lt;&gt;"",$J4,IF($AC4=$AC3,AK3,""))</f>
        <v>#VALUE!</v>
      </c>
      <c r="AL4" t="str">
        <f t="shared" ref="AL4" si="13">IF($W4="","",IF($AJ4="","",IF($W4="h",$AJ4,IF($AJ4="n","n",IF(AND($W4="a",$AJ4="d"),"o",IF(AND($W4="a",$AJ4="o"),"d"))))))</f>
        <v/>
      </c>
      <c r="AM4" t="str">
        <f t="shared" ref="AM4" si="14">IF($W4="","",IF(J4="","",IF(AL4="n","n",IF(AL4="d","o",IF(AL4="o","d","")))))</f>
        <v/>
      </c>
      <c r="AN4" t="e">
        <f t="shared" ref="AN4" si="15">IF(AO4="H","Home",IF(AO4="A","Away",""))</f>
        <v>#VALUE!</v>
      </c>
      <c r="AO4" t="e">
        <f t="shared" ref="AO4" si="16">IF($W4&lt;&gt;"",$W4,IF($AC4=$AC3,AO3,""))</f>
        <v>#VALUE!</v>
      </c>
      <c r="AP4" t="e">
        <f t="shared" ref="AP4" si="17">IF(AL4&lt;&gt;"",AL4,IF($AC4=$AC3,AP3,""))</f>
        <v>#VALUE!</v>
      </c>
      <c r="AQ4" t="e">
        <f t="shared" ref="AQ4" si="18">IF(AM4&lt;&gt;"",AM4,IF($AC4=$AC3,AQ3,""))</f>
        <v>#VALUE!</v>
      </c>
      <c r="AR4" t="e">
        <f t="shared" ref="AR4" si="19">IF(AN4&lt;&gt;"",AN4,IF($AC4=$AC3,AR3,""))</f>
        <v>#VALUE!</v>
      </c>
      <c r="AS4" t="e">
        <f t="shared" ref="AS4" si="20">IF(AO4&lt;&gt;"",AO4,IF($AC4=$AC3,AS3,""))</f>
        <v>#VALUE!</v>
      </c>
      <c r="AT4" t="str">
        <f t="shared" ref="AT4" si="21">IF(AND(AI4="e",OR(BE4="Save",BF4="Turnover_Takeaway",BF4="Play_Defensive")),"Defensive",IF(AND(AI4="o",OR(BE4="Save",BF4="Turnover_Takeaway",BF4="Play_Defensive")),"Offensive",IF(OR(BE4="Deadice",BE4="Stoppage",BE4="Intermission"),"",IF(AI4="e","Offensive",IF(AI4="o","Defensive","")))))</f>
        <v>Defensive</v>
      </c>
      <c r="AU4" t="str">
        <f t="shared" ref="AU4" si="22">IF(U4&lt;&gt;"",U4+5000,"")</f>
        <v/>
      </c>
      <c r="AV4" t="str">
        <f t="shared" ref="AV4" si="23">IF(V4&lt;&gt;"",V4+6000,"")</f>
        <v/>
      </c>
      <c r="AW4" t="str" cm="1">
        <f t="array" ref="AW4">IFERROR(IF(O4&lt;&gt;"",O4,IF(OR($S4="",$T4=""),"",IF(O4&lt;&gt;"",O4,IF($T4&lt;&gt;"",_xlfn._xlws.FILTER(O:O,($BU:$BU=$BU4)*($I:$I=$I4)*($T:$T=$T4)*($S:$S=_xlfn.MINIFS($S:$S,$T:$T,"="&amp;$T4)),"")))))&amp;"",IF(O4="","",""))&amp;""</f>
        <v/>
      </c>
      <c r="AX4" t="str" cm="1">
        <f t="array" ref="AX4">IFERROR(IF(P4&lt;&gt;"",P4,IF(OR($S4="",$T4=""),"",IF($T4&lt;&gt;"",_xlfn._xlws.FILTER(P:P,($BU:$BU=$BU4)*($I:$I=$I4)*($T:$T=$T4)*($S:$S=_xlfn.MINIFS($S:$S,$T:$T,"="&amp;$T4)),""))))&amp;"",IF(P4="","",""))&amp;""</f>
        <v/>
      </c>
      <c r="AY4" t="str" cm="1">
        <f t="array" ref="AY4">IFERROR(IF(Q4&lt;&gt;"",Q4,IF(OR($S4="",$T4=""),"",IF($T4&lt;&gt;"",_xlfn._xlws.FILTER(Q:Q,($BU:$BU=$BU4)*($I:$I=$I4)*($T:$T=$T4)*($S:$S=_xlfn.MINIFS($S:$S,$T:$T,"="&amp;$T4)),""))))&amp;"",IF(Q4="","",""))&amp;""</f>
        <v/>
      </c>
      <c r="AZ4" t="str" cm="1">
        <f t="array" ref="AZ4">IFERROR(IF(R4&lt;&gt;"",R4,IF(OR($S4="",$T4=""),"",IF($T4&lt;&gt;"",_xlfn._xlws.FILTER(R:R,($BU:$BU=$BU4)*($I:$I=$I4)*($T:$T=$T4)*($S:$S=_xlfn.MINIFS($S:$S,$T:$T,"="&amp;$T4)),""))))&amp;"",IF(R4="","",""))&amp;""</f>
        <v/>
      </c>
      <c r="BA4" s="6">
        <f t="shared" ref="BA4" si="24">IF(OR(L4="Zone_Entry",L4="Zone_Exit"),BA3+1,BA3)</f>
        <v>1</v>
      </c>
      <c r="BB4">
        <f t="shared" ref="BB4:BD4" si="25">BB3</f>
        <v>18969</v>
      </c>
      <c r="BC4" t="str">
        <f t="shared" si="25"/>
        <v>Platinum</v>
      </c>
      <c r="BD4" t="str">
        <f t="shared" si="25"/>
        <v>Velodrome</v>
      </c>
      <c r="BE4" t="str">
        <f t="shared" ref="BE4" si="26">IF($K4&lt;&gt;"",$K4,IF($S4=$S3,BE3,""))</f>
        <v/>
      </c>
      <c r="BF4" t="str">
        <f t="shared" ref="BF4" si="27">IF(L4&lt;&gt;"",L4,IF($S4=$S3,BF3,""))</f>
        <v/>
      </c>
      <c r="BG4" t="str">
        <f t="shared" ref="BG4" si="28">IF(M4&lt;&gt;"",M4,IF($S4=$S3,BG3,""))</f>
        <v/>
      </c>
      <c r="BH4" t="str">
        <f t="shared" ref="BH4" si="29">IF($N4&lt;&gt;"",$N4,IF($S4=$S3,BH3,""))</f>
        <v/>
      </c>
      <c r="BI4" cm="1">
        <f t="array" ref="BI4">IFERROR(_xlfn._xlws.FILTER(shifts!A:A,(shifts!B:B=events!AD4)*(shifts!AG:AG&gt;=events!BK4)*(shifts!AH:AH&lt;=events!BL4)),BI3)</f>
        <v>1</v>
      </c>
      <c r="BJ4" s="15" t="e">
        <f t="shared" ref="BJ4" si="30">IF(AND(AG4="",AH4=""),0,((AE4*60)+AF4)-((AG4*60)+AH4))</f>
        <v>#VALUE!</v>
      </c>
      <c r="BK4" t="e">
        <f t="shared" ref="BK4" si="31">(AE4*60)+AF4</f>
        <v>#VALUE!</v>
      </c>
      <c r="BL4" t="e">
        <f t="shared" ref="BL4" si="32">IF(AND(AG4="",AH4=""),BK4,((AG4*60)+AH4))</f>
        <v>#VALUE!</v>
      </c>
      <c r="BM4" s="15">
        <f>SUMIFS(BJ$2:BJ4,K$2:K4,"=Intermission")+SUMIFS(BJ$2:BJ4,K$2:K4,"=Timeout")</f>
        <v>0</v>
      </c>
      <c r="BN4">
        <f t="shared" ref="BN4" si="33">IF(AD4=1,0,IF(AD4=2,1080+BM4,IF(AD4=3,(1080*2)+BM4,0)))</f>
        <v>0</v>
      </c>
      <c r="BO4" s="19" t="e">
        <f t="shared" ref="BO4" si="34">IF(K4="Intermission",BO3,((1080)-((AE4*60)+AF4))+BN4)</f>
        <v>#VALUE!</v>
      </c>
      <c r="BP4" t="e">
        <f t="shared" ref="BP4" si="35">IF(BO4&lt;5,0,BO4-5)</f>
        <v>#VALUE!</v>
      </c>
      <c r="BQ4" s="17" t="e">
        <f t="shared" ref="BQ4" si="36">BP4+BJ4+5</f>
        <v>#VALUE!</v>
      </c>
      <c r="BR4" t="str">
        <f t="shared" ref="BR4" si="37">IF(AI4="e","event_team_player_"&amp;BS4,IF(AI4="o","opp_team_player_"&amp;BS4,""))</f>
        <v>opp_team_player_0</v>
      </c>
      <c r="BS4">
        <f>COUNTIFS(S$3:S4,"="&amp;S4,AI$3:AI4,"="&amp;AI4)</f>
        <v>0</v>
      </c>
      <c r="BT4" t="str">
        <f>IFERROR(VLOOKUP(BB4&amp;BU4&amp;X4,game_rosters!U:W,3,FALSE),"")</f>
        <v/>
      </c>
      <c r="BU4" t="e">
        <f t="shared" ref="BU4" si="38">IF(AR4="","",IF(AND(AR4="Away",AI4="e"),BD4,IF(AND(AR4="Home",AI4="e"),BC4,IF(AND(AR4="Away",AI4="o"),BC4,IF(AND(AR4="Home",AI4="o"),BD4)))))</f>
        <v>#VALUE!</v>
      </c>
    </row>
    <row r="5" spans="1:73" x14ac:dyDescent="0.2">
      <c r="A5" t="str">
        <f t="shared" si="3"/>
        <v/>
      </c>
      <c r="E5" s="4"/>
      <c r="F5" s="44"/>
      <c r="G5" s="4"/>
      <c r="H5" s="47"/>
      <c r="J5" s="45" t="str">
        <f>IF(OR(K5="Goal",K5="Shot",L5="Zone_Entry",M5="Stoppage-Goal",M4="Stoppage-Goal"),"o",IF(OR(K5="Save",K5="Rebound",L5="Zone_Exit",M5="Stoppage-GoalieStoppage",M4="Stoppage-GoalieStoppage"),"d",IF(OR(L5="Faceoff_AfterGoal",L5="Faceoff_PeriodStart",698="Faceoff_GameStart",M4="Stoppage-Goal"),"n","")))</f>
        <v/>
      </c>
      <c r="N5" t="str">
        <f t="shared" ref="N5:N20" si="39">IF(K5="","",IF(K5="Goal","s",IF(AND(K5="Zone_Entry_Exit",OR(ISNUMBER(SEARCH("fail",L5)),ISNUMBER(SEARCH("FromExitClear",M5)),ISNUMBER(SEARCH("miss",M5)))),"u",IF(AND(K5="Zone_Entry_Exit",OR(NOT(ISNUMBER(SEARCH("fail",L5))),NOT(ISNUMBER(SEARCH("FromExitClear",M5))),NOT(ISNUMBER(SEARCH("miss",M5))))),"s",IF(AND(OR(K5="Shot",K5="Pass"),OR(ISNUMBER(SEARCH("complete",L5)),ISNUMBER(SEARCH("goal",L5)),ISNUMBER(SEARCH("OnNet",L5)))),"s",IF(L5="Turnover_Giveaway","u",IF(AND(OR(K5="Shot",K5="Pass"),OR(ISNUMBER(SEARCH("fail",L5)),NOT(ISNUMBER(SEARCH("complete",L5))),NOT(ISNUMBER(SEARCH("OnNet",L5))))),"u","")))))))</f>
        <v/>
      </c>
      <c r="Q5" t="str">
        <f t="shared" ref="Q5:Q15" si="40">IF(O5="","",IF(AND(N5&lt;&gt;"",OR(O5&lt;&gt;"",P5&lt;&gt;"")),N5,IF(OR(ISNUMBER(SEARCH("attemp",O5)),ISNUMBER(SEARCH("beat",O5)),ISNUMBER(SEARCH("mis",O5)),ISNUMBER(SEARCH("fail",O5)),ISNUMBER(SEARCH("loss",O5)),ISNUMBER(SEARCH("lost",O5)),ISNUMBER(SEARCH("attemp",P5)),ISNUMBER(SEARCH("mis",P5)),ISNUMBER(SEARCH("fail",P5)),ISNUMBER(SEARCH("loss",P5)),ISNUMBER(SEARCH("beat",P5)),ISNUMBER(SEARCH("lost",P5))),"u","")))</f>
        <v/>
      </c>
      <c r="S5" t="str">
        <f>IF(A5=1,MAX(S$2:S4)+1,IF(OR(I5&lt;&gt;"",A5="x"),#REF!,""))</f>
        <v/>
      </c>
      <c r="T5" t="str">
        <f>IF(D5=1,MAX($T$2:$T4)+1,IF(S5=$S4,$S4,IF($D5="x",T4,IF($D4="x","",""))))</f>
        <v/>
      </c>
      <c r="U5" t="str">
        <f>IF(B5=1,MAX($U$2:$U4)+1,IF(AND($T5&lt;&gt;"",$T5=$T4),$U4,IF(B5="x",U4,"")))</f>
        <v/>
      </c>
      <c r="V5" t="str">
        <f>IF(C5=1,MAX($V$2:$V4)+1,IF(AND($T5&lt;&gt;"",$T5=$T4),$U4,IF(C5="x",V4,"")))</f>
        <v/>
      </c>
      <c r="W5" t="str" cm="1">
        <f t="array" ref="W5">IFERROR(_xlfn._xlws.FILTER(game_rosters!AB:AB,(game_rosters!J:J=events!X5)*(K5&lt;&gt;"")),"")</f>
        <v/>
      </c>
      <c r="X5" t="str" cm="1">
        <f t="array" ref="X5">IF(S5="","",IF($I5&lt;&gt;"",$I5,INDEX($I$2:$I4,ROW()-COUNTIFS($T$2:$T4,"="&amp;$T5,$S$2:$S4,"&lt;&gt;"&amp;$S5)-1)))</f>
        <v/>
      </c>
      <c r="Y5" t="b">
        <f>IF(X5&lt;&gt;"",VLOOKUP(X5,game_rosters!$C$43:$E$64,3,FALSE))</f>
        <v>0</v>
      </c>
      <c r="Z5" t="e" cm="1" vm="1">
        <f t="array" aca="1" ref="Z5" ca="1">IFERROR(IF(_xlfn._xlws.FILTER(game_rosters!$J:$J,(game_rosters!$G:$G=events!$AN5)*(game_rosters!$J:$J=events!$X5))&gt;0,1,""),"")</f>
        <v>#VALUE!</v>
      </c>
      <c r="AA5" t="e">
        <f t="shared" si="4"/>
        <v>#VALUE!</v>
      </c>
      <c r="AB5" t="str">
        <f t="shared" si="5"/>
        <v/>
      </c>
      <c r="AC5" t="e">
        <f t="shared" si="0"/>
        <v>#VALUE!</v>
      </c>
      <c r="AD5" s="6"/>
      <c r="BJ5" s="15"/>
      <c r="BM5" s="15"/>
      <c r="BO5" s="19"/>
      <c r="BQ5" s="17"/>
    </row>
    <row r="6" spans="1:73" x14ac:dyDescent="0.2">
      <c r="A6" t="str">
        <f t="shared" si="3"/>
        <v/>
      </c>
      <c r="E6" s="4"/>
      <c r="F6" s="44"/>
      <c r="G6" s="4"/>
      <c r="H6" s="47"/>
      <c r="J6" s="45" t="str">
        <f t="shared" ref="J6:J69" si="41">IF(OR(K6="Goal",K6="Shot",L6="Zone_Entry",M6="Stoppage-Goal",M5="Stoppage-Goal"),"o",IF(OR(K6="Save",K6="Rebound",L6="Zone_Exit",M6="Stoppage-GoalieStoppage",M5="Stoppage-GoalieStoppage"),"d",IF(OR(L6="Faceoff_AfterGoal",L6="Faceoff_PeriodStart",698="Faceoff_GameStart",M5="Stoppage-Goal"),"n","")))</f>
        <v/>
      </c>
      <c r="N6" t="str">
        <f t="shared" si="39"/>
        <v/>
      </c>
      <c r="Q6" t="str">
        <f t="shared" si="40"/>
        <v/>
      </c>
      <c r="S6" t="str">
        <f>IF(A6=1,MAX(S$2:S5)+1,IF(OR(I6&lt;&gt;"",A6="x"),S5,""))</f>
        <v/>
      </c>
      <c r="T6" t="str">
        <f>IF(D6=1,MAX($T$2:$T5)+1,IF(S6=$S5,$S5,IF($D6="x",T5,IF($D5="x","",""))))</f>
        <v/>
      </c>
      <c r="U6" t="str">
        <f>IF(B6=1,MAX($U$2:$U5)+1,IF(AND($T6&lt;&gt;"",$T6=$T5),$U5,IF(B6="x",U5,"")))</f>
        <v/>
      </c>
      <c r="V6" t="str">
        <f>IF(C6=1,MAX($V$2:$V5)+1,IF(AND($T6&lt;&gt;"",$T6=$T5),$U5,IF(C6="x",V5,"")))</f>
        <v/>
      </c>
      <c r="W6" t="str" cm="1">
        <f t="array" ref="W6">IFERROR(_xlfn._xlws.FILTER(game_rosters!AB:AB,(game_rosters!J:J=events!X6)*(K6&lt;&gt;"")),"")</f>
        <v/>
      </c>
      <c r="X6" t="str" cm="1">
        <f t="array" ref="X6">IF(S6="","",IF($I6&lt;&gt;"",$I6,INDEX($I$2:$I5,ROW()-COUNTIFS($T$2:$T5,"="&amp;$T6,$S$2:$S5,"&lt;&gt;"&amp;$S6)-1)))</f>
        <v/>
      </c>
      <c r="Y6" t="b">
        <f>IF(X6&lt;&gt;"",VLOOKUP(X6,game_rosters!$C$43:$E$64,3,FALSE))</f>
        <v>0</v>
      </c>
      <c r="Z6" t="e" cm="1" vm="1">
        <f t="array" aca="1" ref="Z6" ca="1">IFERROR(IF(_xlfn._xlws.FILTER(game_rosters!$J:$J,(game_rosters!$G:$G=events!$AN6)*(game_rosters!$J:$J=events!$X6))&gt;0,1,""),"")</f>
        <v>#VALUE!</v>
      </c>
      <c r="AA6" t="e">
        <f t="shared" si="4"/>
        <v>#VALUE!</v>
      </c>
      <c r="AB6" t="str">
        <f t="shared" si="5"/>
        <v/>
      </c>
      <c r="AC6" t="e">
        <f t="shared" si="0"/>
        <v>#VALUE!</v>
      </c>
      <c r="AD6" s="6"/>
      <c r="BJ6" s="39"/>
      <c r="BM6" s="39"/>
      <c r="BO6" s="19"/>
      <c r="BQ6" s="17"/>
    </row>
    <row r="7" spans="1:73" x14ac:dyDescent="0.2">
      <c r="A7" t="str">
        <f t="shared" si="3"/>
        <v/>
      </c>
      <c r="E7" s="4"/>
      <c r="F7" s="44"/>
      <c r="G7" s="4"/>
      <c r="H7" s="47"/>
      <c r="J7" s="45" t="str">
        <f t="shared" si="41"/>
        <v/>
      </c>
      <c r="N7" t="str">
        <f t="shared" si="39"/>
        <v/>
      </c>
      <c r="Q7" t="str">
        <f t="shared" si="40"/>
        <v/>
      </c>
      <c r="S7" t="str">
        <f>IF(A7=1,MAX(S$2:S6)+1,IF(OR(I7&lt;&gt;"",A7="x"),S6,""))</f>
        <v/>
      </c>
      <c r="T7" t="str">
        <f>IF(D7=1,MAX($T$2:$T6)+1,IF(S7=$S6,$S6,IF($D7="x",T6,IF($D6="x","",""))))</f>
        <v/>
      </c>
      <c r="U7" t="str">
        <f>IF(B7=1,MAX($U$2:$U6)+1,IF(AND($T7&lt;&gt;"",$T7=$T6),$U6,IF(B7="x",U6,"")))</f>
        <v/>
      </c>
      <c r="V7" t="str">
        <f>IF(C7=1,MAX($V$2:$V6)+1,IF(AND($T7&lt;&gt;"",$T7=$T6),$U6,IF(C7="x",V6,"")))</f>
        <v/>
      </c>
      <c r="W7" t="str" cm="1">
        <f t="array" ref="W7">IFERROR(_xlfn._xlws.FILTER(game_rosters!AB:AB,(game_rosters!J:J=events!X7)*(K7&lt;&gt;"")),"")</f>
        <v/>
      </c>
      <c r="X7" t="str" cm="1">
        <f t="array" ref="X7">IF(S7="","",IF($I7&lt;&gt;"",$I7,INDEX($I$2:$I6,ROW()-COUNTIFS($T$2:$T6,"="&amp;$T7,$S$2:$S6,"&lt;&gt;"&amp;$S7)-1)))</f>
        <v/>
      </c>
      <c r="Y7" t="b">
        <f>IF(X7&lt;&gt;"",VLOOKUP(X7,game_rosters!$C$43:$E$64,3,FALSE))</f>
        <v>0</v>
      </c>
      <c r="Z7" t="e" cm="1" vm="1">
        <f t="array" aca="1" ref="Z7" ca="1">IFERROR(IF(_xlfn._xlws.FILTER(game_rosters!$J:$J,(game_rosters!$G:$G=events!$AN7)*(game_rosters!$J:$J=events!$X7))&gt;0,1,""),"")</f>
        <v>#VALUE!</v>
      </c>
      <c r="AA7" t="e">
        <f t="shared" si="4"/>
        <v>#VALUE!</v>
      </c>
      <c r="AB7" t="str">
        <f t="shared" si="5"/>
        <v/>
      </c>
      <c r="AC7" t="e">
        <f t="shared" si="0"/>
        <v>#VALUE!</v>
      </c>
      <c r="AD7" s="6"/>
      <c r="BJ7" s="39"/>
      <c r="BM7" s="39"/>
      <c r="BO7" s="19"/>
      <c r="BQ7" s="17"/>
    </row>
    <row r="8" spans="1:73" x14ac:dyDescent="0.2">
      <c r="A8" t="str">
        <f t="shared" si="3"/>
        <v/>
      </c>
      <c r="E8" s="4"/>
      <c r="F8" s="44"/>
      <c r="G8" s="4"/>
      <c r="H8" s="47"/>
      <c r="J8" s="45" t="str">
        <f t="shared" si="41"/>
        <v/>
      </c>
      <c r="N8" t="str">
        <f t="shared" si="39"/>
        <v/>
      </c>
      <c r="Q8" t="str">
        <f t="shared" si="40"/>
        <v/>
      </c>
      <c r="S8" t="str">
        <f>IF(A8=1,MAX(S$2:S7)+1,IF(OR(I8&lt;&gt;"",A8="x"),S7,""))</f>
        <v/>
      </c>
      <c r="T8" t="str">
        <f>IF(D8=1,MAX($T$2:$T7)+1,IF(S8=$S7,$S7,IF($D8="x",T7,IF($D7="x","",""))))</f>
        <v/>
      </c>
      <c r="U8" t="str">
        <f>IF(B8=1,MAX($U$2:$U7)+1,IF(AND($T8&lt;&gt;"",$T8=$T7),$U7,IF(B8="x",U7,"")))</f>
        <v/>
      </c>
      <c r="V8" t="str">
        <f>IF(C8=1,MAX($V$2:$V7)+1,IF(AND($T8&lt;&gt;"",$T8=$T7),$U7,IF(C8="x",V7,"")))</f>
        <v/>
      </c>
      <c r="W8" t="str" cm="1">
        <f t="array" ref="W8">IFERROR(_xlfn._xlws.FILTER(game_rosters!AB:AB,(game_rosters!J:J=events!X8)*(K8&lt;&gt;"")),"")</f>
        <v/>
      </c>
      <c r="X8" t="str" cm="1">
        <f t="array" ref="X8">IF(S8="","",IF($I8&lt;&gt;"",$I8,INDEX($I$2:$I7,ROW()-COUNTIFS($T$2:$T7,"="&amp;$T8,$S$2:$S7,"&lt;&gt;"&amp;$S8)-1)))</f>
        <v/>
      </c>
      <c r="Y8" t="b">
        <f>IF(X8&lt;&gt;"",VLOOKUP(X8,game_rosters!$C$43:$E$64,3,FALSE))</f>
        <v>0</v>
      </c>
      <c r="Z8" t="e" cm="1" vm="1">
        <f t="array" aca="1" ref="Z8" ca="1">IFERROR(IF(_xlfn._xlws.FILTER(game_rosters!$J:$J,(game_rosters!$G:$G=events!$AN8)*(game_rosters!$J:$J=events!$X8))&gt;0,1,""),"")</f>
        <v>#VALUE!</v>
      </c>
      <c r="AA8" t="e">
        <f t="shared" si="4"/>
        <v>#VALUE!</v>
      </c>
      <c r="AB8" t="str">
        <f t="shared" si="5"/>
        <v/>
      </c>
      <c r="AC8" t="e">
        <f t="shared" si="0"/>
        <v>#VALUE!</v>
      </c>
      <c r="AD8" s="6"/>
      <c r="BJ8" s="39"/>
      <c r="BM8" s="39"/>
      <c r="BO8" s="19"/>
      <c r="BQ8" s="17"/>
    </row>
    <row r="9" spans="1:73" x14ac:dyDescent="0.2">
      <c r="A9" t="str">
        <f t="shared" si="3"/>
        <v/>
      </c>
      <c r="E9" s="4"/>
      <c r="F9" s="44"/>
      <c r="G9" s="4"/>
      <c r="H9" s="47"/>
      <c r="J9" s="45" t="str">
        <f t="shared" si="41"/>
        <v/>
      </c>
      <c r="N9" t="str">
        <f t="shared" si="39"/>
        <v/>
      </c>
      <c r="Q9" t="str">
        <f t="shared" si="40"/>
        <v/>
      </c>
      <c r="S9" t="str">
        <f>IF(A9=1,MAX(S$2:S8)+1,IF(OR(I9&lt;&gt;"",A9="x"),S8,""))</f>
        <v/>
      </c>
      <c r="T9" t="str">
        <f>IF(D9=1,MAX($T$2:$T8)+1,IF(S9=$S8,$S8,IF($D9="x",T8,IF($D8="x","",""))))</f>
        <v/>
      </c>
      <c r="U9" t="str">
        <f>IF(B9=1,MAX($U$2:$U8)+1,IF(AND($T9&lt;&gt;"",$T9=$T8),$U8,IF(B9="x",U8,"")))</f>
        <v/>
      </c>
      <c r="V9" t="str">
        <f>IF(C9=1,MAX($V$2:$V8)+1,IF(AND($T9&lt;&gt;"",$T9=$T8),$U8,IF(C9="x",V8,"")))</f>
        <v/>
      </c>
      <c r="W9" t="str" cm="1">
        <f t="array" ref="W9">IFERROR(_xlfn._xlws.FILTER(game_rosters!AB:AB,(game_rosters!J:J=events!X9)*(K9&lt;&gt;"")),"")</f>
        <v/>
      </c>
      <c r="X9" t="str" cm="1">
        <f t="array" ref="X9">IF(S9="","",IF($I9&lt;&gt;"",$I9,INDEX($I$2:$I8,ROW()-COUNTIFS($T$2:$T8,"="&amp;$T9,$S$2:$S8,"&lt;&gt;"&amp;$S9)-1)))</f>
        <v/>
      </c>
      <c r="Y9" t="b">
        <f>IF(X9&lt;&gt;"",VLOOKUP(X9,game_rosters!$C$43:$E$64,3,FALSE))</f>
        <v>0</v>
      </c>
      <c r="Z9" t="e" cm="1" vm="1">
        <f t="array" aca="1" ref="Z9" ca="1">IFERROR(IF(_xlfn._xlws.FILTER(game_rosters!$J:$J,(game_rosters!$G:$G=events!$AN9)*(game_rosters!$J:$J=events!$X9))&gt;0,1,""),"")</f>
        <v>#VALUE!</v>
      </c>
      <c r="AA9" t="e">
        <f t="shared" si="4"/>
        <v>#VALUE!</v>
      </c>
      <c r="AB9" t="str">
        <f t="shared" si="5"/>
        <v/>
      </c>
      <c r="AC9" t="e">
        <f t="shared" si="0"/>
        <v>#VALUE!</v>
      </c>
      <c r="AD9" s="6"/>
      <c r="BJ9" s="39"/>
      <c r="BM9" s="39"/>
      <c r="BO9" s="19"/>
      <c r="BQ9" s="17"/>
    </row>
    <row r="10" spans="1:73" x14ac:dyDescent="0.2">
      <c r="A10" t="str">
        <f t="shared" si="3"/>
        <v/>
      </c>
      <c r="E10" s="4"/>
      <c r="F10" s="44"/>
      <c r="G10" s="4"/>
      <c r="H10" s="47"/>
      <c r="J10" s="45" t="str">
        <f t="shared" si="41"/>
        <v/>
      </c>
      <c r="N10" t="str">
        <f t="shared" si="39"/>
        <v/>
      </c>
      <c r="Q10" t="str">
        <f t="shared" si="40"/>
        <v/>
      </c>
      <c r="S10" t="str">
        <f>IF(A10=1,MAX(S$2:S9)+1,IF(OR(I10&lt;&gt;"",A10="x"),S9,""))</f>
        <v/>
      </c>
      <c r="T10" t="str">
        <f>IF(D10=1,MAX($T$2:$T9)+1,IF(S10=$S9,$S9,IF($D10="x",T9,IF($D9="x","",""))))</f>
        <v/>
      </c>
      <c r="U10" t="str">
        <f>IF(B10=1,MAX($U$2:$U9)+1,IF(AND($T10&lt;&gt;"",$T10=$T9),$U9,IF(B10="x",U9,"")))</f>
        <v/>
      </c>
      <c r="V10" t="str">
        <f>IF(C10=1,MAX($V$2:$V9)+1,IF(AND($T10&lt;&gt;"",$T10=$T9),$U9,IF(C10="x",V9,"")))</f>
        <v/>
      </c>
      <c r="W10" t="str" cm="1">
        <f t="array" ref="W10">IFERROR(_xlfn._xlws.FILTER(game_rosters!AB:AB,(game_rosters!J:J=events!X10)*(K10&lt;&gt;"")),"")</f>
        <v/>
      </c>
      <c r="X10" t="str" cm="1">
        <f t="array" ref="X10">IF(S10="","",IF($I10&lt;&gt;"",$I10,INDEX($I$2:$I9,ROW()-COUNTIFS($T$2:$T9,"="&amp;$T10,$S$2:$S9,"&lt;&gt;"&amp;$S10)-1)))</f>
        <v/>
      </c>
      <c r="Y10" t="b">
        <f>IF(X10&lt;&gt;"",VLOOKUP(X10,game_rosters!$C$43:$E$64,3,FALSE))</f>
        <v>0</v>
      </c>
      <c r="Z10" t="e" cm="1" vm="1">
        <f t="array" aca="1" ref="Z10" ca="1">IFERROR(IF(_xlfn._xlws.FILTER(game_rosters!$J:$J,(game_rosters!$G:$G=events!$AN10)*(game_rosters!$J:$J=events!$X10))&gt;0,1,""),"")</f>
        <v>#VALUE!</v>
      </c>
      <c r="AA10" t="e">
        <f t="shared" si="4"/>
        <v>#VALUE!</v>
      </c>
      <c r="AB10" t="str">
        <f t="shared" si="5"/>
        <v/>
      </c>
      <c r="AC10" t="e">
        <f t="shared" si="0"/>
        <v>#VALUE!</v>
      </c>
      <c r="AD10" s="6"/>
      <c r="BJ10" s="39"/>
      <c r="BM10" s="39"/>
      <c r="BO10" s="19"/>
      <c r="BQ10" s="17"/>
    </row>
    <row r="11" spans="1:73" x14ac:dyDescent="0.2">
      <c r="A11" t="str">
        <f t="shared" si="3"/>
        <v/>
      </c>
      <c r="E11" s="4"/>
      <c r="F11" s="44"/>
      <c r="G11" s="4"/>
      <c r="H11" s="47"/>
      <c r="J11" s="45" t="str">
        <f t="shared" si="41"/>
        <v/>
      </c>
      <c r="N11" t="str">
        <f t="shared" si="39"/>
        <v/>
      </c>
      <c r="Q11" t="str">
        <f t="shared" si="40"/>
        <v/>
      </c>
      <c r="S11" t="str">
        <f>IF(A11=1,MAX(S$2:S10)+1,IF(OR(I11&lt;&gt;"",A11="x"),S10,""))</f>
        <v/>
      </c>
      <c r="T11" t="str">
        <f>IF(D11=1,MAX($T$2:$T10)+1,IF(S11=$S10,$S10,IF($D11="x",T10,IF($D10="x","",""))))</f>
        <v/>
      </c>
      <c r="U11" t="str">
        <f>IF(B11=1,MAX($U$2:$U10)+1,IF(AND($T11&lt;&gt;"",$T11=$T10),$U10,IF(B11="x",U10,"")))</f>
        <v/>
      </c>
      <c r="V11" t="str">
        <f>IF(C11=1,MAX($V$2:$V10)+1,IF(AND($T11&lt;&gt;"",$T11=$T10),$U10,IF(C11="x",V10,"")))</f>
        <v/>
      </c>
      <c r="W11" t="str" cm="1">
        <f t="array" ref="W11">IFERROR(_xlfn._xlws.FILTER(game_rosters!AB:AB,(game_rosters!J:J=events!X11)*(K11&lt;&gt;"")),"")</f>
        <v/>
      </c>
      <c r="X11" t="str" cm="1">
        <f t="array" ref="X11">IF(S11="","",IF($I11&lt;&gt;"",$I11,INDEX($I$2:$I10,ROW()-COUNTIFS($T$2:$T10,"="&amp;$T11,$S$2:$S10,"&lt;&gt;"&amp;$S11)-1)))</f>
        <v/>
      </c>
      <c r="Y11" t="b">
        <f>IF(X11&lt;&gt;"",VLOOKUP(X11,game_rosters!$C$43:$E$64,3,FALSE))</f>
        <v>0</v>
      </c>
      <c r="Z11" t="e" cm="1" vm="1">
        <f t="array" aca="1" ref="Z11" ca="1">IFERROR(IF(_xlfn._xlws.FILTER(game_rosters!$J:$J,(game_rosters!$G:$G=events!$AN11)*(game_rosters!$J:$J=events!$X11))&gt;0,1,""),"")</f>
        <v>#VALUE!</v>
      </c>
      <c r="AA11" t="e">
        <f t="shared" si="4"/>
        <v>#VALUE!</v>
      </c>
      <c r="AB11" t="str">
        <f t="shared" si="5"/>
        <v/>
      </c>
      <c r="AC11" t="e">
        <f t="shared" si="0"/>
        <v>#VALUE!</v>
      </c>
      <c r="AD11" s="6"/>
      <c r="BJ11" s="39"/>
      <c r="BM11" s="39"/>
      <c r="BO11" s="19"/>
      <c r="BQ11" s="17"/>
    </row>
    <row r="12" spans="1:73" x14ac:dyDescent="0.2">
      <c r="A12" t="str">
        <f t="shared" si="3"/>
        <v/>
      </c>
      <c r="E12" s="4"/>
      <c r="F12" s="44"/>
      <c r="G12" s="4"/>
      <c r="H12" s="47"/>
      <c r="J12" s="45" t="str">
        <f t="shared" si="41"/>
        <v/>
      </c>
      <c r="N12" t="str">
        <f t="shared" si="39"/>
        <v/>
      </c>
      <c r="Q12" t="str">
        <f t="shared" si="40"/>
        <v/>
      </c>
      <c r="S12" t="str">
        <f>IF(A12=1,MAX(S$2:S11)+1,IF(OR(I12&lt;&gt;"",A12="x"),S11,""))</f>
        <v/>
      </c>
      <c r="T12" t="str">
        <f>IF(D12=1,MAX($T$2:$T11)+1,IF(S12=$S11,$S11,IF($D12="x",T11,IF($D11="x","",""))))</f>
        <v/>
      </c>
      <c r="U12" t="str">
        <f>IF(B12=1,MAX($U$2:$U11)+1,IF(AND($T12&lt;&gt;"",$T12=$T11),$U11,IF(B12="x",U11,"")))</f>
        <v/>
      </c>
      <c r="V12" t="str">
        <f>IF(C12=1,MAX($V$2:$V11)+1,IF(AND($T12&lt;&gt;"",$T12=$T11),$U11,IF(C12="x",V11,"")))</f>
        <v/>
      </c>
      <c r="W12" t="str" cm="1">
        <f t="array" ref="W12">IFERROR(_xlfn._xlws.FILTER(game_rosters!AB:AB,(game_rosters!J:J=events!X12)*(K12&lt;&gt;"")),"")</f>
        <v/>
      </c>
      <c r="X12" t="str" cm="1">
        <f t="array" ref="X12">IF(S12="","",IF($I12&lt;&gt;"",$I12,INDEX($I$2:$I11,ROW()-COUNTIFS($T$2:$T11,"="&amp;$T12,$S$2:$S11,"&lt;&gt;"&amp;$S12)-1)))</f>
        <v/>
      </c>
      <c r="Y12" t="b">
        <f>IF(X12&lt;&gt;"",VLOOKUP(X12,game_rosters!$C$43:$E$64,3,FALSE))</f>
        <v>0</v>
      </c>
      <c r="Z12" t="e" cm="1" vm="1">
        <f t="array" aca="1" ref="Z12" ca="1">IFERROR(IF(_xlfn._xlws.FILTER(game_rosters!$J:$J,(game_rosters!$G:$G=events!$AN12)*(game_rosters!$J:$J=events!$X12))&gt;0,1,""),"")</f>
        <v>#VALUE!</v>
      </c>
      <c r="AA12" t="e">
        <f t="shared" si="4"/>
        <v>#VALUE!</v>
      </c>
      <c r="AB12" t="str">
        <f t="shared" si="5"/>
        <v/>
      </c>
      <c r="AC12" t="e">
        <f t="shared" si="0"/>
        <v>#VALUE!</v>
      </c>
      <c r="AD12" s="6"/>
      <c r="BJ12" s="39"/>
      <c r="BM12" s="39"/>
      <c r="BO12" s="19"/>
      <c r="BQ12" s="17"/>
    </row>
    <row r="13" spans="1:73" x14ac:dyDescent="0.2">
      <c r="A13" t="str">
        <f t="shared" si="3"/>
        <v/>
      </c>
      <c r="E13" s="4"/>
      <c r="F13" s="44"/>
      <c r="G13" s="4"/>
      <c r="H13" s="47"/>
      <c r="J13" s="45" t="str">
        <f t="shared" si="41"/>
        <v/>
      </c>
      <c r="N13" t="str">
        <f t="shared" si="39"/>
        <v/>
      </c>
      <c r="Q13" t="str">
        <f t="shared" si="40"/>
        <v/>
      </c>
      <c r="S13" t="str">
        <f>IF(A13=1,MAX(S$2:S12)+1,IF(OR(I13&lt;&gt;"",A13="x"),S12,""))</f>
        <v/>
      </c>
      <c r="T13" t="str">
        <f>IF(D13=1,MAX($T$2:$T12)+1,IF(S13=$S12,$S12,IF($D13="x",T12,IF($D12="x","",""))))</f>
        <v/>
      </c>
      <c r="U13" t="str">
        <f>IF(B13=1,MAX($U$2:$U12)+1,IF(AND($T13&lt;&gt;"",$T13=$T12),$U12,IF(B13="x",U12,"")))</f>
        <v/>
      </c>
      <c r="V13" t="str">
        <f>IF(C13=1,MAX($V$2:$V12)+1,IF(AND($T13&lt;&gt;"",$T13=$T12),$U12,IF(C13="x",V12,"")))</f>
        <v/>
      </c>
      <c r="W13" t="str" cm="1">
        <f t="array" ref="W13">IFERROR(_xlfn._xlws.FILTER(game_rosters!AB:AB,(game_rosters!J:J=events!X13)*(K13&lt;&gt;"")),"")</f>
        <v/>
      </c>
      <c r="X13" t="str" cm="1">
        <f t="array" ref="X13">IF(S13="","",IF($I13&lt;&gt;"",$I13,INDEX($I$2:$I12,ROW()-COUNTIFS($T$2:$T12,"="&amp;$T13,$S$2:$S12,"&lt;&gt;"&amp;$S13)-1)))</f>
        <v/>
      </c>
      <c r="Y13" t="b">
        <f>IF(X13&lt;&gt;"",VLOOKUP(X13,game_rosters!$C$43:$E$64,3,FALSE))</f>
        <v>0</v>
      </c>
      <c r="Z13" t="e" cm="1" vm="1">
        <f t="array" aca="1" ref="Z13" ca="1">IFERROR(IF(_xlfn._xlws.FILTER(game_rosters!$J:$J,(game_rosters!$G:$G=events!$AN13)*(game_rosters!$J:$J=events!$X13))&gt;0,1,""),"")</f>
        <v>#VALUE!</v>
      </c>
      <c r="AA13" t="e">
        <f t="shared" si="4"/>
        <v>#VALUE!</v>
      </c>
      <c r="AB13" t="str">
        <f t="shared" si="5"/>
        <v/>
      </c>
      <c r="AC13" t="e">
        <f t="shared" si="0"/>
        <v>#VALUE!</v>
      </c>
      <c r="AD13" s="6"/>
      <c r="BJ13" s="39"/>
      <c r="BM13" s="39"/>
      <c r="BO13" s="19"/>
      <c r="BQ13" s="17"/>
    </row>
    <row r="14" spans="1:73" x14ac:dyDescent="0.2">
      <c r="A14" t="str">
        <f t="shared" si="3"/>
        <v/>
      </c>
      <c r="E14" s="4"/>
      <c r="F14" s="44"/>
      <c r="G14" s="4"/>
      <c r="H14" s="47"/>
      <c r="J14" s="45" t="str">
        <f t="shared" si="41"/>
        <v/>
      </c>
      <c r="N14" t="str">
        <f t="shared" si="39"/>
        <v/>
      </c>
      <c r="Q14" t="str">
        <f t="shared" si="40"/>
        <v/>
      </c>
      <c r="S14" t="str">
        <f>IF(A14=1,MAX(S$2:S13)+1,IF(OR(I14&lt;&gt;"",A14="x"),S13,""))</f>
        <v/>
      </c>
      <c r="T14" t="str">
        <f>IF(D14=1,MAX($T$2:$T13)+1,IF(S14=$S13,$S13,IF($D14="x",T13,IF($D13="x","",""))))</f>
        <v/>
      </c>
      <c r="U14" t="str">
        <f>IF(B14=1,MAX($U$2:$U13)+1,IF(AND($T14&lt;&gt;"",$T14=$T13),$U13,IF(B14="x",U13,"")))</f>
        <v/>
      </c>
      <c r="V14" t="str">
        <f>IF(C14=1,MAX($V$2:$V13)+1,IF(AND($T14&lt;&gt;"",$T14=$T13),$U13,IF(C14="x",V13,"")))</f>
        <v/>
      </c>
      <c r="W14" t="str" cm="1">
        <f t="array" ref="W14">IFERROR(_xlfn._xlws.FILTER(game_rosters!AB:AB,(game_rosters!J:J=events!X14)*(K14&lt;&gt;"")),"")</f>
        <v/>
      </c>
      <c r="X14" t="str" cm="1">
        <f t="array" ref="X14">IF(S14="","",IF($I14&lt;&gt;"",$I14,INDEX($I$2:$I13,ROW()-COUNTIFS($T$2:$T13,"="&amp;$T14,$S$2:$S13,"&lt;&gt;"&amp;$S14)-1)))</f>
        <v/>
      </c>
      <c r="Y14" t="b">
        <f>IF(X14&lt;&gt;"",VLOOKUP(X14,game_rosters!$C$43:$E$64,3,FALSE))</f>
        <v>0</v>
      </c>
      <c r="Z14" t="e" cm="1" vm="1">
        <f t="array" aca="1" ref="Z14" ca="1">IFERROR(IF(_xlfn._xlws.FILTER(game_rosters!$J:$J,(game_rosters!$G:$G=events!$AN14)*(game_rosters!$J:$J=events!$X14))&gt;0,1,""),"")</f>
        <v>#VALUE!</v>
      </c>
      <c r="AA14" t="e">
        <f t="shared" si="4"/>
        <v>#VALUE!</v>
      </c>
      <c r="AB14" t="str">
        <f t="shared" si="5"/>
        <v/>
      </c>
      <c r="AC14" t="e">
        <f t="shared" si="0"/>
        <v>#VALUE!</v>
      </c>
      <c r="AD14" s="6"/>
      <c r="BJ14" s="39"/>
      <c r="BM14" s="39"/>
      <c r="BO14" s="19"/>
      <c r="BQ14" s="17"/>
    </row>
    <row r="15" spans="1:73" x14ac:dyDescent="0.2">
      <c r="A15" t="str">
        <f t="shared" si="3"/>
        <v/>
      </c>
      <c r="E15" s="4"/>
      <c r="F15" s="44"/>
      <c r="G15" s="4"/>
      <c r="H15" s="47"/>
      <c r="J15" s="45" t="str">
        <f t="shared" si="41"/>
        <v/>
      </c>
      <c r="N15" t="str">
        <f t="shared" si="39"/>
        <v/>
      </c>
      <c r="Q15" t="str">
        <f t="shared" si="40"/>
        <v/>
      </c>
      <c r="S15" t="str">
        <f>IF(A15=1,MAX(S$2:S14)+1,IF(OR(I15&lt;&gt;"",A15="x"),S14,""))</f>
        <v/>
      </c>
      <c r="T15" t="str">
        <f>IF(D15=1,MAX($T$2:$T14)+1,IF(S15=$S14,$S14,IF($D15="x",T14,IF($D14="x","",""))))</f>
        <v/>
      </c>
      <c r="U15" t="str">
        <f>IF(B15=1,MAX($U$2:$U14)+1,IF(AND($T15&lt;&gt;"",$T15=$T14),$U14,IF(B15="x",U14,"")))</f>
        <v/>
      </c>
      <c r="V15" t="str">
        <f>IF(C15=1,MAX($V$2:$V14)+1,IF(AND($T15&lt;&gt;"",$T15=$T14),$U14,IF(C15="x",V14,"")))</f>
        <v/>
      </c>
      <c r="W15" t="str" cm="1">
        <f t="array" ref="W15">IFERROR(_xlfn._xlws.FILTER(game_rosters!AB:AB,(game_rosters!J:J=events!X15)*(K15&lt;&gt;"")),"")</f>
        <v/>
      </c>
      <c r="X15" t="str" cm="1">
        <f t="array" ref="X15">IF(S15="","",IF($I15&lt;&gt;"",$I15,INDEX($I$2:$I14,ROW()-COUNTIFS($T$2:$T14,"="&amp;$T15,$S$2:$S14,"&lt;&gt;"&amp;$S15)-1)))</f>
        <v/>
      </c>
      <c r="Y15" t="b">
        <f>IF(X15&lt;&gt;"",VLOOKUP(X15,game_rosters!$C$43:$E$64,3,FALSE))</f>
        <v>0</v>
      </c>
      <c r="Z15" t="e" cm="1" vm="1">
        <f t="array" aca="1" ref="Z15" ca="1">IFERROR(IF(_xlfn._xlws.FILTER(game_rosters!$J:$J,(game_rosters!$G:$G=events!$AN15)*(game_rosters!$J:$J=events!$X15))&gt;0,1,""),"")</f>
        <v>#VALUE!</v>
      </c>
      <c r="AA15" t="e">
        <f t="shared" si="4"/>
        <v>#VALUE!</v>
      </c>
      <c r="AB15" t="str">
        <f t="shared" si="5"/>
        <v/>
      </c>
      <c r="AC15" t="e">
        <f t="shared" si="0"/>
        <v>#VALUE!</v>
      </c>
      <c r="AD15" s="6"/>
      <c r="BJ15" s="39"/>
      <c r="BM15" s="39"/>
      <c r="BO15" s="19"/>
      <c r="BQ15" s="17"/>
    </row>
    <row r="16" spans="1:73" x14ac:dyDescent="0.2">
      <c r="A16" t="str">
        <f t="shared" si="3"/>
        <v/>
      </c>
      <c r="E16" s="4"/>
      <c r="F16" s="44"/>
      <c r="G16" s="4"/>
      <c r="H16" s="47"/>
      <c r="J16" s="45" t="str">
        <f t="shared" si="41"/>
        <v/>
      </c>
      <c r="N16" t="str">
        <f t="shared" si="39"/>
        <v/>
      </c>
      <c r="Q16" t="str">
        <f t="shared" ref="Q16:Q79" si="42">IF(O16="","",IF(AND(N16&lt;&gt;"",OR(O16&lt;&gt;"",P16&lt;&gt;"")),N16,IF(OR(ISNUMBER(SEARCH("attemp",O16)),ISNUMBER(SEARCH("beat",O16)),ISNUMBER(SEARCH("mis",O16)),ISNUMBER(SEARCH("fail",O16)),ISNUMBER(SEARCH("loss",O16)),ISNUMBER(SEARCH("lost",O16)),ISNUMBER(SEARCH("attemp",P16)),ISNUMBER(SEARCH("mis",P16)),ISNUMBER(SEARCH("fail",P16)),ISNUMBER(SEARCH("loss",P16)),ISNUMBER(SEARCH("beat",P16)),ISNUMBER(SEARCH("lost",P16))),"u","")))</f>
        <v/>
      </c>
      <c r="S16" t="str">
        <f>IF(A16=1,MAX(S$2:S15)+1,IF(OR(I16&lt;&gt;"",A16="x"),S15,""))</f>
        <v/>
      </c>
      <c r="T16" t="str">
        <f>IF(D16=1,MAX($T$2:$T15)+1,IF(S16=$S15,$S15,IF($D16="x",T15,IF($D15="x","",""))))</f>
        <v/>
      </c>
      <c r="U16" t="str">
        <f>IF(B16=1,MAX($U$2:$U15)+1,IF(AND($T16&lt;&gt;"",$T16=$T15),$U15,IF(B16="x",U15,"")))</f>
        <v/>
      </c>
      <c r="V16" t="str">
        <f>IF(C16=1,MAX($V$2:$V15)+1,IF(AND($T16&lt;&gt;"",$T16=$T15),$U15,IF(C16="x",V15,"")))</f>
        <v/>
      </c>
      <c r="W16" t="str" cm="1">
        <f t="array" ref="W16">IFERROR(_xlfn._xlws.FILTER(game_rosters!AB:AB,(game_rosters!J:J=events!X16)*(K16&lt;&gt;"")),"")</f>
        <v/>
      </c>
      <c r="X16" t="str" cm="1">
        <f t="array" ref="X16">IF(S16="","",IF($I16&lt;&gt;"",$I16,INDEX($I$2:$I15,ROW()-COUNTIFS($T$2:$T15,"="&amp;$T16,$S$2:$S15,"&lt;&gt;"&amp;$S16)-1)))</f>
        <v/>
      </c>
      <c r="Y16" t="b">
        <f>IF(X16&lt;&gt;"",VLOOKUP(X16,game_rosters!$C$43:$E$64,3,FALSE))</f>
        <v>0</v>
      </c>
      <c r="Z16" t="e" cm="1" vm="1">
        <f t="array" aca="1" ref="Z16" ca="1">IFERROR(IF(_xlfn._xlws.FILTER(game_rosters!$J:$J,(game_rosters!$G:$G=events!$AN16)*(game_rosters!$J:$J=events!$X16))&gt;0,1,""),"")</f>
        <v>#VALUE!</v>
      </c>
      <c r="AA16" t="e">
        <f t="shared" si="4"/>
        <v>#VALUE!</v>
      </c>
      <c r="AB16" t="str">
        <f t="shared" si="5"/>
        <v/>
      </c>
      <c r="AC16" t="e">
        <f t="shared" si="0"/>
        <v>#VALUE!</v>
      </c>
      <c r="AD16" s="6"/>
      <c r="BJ16" s="39"/>
      <c r="BM16" s="39"/>
      <c r="BO16" s="19"/>
      <c r="BQ16" s="17"/>
    </row>
    <row r="17" spans="1:69" x14ac:dyDescent="0.2">
      <c r="A17" t="str">
        <f t="shared" si="3"/>
        <v/>
      </c>
      <c r="E17" s="4"/>
      <c r="F17" s="44"/>
      <c r="G17" s="4"/>
      <c r="H17" s="47"/>
      <c r="J17" s="45" t="str">
        <f t="shared" si="41"/>
        <v/>
      </c>
      <c r="N17" t="str">
        <f t="shared" si="39"/>
        <v/>
      </c>
      <c r="Q17" t="str">
        <f t="shared" si="42"/>
        <v/>
      </c>
      <c r="S17" t="str">
        <f>IF(A17=1,MAX(S$2:S16)+1,IF(OR(I17&lt;&gt;"",A17="x"),S16,""))</f>
        <v/>
      </c>
      <c r="T17" t="str">
        <f>IF(D17=1,MAX($T$2:$T16)+1,IF(S17=$S16,$S16,IF($D17="x",T16,IF($D16="x","",""))))</f>
        <v/>
      </c>
      <c r="U17" t="str">
        <f>IF(B17=1,MAX($U$2:$U16)+1,IF(AND($T17&lt;&gt;"",$T17=$T16),$U16,IF(B17="x",U16,"")))</f>
        <v/>
      </c>
      <c r="V17" t="str">
        <f>IF(C17=1,MAX($V$2:$V16)+1,IF(AND($T17&lt;&gt;"",$T17=$T16),$U16,IF(C17="x",V16,"")))</f>
        <v/>
      </c>
      <c r="W17" t="str" cm="1">
        <f t="array" ref="W17">IFERROR(_xlfn._xlws.FILTER(game_rosters!AB:AB,(game_rosters!J:J=events!X17)*(K17&lt;&gt;"")),"")</f>
        <v/>
      </c>
      <c r="X17" t="str" cm="1">
        <f t="array" ref="X17">IF(S17="","",IF($I17&lt;&gt;"",$I17,INDEX($I$2:$I16,ROW()-COUNTIFS($T$2:$T16,"="&amp;$T17,$S$2:$S16,"&lt;&gt;"&amp;$S17)-1)))</f>
        <v/>
      </c>
      <c r="Y17" t="b">
        <f>IF(X17&lt;&gt;"",VLOOKUP(X17,game_rosters!$C$43:$E$64,3,FALSE))</f>
        <v>0</v>
      </c>
      <c r="Z17" t="e" cm="1" vm="1">
        <f t="array" aca="1" ref="Z17" ca="1">IFERROR(IF(_xlfn._xlws.FILTER(game_rosters!$J:$J,(game_rosters!$G:$G=events!$AN17)*(game_rosters!$J:$J=events!$X17))&gt;0,1,""),"")</f>
        <v>#VALUE!</v>
      </c>
      <c r="AA17" t="e">
        <f t="shared" si="4"/>
        <v>#VALUE!</v>
      </c>
      <c r="AB17" t="str">
        <f t="shared" si="5"/>
        <v/>
      </c>
      <c r="AC17" t="e">
        <f t="shared" si="0"/>
        <v>#VALUE!</v>
      </c>
      <c r="AD17" s="6"/>
      <c r="BJ17" s="39"/>
      <c r="BM17" s="39"/>
      <c r="BO17" s="19"/>
      <c r="BQ17" s="17"/>
    </row>
    <row r="18" spans="1:69" x14ac:dyDescent="0.2">
      <c r="A18" t="str">
        <f t="shared" si="3"/>
        <v/>
      </c>
      <c r="E18" s="4"/>
      <c r="F18" s="44"/>
      <c r="G18" s="4"/>
      <c r="H18" s="47"/>
      <c r="J18" s="45" t="str">
        <f t="shared" si="41"/>
        <v/>
      </c>
      <c r="N18" t="str">
        <f t="shared" si="39"/>
        <v/>
      </c>
      <c r="Q18" t="str">
        <f t="shared" si="42"/>
        <v/>
      </c>
      <c r="S18" t="str">
        <f>IF(A18=1,MAX(S$2:S17)+1,IF(OR(I18&lt;&gt;"",A18="x"),S17,""))</f>
        <v/>
      </c>
      <c r="T18" t="str">
        <f>IF(D18=1,MAX($T$2:$T17)+1,IF(S18=$S17,$S17,IF($D18="x",T17,IF($D17="x","",""))))</f>
        <v/>
      </c>
      <c r="U18" t="str">
        <f>IF(B18=1,MAX($U$2:$U17)+1,IF(AND($T18&lt;&gt;"",$T18=$T17),$U17,IF(B18="x",U17,"")))</f>
        <v/>
      </c>
      <c r="V18" t="str">
        <f>IF(C18=1,MAX($V$2:$V17)+1,IF(AND($T18&lt;&gt;"",$T18=$T17),$U17,IF(C18="x",V17,"")))</f>
        <v/>
      </c>
      <c r="W18" t="str" cm="1">
        <f t="array" ref="W18">IFERROR(_xlfn._xlws.FILTER(game_rosters!AB:AB,(game_rosters!J:J=events!X18)*(K18&lt;&gt;"")),"")</f>
        <v/>
      </c>
      <c r="X18" t="str" cm="1">
        <f t="array" ref="X18">IF(S18="","",IF($I18&lt;&gt;"",$I18,INDEX($I$2:$I17,ROW()-COUNTIFS($T$2:$T17,"="&amp;$T18,$S$2:$S17,"&lt;&gt;"&amp;$S18)-1)))</f>
        <v/>
      </c>
      <c r="Y18" t="b">
        <f>IF(X18&lt;&gt;"",VLOOKUP(X18,game_rosters!$C$43:$E$64,3,FALSE))</f>
        <v>0</v>
      </c>
      <c r="Z18" t="e" cm="1" vm="1">
        <f t="array" aca="1" ref="Z18" ca="1">IFERROR(IF(_xlfn._xlws.FILTER(game_rosters!$J:$J,(game_rosters!$G:$G=events!$AN18)*(game_rosters!$J:$J=events!$X18))&gt;0,1,""),"")</f>
        <v>#VALUE!</v>
      </c>
      <c r="AA18" t="e">
        <f t="shared" si="4"/>
        <v>#VALUE!</v>
      </c>
      <c r="AB18" t="str">
        <f t="shared" si="5"/>
        <v/>
      </c>
      <c r="AC18" t="e">
        <f t="shared" si="0"/>
        <v>#VALUE!</v>
      </c>
      <c r="AD18" s="6"/>
      <c r="BJ18" s="39"/>
      <c r="BM18" s="39"/>
      <c r="BO18" s="19"/>
      <c r="BQ18" s="17"/>
    </row>
    <row r="19" spans="1:69" x14ac:dyDescent="0.2">
      <c r="A19" t="str">
        <f t="shared" si="3"/>
        <v/>
      </c>
      <c r="E19" s="4"/>
      <c r="F19" s="44"/>
      <c r="G19" s="4"/>
      <c r="H19" s="47"/>
      <c r="J19" s="45" t="str">
        <f t="shared" si="41"/>
        <v/>
      </c>
      <c r="N19" t="str">
        <f t="shared" si="39"/>
        <v/>
      </c>
      <c r="Q19" t="str">
        <f t="shared" si="42"/>
        <v/>
      </c>
      <c r="S19" t="str">
        <f>IF(A19=1,MAX(S$2:S18)+1,IF(OR(I19&lt;&gt;"",A19="x"),S18,""))</f>
        <v/>
      </c>
      <c r="T19" t="str">
        <f>IF(D19=1,MAX($T$2:$T18)+1,IF(S19=$S18,$S18,IF($D19="x",T18,IF($D18="x","",""))))</f>
        <v/>
      </c>
      <c r="U19" t="str">
        <f>IF(B19=1,MAX($U$2:$U18)+1,IF(AND($T19&lt;&gt;"",$T19=$T18),$U18,IF(B19="x",U18,"")))</f>
        <v/>
      </c>
      <c r="V19" t="str">
        <f>IF(C19=1,MAX($V$2:$V18)+1,IF(AND($T19&lt;&gt;"",$T19=$T18),$U18,IF(C19="x",V18,"")))</f>
        <v/>
      </c>
      <c r="W19" t="str" cm="1">
        <f t="array" ref="W19">IFERROR(_xlfn._xlws.FILTER(game_rosters!AB:AB,(game_rosters!J:J=events!X19)*(K19&lt;&gt;"")),"")</f>
        <v/>
      </c>
      <c r="X19" t="str" cm="1">
        <f t="array" ref="X19">IF(S19="","",IF($I19&lt;&gt;"",$I19,INDEX($I$2:$I18,ROW()-COUNTIFS($T$2:$T18,"="&amp;$T19,$S$2:$S18,"&lt;&gt;"&amp;$S19)-1)))</f>
        <v/>
      </c>
      <c r="Y19" t="b">
        <f>IF(X19&lt;&gt;"",VLOOKUP(X19,game_rosters!$C$43:$E$64,3,FALSE))</f>
        <v>0</v>
      </c>
      <c r="Z19" t="e" cm="1" vm="1">
        <f t="array" aca="1" ref="Z19" ca="1">IFERROR(IF(_xlfn._xlws.FILTER(game_rosters!$J:$J,(game_rosters!$G:$G=events!$AN19)*(game_rosters!$J:$J=events!$X19))&gt;0,1,""),"")</f>
        <v>#VALUE!</v>
      </c>
      <c r="AA19" t="e">
        <f t="shared" si="4"/>
        <v>#VALUE!</v>
      </c>
      <c r="AB19" t="str">
        <f t="shared" si="5"/>
        <v/>
      </c>
      <c r="AC19" t="e">
        <f t="shared" si="0"/>
        <v>#VALUE!</v>
      </c>
      <c r="AD19" s="6"/>
      <c r="BJ19" s="39"/>
      <c r="BM19" s="39"/>
      <c r="BO19" s="19"/>
      <c r="BQ19" s="17"/>
    </row>
    <row r="20" spans="1:69" x14ac:dyDescent="0.2">
      <c r="A20" t="str">
        <f t="shared" si="3"/>
        <v/>
      </c>
      <c r="E20" s="4"/>
      <c r="F20" s="44"/>
      <c r="G20" s="4"/>
      <c r="H20" s="47"/>
      <c r="J20" s="45" t="str">
        <f t="shared" si="41"/>
        <v/>
      </c>
      <c r="N20" t="str">
        <f t="shared" si="39"/>
        <v/>
      </c>
      <c r="Q20" t="str">
        <f t="shared" si="42"/>
        <v/>
      </c>
      <c r="S20" t="str">
        <f>IF(A20=1,MAX(S$2:S19)+1,IF(OR(I20&lt;&gt;"",A20="x"),S19,""))</f>
        <v/>
      </c>
      <c r="T20" t="str">
        <f>IF(D20=1,MAX($T$2:$T19)+1,IF(S20=$S19,$S19,IF($D20="x",T19,IF($D19="x","",""))))</f>
        <v/>
      </c>
      <c r="U20" t="str">
        <f>IF(B20=1,MAX($U$2:$U19)+1,IF(AND($T20&lt;&gt;"",$T20=$T19),$U19,IF(B20="x",U19,"")))</f>
        <v/>
      </c>
      <c r="V20" t="str">
        <f>IF(C20=1,MAX($V$2:$V19)+1,IF(AND($T20&lt;&gt;"",$T20=$T19),$U19,IF(C20="x",V19,"")))</f>
        <v/>
      </c>
      <c r="W20" t="str" cm="1">
        <f t="array" ref="W20">IFERROR(_xlfn._xlws.FILTER(game_rosters!AB:AB,(game_rosters!J:J=events!X20)*(K20&lt;&gt;"")),"")</f>
        <v/>
      </c>
      <c r="X20" t="str" cm="1">
        <f t="array" ref="X20">IF(S20="","",IF($I20&lt;&gt;"",$I20,INDEX($I$2:$I19,ROW()-COUNTIFS($T$2:$T19,"="&amp;$T20,$S$2:$S19,"&lt;&gt;"&amp;$S20)-1)))</f>
        <v/>
      </c>
      <c r="Y20" t="b">
        <f>IF(X20&lt;&gt;"",VLOOKUP(X20,game_rosters!$C$43:$E$64,3,FALSE))</f>
        <v>0</v>
      </c>
      <c r="Z20" t="e" cm="1" vm="1">
        <f t="array" aca="1" ref="Z20" ca="1">IFERROR(IF(_xlfn._xlws.FILTER(game_rosters!$J:$J,(game_rosters!$G:$G=events!$AN20)*(game_rosters!$J:$J=events!$X20))&gt;0,1,""),"")</f>
        <v>#VALUE!</v>
      </c>
      <c r="AA20" t="e">
        <f t="shared" si="4"/>
        <v>#VALUE!</v>
      </c>
      <c r="AB20" t="str">
        <f t="shared" si="5"/>
        <v/>
      </c>
      <c r="AC20" t="e">
        <f t="shared" si="0"/>
        <v>#VALUE!</v>
      </c>
      <c r="AD20" s="6"/>
      <c r="BJ20" s="39"/>
      <c r="BM20" s="39"/>
      <c r="BO20" s="19"/>
      <c r="BQ20" s="17"/>
    </row>
    <row r="21" spans="1:69" x14ac:dyDescent="0.2">
      <c r="A21" t="str">
        <f t="shared" si="3"/>
        <v/>
      </c>
      <c r="E21" s="4"/>
      <c r="F21" s="44"/>
      <c r="G21" s="4"/>
      <c r="H21" s="47"/>
      <c r="J21" s="45" t="str">
        <f t="shared" si="41"/>
        <v/>
      </c>
      <c r="N21" t="str">
        <f t="shared" ref="N21:N84" si="43">IF(K21="","",IF(K21="Goal","s",IF(AND(K21="Zone_Entry_Exit",OR(ISNUMBER(SEARCH("fail",L21)),ISNUMBER(SEARCH("FromExitClear",M21)),ISNUMBER(SEARCH("miss",M21)))),"u",IF(AND(K21="Zone_Entry_Exit",OR(NOT(ISNUMBER(SEARCH("fail",L21))),NOT(ISNUMBER(SEARCH("FromExitClear",M21))),NOT(ISNUMBER(SEARCH("miss",M21))))),"s",IF(AND(OR(K21="Shot",K21="Pass"),OR(ISNUMBER(SEARCH("complete",L21)),ISNUMBER(SEARCH("goal",L21)),ISNUMBER(SEARCH("OnNet",L21)))),"s",IF(L21="Turnover_Giveaway","u",IF(AND(OR(K21="Shot",K21="Pass"),OR(ISNUMBER(SEARCH("fail",L21)),NOT(ISNUMBER(SEARCH("complete",L21))),NOT(ISNUMBER(SEARCH("OnNet",L21))))),"u","")))))))</f>
        <v/>
      </c>
      <c r="Q21" t="str">
        <f t="shared" si="42"/>
        <v/>
      </c>
      <c r="S21" t="str">
        <f>IF(A21=1,MAX(S$2:S20)+1,IF(OR(I21&lt;&gt;"",A21="x"),S20,""))</f>
        <v/>
      </c>
      <c r="T21" t="str">
        <f>IF(D21=1,MAX($T$2:$T20)+1,IF(S21=$S20,$S20,IF($D21="x",T20,IF($D20="x","",""))))</f>
        <v/>
      </c>
      <c r="U21" t="str">
        <f>IF(B21=1,MAX($U$2:$U20)+1,IF(AND($T21&lt;&gt;"",$T21=$T20),$U20,IF(B21="x",U20,"")))</f>
        <v/>
      </c>
      <c r="V21" t="str">
        <f>IF(C21=1,MAX($V$2:$V20)+1,IF(AND($T21&lt;&gt;"",$T21=$T20),$U20,IF(C21="x",V20,"")))</f>
        <v/>
      </c>
      <c r="W21" t="str" cm="1">
        <f t="array" ref="W21">IFERROR(_xlfn._xlws.FILTER(game_rosters!AB:AB,(game_rosters!J:J=events!X21)*(K21&lt;&gt;"")),"")</f>
        <v/>
      </c>
      <c r="X21" t="str" cm="1">
        <f t="array" ref="X21">IF(S21="","",IF($I21&lt;&gt;"",$I21,INDEX($I$2:$I20,ROW()-COUNTIFS($T$2:$T20,"="&amp;$T21,$S$2:$S20,"&lt;&gt;"&amp;$S21)-1)))</f>
        <v/>
      </c>
      <c r="Y21" t="b">
        <f>IF(X21&lt;&gt;"",VLOOKUP(X21,game_rosters!$C$43:$E$64,3,FALSE))</f>
        <v>0</v>
      </c>
      <c r="Z21" t="e" cm="1" vm="1">
        <f t="array" aca="1" ref="Z21" ca="1">IFERROR(IF(_xlfn._xlws.FILTER(game_rosters!$J:$J,(game_rosters!$G:$G=events!$AN21)*(game_rosters!$J:$J=events!$X21))&gt;0,1,""),"")</f>
        <v>#VALUE!</v>
      </c>
      <c r="AA21" t="e">
        <f t="shared" si="4"/>
        <v>#VALUE!</v>
      </c>
      <c r="AB21" t="str">
        <f t="shared" si="5"/>
        <v/>
      </c>
      <c r="AC21" t="e">
        <f t="shared" si="0"/>
        <v>#VALUE!</v>
      </c>
      <c r="AD21" s="6"/>
      <c r="BJ21" s="39"/>
      <c r="BM21" s="39"/>
      <c r="BO21" s="19"/>
      <c r="BQ21" s="17"/>
    </row>
    <row r="22" spans="1:69" x14ac:dyDescent="0.2">
      <c r="A22" t="str">
        <f t="shared" si="3"/>
        <v/>
      </c>
      <c r="E22" s="4"/>
      <c r="F22" s="44"/>
      <c r="G22" s="4"/>
      <c r="H22" s="47"/>
      <c r="J22" s="45" t="str">
        <f t="shared" si="41"/>
        <v/>
      </c>
      <c r="N22" t="str">
        <f t="shared" si="43"/>
        <v/>
      </c>
      <c r="Q22" t="str">
        <f t="shared" si="42"/>
        <v/>
      </c>
      <c r="S22" t="str">
        <f>IF(A22=1,MAX(S$2:S21)+1,IF(OR(I22&lt;&gt;"",A22="x"),S21,""))</f>
        <v/>
      </c>
      <c r="T22" t="str">
        <f>IF(D22=1,MAX($T$2:$T21)+1,IF(S22=$S21,$S21,IF($D22="x",T21,IF($D21="x","",""))))</f>
        <v/>
      </c>
      <c r="U22" t="str">
        <f>IF(B22=1,MAX($U$2:$U21)+1,IF(AND($T22&lt;&gt;"",$T22=$T21),$U21,IF(B22="x",U21,"")))</f>
        <v/>
      </c>
      <c r="V22" t="str">
        <f>IF(C22=1,MAX($V$2:$V21)+1,IF(AND($T22&lt;&gt;"",$T22=$T21),$U21,IF(C22="x",V21,"")))</f>
        <v/>
      </c>
      <c r="W22" t="str" cm="1">
        <f t="array" ref="W22">IFERROR(_xlfn._xlws.FILTER(game_rosters!AB:AB,(game_rosters!J:J=events!X22)*(K22&lt;&gt;"")),"")</f>
        <v/>
      </c>
      <c r="X22" t="str" cm="1">
        <f t="array" ref="X22">IF(S22="","",IF($I22&lt;&gt;"",$I22,INDEX($I$2:$I21,ROW()-COUNTIFS($T$2:$T21,"="&amp;$T22,$S$2:$S21,"&lt;&gt;"&amp;$S22)-1)))</f>
        <v/>
      </c>
      <c r="Y22" t="b">
        <f>IF(X22&lt;&gt;"",VLOOKUP(X22,game_rosters!$C$43:$E$64,3,FALSE))</f>
        <v>0</v>
      </c>
      <c r="Z22" t="e" cm="1" vm="1">
        <f t="array" aca="1" ref="Z22" ca="1">IFERROR(IF(_xlfn._xlws.FILTER(game_rosters!$J:$J,(game_rosters!$G:$G=events!$AN22)*(game_rosters!$J:$J=events!$X22))&gt;0,1,""),"")</f>
        <v>#VALUE!</v>
      </c>
      <c r="AA22" t="e">
        <f t="shared" si="4"/>
        <v>#VALUE!</v>
      </c>
      <c r="AB22" t="str">
        <f t="shared" si="5"/>
        <v/>
      </c>
      <c r="AC22" t="e">
        <f t="shared" si="0"/>
        <v>#VALUE!</v>
      </c>
      <c r="AD22" s="6"/>
      <c r="BJ22" s="39"/>
      <c r="BM22" s="39"/>
      <c r="BO22" s="19"/>
      <c r="BQ22" s="17"/>
    </row>
    <row r="23" spans="1:69" x14ac:dyDescent="0.2">
      <c r="A23" t="str">
        <f t="shared" si="3"/>
        <v/>
      </c>
      <c r="E23" s="4"/>
      <c r="F23" s="44"/>
      <c r="G23" s="4"/>
      <c r="H23" s="47"/>
      <c r="J23" s="45" t="str">
        <f t="shared" si="41"/>
        <v/>
      </c>
      <c r="N23" t="str">
        <f t="shared" si="43"/>
        <v/>
      </c>
      <c r="Q23" t="str">
        <f t="shared" si="42"/>
        <v/>
      </c>
      <c r="S23" t="str">
        <f>IF(A23=1,MAX(S$2:S22)+1,IF(OR(I23&lt;&gt;"",A23="x"),S22,""))</f>
        <v/>
      </c>
      <c r="T23" t="str">
        <f>IF(D23=1,MAX($T$2:$T22)+1,IF(S23=$S22,$S22,IF($D23="x",T22,IF($D22="x","",""))))</f>
        <v/>
      </c>
      <c r="U23" t="str">
        <f>IF(B23=1,MAX($U$2:$U22)+1,IF(AND($T23&lt;&gt;"",$T23=$T22),$U22,IF(B23="x",U22,"")))</f>
        <v/>
      </c>
      <c r="V23" t="str">
        <f>IF(C23=1,MAX($V$2:$V22)+1,IF(AND($T23&lt;&gt;"",$T23=$T22),$U22,IF(C23="x",V22,"")))</f>
        <v/>
      </c>
      <c r="W23" t="str" cm="1">
        <f t="array" ref="W23">IFERROR(_xlfn._xlws.FILTER(game_rosters!AB:AB,(game_rosters!J:J=events!X23)*(K23&lt;&gt;"")),"")</f>
        <v/>
      </c>
      <c r="X23" t="str" cm="1">
        <f t="array" ref="X23">IF(S23="","",IF($I23&lt;&gt;"",$I23,INDEX($I$2:$I22,ROW()-COUNTIFS($T$2:$T22,"="&amp;$T23,$S$2:$S22,"&lt;&gt;"&amp;$S23)-1)))</f>
        <v/>
      </c>
      <c r="Y23" t="b">
        <f>IF(X23&lt;&gt;"",VLOOKUP(X23,game_rosters!$C$43:$E$64,3,FALSE))</f>
        <v>0</v>
      </c>
      <c r="Z23" t="e" cm="1" vm="1">
        <f t="array" aca="1" ref="Z23" ca="1">IFERROR(IF(_xlfn._xlws.FILTER(game_rosters!$J:$J,(game_rosters!$G:$G=events!$AN23)*(game_rosters!$J:$J=events!$X23))&gt;0,1,""),"")</f>
        <v>#VALUE!</v>
      </c>
      <c r="AA23" t="e">
        <f t="shared" si="4"/>
        <v>#VALUE!</v>
      </c>
      <c r="AB23" t="str">
        <f t="shared" si="5"/>
        <v/>
      </c>
      <c r="AC23" t="e">
        <f t="shared" si="0"/>
        <v>#VALUE!</v>
      </c>
      <c r="AD23" s="6"/>
      <c r="BJ23" s="39"/>
      <c r="BM23" s="39"/>
      <c r="BO23" s="19"/>
      <c r="BQ23" s="17"/>
    </row>
    <row r="24" spans="1:69" x14ac:dyDescent="0.2">
      <c r="A24" t="str">
        <f t="shared" si="3"/>
        <v/>
      </c>
      <c r="E24" s="4"/>
      <c r="F24" s="44"/>
      <c r="G24" s="4"/>
      <c r="H24" s="47"/>
      <c r="J24" s="45" t="str">
        <f t="shared" si="41"/>
        <v/>
      </c>
      <c r="N24" t="str">
        <f t="shared" si="43"/>
        <v/>
      </c>
      <c r="Q24" t="str">
        <f t="shared" si="42"/>
        <v/>
      </c>
      <c r="S24" t="str">
        <f>IF(A24=1,MAX(S$2:S23)+1,IF(OR(I24&lt;&gt;"",A24="x"),S23,""))</f>
        <v/>
      </c>
      <c r="T24" t="str">
        <f>IF(D24=1,MAX($T$2:$T23)+1,IF(S24=$S23,$S23,IF($D24="x",T23,IF($D23="x","",""))))</f>
        <v/>
      </c>
      <c r="U24" t="str">
        <f>IF(B24=1,MAX($U$2:$U23)+1,IF(AND($T24&lt;&gt;"",$T24=$T23),$U23,IF(B24="x",U23,"")))</f>
        <v/>
      </c>
      <c r="V24" t="str">
        <f>IF(C24=1,MAX($V$2:$V23)+1,IF(AND($T24&lt;&gt;"",$T24=$T23),$U23,IF(C24="x",V23,"")))</f>
        <v/>
      </c>
      <c r="W24" t="str" cm="1">
        <f t="array" ref="W24">IFERROR(_xlfn._xlws.FILTER(game_rosters!AB:AB,(game_rosters!J:J=events!X24)*(K24&lt;&gt;"")),"")</f>
        <v/>
      </c>
      <c r="X24" t="str" cm="1">
        <f t="array" ref="X24">IF(S24="","",IF($I24&lt;&gt;"",$I24,INDEX($I$2:$I23,ROW()-COUNTIFS($T$2:$T23,"="&amp;$T24,$S$2:$S23,"&lt;&gt;"&amp;$S24)-1)))</f>
        <v/>
      </c>
      <c r="Y24" t="b">
        <f>IF(X24&lt;&gt;"",VLOOKUP(X24,game_rosters!$C$43:$E$64,3,FALSE))</f>
        <v>0</v>
      </c>
      <c r="Z24" t="e" cm="1" vm="1">
        <f t="array" aca="1" ref="Z24" ca="1">IFERROR(IF(_xlfn._xlws.FILTER(game_rosters!$J:$J,(game_rosters!$G:$G=events!$AN24)*(game_rosters!$J:$J=events!$X24))&gt;0,1,""),"")</f>
        <v>#VALUE!</v>
      </c>
      <c r="AA24" t="e">
        <f t="shared" si="4"/>
        <v>#VALUE!</v>
      </c>
      <c r="AB24" t="str">
        <f t="shared" si="5"/>
        <v/>
      </c>
      <c r="AC24" t="e">
        <f t="shared" si="0"/>
        <v>#VALUE!</v>
      </c>
      <c r="AD24" s="6"/>
      <c r="BJ24" s="39"/>
      <c r="BM24" s="39"/>
      <c r="BO24" s="19"/>
      <c r="BQ24" s="17"/>
    </row>
    <row r="25" spans="1:69" x14ac:dyDescent="0.2">
      <c r="A25" t="str">
        <f t="shared" si="3"/>
        <v/>
      </c>
      <c r="E25" s="4"/>
      <c r="F25" s="44"/>
      <c r="G25" s="4"/>
      <c r="H25" s="47"/>
      <c r="J25" s="45" t="str">
        <f t="shared" si="41"/>
        <v/>
      </c>
      <c r="N25" t="str">
        <f t="shared" si="43"/>
        <v/>
      </c>
      <c r="Q25" t="str">
        <f t="shared" si="42"/>
        <v/>
      </c>
      <c r="S25" t="str">
        <f>IF(A25=1,MAX(S$2:S24)+1,IF(OR(I25&lt;&gt;"",A25="x"),S24,""))</f>
        <v/>
      </c>
      <c r="T25" t="str">
        <f>IF(D25=1,MAX($T$2:$T24)+1,IF(S25=$S24,$S24,IF($D25="x",T24,IF($D24="x","",""))))</f>
        <v/>
      </c>
      <c r="U25" t="str">
        <f>IF(B25=1,MAX($U$2:$U24)+1,IF(AND($T25&lt;&gt;"",$T25=$T24),$U24,IF(B25="x",U24,"")))</f>
        <v/>
      </c>
      <c r="V25" t="str">
        <f>IF(C25=1,MAX($V$2:$V24)+1,IF(AND($T25&lt;&gt;"",$T25=$T24),$U24,IF(C25="x",V24,"")))</f>
        <v/>
      </c>
      <c r="W25" t="str" cm="1">
        <f t="array" ref="W25">IFERROR(_xlfn._xlws.FILTER(game_rosters!AB:AB,(game_rosters!J:J=events!X25)*(K25&lt;&gt;"")),"")</f>
        <v/>
      </c>
      <c r="X25" t="str" cm="1">
        <f t="array" ref="X25">IF(S25="","",IF($I25&lt;&gt;"",$I25,INDEX($I$2:$I24,ROW()-COUNTIFS($T$2:$T24,"="&amp;$T25,$S$2:$S24,"&lt;&gt;"&amp;$S25)-1)))</f>
        <v/>
      </c>
      <c r="Y25" t="b">
        <f>IF(X25&lt;&gt;"",VLOOKUP(X25,game_rosters!$C$43:$E$64,3,FALSE))</f>
        <v>0</v>
      </c>
      <c r="Z25" t="e" cm="1" vm="1">
        <f t="array" aca="1" ref="Z25" ca="1">IFERROR(IF(_xlfn._xlws.FILTER(game_rosters!$J:$J,(game_rosters!$G:$G=events!$AN25)*(game_rosters!$J:$J=events!$X25))&gt;0,1,""),"")</f>
        <v>#VALUE!</v>
      </c>
      <c r="AA25" t="e">
        <f t="shared" si="4"/>
        <v>#VALUE!</v>
      </c>
      <c r="AB25" t="str">
        <f t="shared" si="5"/>
        <v/>
      </c>
      <c r="AC25" t="e">
        <f t="shared" si="0"/>
        <v>#VALUE!</v>
      </c>
      <c r="AD25" s="6"/>
      <c r="BJ25" s="39"/>
      <c r="BM25" s="39"/>
      <c r="BO25" s="19"/>
      <c r="BQ25" s="17"/>
    </row>
    <row r="26" spans="1:69" x14ac:dyDescent="0.2">
      <c r="A26" t="str">
        <f t="shared" si="3"/>
        <v/>
      </c>
      <c r="E26" s="4"/>
      <c r="F26" s="44"/>
      <c r="G26" s="4"/>
      <c r="H26" s="47"/>
      <c r="J26" s="45" t="str">
        <f t="shared" si="41"/>
        <v/>
      </c>
      <c r="N26" t="str">
        <f t="shared" si="43"/>
        <v/>
      </c>
      <c r="Q26" t="str">
        <f t="shared" si="42"/>
        <v/>
      </c>
      <c r="S26" t="str">
        <f>IF(A26=1,MAX(S$2:S25)+1,IF(OR(I26&lt;&gt;"",A26="x"),S25,""))</f>
        <v/>
      </c>
      <c r="T26" t="str">
        <f>IF(D26=1,MAX($T$2:$T25)+1,IF(S26=$S25,$S25,IF($D26="x",T25,IF($D25="x","",""))))</f>
        <v/>
      </c>
      <c r="U26" t="str">
        <f>IF(B26=1,MAX($U$2:$U25)+1,IF(AND($T26&lt;&gt;"",$T26=$T25),$U25,IF(B26="x",U25,"")))</f>
        <v/>
      </c>
      <c r="V26" t="str">
        <f>IF(C26=1,MAX($V$2:$V25)+1,IF(AND($T26&lt;&gt;"",$T26=$T25),$U25,IF(C26="x",V25,"")))</f>
        <v/>
      </c>
      <c r="W26" t="str" cm="1">
        <f t="array" ref="W26">IFERROR(_xlfn._xlws.FILTER(game_rosters!AB:AB,(game_rosters!J:J=events!X26)*(K26&lt;&gt;"")),"")</f>
        <v/>
      </c>
      <c r="X26" t="str" cm="1">
        <f t="array" ref="X26">IF(S26="","",IF($I26&lt;&gt;"",$I26,INDEX($I$2:$I25,ROW()-COUNTIFS($T$2:$T25,"="&amp;$T26,$S$2:$S25,"&lt;&gt;"&amp;$S26)-1)))</f>
        <v/>
      </c>
      <c r="Y26" t="b">
        <f>IF(X26&lt;&gt;"",VLOOKUP(X26,game_rosters!$C$43:$E$64,3,FALSE))</f>
        <v>0</v>
      </c>
      <c r="Z26" t="e" cm="1" vm="1">
        <f t="array" aca="1" ref="Z26" ca="1">IFERROR(IF(_xlfn._xlws.FILTER(game_rosters!$J:$J,(game_rosters!$G:$G=events!$AN26)*(game_rosters!$J:$J=events!$X26))&gt;0,1,""),"")</f>
        <v>#VALUE!</v>
      </c>
      <c r="AA26" t="e">
        <f t="shared" si="4"/>
        <v>#VALUE!</v>
      </c>
      <c r="AB26" t="str">
        <f t="shared" si="5"/>
        <v/>
      </c>
      <c r="AC26" t="e">
        <f t="shared" si="0"/>
        <v>#VALUE!</v>
      </c>
      <c r="AD26" s="6"/>
      <c r="BJ26" s="39"/>
      <c r="BM26" s="39"/>
      <c r="BO26" s="19"/>
      <c r="BQ26" s="17"/>
    </row>
    <row r="27" spans="1:69" x14ac:dyDescent="0.2">
      <c r="A27" t="str">
        <f t="shared" si="3"/>
        <v/>
      </c>
      <c r="E27" s="4"/>
      <c r="F27" s="44"/>
      <c r="G27" s="4"/>
      <c r="H27" s="47"/>
      <c r="J27" s="45" t="str">
        <f t="shared" si="41"/>
        <v/>
      </c>
      <c r="N27" t="str">
        <f t="shared" si="43"/>
        <v/>
      </c>
      <c r="Q27" t="str">
        <f t="shared" si="42"/>
        <v/>
      </c>
      <c r="S27" t="str">
        <f>IF(A27=1,MAX(S$2:S26)+1,IF(OR(I27&lt;&gt;"",A27="x"),S26,""))</f>
        <v/>
      </c>
      <c r="T27" t="str">
        <f>IF(D27=1,MAX($T$2:$T26)+1,IF(S27=$S26,$S26,IF($D27="x",T26,IF($D26="x","",""))))</f>
        <v/>
      </c>
      <c r="U27" t="str">
        <f>IF(B27=1,MAX($U$2:$U26)+1,IF(AND($T27&lt;&gt;"",$T27=$T26),$U26,IF(B27="x",U26,"")))</f>
        <v/>
      </c>
      <c r="V27" t="str">
        <f>IF(C27=1,MAX($V$2:$V26)+1,IF(AND($T27&lt;&gt;"",$T27=$T26),$U26,IF(C27="x",V26,"")))</f>
        <v/>
      </c>
      <c r="W27" t="str" cm="1">
        <f t="array" ref="W27">IFERROR(_xlfn._xlws.FILTER(game_rosters!AB:AB,(game_rosters!J:J=events!X27)*(K27&lt;&gt;"")),"")</f>
        <v/>
      </c>
      <c r="X27" t="str" cm="1">
        <f t="array" ref="X27">IF(S27="","",IF($I27&lt;&gt;"",$I27,INDEX($I$2:$I26,ROW()-COUNTIFS($T$2:$T26,"="&amp;$T27,$S$2:$S26,"&lt;&gt;"&amp;$S27)-1)))</f>
        <v/>
      </c>
      <c r="Y27" t="b">
        <f>IF(X27&lt;&gt;"",VLOOKUP(X27,game_rosters!$C$43:$E$64,3,FALSE))</f>
        <v>0</v>
      </c>
      <c r="Z27" t="e" cm="1" vm="1">
        <f t="array" aca="1" ref="Z27" ca="1">IFERROR(IF(_xlfn._xlws.FILTER(game_rosters!$J:$J,(game_rosters!$G:$G=events!$AN27)*(game_rosters!$J:$J=events!$X27))&gt;0,1,""),"")</f>
        <v>#VALUE!</v>
      </c>
      <c r="AA27" t="e">
        <f t="shared" si="4"/>
        <v>#VALUE!</v>
      </c>
      <c r="AB27" t="str">
        <f t="shared" si="5"/>
        <v/>
      </c>
      <c r="AC27" t="e">
        <f t="shared" si="0"/>
        <v>#VALUE!</v>
      </c>
      <c r="AD27" s="6"/>
      <c r="BJ27" s="39"/>
      <c r="BM27" s="39"/>
      <c r="BO27" s="19"/>
      <c r="BQ27" s="17"/>
    </row>
    <row r="28" spans="1:69" x14ac:dyDescent="0.2">
      <c r="A28" t="str">
        <f t="shared" si="3"/>
        <v/>
      </c>
      <c r="E28" s="4"/>
      <c r="F28" s="44"/>
      <c r="G28" s="4"/>
      <c r="H28" s="47"/>
      <c r="J28" s="45" t="str">
        <f t="shared" si="41"/>
        <v/>
      </c>
      <c r="N28" t="str">
        <f t="shared" si="43"/>
        <v/>
      </c>
      <c r="Q28" t="str">
        <f t="shared" si="42"/>
        <v/>
      </c>
      <c r="S28" t="str">
        <f>IF(A28=1,MAX(S$2:S27)+1,IF(OR(I28&lt;&gt;"",A28="x"),S27,""))</f>
        <v/>
      </c>
      <c r="T28" t="str">
        <f>IF(D28=1,MAX($T$2:$T27)+1,IF(S28=$S27,$S27,IF($D28="x",T27,IF($D27="x","",""))))</f>
        <v/>
      </c>
      <c r="U28" t="str">
        <f>IF(B28=1,MAX($U$2:$U27)+1,IF(AND($T28&lt;&gt;"",$T28=$T27),$U27,IF(B28="x",U27,"")))</f>
        <v/>
      </c>
      <c r="V28" t="str">
        <f>IF(C28=1,MAX($V$2:$V27)+1,IF(AND($T28&lt;&gt;"",$T28=$T27),$U27,IF(C28="x",V27,"")))</f>
        <v/>
      </c>
      <c r="W28" t="str" cm="1">
        <f t="array" ref="W28">IFERROR(_xlfn._xlws.FILTER(game_rosters!AB:AB,(game_rosters!J:J=events!X28)*(K28&lt;&gt;"")),"")</f>
        <v/>
      </c>
      <c r="X28" t="str" cm="1">
        <f t="array" ref="X28">IF(S28="","",IF($I28&lt;&gt;"",$I28,INDEX($I$2:$I27,ROW()-COUNTIFS($T$2:$T27,"="&amp;$T28,$S$2:$S27,"&lt;&gt;"&amp;$S28)-1)))</f>
        <v/>
      </c>
      <c r="Y28" t="b">
        <f>IF(X28&lt;&gt;"",VLOOKUP(X28,game_rosters!$C$43:$E$64,3,FALSE))</f>
        <v>0</v>
      </c>
      <c r="Z28" t="e" cm="1" vm="1">
        <f t="array" aca="1" ref="Z28" ca="1">IFERROR(IF(_xlfn._xlws.FILTER(game_rosters!$J:$J,(game_rosters!$G:$G=events!$AN28)*(game_rosters!$J:$J=events!$X28))&gt;0,1,""),"")</f>
        <v>#VALUE!</v>
      </c>
      <c r="AA28" t="e">
        <f t="shared" si="4"/>
        <v>#VALUE!</v>
      </c>
      <c r="AB28" t="str">
        <f t="shared" si="5"/>
        <v/>
      </c>
      <c r="AC28" t="e">
        <f t="shared" si="0"/>
        <v>#VALUE!</v>
      </c>
      <c r="AD28" s="6"/>
      <c r="BJ28" s="39"/>
      <c r="BM28" s="39"/>
      <c r="BO28" s="19"/>
      <c r="BQ28" s="17"/>
    </row>
    <row r="29" spans="1:69" x14ac:dyDescent="0.2">
      <c r="A29" t="str">
        <f t="shared" si="3"/>
        <v/>
      </c>
      <c r="E29" s="4"/>
      <c r="F29" s="44"/>
      <c r="G29" s="4"/>
      <c r="H29" s="47"/>
      <c r="J29" s="45" t="str">
        <f t="shared" si="41"/>
        <v/>
      </c>
      <c r="N29" t="str">
        <f t="shared" si="43"/>
        <v/>
      </c>
      <c r="Q29" t="str">
        <f t="shared" si="42"/>
        <v/>
      </c>
      <c r="S29" t="str">
        <f>IF(A29=1,MAX(S$2:S28)+1,IF(OR(I29&lt;&gt;"",A29="x"),S28,""))</f>
        <v/>
      </c>
      <c r="T29" t="str">
        <f>IF(D29=1,MAX($T$2:$T28)+1,IF(S29=$S28,$S28,IF($D29="x",T28,IF($D28="x","",""))))</f>
        <v/>
      </c>
      <c r="U29" t="str">
        <f>IF(B29=1,MAX($U$2:$U28)+1,IF(AND($T29&lt;&gt;"",$T29=$T28),$U28,IF(B29="x",U28,"")))</f>
        <v/>
      </c>
      <c r="V29" t="str">
        <f>IF(C29=1,MAX($V$2:$V28)+1,IF(AND($T29&lt;&gt;"",$T29=$T28),$U28,IF(C29="x",V28,"")))</f>
        <v/>
      </c>
      <c r="W29" t="str" cm="1">
        <f t="array" ref="W29">IFERROR(_xlfn._xlws.FILTER(game_rosters!AB:AB,(game_rosters!J:J=events!X29)*(K29&lt;&gt;"")),"")</f>
        <v/>
      </c>
      <c r="X29" t="str" cm="1">
        <f t="array" ref="X29">IF(S29="","",IF($I29&lt;&gt;"",$I29,INDEX($I$2:$I28,ROW()-COUNTIFS($T$2:$T28,"="&amp;$T29,$S$2:$S28,"&lt;&gt;"&amp;$S29)-1)))</f>
        <v/>
      </c>
      <c r="Y29" t="b">
        <f>IF(X29&lt;&gt;"",VLOOKUP(X29,game_rosters!$C$43:$E$64,3,FALSE))</f>
        <v>0</v>
      </c>
      <c r="Z29" t="e" cm="1" vm="1">
        <f t="array" aca="1" ref="Z29" ca="1">IFERROR(IF(_xlfn._xlws.FILTER(game_rosters!$J:$J,(game_rosters!$G:$G=events!$AN29)*(game_rosters!$J:$J=events!$X29))&gt;0,1,""),"")</f>
        <v>#VALUE!</v>
      </c>
      <c r="AA29" t="e">
        <f t="shared" si="4"/>
        <v>#VALUE!</v>
      </c>
      <c r="AB29" t="str">
        <f t="shared" si="5"/>
        <v/>
      </c>
      <c r="AC29" t="e">
        <f t="shared" si="0"/>
        <v>#VALUE!</v>
      </c>
      <c r="AD29" s="6"/>
      <c r="BJ29" s="39"/>
      <c r="BM29" s="39"/>
      <c r="BO29" s="19"/>
      <c r="BQ29" s="17"/>
    </row>
    <row r="30" spans="1:69" x14ac:dyDescent="0.2">
      <c r="A30" t="str">
        <f t="shared" si="3"/>
        <v/>
      </c>
      <c r="E30" s="4"/>
      <c r="F30" s="44"/>
      <c r="G30" s="4"/>
      <c r="H30" s="47"/>
      <c r="J30" s="45" t="str">
        <f t="shared" si="41"/>
        <v/>
      </c>
      <c r="N30" t="str">
        <f t="shared" si="43"/>
        <v/>
      </c>
      <c r="Q30" t="str">
        <f t="shared" si="42"/>
        <v/>
      </c>
      <c r="S30" t="str">
        <f>IF(A30=1,MAX(S$2:S29)+1,IF(OR(I30&lt;&gt;"",A30="x"),S29,""))</f>
        <v/>
      </c>
      <c r="T30" t="str">
        <f>IF(D30=1,MAX($T$2:$T29)+1,IF(S30=$S29,$S29,IF($D30="x",T29,IF($D29="x","",""))))</f>
        <v/>
      </c>
      <c r="U30" t="str">
        <f>IF(B30=1,MAX($U$2:$U29)+1,IF(AND($T30&lt;&gt;"",$T30=$T29),$U29,IF(B30="x",U29,"")))</f>
        <v/>
      </c>
      <c r="V30" t="str">
        <f>IF(C30=1,MAX($V$2:$V29)+1,IF(AND($T30&lt;&gt;"",$T30=$T29),$U29,IF(C30="x",V29,"")))</f>
        <v/>
      </c>
      <c r="W30" t="str" cm="1">
        <f t="array" ref="W30">IFERROR(_xlfn._xlws.FILTER(game_rosters!AB:AB,(game_rosters!J:J=events!X30)*(K30&lt;&gt;"")),"")</f>
        <v/>
      </c>
      <c r="X30" t="str" cm="1">
        <f t="array" ref="X30">IF(S30="","",IF($I30&lt;&gt;"",$I30,INDEX($I$2:$I29,ROW()-COUNTIFS($T$2:$T29,"="&amp;$T30,$S$2:$S29,"&lt;&gt;"&amp;$S30)-1)))</f>
        <v/>
      </c>
      <c r="Y30" t="b">
        <f>IF(X30&lt;&gt;"",VLOOKUP(X30,game_rosters!$C$43:$E$64,3,FALSE))</f>
        <v>0</v>
      </c>
      <c r="Z30" t="e" cm="1" vm="1">
        <f t="array" aca="1" ref="Z30" ca="1">IFERROR(IF(_xlfn._xlws.FILTER(game_rosters!$J:$J,(game_rosters!$G:$G=events!$AN30)*(game_rosters!$J:$J=events!$X30))&gt;0,1,""),"")</f>
        <v>#VALUE!</v>
      </c>
      <c r="AA30" t="e">
        <f t="shared" si="4"/>
        <v>#VALUE!</v>
      </c>
      <c r="AB30" t="str">
        <f t="shared" si="5"/>
        <v/>
      </c>
      <c r="AC30" t="e">
        <f t="shared" si="0"/>
        <v>#VALUE!</v>
      </c>
      <c r="AD30" s="6"/>
      <c r="BJ30" s="39"/>
      <c r="BM30" s="39"/>
      <c r="BO30" s="19"/>
      <c r="BQ30" s="17"/>
    </row>
    <row r="31" spans="1:69" x14ac:dyDescent="0.2">
      <c r="A31" t="str">
        <f t="shared" si="3"/>
        <v/>
      </c>
      <c r="E31" s="4"/>
      <c r="F31" s="44"/>
      <c r="G31" s="4"/>
      <c r="H31" s="47"/>
      <c r="J31" s="45" t="str">
        <f t="shared" si="41"/>
        <v/>
      </c>
      <c r="N31" t="str">
        <f t="shared" si="43"/>
        <v/>
      </c>
      <c r="Q31" t="str">
        <f t="shared" si="42"/>
        <v/>
      </c>
      <c r="S31" t="str">
        <f>IF(A31=1,MAX(S$2:S30)+1,IF(OR(I31&lt;&gt;"",A31="x"),S30,""))</f>
        <v/>
      </c>
      <c r="T31" t="str">
        <f>IF(D31=1,MAX($T$2:$T30)+1,IF(S31=$S30,$S30,IF($D31="x",T30,IF($D30="x","",""))))</f>
        <v/>
      </c>
      <c r="U31" t="str">
        <f>IF(B31=1,MAX($U$2:$U30)+1,IF(AND($T31&lt;&gt;"",$T31=$T30),$U30,IF(B31="x",U30,"")))</f>
        <v/>
      </c>
      <c r="V31" t="str">
        <f>IF(C31=1,MAX($V$2:$V30)+1,IF(AND($T31&lt;&gt;"",$T31=$T30),$U30,IF(C31="x",V30,"")))</f>
        <v/>
      </c>
      <c r="W31" t="str" cm="1">
        <f t="array" ref="W31">IFERROR(_xlfn._xlws.FILTER(game_rosters!AB:AB,(game_rosters!J:J=events!X31)*(K31&lt;&gt;"")),"")</f>
        <v/>
      </c>
      <c r="X31" t="str" cm="1">
        <f t="array" ref="X31">IF(S31="","",IF($I31&lt;&gt;"",$I31,INDEX($I$2:$I30,ROW()-COUNTIFS($T$2:$T30,"="&amp;$T31,$S$2:$S30,"&lt;&gt;"&amp;$S31)-1)))</f>
        <v/>
      </c>
      <c r="Y31" t="b">
        <f>IF(X31&lt;&gt;"",VLOOKUP(X31,game_rosters!$C$43:$E$64,3,FALSE))</f>
        <v>0</v>
      </c>
      <c r="Z31" t="e" cm="1" vm="1">
        <f t="array" aca="1" ref="Z31" ca="1">IFERROR(IF(_xlfn._xlws.FILTER(game_rosters!$J:$J,(game_rosters!$G:$G=events!$AN31)*(game_rosters!$J:$J=events!$X31))&gt;0,1,""),"")</f>
        <v>#VALUE!</v>
      </c>
      <c r="AA31" t="e">
        <f t="shared" si="4"/>
        <v>#VALUE!</v>
      </c>
      <c r="AB31" t="str">
        <f t="shared" si="5"/>
        <v/>
      </c>
      <c r="AC31" t="e">
        <f t="shared" si="0"/>
        <v>#VALUE!</v>
      </c>
      <c r="AD31" s="6"/>
      <c r="BJ31" s="39"/>
      <c r="BM31" s="39"/>
      <c r="BO31" s="19"/>
      <c r="BQ31" s="17"/>
    </row>
    <row r="32" spans="1:69" x14ac:dyDescent="0.2">
      <c r="A32" t="str">
        <f t="shared" si="3"/>
        <v/>
      </c>
      <c r="E32" s="4"/>
      <c r="F32" s="44"/>
      <c r="G32" s="4"/>
      <c r="H32" s="47"/>
      <c r="J32" s="45" t="str">
        <f t="shared" si="41"/>
        <v/>
      </c>
      <c r="N32" t="str">
        <f t="shared" si="43"/>
        <v/>
      </c>
      <c r="Q32" t="str">
        <f t="shared" si="42"/>
        <v/>
      </c>
      <c r="S32" t="str">
        <f>IF(A32=1,MAX(S$2:S31)+1,IF(OR(I32&lt;&gt;"",A32="x"),S31,""))</f>
        <v/>
      </c>
      <c r="T32" t="str">
        <f>IF(D32=1,MAX($T$2:$T31)+1,IF(S32=$S31,$S31,IF($D32="x",T31,IF($D31="x","",""))))</f>
        <v/>
      </c>
      <c r="U32" t="str">
        <f>IF(B32=1,MAX($U$2:$U31)+1,IF(AND($T32&lt;&gt;"",$T32=$T31),$U31,IF(B32="x",U31,"")))</f>
        <v/>
      </c>
      <c r="V32" t="str">
        <f>IF(C32=1,MAX($V$2:$V31)+1,IF(AND($T32&lt;&gt;"",$T32=$T31),$U31,IF(C32="x",V31,"")))</f>
        <v/>
      </c>
      <c r="W32" t="str" cm="1">
        <f t="array" ref="W32">IFERROR(_xlfn._xlws.FILTER(game_rosters!AB:AB,(game_rosters!J:J=events!X32)*(K32&lt;&gt;"")),"")</f>
        <v/>
      </c>
      <c r="X32" t="str" cm="1">
        <f t="array" ref="X32">IF(S32="","",IF($I32&lt;&gt;"",$I32,INDEX($I$2:$I31,ROW()-COUNTIFS($T$2:$T31,"="&amp;$T32,$S$2:$S31,"&lt;&gt;"&amp;$S32)-1)))</f>
        <v/>
      </c>
      <c r="Y32" t="b">
        <f>IF(X32&lt;&gt;"",VLOOKUP(X32,game_rosters!$C$43:$E$64,3,FALSE))</f>
        <v>0</v>
      </c>
      <c r="Z32" t="e" cm="1" vm="1">
        <f t="array" aca="1" ref="Z32" ca="1">IFERROR(IF(_xlfn._xlws.FILTER(game_rosters!$J:$J,(game_rosters!$G:$G=events!$AN32)*(game_rosters!$J:$J=events!$X32))&gt;0,1,""),"")</f>
        <v>#VALUE!</v>
      </c>
      <c r="AA32" t="e">
        <f t="shared" si="4"/>
        <v>#VALUE!</v>
      </c>
      <c r="AB32" t="str">
        <f t="shared" si="5"/>
        <v/>
      </c>
      <c r="AC32" t="e">
        <f t="shared" si="0"/>
        <v>#VALUE!</v>
      </c>
      <c r="AD32" s="6"/>
      <c r="BJ32" s="39"/>
      <c r="BM32" s="39"/>
      <c r="BO32" s="19"/>
      <c r="BQ32" s="17"/>
    </row>
    <row r="33" spans="1:69" x14ac:dyDescent="0.2">
      <c r="A33" t="str">
        <f t="shared" si="3"/>
        <v/>
      </c>
      <c r="E33" s="4"/>
      <c r="F33" s="44"/>
      <c r="G33" s="4"/>
      <c r="H33" s="47"/>
      <c r="J33" s="45" t="str">
        <f t="shared" si="41"/>
        <v/>
      </c>
      <c r="N33" t="str">
        <f t="shared" si="43"/>
        <v/>
      </c>
      <c r="Q33" t="str">
        <f t="shared" si="42"/>
        <v/>
      </c>
      <c r="S33" t="str">
        <f>IF(A33=1,MAX(S$2:S32)+1,IF(OR(I33&lt;&gt;"",A33="x"),S32,""))</f>
        <v/>
      </c>
      <c r="T33" t="str">
        <f>IF(D33=1,MAX($T$2:$T32)+1,IF(S33=$S32,$S32,IF($D33="x",T32,IF($D32="x","",""))))</f>
        <v/>
      </c>
      <c r="U33" t="str">
        <f>IF(B33=1,MAX($U$2:$U32)+1,IF(AND($T33&lt;&gt;"",$T33=$T32),$U32,IF(B33="x",U32,"")))</f>
        <v/>
      </c>
      <c r="V33" t="str">
        <f>IF(C33=1,MAX($V$2:$V32)+1,IF(AND($T33&lt;&gt;"",$T33=$T32),$U32,IF(C33="x",V32,"")))</f>
        <v/>
      </c>
      <c r="W33" t="str" cm="1">
        <f t="array" ref="W33">IFERROR(_xlfn._xlws.FILTER(game_rosters!AB:AB,(game_rosters!J:J=events!X33)*(K33&lt;&gt;"")),"")</f>
        <v/>
      </c>
      <c r="X33" t="str" cm="1">
        <f t="array" ref="X33">IF(S33="","",IF($I33&lt;&gt;"",$I33,INDEX($I$2:$I32,ROW()-COUNTIFS($T$2:$T32,"="&amp;$T33,$S$2:$S32,"&lt;&gt;"&amp;$S33)-1)))</f>
        <v/>
      </c>
      <c r="Y33" t="b">
        <f>IF(X33&lt;&gt;"",VLOOKUP(X33,game_rosters!$C$43:$E$64,3,FALSE))</f>
        <v>0</v>
      </c>
      <c r="Z33" t="e" cm="1" vm="1">
        <f t="array" aca="1" ref="Z33" ca="1">IFERROR(IF(_xlfn._xlws.FILTER(game_rosters!$J:$J,(game_rosters!$G:$G=events!$AN33)*(game_rosters!$J:$J=events!$X33))&gt;0,1,""),"")</f>
        <v>#VALUE!</v>
      </c>
      <c r="AA33" t="e">
        <f t="shared" si="4"/>
        <v>#VALUE!</v>
      </c>
      <c r="AB33" t="str">
        <f t="shared" si="5"/>
        <v/>
      </c>
      <c r="AC33" t="e">
        <f t="shared" si="0"/>
        <v>#VALUE!</v>
      </c>
      <c r="AD33" s="6"/>
      <c r="BJ33" s="39"/>
      <c r="BM33" s="39"/>
      <c r="BO33" s="19"/>
      <c r="BQ33" s="17"/>
    </row>
    <row r="34" spans="1:69" x14ac:dyDescent="0.2">
      <c r="A34" t="str">
        <f t="shared" si="3"/>
        <v/>
      </c>
      <c r="E34" s="4"/>
      <c r="F34" s="44"/>
      <c r="G34" s="4"/>
      <c r="H34" s="47"/>
      <c r="J34" s="45" t="str">
        <f t="shared" si="41"/>
        <v/>
      </c>
      <c r="N34" t="str">
        <f t="shared" si="43"/>
        <v/>
      </c>
      <c r="Q34" t="str">
        <f t="shared" si="42"/>
        <v/>
      </c>
      <c r="S34" t="str">
        <f>IF(A34=1,MAX(S$2:S33)+1,IF(OR(I34&lt;&gt;"",A34="x"),S33,""))</f>
        <v/>
      </c>
      <c r="T34" t="str">
        <f>IF(D34=1,MAX($T$2:$T33)+1,IF(S34=$S33,$S33,IF($D34="x",T33,IF($D33="x","",""))))</f>
        <v/>
      </c>
      <c r="U34" t="str">
        <f>IF(B34=1,MAX($U$2:$U33)+1,IF(AND($T34&lt;&gt;"",$T34=$T33),$U33,IF(B34="x",U33,"")))</f>
        <v/>
      </c>
      <c r="V34" t="str">
        <f>IF(C34=1,MAX($V$2:$V33)+1,IF(AND($T34&lt;&gt;"",$T34=$T33),$U33,IF(C34="x",V33,"")))</f>
        <v/>
      </c>
      <c r="W34" t="str" cm="1">
        <f t="array" ref="W34">IFERROR(_xlfn._xlws.FILTER(game_rosters!AB:AB,(game_rosters!J:J=events!X34)*(K34&lt;&gt;"")),"")</f>
        <v/>
      </c>
      <c r="X34" t="str" cm="1">
        <f t="array" ref="X34">IF(S34="","",IF($I34&lt;&gt;"",$I34,INDEX($I$2:$I33,ROW()-COUNTIFS($T$2:$T33,"="&amp;$T34,$S$2:$S33,"&lt;&gt;"&amp;$S34)-1)))</f>
        <v/>
      </c>
      <c r="Y34" t="b">
        <f>IF(X34&lt;&gt;"",VLOOKUP(X34,game_rosters!$C$43:$E$64,3,FALSE))</f>
        <v>0</v>
      </c>
      <c r="Z34" t="e" cm="1" vm="1">
        <f t="array" aca="1" ref="Z34" ca="1">IFERROR(IF(_xlfn._xlws.FILTER(game_rosters!$J:$J,(game_rosters!$G:$G=events!$AN34)*(game_rosters!$J:$J=events!$X34))&gt;0,1,""),"")</f>
        <v>#VALUE!</v>
      </c>
      <c r="AA34" t="e">
        <f t="shared" si="4"/>
        <v>#VALUE!</v>
      </c>
      <c r="AB34" t="str">
        <f t="shared" si="5"/>
        <v/>
      </c>
      <c r="AC34" t="e">
        <f t="shared" si="0"/>
        <v>#VALUE!</v>
      </c>
      <c r="AD34" s="6"/>
      <c r="BJ34" s="39"/>
      <c r="BM34" s="39"/>
      <c r="BO34" s="19"/>
      <c r="BQ34" s="17"/>
    </row>
    <row r="35" spans="1:69" x14ac:dyDescent="0.2">
      <c r="A35" t="str">
        <f t="shared" si="3"/>
        <v/>
      </c>
      <c r="E35" s="4"/>
      <c r="F35" s="44"/>
      <c r="G35" s="4"/>
      <c r="H35" s="47"/>
      <c r="J35" s="45" t="str">
        <f t="shared" si="41"/>
        <v/>
      </c>
      <c r="N35" t="str">
        <f t="shared" si="43"/>
        <v/>
      </c>
      <c r="Q35" t="str">
        <f t="shared" si="42"/>
        <v/>
      </c>
      <c r="S35" t="str">
        <f>IF(A35=1,MAX(S$2:S34)+1,IF(OR(I35&lt;&gt;"",A35="x"),S34,""))</f>
        <v/>
      </c>
      <c r="T35" t="str">
        <f>IF(D35=1,MAX($T$2:$T34)+1,IF(S35=$S34,$S34,IF($D35="x",T34,IF($D34="x","",""))))</f>
        <v/>
      </c>
      <c r="U35" t="str">
        <f>IF(B35=1,MAX($U$2:$U34)+1,IF(AND($T35&lt;&gt;"",$T35=$T34),$U34,IF(B35="x",U34,"")))</f>
        <v/>
      </c>
      <c r="V35" t="str">
        <f>IF(C35=1,MAX($V$2:$V34)+1,IF(AND($T35&lt;&gt;"",$T35=$T34),$U34,IF(C35="x",V34,"")))</f>
        <v/>
      </c>
      <c r="W35" t="str" cm="1">
        <f t="array" ref="W35">IFERROR(_xlfn._xlws.FILTER(game_rosters!AB:AB,(game_rosters!J:J=events!X35)*(K35&lt;&gt;"")),"")</f>
        <v/>
      </c>
      <c r="X35" t="str" cm="1">
        <f t="array" ref="X35">IF(S35="","",IF($I35&lt;&gt;"",$I35,INDEX($I$2:$I34,ROW()-COUNTIFS($T$2:$T34,"="&amp;$T35,$S$2:$S34,"&lt;&gt;"&amp;$S35)-1)))</f>
        <v/>
      </c>
      <c r="Y35" t="b">
        <f>IF(X35&lt;&gt;"",VLOOKUP(X35,game_rosters!$C$43:$E$64,3,FALSE))</f>
        <v>0</v>
      </c>
      <c r="Z35" t="e" cm="1" vm="1">
        <f t="array" aca="1" ref="Z35" ca="1">IFERROR(IF(_xlfn._xlws.FILTER(game_rosters!$J:$J,(game_rosters!$G:$G=events!$AN35)*(game_rosters!$J:$J=events!$X35))&gt;0,1,""),"")</f>
        <v>#VALUE!</v>
      </c>
      <c r="AA35" t="e">
        <f t="shared" si="4"/>
        <v>#VALUE!</v>
      </c>
      <c r="AB35" t="str">
        <f t="shared" si="5"/>
        <v/>
      </c>
      <c r="AC35" t="e">
        <f t="shared" si="0"/>
        <v>#VALUE!</v>
      </c>
      <c r="AD35" s="6"/>
      <c r="BJ35" s="39"/>
      <c r="BM35" s="39"/>
      <c r="BO35" s="19"/>
      <c r="BQ35" s="17"/>
    </row>
    <row r="36" spans="1:69" x14ac:dyDescent="0.2">
      <c r="A36" t="str">
        <f t="shared" si="3"/>
        <v/>
      </c>
      <c r="E36" s="4"/>
      <c r="F36" s="44"/>
      <c r="G36" s="4"/>
      <c r="H36" s="47"/>
      <c r="J36" s="45" t="str">
        <f t="shared" si="41"/>
        <v/>
      </c>
      <c r="N36" t="str">
        <f t="shared" si="43"/>
        <v/>
      </c>
      <c r="Q36" t="str">
        <f t="shared" si="42"/>
        <v/>
      </c>
      <c r="S36" t="str">
        <f>IF(A36=1,MAX(S$2:S35)+1,IF(OR(I36&lt;&gt;"",A36="x"),S35,""))</f>
        <v/>
      </c>
      <c r="T36" t="str">
        <f>IF(D36=1,MAX($T$2:$T35)+1,IF(S36=$S35,$S35,IF($D36="x",T35,IF($D35="x","",""))))</f>
        <v/>
      </c>
      <c r="U36" t="str">
        <f>IF(B36=1,MAX($U$2:$U35)+1,IF(AND($T36&lt;&gt;"",$T36=$T35),$U35,IF(B36="x",U35,"")))</f>
        <v/>
      </c>
      <c r="V36" t="str">
        <f>IF(C36=1,MAX($V$2:$V35)+1,IF(AND($T36&lt;&gt;"",$T36=$T35),$U35,IF(C36="x",V35,"")))</f>
        <v/>
      </c>
      <c r="W36" t="str" cm="1">
        <f t="array" ref="W36">IFERROR(_xlfn._xlws.FILTER(game_rosters!AB:AB,(game_rosters!J:J=events!X36)*(K36&lt;&gt;"")),"")</f>
        <v/>
      </c>
      <c r="X36" t="str" cm="1">
        <f t="array" ref="X36">IF(S36="","",IF($I36&lt;&gt;"",$I36,INDEX($I$2:$I35,ROW()-COUNTIFS($T$2:$T35,"="&amp;$T36,$S$2:$S35,"&lt;&gt;"&amp;$S36)-1)))</f>
        <v/>
      </c>
      <c r="Y36" t="b">
        <f>IF(X36&lt;&gt;"",VLOOKUP(X36,game_rosters!$C$43:$E$64,3,FALSE))</f>
        <v>0</v>
      </c>
      <c r="Z36" t="e" cm="1" vm="1">
        <f t="array" aca="1" ref="Z36" ca="1">IFERROR(IF(_xlfn._xlws.FILTER(game_rosters!$J:$J,(game_rosters!$G:$G=events!$AN36)*(game_rosters!$J:$J=events!$X36))&gt;0,1,""),"")</f>
        <v>#VALUE!</v>
      </c>
      <c r="AA36" t="e">
        <f t="shared" si="4"/>
        <v>#VALUE!</v>
      </c>
      <c r="AB36" t="str">
        <f t="shared" si="5"/>
        <v/>
      </c>
      <c r="AC36" t="e">
        <f t="shared" si="0"/>
        <v>#VALUE!</v>
      </c>
      <c r="AD36" s="6"/>
      <c r="BJ36" s="39"/>
      <c r="BM36" s="39"/>
      <c r="BO36" s="19"/>
      <c r="BQ36" s="17"/>
    </row>
    <row r="37" spans="1:69" x14ac:dyDescent="0.2">
      <c r="A37" t="str">
        <f t="shared" si="3"/>
        <v/>
      </c>
      <c r="E37" s="4"/>
      <c r="F37" s="44"/>
      <c r="G37" s="4"/>
      <c r="H37" s="47"/>
      <c r="J37" s="45" t="str">
        <f t="shared" si="41"/>
        <v/>
      </c>
      <c r="N37" t="str">
        <f t="shared" si="43"/>
        <v/>
      </c>
      <c r="Q37" t="str">
        <f t="shared" si="42"/>
        <v/>
      </c>
      <c r="S37" t="str">
        <f>IF(A37=1,MAX(S$2:S36)+1,IF(OR(I37&lt;&gt;"",A37="x"),S36,""))</f>
        <v/>
      </c>
      <c r="T37" t="str">
        <f>IF(D37=1,MAX($T$2:$T36)+1,IF(S37=$S36,$S36,IF($D37="x",T36,IF($D36="x","",""))))</f>
        <v/>
      </c>
      <c r="U37" t="str">
        <f>IF(B37=1,MAX($U$2:$U36)+1,IF(AND($T37&lt;&gt;"",$T37=$T36),$U36,IF(B37="x",U36,"")))</f>
        <v/>
      </c>
      <c r="V37" t="str">
        <f>IF(C37=1,MAX($V$2:$V36)+1,IF(AND($T37&lt;&gt;"",$T37=$T36),$U36,IF(C37="x",V36,"")))</f>
        <v/>
      </c>
      <c r="W37" t="str" cm="1">
        <f t="array" ref="W37">IFERROR(_xlfn._xlws.FILTER(game_rosters!AB:AB,(game_rosters!J:J=events!X37)*(K37&lt;&gt;"")),"")</f>
        <v/>
      </c>
      <c r="X37" t="str" cm="1">
        <f t="array" ref="X37">IF(S37="","",IF($I37&lt;&gt;"",$I37,INDEX($I$2:$I36,ROW()-COUNTIFS($T$2:$T36,"="&amp;$T37,$S$2:$S36,"&lt;&gt;"&amp;$S37)-1)))</f>
        <v/>
      </c>
      <c r="Y37" t="b">
        <f>IF(X37&lt;&gt;"",VLOOKUP(X37,game_rosters!$C$43:$E$64,3,FALSE))</f>
        <v>0</v>
      </c>
      <c r="Z37" t="e" cm="1" vm="1">
        <f t="array" aca="1" ref="Z37" ca="1">IFERROR(IF(_xlfn._xlws.FILTER(game_rosters!$J:$J,(game_rosters!$G:$G=events!$AN37)*(game_rosters!$J:$J=events!$X37))&gt;0,1,""),"")</f>
        <v>#VALUE!</v>
      </c>
      <c r="AA37" t="e">
        <f t="shared" si="4"/>
        <v>#VALUE!</v>
      </c>
      <c r="AB37" t="str">
        <f t="shared" si="5"/>
        <v/>
      </c>
      <c r="AC37" t="e">
        <f t="shared" si="0"/>
        <v>#VALUE!</v>
      </c>
      <c r="AD37" s="6"/>
      <c r="BJ37" s="39"/>
      <c r="BM37" s="39"/>
      <c r="BO37" s="19"/>
      <c r="BQ37" s="17"/>
    </row>
    <row r="38" spans="1:69" x14ac:dyDescent="0.2">
      <c r="A38" t="str">
        <f t="shared" si="3"/>
        <v/>
      </c>
      <c r="E38" s="4"/>
      <c r="F38" s="44"/>
      <c r="G38" s="4"/>
      <c r="H38" s="47"/>
      <c r="J38" s="45" t="str">
        <f t="shared" si="41"/>
        <v/>
      </c>
      <c r="N38" t="str">
        <f t="shared" si="43"/>
        <v/>
      </c>
      <c r="Q38" t="str">
        <f t="shared" si="42"/>
        <v/>
      </c>
      <c r="S38" t="str">
        <f>IF(A38=1,MAX(S$2:S37)+1,IF(OR(I38&lt;&gt;"",A38="x"),S37,""))</f>
        <v/>
      </c>
      <c r="T38" t="str">
        <f>IF(D38=1,MAX($T$2:$T37)+1,IF(S38=$S37,$S37,IF($D38="x",T37,IF($D37="x","",""))))</f>
        <v/>
      </c>
      <c r="U38" t="str">
        <f>IF(B38=1,MAX($U$2:$U37)+1,IF(AND($T38&lt;&gt;"",$T38=$T37),$U37,IF(B38="x",U37,"")))</f>
        <v/>
      </c>
      <c r="V38" t="str">
        <f>IF(C38=1,MAX($V$2:$V37)+1,IF(AND($T38&lt;&gt;"",$T38=$T37),$U37,IF(C38="x",V37,"")))</f>
        <v/>
      </c>
      <c r="W38" t="str" cm="1">
        <f t="array" ref="W38">IFERROR(_xlfn._xlws.FILTER(game_rosters!AB:AB,(game_rosters!J:J=events!X38)*(K38&lt;&gt;"")),"")</f>
        <v/>
      </c>
      <c r="X38" t="str" cm="1">
        <f t="array" ref="X38">IF(S38="","",IF($I38&lt;&gt;"",$I38,INDEX($I$2:$I37,ROW()-COUNTIFS($T$2:$T37,"="&amp;$T38,$S$2:$S37,"&lt;&gt;"&amp;$S38)-1)))</f>
        <v/>
      </c>
      <c r="Y38" t="b">
        <f>IF(X38&lt;&gt;"",VLOOKUP(X38,game_rosters!$C$43:$E$64,3,FALSE))</f>
        <v>0</v>
      </c>
      <c r="Z38" t="e" cm="1" vm="1">
        <f t="array" aca="1" ref="Z38" ca="1">IFERROR(IF(_xlfn._xlws.FILTER(game_rosters!$J:$J,(game_rosters!$G:$G=events!$AN38)*(game_rosters!$J:$J=events!$X38))&gt;0,1,""),"")</f>
        <v>#VALUE!</v>
      </c>
      <c r="AA38" t="e">
        <f t="shared" si="4"/>
        <v>#VALUE!</v>
      </c>
      <c r="AB38" t="str">
        <f t="shared" si="5"/>
        <v/>
      </c>
      <c r="AC38" t="e">
        <f t="shared" si="0"/>
        <v>#VALUE!</v>
      </c>
      <c r="AD38" s="6"/>
      <c r="BJ38" s="39"/>
      <c r="BM38" s="39"/>
      <c r="BO38" s="19"/>
      <c r="BQ38" s="17"/>
    </row>
    <row r="39" spans="1:69" x14ac:dyDescent="0.2">
      <c r="A39" t="str">
        <f t="shared" si="3"/>
        <v/>
      </c>
      <c r="E39" s="4"/>
      <c r="F39" s="44"/>
      <c r="G39" s="4"/>
      <c r="H39" s="47"/>
      <c r="J39" s="45" t="str">
        <f t="shared" si="41"/>
        <v/>
      </c>
      <c r="N39" t="str">
        <f t="shared" si="43"/>
        <v/>
      </c>
      <c r="Q39" t="str">
        <f t="shared" si="42"/>
        <v/>
      </c>
      <c r="S39" t="str">
        <f>IF(A39=1,MAX(S$2:S38)+1,IF(OR(I39&lt;&gt;"",A39="x"),S38,""))</f>
        <v/>
      </c>
      <c r="T39" t="str">
        <f>IF(D39=1,MAX($T$2:$T38)+1,IF(S39=$S38,$S38,IF($D39="x",T38,IF($D38="x","",""))))</f>
        <v/>
      </c>
      <c r="U39" t="str">
        <f>IF(B39=1,MAX($U$2:$U38)+1,IF(AND($T39&lt;&gt;"",$T39=$T38),$U38,IF(B39="x",U38,"")))</f>
        <v/>
      </c>
      <c r="V39" t="str">
        <f>IF(C39=1,MAX($V$2:$V38)+1,IF(AND($T39&lt;&gt;"",$T39=$T38),$U38,IF(C39="x",V38,"")))</f>
        <v/>
      </c>
      <c r="W39" t="str" cm="1">
        <f t="array" ref="W39">IFERROR(_xlfn._xlws.FILTER(game_rosters!AB:AB,(game_rosters!J:J=events!X39)*(K39&lt;&gt;"")),"")</f>
        <v/>
      </c>
      <c r="X39" t="str" cm="1">
        <f t="array" ref="X39">IF(S39="","",IF($I39&lt;&gt;"",$I39,INDEX($I$2:$I38,ROW()-COUNTIFS($T$2:$T38,"="&amp;$T39,$S$2:$S38,"&lt;&gt;"&amp;$S39)-1)))</f>
        <v/>
      </c>
      <c r="Y39" t="b">
        <f>IF(X39&lt;&gt;"",VLOOKUP(X39,game_rosters!$C$43:$E$64,3,FALSE))</f>
        <v>0</v>
      </c>
      <c r="Z39" t="e" cm="1" vm="1">
        <f t="array" aca="1" ref="Z39" ca="1">IFERROR(IF(_xlfn._xlws.FILTER(game_rosters!$J:$J,(game_rosters!$G:$G=events!$AN39)*(game_rosters!$J:$J=events!$X39))&gt;0,1,""),"")</f>
        <v>#VALUE!</v>
      </c>
      <c r="AA39" t="e">
        <f t="shared" si="4"/>
        <v>#VALUE!</v>
      </c>
      <c r="AB39" t="str">
        <f t="shared" si="5"/>
        <v/>
      </c>
      <c r="AC39" t="e">
        <f t="shared" si="0"/>
        <v>#VALUE!</v>
      </c>
      <c r="AD39" s="6"/>
      <c r="BJ39" s="39"/>
      <c r="BM39" s="39"/>
      <c r="BO39" s="19"/>
      <c r="BQ39" s="17"/>
    </row>
    <row r="40" spans="1:69" x14ac:dyDescent="0.2">
      <c r="A40" t="str">
        <f t="shared" si="3"/>
        <v/>
      </c>
      <c r="E40" s="4"/>
      <c r="F40" s="44"/>
      <c r="G40" s="4"/>
      <c r="H40" s="47"/>
      <c r="J40" s="45" t="str">
        <f t="shared" si="41"/>
        <v/>
      </c>
      <c r="N40" t="str">
        <f t="shared" si="43"/>
        <v/>
      </c>
      <c r="Q40" t="str">
        <f t="shared" si="42"/>
        <v/>
      </c>
      <c r="S40" t="str">
        <f>IF(A40=1,MAX(S$2:S39)+1,IF(OR(I40&lt;&gt;"",A40="x"),S39,""))</f>
        <v/>
      </c>
      <c r="T40" t="str">
        <f>IF(D40=1,MAX($T$2:$T39)+1,IF(S40=$S39,$S39,IF($D40="x",T39,IF($D39="x","",""))))</f>
        <v/>
      </c>
      <c r="U40" t="str">
        <f>IF(B40=1,MAX($U$2:$U39)+1,IF(AND($T40&lt;&gt;"",$T40=$T39),$U39,IF(B40="x",U39,"")))</f>
        <v/>
      </c>
      <c r="V40" t="str">
        <f>IF(C40=1,MAX($V$2:$V39)+1,IF(AND($T40&lt;&gt;"",$T40=$T39),$U39,IF(C40="x",V39,"")))</f>
        <v/>
      </c>
      <c r="W40" t="str" cm="1">
        <f t="array" ref="W40">IFERROR(_xlfn._xlws.FILTER(game_rosters!AB:AB,(game_rosters!J:J=events!X40)*(K40&lt;&gt;"")),"")</f>
        <v/>
      </c>
      <c r="X40" t="str" cm="1">
        <f t="array" ref="X40">IF(S40="","",IF($I40&lt;&gt;"",$I40,INDEX($I$2:$I39,ROW()-COUNTIFS($T$2:$T39,"="&amp;$T40,$S$2:$S39,"&lt;&gt;"&amp;$S40)-1)))</f>
        <v/>
      </c>
      <c r="Y40" t="b">
        <f>IF(X40&lt;&gt;"",VLOOKUP(X40,game_rosters!$C$43:$E$64,3,FALSE))</f>
        <v>0</v>
      </c>
      <c r="Z40" t="e" cm="1" vm="1">
        <f t="array" aca="1" ref="Z40" ca="1">IFERROR(IF(_xlfn._xlws.FILTER(game_rosters!$J:$J,(game_rosters!$G:$G=events!$AN40)*(game_rosters!$J:$J=events!$X40))&gt;0,1,""),"")</f>
        <v>#VALUE!</v>
      </c>
      <c r="AA40" t="e">
        <f t="shared" si="4"/>
        <v>#VALUE!</v>
      </c>
      <c r="AB40" t="str">
        <f t="shared" si="5"/>
        <v/>
      </c>
      <c r="AC40" t="e">
        <f t="shared" si="0"/>
        <v>#VALUE!</v>
      </c>
      <c r="AD40" s="6"/>
      <c r="BJ40" s="39"/>
      <c r="BM40" s="39"/>
      <c r="BO40" s="19"/>
      <c r="BQ40" s="17"/>
    </row>
    <row r="41" spans="1:69" x14ac:dyDescent="0.2">
      <c r="A41" t="str">
        <f t="shared" si="3"/>
        <v/>
      </c>
      <c r="E41" s="4"/>
      <c r="F41" s="44"/>
      <c r="G41" s="4"/>
      <c r="H41" s="47"/>
      <c r="J41" s="45" t="str">
        <f t="shared" si="41"/>
        <v/>
      </c>
      <c r="N41" t="str">
        <f t="shared" si="43"/>
        <v/>
      </c>
      <c r="Q41" t="str">
        <f t="shared" si="42"/>
        <v/>
      </c>
      <c r="S41" t="str">
        <f>IF(A41=1,MAX(S$2:S40)+1,IF(OR(I41&lt;&gt;"",A41="x"),S40,""))</f>
        <v/>
      </c>
      <c r="T41" t="str">
        <f>IF(D41=1,MAX($T$2:$T40)+1,IF(S41=$S40,$S40,IF($D41="x",T40,IF($D40="x","",""))))</f>
        <v/>
      </c>
      <c r="U41" t="str">
        <f>IF(B41=1,MAX($U$2:$U40)+1,IF(AND($T41&lt;&gt;"",$T41=$T40),$U40,IF(B41="x",U40,"")))</f>
        <v/>
      </c>
      <c r="V41" t="str">
        <f>IF(C41=1,MAX($V$2:$V40)+1,IF(AND($T41&lt;&gt;"",$T41=$T40),$U40,IF(C41="x",V40,"")))</f>
        <v/>
      </c>
      <c r="W41" t="str" cm="1">
        <f t="array" ref="W41">IFERROR(_xlfn._xlws.FILTER(game_rosters!AB:AB,(game_rosters!J:J=events!X41)*(K41&lt;&gt;"")),"")</f>
        <v/>
      </c>
      <c r="X41" t="str" cm="1">
        <f t="array" ref="X41">IF(S41="","",IF($I41&lt;&gt;"",$I41,INDEX($I$2:$I40,ROW()-COUNTIFS($T$2:$T40,"="&amp;$T41,$S$2:$S40,"&lt;&gt;"&amp;$S41)-1)))</f>
        <v/>
      </c>
      <c r="Y41" t="b">
        <f>IF(X41&lt;&gt;"",VLOOKUP(X41,game_rosters!$C$43:$E$64,3,FALSE))</f>
        <v>0</v>
      </c>
      <c r="Z41" t="e" cm="1" vm="1">
        <f t="array" aca="1" ref="Z41" ca="1">IFERROR(IF(_xlfn._xlws.FILTER(game_rosters!$J:$J,(game_rosters!$G:$G=events!$AN41)*(game_rosters!$J:$J=events!$X41))&gt;0,1,""),"")</f>
        <v>#VALUE!</v>
      </c>
      <c r="AA41" t="e">
        <f t="shared" si="4"/>
        <v>#VALUE!</v>
      </c>
      <c r="AB41" t="str">
        <f t="shared" si="5"/>
        <v/>
      </c>
      <c r="AC41" t="e">
        <f t="shared" si="0"/>
        <v>#VALUE!</v>
      </c>
      <c r="AD41" s="6"/>
      <c r="BJ41" s="39"/>
      <c r="BM41" s="39"/>
      <c r="BO41" s="19"/>
      <c r="BQ41" s="17"/>
    </row>
    <row r="42" spans="1:69" x14ac:dyDescent="0.2">
      <c r="A42" t="str">
        <f t="shared" si="3"/>
        <v/>
      </c>
      <c r="E42" s="4"/>
      <c r="F42" s="44"/>
      <c r="G42" s="4"/>
      <c r="H42" s="47"/>
      <c r="J42" s="45" t="str">
        <f t="shared" si="41"/>
        <v/>
      </c>
      <c r="N42" t="str">
        <f t="shared" si="43"/>
        <v/>
      </c>
      <c r="Q42" t="str">
        <f t="shared" si="42"/>
        <v/>
      </c>
      <c r="S42" t="str">
        <f>IF(A42=1,MAX(S$2:S41)+1,IF(OR(I42&lt;&gt;"",A42="x"),S41,""))</f>
        <v/>
      </c>
      <c r="T42" t="str">
        <f>IF(D42=1,MAX($T$2:$T41)+1,IF(S42=$S41,$S41,IF($D42="x",T41,IF($D41="x","",""))))</f>
        <v/>
      </c>
      <c r="U42" t="str">
        <f>IF(B42=1,MAX($U$2:$U41)+1,IF(AND($T42&lt;&gt;"",$T42=$T41),$U41,IF(B42="x",U41,"")))</f>
        <v/>
      </c>
      <c r="V42" t="str">
        <f>IF(C42=1,MAX($V$2:$V41)+1,IF(AND($T42&lt;&gt;"",$T42=$T41),$U41,IF(C42="x",V41,"")))</f>
        <v/>
      </c>
      <c r="W42" t="str" cm="1">
        <f t="array" ref="W42">IFERROR(_xlfn._xlws.FILTER(game_rosters!AB:AB,(game_rosters!J:J=events!X42)*(K42&lt;&gt;"")),"")</f>
        <v/>
      </c>
      <c r="X42" t="str" cm="1">
        <f t="array" ref="X42">IF(S42="","",IF($I42&lt;&gt;"",$I42,INDEX($I$2:$I41,ROW()-COUNTIFS($T$2:$T41,"="&amp;$T42,$S$2:$S41,"&lt;&gt;"&amp;$S42)-1)))</f>
        <v/>
      </c>
      <c r="Y42" t="b">
        <f>IF(X42&lt;&gt;"",VLOOKUP(X42,game_rosters!$C$43:$E$64,3,FALSE))</f>
        <v>0</v>
      </c>
      <c r="Z42" t="e" cm="1" vm="1">
        <f t="array" aca="1" ref="Z42" ca="1">IFERROR(IF(_xlfn._xlws.FILTER(game_rosters!$J:$J,(game_rosters!$G:$G=events!$AN42)*(game_rosters!$J:$J=events!$X42))&gt;0,1,""),"")</f>
        <v>#VALUE!</v>
      </c>
      <c r="AA42" t="e">
        <f t="shared" si="4"/>
        <v>#VALUE!</v>
      </c>
      <c r="AB42" t="str">
        <f t="shared" si="5"/>
        <v/>
      </c>
      <c r="AC42" t="e">
        <f t="shared" si="0"/>
        <v>#VALUE!</v>
      </c>
      <c r="AD42" s="6"/>
      <c r="BJ42" s="39"/>
      <c r="BM42" s="39"/>
      <c r="BO42" s="19"/>
      <c r="BQ42" s="17"/>
    </row>
    <row r="43" spans="1:69" x14ac:dyDescent="0.2">
      <c r="A43" t="str">
        <f t="shared" si="3"/>
        <v/>
      </c>
      <c r="E43" s="4"/>
      <c r="F43" s="44"/>
      <c r="G43" s="4"/>
      <c r="H43" s="47"/>
      <c r="J43" s="45" t="str">
        <f t="shared" si="41"/>
        <v/>
      </c>
      <c r="N43" t="str">
        <f t="shared" si="43"/>
        <v/>
      </c>
      <c r="Q43" t="str">
        <f t="shared" si="42"/>
        <v/>
      </c>
      <c r="S43" t="str">
        <f>IF(A43=1,MAX(S$2:S42)+1,IF(OR(I43&lt;&gt;"",A43="x"),S42,""))</f>
        <v/>
      </c>
      <c r="T43" t="str">
        <f>IF(D43=1,MAX($T$2:$T42)+1,IF(S43=$S42,$S42,IF($D43="x",T42,IF($D42="x","",""))))</f>
        <v/>
      </c>
      <c r="U43" t="str">
        <f>IF(B43=1,MAX($U$2:$U42)+1,IF(AND($T43&lt;&gt;"",$T43=$T42),$U42,IF(B43="x",U42,"")))</f>
        <v/>
      </c>
      <c r="V43" t="str">
        <f>IF(C43=1,MAX($V$2:$V42)+1,IF(AND($T43&lt;&gt;"",$T43=$T42),$U42,IF(C43="x",V42,"")))</f>
        <v/>
      </c>
      <c r="W43" t="str" cm="1">
        <f t="array" ref="W43">IFERROR(_xlfn._xlws.FILTER(game_rosters!AB:AB,(game_rosters!J:J=events!X43)*(K43&lt;&gt;"")),"")</f>
        <v/>
      </c>
      <c r="X43" t="str" cm="1">
        <f t="array" ref="X43">IF(S43="","",IF($I43&lt;&gt;"",$I43,INDEX($I$2:$I42,ROW()-COUNTIFS($T$2:$T42,"="&amp;$T43,$S$2:$S42,"&lt;&gt;"&amp;$S43)-1)))</f>
        <v/>
      </c>
      <c r="Y43" t="b">
        <f>IF(X43&lt;&gt;"",VLOOKUP(X43,game_rosters!$C$43:$E$64,3,FALSE))</f>
        <v>0</v>
      </c>
      <c r="Z43" t="e" cm="1" vm="1">
        <f t="array" aca="1" ref="Z43" ca="1">IFERROR(IF(_xlfn._xlws.FILTER(game_rosters!$J:$J,(game_rosters!$G:$G=events!$AN43)*(game_rosters!$J:$J=events!$X43))&gt;0,1,""),"")</f>
        <v>#VALUE!</v>
      </c>
      <c r="AA43" t="e">
        <f t="shared" si="4"/>
        <v>#VALUE!</v>
      </c>
      <c r="AB43" t="str">
        <f t="shared" si="5"/>
        <v/>
      </c>
      <c r="AC43" t="e">
        <f t="shared" si="0"/>
        <v>#VALUE!</v>
      </c>
      <c r="AD43" s="6"/>
      <c r="BJ43" s="39"/>
      <c r="BM43" s="39"/>
      <c r="BO43" s="19"/>
      <c r="BQ43" s="17"/>
    </row>
    <row r="44" spans="1:69" x14ac:dyDescent="0.2">
      <c r="A44" t="str">
        <f t="shared" si="3"/>
        <v/>
      </c>
      <c r="E44" s="4"/>
      <c r="F44" s="44"/>
      <c r="G44" s="4"/>
      <c r="H44" s="47"/>
      <c r="J44" s="45" t="str">
        <f t="shared" si="41"/>
        <v/>
      </c>
      <c r="N44" t="str">
        <f t="shared" si="43"/>
        <v/>
      </c>
      <c r="Q44" t="str">
        <f t="shared" si="42"/>
        <v/>
      </c>
      <c r="S44" t="str">
        <f>IF(A44=1,MAX(S$2:S43)+1,IF(OR(I44&lt;&gt;"",A44="x"),S43,""))</f>
        <v/>
      </c>
      <c r="T44" t="str">
        <f>IF(D44=1,MAX($T$2:$T43)+1,IF(S44=$S43,$S43,IF($D44="x",T43,IF($D43="x","",""))))</f>
        <v/>
      </c>
      <c r="U44" t="str">
        <f>IF(B44=1,MAX($U$2:$U43)+1,IF(AND($T44&lt;&gt;"",$T44=$T43),$U43,IF(B44="x",U43,"")))</f>
        <v/>
      </c>
      <c r="V44" t="str">
        <f>IF(C44=1,MAX($V$2:$V43)+1,IF(AND($T44&lt;&gt;"",$T44=$T43),$U43,IF(C44="x",V43,"")))</f>
        <v/>
      </c>
      <c r="W44" t="str" cm="1">
        <f t="array" ref="W44">IFERROR(_xlfn._xlws.FILTER(game_rosters!AB:AB,(game_rosters!J:J=events!X44)*(K44&lt;&gt;"")),"")</f>
        <v/>
      </c>
      <c r="X44" t="str" cm="1">
        <f t="array" ref="X44">IF(S44="","",IF($I44&lt;&gt;"",$I44,INDEX($I$2:$I43,ROW()-COUNTIFS($T$2:$T43,"="&amp;$T44,$S$2:$S43,"&lt;&gt;"&amp;$S44)-1)))</f>
        <v/>
      </c>
      <c r="Y44" t="b">
        <f>IF(X44&lt;&gt;"",VLOOKUP(X44,game_rosters!$C$43:$E$64,3,FALSE))</f>
        <v>0</v>
      </c>
      <c r="Z44" t="e" cm="1" vm="1">
        <f t="array" aca="1" ref="Z44" ca="1">IFERROR(IF(_xlfn._xlws.FILTER(game_rosters!$J:$J,(game_rosters!$G:$G=events!$AN44)*(game_rosters!$J:$J=events!$X44))&gt;0,1,""),"")</f>
        <v>#VALUE!</v>
      </c>
      <c r="AA44" t="e">
        <f t="shared" si="4"/>
        <v>#VALUE!</v>
      </c>
      <c r="AB44" t="str">
        <f t="shared" si="5"/>
        <v/>
      </c>
      <c r="AC44" t="e">
        <f t="shared" si="0"/>
        <v>#VALUE!</v>
      </c>
      <c r="AD44" s="6"/>
      <c r="BJ44" s="39"/>
      <c r="BM44" s="39"/>
      <c r="BO44" s="19"/>
      <c r="BQ44" s="17"/>
    </row>
    <row r="45" spans="1:69" x14ac:dyDescent="0.2">
      <c r="A45" t="str">
        <f t="shared" si="3"/>
        <v/>
      </c>
      <c r="E45" s="4"/>
      <c r="F45" s="44"/>
      <c r="G45" s="4"/>
      <c r="H45" s="47"/>
      <c r="J45" s="45" t="str">
        <f t="shared" si="41"/>
        <v/>
      </c>
      <c r="N45" t="str">
        <f t="shared" si="43"/>
        <v/>
      </c>
      <c r="Q45" t="str">
        <f t="shared" si="42"/>
        <v/>
      </c>
      <c r="S45" t="str">
        <f>IF(A45=1,MAX(S$2:S44)+1,IF(OR(I45&lt;&gt;"",A45="x"),S44,""))</f>
        <v/>
      </c>
      <c r="T45" t="str">
        <f>IF(D45=1,MAX($T$2:$T44)+1,IF(S45=$S44,$S44,IF($D45="x",T44,IF($D44="x","",""))))</f>
        <v/>
      </c>
      <c r="U45" t="str">
        <f>IF(B45=1,MAX($U$2:$U44)+1,IF(AND($T45&lt;&gt;"",$T45=$T44),$U44,IF(B45="x",U44,"")))</f>
        <v/>
      </c>
      <c r="V45" t="str">
        <f>IF(C45=1,MAX($V$2:$V44)+1,IF(AND($T45&lt;&gt;"",$T45=$T44),$U44,IF(C45="x",V44,"")))</f>
        <v/>
      </c>
      <c r="W45" t="str" cm="1">
        <f t="array" ref="W45">IFERROR(_xlfn._xlws.FILTER(game_rosters!AB:AB,(game_rosters!J:J=events!X45)*(K45&lt;&gt;"")),"")</f>
        <v/>
      </c>
      <c r="X45" t="str" cm="1">
        <f t="array" ref="X45">IF(S45="","",IF($I45&lt;&gt;"",$I45,INDEX($I$2:$I44,ROW()-COUNTIFS($T$2:$T44,"="&amp;$T45,$S$2:$S44,"&lt;&gt;"&amp;$S45)-1)))</f>
        <v/>
      </c>
      <c r="Y45" t="b">
        <f>IF(X45&lt;&gt;"",VLOOKUP(X45,game_rosters!$C$43:$E$64,3,FALSE))</f>
        <v>0</v>
      </c>
      <c r="Z45" t="e" cm="1" vm="1">
        <f t="array" aca="1" ref="Z45" ca="1">IFERROR(IF(_xlfn._xlws.FILTER(game_rosters!$J:$J,(game_rosters!$G:$G=events!$AN45)*(game_rosters!$J:$J=events!$X45))&gt;0,1,""),"")</f>
        <v>#VALUE!</v>
      </c>
      <c r="AA45" t="e">
        <f t="shared" si="4"/>
        <v>#VALUE!</v>
      </c>
      <c r="AB45" t="str">
        <f t="shared" si="5"/>
        <v/>
      </c>
      <c r="AC45" t="e">
        <f t="shared" si="0"/>
        <v>#VALUE!</v>
      </c>
      <c r="AD45" s="6"/>
      <c r="BJ45" s="39"/>
      <c r="BM45" s="39"/>
      <c r="BO45" s="19"/>
      <c r="BQ45" s="17"/>
    </row>
    <row r="46" spans="1:69" x14ac:dyDescent="0.2">
      <c r="A46" t="str">
        <f t="shared" si="3"/>
        <v/>
      </c>
      <c r="E46" s="4"/>
      <c r="F46" s="44"/>
      <c r="G46" s="4"/>
      <c r="H46" s="47"/>
      <c r="J46" s="45" t="str">
        <f t="shared" si="41"/>
        <v/>
      </c>
      <c r="N46" t="str">
        <f t="shared" si="43"/>
        <v/>
      </c>
      <c r="Q46" t="str">
        <f t="shared" si="42"/>
        <v/>
      </c>
      <c r="S46" t="str">
        <f>IF(A46=1,MAX(S$2:S45)+1,IF(OR(I46&lt;&gt;"",A46="x"),S45,""))</f>
        <v/>
      </c>
      <c r="T46" t="str">
        <f>IF(D46=1,MAX($T$2:$T45)+1,IF(S46=$S45,$S45,IF($D46="x",T45,IF($D45="x","",""))))</f>
        <v/>
      </c>
      <c r="U46" t="str">
        <f>IF(B46=1,MAX($U$2:$U45)+1,IF(AND($T46&lt;&gt;"",$T46=$T45),$U45,IF(B46="x",U45,"")))</f>
        <v/>
      </c>
      <c r="V46" t="str">
        <f>IF(C46=1,MAX($V$2:$V45)+1,IF(AND($T46&lt;&gt;"",$T46=$T45),$U45,IF(C46="x",V45,"")))</f>
        <v/>
      </c>
      <c r="W46" t="str" cm="1">
        <f t="array" ref="W46">IFERROR(_xlfn._xlws.FILTER(game_rosters!AB:AB,(game_rosters!J:J=events!X46)*(K46&lt;&gt;"")),"")</f>
        <v/>
      </c>
      <c r="X46" t="str" cm="1">
        <f t="array" ref="X46">IF(S46="","",IF($I46&lt;&gt;"",$I46,INDEX($I$2:$I45,ROW()-COUNTIFS($T$2:$T45,"="&amp;$T46,$S$2:$S45,"&lt;&gt;"&amp;$S46)-1)))</f>
        <v/>
      </c>
      <c r="Y46" t="b">
        <f>IF(X46&lt;&gt;"",VLOOKUP(X46,game_rosters!$C$43:$E$64,3,FALSE))</f>
        <v>0</v>
      </c>
      <c r="Z46" t="e" cm="1" vm="1">
        <f t="array" aca="1" ref="Z46" ca="1">IFERROR(IF(_xlfn._xlws.FILTER(game_rosters!$J:$J,(game_rosters!$G:$G=events!$AN46)*(game_rosters!$J:$J=events!$X46))&gt;0,1,""),"")</f>
        <v>#VALUE!</v>
      </c>
      <c r="AA46" t="e">
        <f t="shared" si="4"/>
        <v>#VALUE!</v>
      </c>
      <c r="AB46" t="str">
        <f t="shared" si="5"/>
        <v/>
      </c>
      <c r="AC46" t="e">
        <f t="shared" si="0"/>
        <v>#VALUE!</v>
      </c>
      <c r="AD46" s="6"/>
      <c r="BJ46" s="39"/>
      <c r="BM46" s="39"/>
      <c r="BO46" s="19"/>
      <c r="BQ46" s="17"/>
    </row>
    <row r="47" spans="1:69" x14ac:dyDescent="0.2">
      <c r="A47" t="str">
        <f t="shared" si="3"/>
        <v/>
      </c>
      <c r="E47" s="4"/>
      <c r="F47" s="44"/>
      <c r="G47" s="4"/>
      <c r="H47" s="47"/>
      <c r="J47" s="45" t="str">
        <f t="shared" si="41"/>
        <v/>
      </c>
      <c r="N47" t="str">
        <f t="shared" si="43"/>
        <v/>
      </c>
      <c r="Q47" t="str">
        <f t="shared" si="42"/>
        <v/>
      </c>
      <c r="S47" t="str">
        <f>IF(A47=1,MAX(S$2:S46)+1,IF(OR(I47&lt;&gt;"",A47="x"),S46,""))</f>
        <v/>
      </c>
      <c r="T47" t="str">
        <f>IF(D47=1,MAX($T$2:$T46)+1,IF(S47=$S46,$S46,IF($D47="x",T46,IF($D46="x","",""))))</f>
        <v/>
      </c>
      <c r="U47" t="str">
        <f>IF(B47=1,MAX($U$2:$U46)+1,IF(AND($T47&lt;&gt;"",$T47=$T46),$U46,IF(B47="x",U46,"")))</f>
        <v/>
      </c>
      <c r="V47" t="str">
        <f>IF(C47=1,MAX($V$2:$V46)+1,IF(AND($T47&lt;&gt;"",$T47=$T46),$U46,IF(C47="x",V46,"")))</f>
        <v/>
      </c>
      <c r="W47" t="str" cm="1">
        <f t="array" ref="W47">IFERROR(_xlfn._xlws.FILTER(game_rosters!AB:AB,(game_rosters!J:J=events!X47)*(K47&lt;&gt;"")),"")</f>
        <v/>
      </c>
      <c r="X47" t="str" cm="1">
        <f t="array" ref="X47">IF(S47="","",IF($I47&lt;&gt;"",$I47,INDEX($I$2:$I46,ROW()-COUNTIFS($T$2:$T46,"="&amp;$T47,$S$2:$S46,"&lt;&gt;"&amp;$S47)-1)))</f>
        <v/>
      </c>
      <c r="Y47" t="b">
        <f>IF(X47&lt;&gt;"",VLOOKUP(X47,game_rosters!$C$43:$E$64,3,FALSE))</f>
        <v>0</v>
      </c>
      <c r="Z47" t="e" cm="1" vm="1">
        <f t="array" aca="1" ref="Z47" ca="1">IFERROR(IF(_xlfn._xlws.FILTER(game_rosters!$J:$J,(game_rosters!$G:$G=events!$AN47)*(game_rosters!$J:$J=events!$X47))&gt;0,1,""),"")</f>
        <v>#VALUE!</v>
      </c>
      <c r="AA47" t="e">
        <f t="shared" si="4"/>
        <v>#VALUE!</v>
      </c>
      <c r="AB47" t="str">
        <f t="shared" si="5"/>
        <v/>
      </c>
      <c r="AC47" t="e">
        <f t="shared" si="0"/>
        <v>#VALUE!</v>
      </c>
      <c r="AD47" s="6"/>
      <c r="BJ47" s="39"/>
      <c r="BM47" s="39"/>
      <c r="BO47" s="19"/>
      <c r="BQ47" s="17"/>
    </row>
    <row r="48" spans="1:69" x14ac:dyDescent="0.2">
      <c r="A48" t="str">
        <f t="shared" si="3"/>
        <v/>
      </c>
      <c r="E48" s="4"/>
      <c r="F48" s="44"/>
      <c r="G48" s="4"/>
      <c r="H48" s="47"/>
      <c r="J48" s="45" t="str">
        <f t="shared" si="41"/>
        <v/>
      </c>
      <c r="N48" t="str">
        <f t="shared" si="43"/>
        <v/>
      </c>
      <c r="Q48" t="str">
        <f t="shared" si="42"/>
        <v/>
      </c>
      <c r="S48" t="str">
        <f>IF(A48=1,MAX(S$2:S47)+1,IF(OR(I48&lt;&gt;"",A48="x"),S47,""))</f>
        <v/>
      </c>
      <c r="T48" t="str">
        <f>IF(D48=1,MAX($T$2:$T47)+1,IF(S48=$S47,$S47,IF($D48="x",T47,IF($D47="x","",""))))</f>
        <v/>
      </c>
      <c r="U48" t="str">
        <f>IF(B48=1,MAX($U$2:$U47)+1,IF(AND($T48&lt;&gt;"",$T48=$T47),$U47,IF(B48="x",U47,"")))</f>
        <v/>
      </c>
      <c r="V48" t="str">
        <f>IF(C48=1,MAX($V$2:$V47)+1,IF(AND($T48&lt;&gt;"",$T48=$T47),$U47,IF(C48="x",V47,"")))</f>
        <v/>
      </c>
      <c r="W48" t="str" cm="1">
        <f t="array" ref="W48">IFERROR(_xlfn._xlws.FILTER(game_rosters!AB:AB,(game_rosters!J:J=events!X48)*(K48&lt;&gt;"")),"")</f>
        <v/>
      </c>
      <c r="X48" t="str" cm="1">
        <f t="array" ref="X48">IF(S48="","",IF($I48&lt;&gt;"",$I48,INDEX($I$2:$I47,ROW()-COUNTIFS($T$2:$T47,"="&amp;$T48,$S$2:$S47,"&lt;&gt;"&amp;$S48)-1)))</f>
        <v/>
      </c>
      <c r="Y48" t="b">
        <f>IF(X48&lt;&gt;"",VLOOKUP(X48,game_rosters!$C$43:$E$64,3,FALSE))</f>
        <v>0</v>
      </c>
      <c r="Z48" t="e" cm="1" vm="1">
        <f t="array" aca="1" ref="Z48" ca="1">IFERROR(IF(_xlfn._xlws.FILTER(game_rosters!$J:$J,(game_rosters!$G:$G=events!$AN48)*(game_rosters!$J:$J=events!$X48))&gt;0,1,""),"")</f>
        <v>#VALUE!</v>
      </c>
      <c r="AA48" t="e">
        <f t="shared" si="4"/>
        <v>#VALUE!</v>
      </c>
      <c r="AB48" t="str">
        <f t="shared" si="5"/>
        <v/>
      </c>
      <c r="AC48" t="e">
        <f t="shared" si="0"/>
        <v>#VALUE!</v>
      </c>
      <c r="AD48" s="6"/>
      <c r="BJ48" s="39"/>
      <c r="BM48" s="39"/>
      <c r="BO48" s="19"/>
      <c r="BQ48" s="17"/>
    </row>
    <row r="49" spans="1:69" x14ac:dyDescent="0.2">
      <c r="A49" t="str">
        <f t="shared" si="3"/>
        <v/>
      </c>
      <c r="E49" s="4"/>
      <c r="F49" s="44"/>
      <c r="G49" s="4"/>
      <c r="H49" s="47"/>
      <c r="J49" s="45" t="str">
        <f t="shared" si="41"/>
        <v/>
      </c>
      <c r="N49" t="str">
        <f t="shared" si="43"/>
        <v/>
      </c>
      <c r="Q49" t="str">
        <f t="shared" si="42"/>
        <v/>
      </c>
      <c r="S49" t="str">
        <f>IF(A49=1,MAX(S$2:S48)+1,IF(OR(I49&lt;&gt;"",A49="x"),S48,""))</f>
        <v/>
      </c>
      <c r="T49" t="str">
        <f>IF(D49=1,MAX($T$2:$T48)+1,IF(S49=$S48,$S48,IF($D49="x",T48,IF($D48="x","",""))))</f>
        <v/>
      </c>
      <c r="U49" t="str">
        <f>IF(B49=1,MAX($U$2:$U48)+1,IF(AND($T49&lt;&gt;"",$T49=$T48),$U48,IF(B49="x",U48,"")))</f>
        <v/>
      </c>
      <c r="V49" t="str">
        <f>IF(C49=1,MAX($V$2:$V48)+1,IF(AND($T49&lt;&gt;"",$T49=$T48),$U48,IF(C49="x",V48,"")))</f>
        <v/>
      </c>
      <c r="W49" t="str" cm="1">
        <f t="array" ref="W49">IFERROR(_xlfn._xlws.FILTER(game_rosters!AB:AB,(game_rosters!J:J=events!X49)*(K49&lt;&gt;"")),"")</f>
        <v/>
      </c>
      <c r="X49" t="str" cm="1">
        <f t="array" ref="X49">IF(S49="","",IF($I49&lt;&gt;"",$I49,INDEX($I$2:$I48,ROW()-COUNTIFS($T$2:$T48,"="&amp;$T49,$S$2:$S48,"&lt;&gt;"&amp;$S49)-1)))</f>
        <v/>
      </c>
      <c r="Y49" t="b">
        <f>IF(X49&lt;&gt;"",VLOOKUP(X49,game_rosters!$C$43:$E$64,3,FALSE))</f>
        <v>0</v>
      </c>
      <c r="Z49" t="e" cm="1" vm="1">
        <f t="array" aca="1" ref="Z49" ca="1">IFERROR(IF(_xlfn._xlws.FILTER(game_rosters!$J:$J,(game_rosters!$G:$G=events!$AN49)*(game_rosters!$J:$J=events!$X49))&gt;0,1,""),"")</f>
        <v>#VALUE!</v>
      </c>
      <c r="AA49" t="e">
        <f t="shared" si="4"/>
        <v>#VALUE!</v>
      </c>
      <c r="AB49" t="str">
        <f t="shared" si="5"/>
        <v/>
      </c>
      <c r="AC49" t="e">
        <f t="shared" si="0"/>
        <v>#VALUE!</v>
      </c>
      <c r="AD49" s="6"/>
      <c r="BJ49" s="39"/>
      <c r="BM49" s="39"/>
      <c r="BO49" s="19"/>
      <c r="BQ49" s="17"/>
    </row>
    <row r="50" spans="1:69" x14ac:dyDescent="0.2">
      <c r="A50" t="str">
        <f t="shared" si="3"/>
        <v/>
      </c>
      <c r="E50" s="4"/>
      <c r="F50" s="44"/>
      <c r="G50" s="4"/>
      <c r="H50" s="47"/>
      <c r="J50" s="45" t="str">
        <f t="shared" si="41"/>
        <v/>
      </c>
      <c r="N50" t="str">
        <f t="shared" si="43"/>
        <v/>
      </c>
      <c r="Q50" t="str">
        <f t="shared" si="42"/>
        <v/>
      </c>
      <c r="S50" t="str">
        <f>IF(A50=1,MAX(S$2:S49)+1,IF(OR(I50&lt;&gt;"",A50="x"),S49,""))</f>
        <v/>
      </c>
      <c r="T50" t="str">
        <f>IF(D50=1,MAX($T$2:$T49)+1,IF(S50=$S49,$S49,IF($D50="x",T49,IF($D49="x","",""))))</f>
        <v/>
      </c>
      <c r="U50" t="str">
        <f>IF(B50=1,MAX($U$2:$U49)+1,IF(AND($T50&lt;&gt;"",$T50=$T49),$U49,IF(B50="x",U49,"")))</f>
        <v/>
      </c>
      <c r="V50" t="str">
        <f>IF(C50=1,MAX($V$2:$V49)+1,IF(AND($T50&lt;&gt;"",$T50=$T49),$U49,IF(C50="x",V49,"")))</f>
        <v/>
      </c>
      <c r="W50" t="str" cm="1">
        <f t="array" ref="W50">IFERROR(_xlfn._xlws.FILTER(game_rosters!AB:AB,(game_rosters!J:J=events!X50)*(K50&lt;&gt;"")),"")</f>
        <v/>
      </c>
      <c r="X50" t="str" cm="1">
        <f t="array" ref="X50">IF(S50="","",IF($I50&lt;&gt;"",$I50,INDEX($I$2:$I49,ROW()-COUNTIFS($T$2:$T49,"="&amp;$T50,$S$2:$S49,"&lt;&gt;"&amp;$S50)-1)))</f>
        <v/>
      </c>
      <c r="Y50" t="b">
        <f>IF(X50&lt;&gt;"",VLOOKUP(X50,game_rosters!$C$43:$E$64,3,FALSE))</f>
        <v>0</v>
      </c>
      <c r="Z50" t="e" cm="1" vm="1">
        <f t="array" aca="1" ref="Z50" ca="1">IFERROR(IF(_xlfn._xlws.FILTER(game_rosters!$J:$J,(game_rosters!$G:$G=events!$AN50)*(game_rosters!$J:$J=events!$X50))&gt;0,1,""),"")</f>
        <v>#VALUE!</v>
      </c>
      <c r="AA50" t="e">
        <f t="shared" si="4"/>
        <v>#VALUE!</v>
      </c>
      <c r="AB50" t="str">
        <f t="shared" si="5"/>
        <v/>
      </c>
      <c r="AC50" t="e">
        <f t="shared" si="0"/>
        <v>#VALUE!</v>
      </c>
      <c r="AD50" s="6"/>
      <c r="BJ50" s="39"/>
      <c r="BM50" s="39"/>
      <c r="BO50" s="19"/>
      <c r="BQ50" s="17"/>
    </row>
    <row r="51" spans="1:69" x14ac:dyDescent="0.2">
      <c r="A51" t="str">
        <f t="shared" si="3"/>
        <v/>
      </c>
      <c r="E51" s="4"/>
      <c r="F51" s="44"/>
      <c r="G51" s="4"/>
      <c r="H51" s="47"/>
      <c r="J51" s="45" t="str">
        <f t="shared" si="41"/>
        <v/>
      </c>
      <c r="N51" t="str">
        <f t="shared" si="43"/>
        <v/>
      </c>
      <c r="Q51" t="str">
        <f t="shared" si="42"/>
        <v/>
      </c>
      <c r="S51" t="str">
        <f>IF(A51=1,MAX(S$2:S50)+1,IF(OR(I51&lt;&gt;"",A51="x"),S50,""))</f>
        <v/>
      </c>
      <c r="T51" t="str">
        <f>IF(D51=1,MAX($T$2:$T50)+1,IF(S51=$S50,$S50,IF($D51="x",T50,IF($D50="x","",""))))</f>
        <v/>
      </c>
      <c r="U51" t="str">
        <f>IF(B51=1,MAX($U$2:$U50)+1,IF(AND($T51&lt;&gt;"",$T51=$T50),$U50,IF(B51="x",U50,"")))</f>
        <v/>
      </c>
      <c r="V51" t="str">
        <f>IF(C51=1,MAX($V$2:$V50)+1,IF(AND($T51&lt;&gt;"",$T51=$T50),$U50,IF(C51="x",V50,"")))</f>
        <v/>
      </c>
      <c r="W51" t="str" cm="1">
        <f t="array" ref="W51">IFERROR(_xlfn._xlws.FILTER(game_rosters!AB:AB,(game_rosters!J:J=events!X51)*(K51&lt;&gt;"")),"")</f>
        <v/>
      </c>
      <c r="X51" t="str" cm="1">
        <f t="array" ref="X51">IF(S51="","",IF($I51&lt;&gt;"",$I51,INDEX($I$2:$I50,ROW()-COUNTIFS($T$2:$T50,"="&amp;$T51,$S$2:$S50,"&lt;&gt;"&amp;$S51)-1)))</f>
        <v/>
      </c>
      <c r="Y51" t="b">
        <f>IF(X51&lt;&gt;"",VLOOKUP(X51,game_rosters!$C$43:$E$64,3,FALSE))</f>
        <v>0</v>
      </c>
      <c r="Z51" t="e" cm="1" vm="1">
        <f t="array" aca="1" ref="Z51" ca="1">IFERROR(IF(_xlfn._xlws.FILTER(game_rosters!$J:$J,(game_rosters!$G:$G=events!$AN51)*(game_rosters!$J:$J=events!$X51))&gt;0,1,""),"")</f>
        <v>#VALUE!</v>
      </c>
      <c r="AA51" t="e">
        <f t="shared" si="4"/>
        <v>#VALUE!</v>
      </c>
      <c r="AB51" t="str">
        <f t="shared" si="5"/>
        <v/>
      </c>
      <c r="AC51" t="e">
        <f t="shared" si="0"/>
        <v>#VALUE!</v>
      </c>
      <c r="AD51" s="6"/>
      <c r="BJ51" s="39"/>
      <c r="BM51" s="39"/>
      <c r="BO51" s="19"/>
      <c r="BQ51" s="17"/>
    </row>
    <row r="52" spans="1:69" x14ac:dyDescent="0.2">
      <c r="A52" t="str">
        <f t="shared" si="3"/>
        <v/>
      </c>
      <c r="E52" s="4"/>
      <c r="F52" s="44"/>
      <c r="G52" s="4"/>
      <c r="H52" s="47"/>
      <c r="J52" s="45" t="str">
        <f t="shared" si="41"/>
        <v/>
      </c>
      <c r="N52" t="str">
        <f t="shared" si="43"/>
        <v/>
      </c>
      <c r="Q52" t="str">
        <f t="shared" si="42"/>
        <v/>
      </c>
      <c r="S52" t="str">
        <f>IF(A52=1,MAX(S$2:S51)+1,IF(OR(I52&lt;&gt;"",A52="x"),S51,""))</f>
        <v/>
      </c>
      <c r="T52" t="str">
        <f>IF(D52=1,MAX($T$2:$T51)+1,IF(S52=$S51,$S51,IF($D52="x",T51,IF($D51="x","",""))))</f>
        <v/>
      </c>
      <c r="U52" t="str">
        <f>IF(B52=1,MAX($U$2:$U51)+1,IF(AND($T52&lt;&gt;"",$T52=$T51),$U51,IF(B52="x",U51,"")))</f>
        <v/>
      </c>
      <c r="V52" t="str">
        <f>IF(C52=1,MAX($V$2:$V51)+1,IF(AND($T52&lt;&gt;"",$T52=$T51),$U51,IF(C52="x",V51,"")))</f>
        <v/>
      </c>
      <c r="W52" t="str" cm="1">
        <f t="array" ref="W52">IFERROR(_xlfn._xlws.FILTER(game_rosters!AB:AB,(game_rosters!J:J=events!X52)*(K52&lt;&gt;"")),"")</f>
        <v/>
      </c>
      <c r="X52" t="str" cm="1">
        <f t="array" ref="X52">IF(S52="","",IF($I52&lt;&gt;"",$I52,INDEX($I$2:$I51,ROW()-COUNTIFS($T$2:$T51,"="&amp;$T52,$S$2:$S51,"&lt;&gt;"&amp;$S52)-1)))</f>
        <v/>
      </c>
      <c r="Y52" t="b">
        <f>IF(X52&lt;&gt;"",VLOOKUP(X52,game_rosters!$C$43:$E$64,3,FALSE))</f>
        <v>0</v>
      </c>
      <c r="Z52" t="e" cm="1" vm="1">
        <f t="array" aca="1" ref="Z52" ca="1">IFERROR(IF(_xlfn._xlws.FILTER(game_rosters!$J:$J,(game_rosters!$G:$G=events!$AN52)*(game_rosters!$J:$J=events!$X52))&gt;0,1,""),"")</f>
        <v>#VALUE!</v>
      </c>
      <c r="AA52" t="e">
        <f t="shared" si="4"/>
        <v>#VALUE!</v>
      </c>
      <c r="AB52" t="str">
        <f t="shared" si="5"/>
        <v/>
      </c>
      <c r="AC52" t="e">
        <f t="shared" si="0"/>
        <v>#VALUE!</v>
      </c>
      <c r="AD52" s="6"/>
      <c r="BJ52" s="39"/>
      <c r="BM52" s="39"/>
      <c r="BO52" s="19"/>
      <c r="BQ52" s="17"/>
    </row>
    <row r="53" spans="1:69" x14ac:dyDescent="0.2">
      <c r="A53" t="str">
        <f t="shared" si="3"/>
        <v/>
      </c>
      <c r="E53" s="4"/>
      <c r="F53" s="44"/>
      <c r="G53" s="4"/>
      <c r="H53" s="47"/>
      <c r="J53" s="45" t="str">
        <f t="shared" si="41"/>
        <v/>
      </c>
      <c r="N53" t="str">
        <f t="shared" si="43"/>
        <v/>
      </c>
      <c r="Q53" t="str">
        <f t="shared" si="42"/>
        <v/>
      </c>
      <c r="S53" t="str">
        <f>IF(A53=1,MAX(S$2:S52)+1,IF(OR(I53&lt;&gt;"",A53="x"),S52,""))</f>
        <v/>
      </c>
      <c r="T53" t="str">
        <f>IF(D53=1,MAX($T$2:$T52)+1,IF(S53=$S52,$S52,IF($D53="x",T52,IF($D52="x","",""))))</f>
        <v/>
      </c>
      <c r="U53" t="str">
        <f>IF(B53=1,MAX($U$2:$U52)+1,IF(AND($T53&lt;&gt;"",$T53=$T52),$U52,IF(B53="x",U52,"")))</f>
        <v/>
      </c>
      <c r="V53" t="str">
        <f>IF(C53=1,MAX($V$2:$V52)+1,IF(AND($T53&lt;&gt;"",$T53=$T52),$U52,IF(C53="x",V52,"")))</f>
        <v/>
      </c>
      <c r="W53" t="str" cm="1">
        <f t="array" ref="W53">IFERROR(_xlfn._xlws.FILTER(game_rosters!AB:AB,(game_rosters!J:J=events!X53)*(K53&lt;&gt;"")),"")</f>
        <v/>
      </c>
      <c r="X53" t="str" cm="1">
        <f t="array" ref="X53">IF(S53="","",IF($I53&lt;&gt;"",$I53,INDEX($I$2:$I52,ROW()-COUNTIFS($T$2:$T52,"="&amp;$T53,$S$2:$S52,"&lt;&gt;"&amp;$S53)-1)))</f>
        <v/>
      </c>
      <c r="Y53" t="b">
        <f>IF(X53&lt;&gt;"",VLOOKUP(X53,game_rosters!$C$43:$E$64,3,FALSE))</f>
        <v>0</v>
      </c>
      <c r="Z53" t="e" cm="1" vm="1">
        <f t="array" aca="1" ref="Z53" ca="1">IFERROR(IF(_xlfn._xlws.FILTER(game_rosters!$J:$J,(game_rosters!$G:$G=events!$AN53)*(game_rosters!$J:$J=events!$X53))&gt;0,1,""),"")</f>
        <v>#VALUE!</v>
      </c>
      <c r="AA53" t="e">
        <f t="shared" si="4"/>
        <v>#VALUE!</v>
      </c>
      <c r="AB53" t="str">
        <f t="shared" si="5"/>
        <v/>
      </c>
      <c r="AC53" t="e">
        <f t="shared" si="0"/>
        <v>#VALUE!</v>
      </c>
      <c r="AD53" s="6"/>
      <c r="BJ53" s="39"/>
      <c r="BM53" s="39"/>
      <c r="BO53" s="19"/>
      <c r="BQ53" s="17"/>
    </row>
    <row r="54" spans="1:69" x14ac:dyDescent="0.2">
      <c r="A54" t="str">
        <f t="shared" si="3"/>
        <v/>
      </c>
      <c r="E54" s="4"/>
      <c r="F54" s="44"/>
      <c r="G54" s="4"/>
      <c r="H54" s="47"/>
      <c r="J54" s="45" t="str">
        <f t="shared" si="41"/>
        <v/>
      </c>
      <c r="N54" t="str">
        <f t="shared" si="43"/>
        <v/>
      </c>
      <c r="Q54" t="str">
        <f t="shared" si="42"/>
        <v/>
      </c>
      <c r="S54" t="str">
        <f>IF(A54=1,MAX(S$2:S53)+1,IF(OR(I54&lt;&gt;"",A54="x"),S53,""))</f>
        <v/>
      </c>
      <c r="T54" t="str">
        <f>IF(D54=1,MAX($T$2:$T53)+1,IF(S54=$S53,$S53,IF($D54="x",T53,IF($D53="x","",""))))</f>
        <v/>
      </c>
      <c r="U54" t="str">
        <f>IF(B54=1,MAX($U$2:$U53)+1,IF(AND($T54&lt;&gt;"",$T54=$T53),$U53,IF(B54="x",U53,"")))</f>
        <v/>
      </c>
      <c r="V54" t="str">
        <f>IF(C54=1,MAX($V$2:$V53)+1,IF(AND($T54&lt;&gt;"",$T54=$T53),$U53,IF(C54="x",V53,"")))</f>
        <v/>
      </c>
      <c r="W54" t="str" cm="1">
        <f t="array" ref="W54">IFERROR(_xlfn._xlws.FILTER(game_rosters!AB:AB,(game_rosters!J:J=events!X54)*(K54&lt;&gt;"")),"")</f>
        <v/>
      </c>
      <c r="X54" t="str" cm="1">
        <f t="array" ref="X54">IF(S54="","",IF($I54&lt;&gt;"",$I54,INDEX($I$2:$I53,ROW()-COUNTIFS($T$2:$T53,"="&amp;$T54,$S$2:$S53,"&lt;&gt;"&amp;$S54)-1)))</f>
        <v/>
      </c>
      <c r="Y54" t="b">
        <f>IF(X54&lt;&gt;"",VLOOKUP(X54,game_rosters!$C$43:$E$64,3,FALSE))</f>
        <v>0</v>
      </c>
      <c r="Z54" t="e" cm="1" vm="1">
        <f t="array" aca="1" ref="Z54" ca="1">IFERROR(IF(_xlfn._xlws.FILTER(game_rosters!$J:$J,(game_rosters!$G:$G=events!$AN54)*(game_rosters!$J:$J=events!$X54))&gt;0,1,""),"")</f>
        <v>#VALUE!</v>
      </c>
      <c r="AA54" t="e">
        <f t="shared" si="4"/>
        <v>#VALUE!</v>
      </c>
      <c r="AB54" t="str">
        <f t="shared" si="5"/>
        <v/>
      </c>
      <c r="AC54" t="e">
        <f t="shared" si="0"/>
        <v>#VALUE!</v>
      </c>
      <c r="AD54" s="6"/>
      <c r="BJ54" s="39"/>
      <c r="BM54" s="39"/>
      <c r="BO54" s="19"/>
      <c r="BQ54" s="17"/>
    </row>
    <row r="55" spans="1:69" x14ac:dyDescent="0.2">
      <c r="A55" t="str">
        <f t="shared" si="3"/>
        <v/>
      </c>
      <c r="E55" s="4"/>
      <c r="F55" s="44"/>
      <c r="G55" s="4"/>
      <c r="H55" s="47"/>
      <c r="J55" s="45" t="str">
        <f t="shared" si="41"/>
        <v/>
      </c>
      <c r="N55" t="str">
        <f t="shared" si="43"/>
        <v/>
      </c>
      <c r="Q55" t="str">
        <f t="shared" si="42"/>
        <v/>
      </c>
      <c r="S55" t="str">
        <f>IF(A55=1,MAX(S$2:S54)+1,IF(OR(I55&lt;&gt;"",A55="x"),S54,""))</f>
        <v/>
      </c>
      <c r="T55" t="str">
        <f>IF(D55=1,MAX($T$2:$T54)+1,IF(S55=$S54,$S54,IF($D55="x",T54,IF($D54="x","",""))))</f>
        <v/>
      </c>
      <c r="U55" t="str">
        <f>IF(B55=1,MAX($U$2:$U54)+1,IF(AND($T55&lt;&gt;"",$T55=$T54),$U54,IF(B55="x",U54,"")))</f>
        <v/>
      </c>
      <c r="V55" t="str">
        <f>IF(C55=1,MAX($V$2:$V54)+1,IF(AND($T55&lt;&gt;"",$T55=$T54),$U54,IF(C55="x",V54,"")))</f>
        <v/>
      </c>
      <c r="W55" t="str" cm="1">
        <f t="array" ref="W55">IFERROR(_xlfn._xlws.FILTER(game_rosters!AB:AB,(game_rosters!J:J=events!X55)*(K55&lt;&gt;"")),"")</f>
        <v/>
      </c>
      <c r="X55" t="str" cm="1">
        <f t="array" ref="X55">IF(S55="","",IF($I55&lt;&gt;"",$I55,INDEX($I$2:$I54,ROW()-COUNTIFS($T$2:$T54,"="&amp;$T55,$S$2:$S54,"&lt;&gt;"&amp;$S55)-1)))</f>
        <v/>
      </c>
      <c r="Y55" t="b">
        <f>IF(X55&lt;&gt;"",VLOOKUP(X55,game_rosters!$C$43:$E$64,3,FALSE))</f>
        <v>0</v>
      </c>
      <c r="Z55" t="e" cm="1" vm="1">
        <f t="array" aca="1" ref="Z55" ca="1">IFERROR(IF(_xlfn._xlws.FILTER(game_rosters!$J:$J,(game_rosters!$G:$G=events!$AN55)*(game_rosters!$J:$J=events!$X55))&gt;0,1,""),"")</f>
        <v>#VALUE!</v>
      </c>
      <c r="AA55" t="e">
        <f t="shared" si="4"/>
        <v>#VALUE!</v>
      </c>
      <c r="AB55" t="str">
        <f t="shared" si="5"/>
        <v/>
      </c>
      <c r="AC55" t="e">
        <f t="shared" si="0"/>
        <v>#VALUE!</v>
      </c>
      <c r="AD55" s="6"/>
      <c r="BJ55" s="39"/>
      <c r="BM55" s="39"/>
      <c r="BO55" s="19"/>
      <c r="BQ55" s="17"/>
    </row>
    <row r="56" spans="1:69" x14ac:dyDescent="0.2">
      <c r="A56" t="str">
        <f t="shared" si="3"/>
        <v/>
      </c>
      <c r="E56" s="4"/>
      <c r="F56" s="44"/>
      <c r="G56" s="4"/>
      <c r="H56" s="47"/>
      <c r="J56" s="45" t="str">
        <f t="shared" si="41"/>
        <v/>
      </c>
      <c r="N56" t="str">
        <f t="shared" si="43"/>
        <v/>
      </c>
      <c r="Q56" t="str">
        <f t="shared" si="42"/>
        <v/>
      </c>
      <c r="S56" t="str">
        <f>IF(A56=1,MAX(S$2:S55)+1,IF(OR(I56&lt;&gt;"",A56="x"),S55,""))</f>
        <v/>
      </c>
      <c r="T56" t="str">
        <f>IF(D56=1,MAX($T$2:$T55)+1,IF(S56=$S55,$S55,IF($D56="x",T55,IF($D55="x","",""))))</f>
        <v/>
      </c>
      <c r="U56" t="str">
        <f>IF(B56=1,MAX($U$2:$U55)+1,IF(AND($T56&lt;&gt;"",$T56=$T55),$U55,IF(B56="x",U55,"")))</f>
        <v/>
      </c>
      <c r="V56" t="str">
        <f>IF(C56=1,MAX($V$2:$V55)+1,IF(AND($T56&lt;&gt;"",$T56=$T55),$U55,IF(C56="x",V55,"")))</f>
        <v/>
      </c>
      <c r="W56" t="str" cm="1">
        <f t="array" ref="W56">IFERROR(_xlfn._xlws.FILTER(game_rosters!AB:AB,(game_rosters!J:J=events!X56)*(K56&lt;&gt;"")),"")</f>
        <v/>
      </c>
      <c r="X56" t="str" cm="1">
        <f t="array" ref="X56">IF(S56="","",IF($I56&lt;&gt;"",$I56,INDEX($I$2:$I55,ROW()-COUNTIFS($T$2:$T55,"="&amp;$T56,$S$2:$S55,"&lt;&gt;"&amp;$S56)-1)))</f>
        <v/>
      </c>
      <c r="Y56" t="b">
        <f>IF(X56&lt;&gt;"",VLOOKUP(X56,game_rosters!$C$43:$E$64,3,FALSE))</f>
        <v>0</v>
      </c>
      <c r="Z56" t="e" cm="1" vm="1">
        <f t="array" aca="1" ref="Z56" ca="1">IFERROR(IF(_xlfn._xlws.FILTER(game_rosters!$J:$J,(game_rosters!$G:$G=events!$AN56)*(game_rosters!$J:$J=events!$X56))&gt;0,1,""),"")</f>
        <v>#VALUE!</v>
      </c>
      <c r="AA56" t="e">
        <f t="shared" si="4"/>
        <v>#VALUE!</v>
      </c>
      <c r="AB56" t="str">
        <f t="shared" si="5"/>
        <v/>
      </c>
      <c r="AC56" t="e">
        <f t="shared" si="0"/>
        <v>#VALUE!</v>
      </c>
      <c r="AD56" s="6"/>
      <c r="BJ56" s="39"/>
      <c r="BM56" s="39"/>
      <c r="BO56" s="19"/>
      <c r="BQ56" s="17"/>
    </row>
    <row r="57" spans="1:69" x14ac:dyDescent="0.2">
      <c r="A57" t="str">
        <f t="shared" si="3"/>
        <v/>
      </c>
      <c r="E57" s="4"/>
      <c r="F57" s="44"/>
      <c r="G57" s="4"/>
      <c r="H57" s="47"/>
      <c r="J57" s="45" t="str">
        <f t="shared" si="41"/>
        <v/>
      </c>
      <c r="N57" t="str">
        <f t="shared" si="43"/>
        <v/>
      </c>
      <c r="Q57" t="str">
        <f t="shared" si="42"/>
        <v/>
      </c>
      <c r="S57" t="str">
        <f>IF(A57=1,MAX(S$2:S56)+1,IF(OR(I57&lt;&gt;"",A57="x"),S56,""))</f>
        <v/>
      </c>
      <c r="T57" t="str">
        <f>IF(D57=1,MAX($T$2:$T56)+1,IF(S57=$S56,$S56,IF($D57="x",T56,IF($D56="x","",""))))</f>
        <v/>
      </c>
      <c r="U57" t="str">
        <f>IF(B57=1,MAX($U$2:$U56)+1,IF(AND($T57&lt;&gt;"",$T57=$T56),$U56,IF(B57="x",U56,"")))</f>
        <v/>
      </c>
      <c r="V57" t="str">
        <f>IF(C57=1,MAX($V$2:$V56)+1,IF(AND($T57&lt;&gt;"",$T57=$T56),$U56,IF(C57="x",V56,"")))</f>
        <v/>
      </c>
      <c r="W57" t="str" cm="1">
        <f t="array" ref="W57">IFERROR(_xlfn._xlws.FILTER(game_rosters!AB:AB,(game_rosters!J:J=events!X57)*(K57&lt;&gt;"")),"")</f>
        <v/>
      </c>
      <c r="X57" t="str" cm="1">
        <f t="array" ref="X57">IF(S57="","",IF($I57&lt;&gt;"",$I57,INDEX($I$2:$I56,ROW()-COUNTIFS($T$2:$T56,"="&amp;$T57,$S$2:$S56,"&lt;&gt;"&amp;$S57)-1)))</f>
        <v/>
      </c>
      <c r="Y57" t="b">
        <f>IF(X57&lt;&gt;"",VLOOKUP(X57,game_rosters!$C$43:$E$64,3,FALSE))</f>
        <v>0</v>
      </c>
      <c r="Z57" t="e" cm="1" vm="1">
        <f t="array" aca="1" ref="Z57" ca="1">IFERROR(IF(_xlfn._xlws.FILTER(game_rosters!$J:$J,(game_rosters!$G:$G=events!$AN57)*(game_rosters!$J:$J=events!$X57))&gt;0,1,""),"")</f>
        <v>#VALUE!</v>
      </c>
      <c r="AA57" t="e">
        <f t="shared" si="4"/>
        <v>#VALUE!</v>
      </c>
      <c r="AB57" t="str">
        <f t="shared" si="5"/>
        <v/>
      </c>
      <c r="AC57" t="e">
        <f t="shared" si="0"/>
        <v>#VALUE!</v>
      </c>
      <c r="AD57" s="6"/>
      <c r="BJ57" s="39"/>
      <c r="BM57" s="39"/>
      <c r="BO57" s="19"/>
      <c r="BQ57" s="17"/>
    </row>
    <row r="58" spans="1:69" x14ac:dyDescent="0.2">
      <c r="A58" t="str">
        <f t="shared" si="3"/>
        <v/>
      </c>
      <c r="E58" s="4"/>
      <c r="F58" s="44"/>
      <c r="G58" s="4"/>
      <c r="H58" s="47"/>
      <c r="J58" s="45" t="str">
        <f t="shared" si="41"/>
        <v/>
      </c>
      <c r="N58" t="str">
        <f t="shared" si="43"/>
        <v/>
      </c>
      <c r="Q58" t="str">
        <f t="shared" si="42"/>
        <v/>
      </c>
      <c r="S58" t="str">
        <f>IF(A58=1,MAX(S$2:S57)+1,IF(OR(I58&lt;&gt;"",A58="x"),S57,""))</f>
        <v/>
      </c>
      <c r="T58" t="str">
        <f>IF(D58=1,MAX($T$2:$T57)+1,IF(S58=$S57,$S57,IF($D58="x",T57,IF($D57="x","",""))))</f>
        <v/>
      </c>
      <c r="U58" t="str">
        <f>IF(B58=1,MAX($U$2:$U57)+1,IF(AND($T58&lt;&gt;"",$T58=$T57),$U57,IF(B58="x",U57,"")))</f>
        <v/>
      </c>
      <c r="V58" t="str">
        <f>IF(C58=1,MAX($V$2:$V57)+1,IF(AND($T58&lt;&gt;"",$T58=$T57),$U57,IF(C58="x",V57,"")))</f>
        <v/>
      </c>
      <c r="W58" t="str" cm="1">
        <f t="array" ref="W58">IFERROR(_xlfn._xlws.FILTER(game_rosters!AB:AB,(game_rosters!J:J=events!X58)*(K58&lt;&gt;"")),"")</f>
        <v/>
      </c>
      <c r="X58" t="str" cm="1">
        <f t="array" ref="X58">IF(S58="","",IF($I58&lt;&gt;"",$I58,INDEX($I$2:$I57,ROW()-COUNTIFS($T$2:$T57,"="&amp;$T58,$S$2:$S57,"&lt;&gt;"&amp;$S58)-1)))</f>
        <v/>
      </c>
      <c r="Y58" t="b">
        <f>IF(X58&lt;&gt;"",VLOOKUP(X58,game_rosters!$C$43:$E$64,3,FALSE))</f>
        <v>0</v>
      </c>
      <c r="Z58" t="e" cm="1" vm="1">
        <f t="array" aca="1" ref="Z58" ca="1">IFERROR(IF(_xlfn._xlws.FILTER(game_rosters!$J:$J,(game_rosters!$G:$G=events!$AN58)*(game_rosters!$J:$J=events!$X58))&gt;0,1,""),"")</f>
        <v>#VALUE!</v>
      </c>
      <c r="AA58" t="e">
        <f t="shared" si="4"/>
        <v>#VALUE!</v>
      </c>
      <c r="AB58" t="str">
        <f t="shared" si="5"/>
        <v/>
      </c>
      <c r="AC58" t="e">
        <f t="shared" si="0"/>
        <v>#VALUE!</v>
      </c>
      <c r="AD58" s="6"/>
      <c r="BJ58" s="39"/>
      <c r="BM58" s="39"/>
      <c r="BO58" s="19"/>
      <c r="BQ58" s="17"/>
    </row>
    <row r="59" spans="1:69" x14ac:dyDescent="0.2">
      <c r="A59" t="str">
        <f t="shared" si="3"/>
        <v/>
      </c>
      <c r="E59" s="4"/>
      <c r="F59" s="44"/>
      <c r="G59" s="4"/>
      <c r="H59" s="47"/>
      <c r="J59" s="45" t="str">
        <f t="shared" si="41"/>
        <v/>
      </c>
      <c r="N59" t="str">
        <f t="shared" si="43"/>
        <v/>
      </c>
      <c r="Q59" t="str">
        <f t="shared" si="42"/>
        <v/>
      </c>
      <c r="S59" t="str">
        <f>IF(A59=1,MAX(S$2:S58)+1,IF(OR(I59&lt;&gt;"",A59="x"),S58,""))</f>
        <v/>
      </c>
      <c r="T59" t="str">
        <f>IF(D59=1,MAX($T$2:$T58)+1,IF(S59=$S58,$S58,IF($D59="x",T58,IF($D58="x","",""))))</f>
        <v/>
      </c>
      <c r="U59" t="str">
        <f>IF(B59=1,MAX($U$2:$U58)+1,IF(AND($T59&lt;&gt;"",$T59=$T58),$U58,IF(B59="x",U58,"")))</f>
        <v/>
      </c>
      <c r="V59" t="str">
        <f>IF(C59=1,MAX($V$2:$V58)+1,IF(AND($T59&lt;&gt;"",$T59=$T58),$U58,IF(C59="x",V58,"")))</f>
        <v/>
      </c>
      <c r="W59" t="str" cm="1">
        <f t="array" ref="W59">IFERROR(_xlfn._xlws.FILTER(game_rosters!AB:AB,(game_rosters!J:J=events!X59)*(K59&lt;&gt;"")),"")</f>
        <v/>
      </c>
      <c r="X59" t="str" cm="1">
        <f t="array" ref="X59">IF(S59="","",IF($I59&lt;&gt;"",$I59,INDEX($I$2:$I58,ROW()-COUNTIFS($T$2:$T58,"="&amp;$T59,$S$2:$S58,"&lt;&gt;"&amp;$S59)-1)))</f>
        <v/>
      </c>
      <c r="Y59" t="b">
        <f>IF(X59&lt;&gt;"",VLOOKUP(X59,game_rosters!$C$43:$E$64,3,FALSE))</f>
        <v>0</v>
      </c>
      <c r="Z59" t="e" cm="1" vm="1">
        <f t="array" aca="1" ref="Z59" ca="1">IFERROR(IF(_xlfn._xlws.FILTER(game_rosters!$J:$J,(game_rosters!$G:$G=events!$AN59)*(game_rosters!$J:$J=events!$X59))&gt;0,1,""),"")</f>
        <v>#VALUE!</v>
      </c>
      <c r="AA59" t="e">
        <f t="shared" si="4"/>
        <v>#VALUE!</v>
      </c>
      <c r="AB59" t="str">
        <f t="shared" si="5"/>
        <v/>
      </c>
      <c r="AC59" t="e">
        <f t="shared" si="0"/>
        <v>#VALUE!</v>
      </c>
      <c r="AD59" s="6"/>
      <c r="BJ59" s="39"/>
      <c r="BM59" s="39"/>
      <c r="BO59" s="19"/>
      <c r="BQ59" s="17"/>
    </row>
    <row r="60" spans="1:69" x14ac:dyDescent="0.2">
      <c r="A60" t="str">
        <f t="shared" si="3"/>
        <v/>
      </c>
      <c r="E60" s="4"/>
      <c r="F60" s="44"/>
      <c r="G60" s="4"/>
      <c r="H60" s="47"/>
      <c r="J60" s="45" t="str">
        <f t="shared" si="41"/>
        <v/>
      </c>
      <c r="N60" t="str">
        <f t="shared" si="43"/>
        <v/>
      </c>
      <c r="Q60" t="str">
        <f t="shared" si="42"/>
        <v/>
      </c>
      <c r="S60" t="str">
        <f>IF(A60=1,MAX(S$2:S59)+1,IF(OR(I60&lt;&gt;"",A60="x"),S59,""))</f>
        <v/>
      </c>
      <c r="T60" t="str">
        <f>IF(D60=1,MAX($T$2:$T59)+1,IF(S60=$S59,$S59,IF($D60="x",T59,IF($D59="x","",""))))</f>
        <v/>
      </c>
      <c r="U60" t="str">
        <f>IF(B60=1,MAX($U$2:$U59)+1,IF(AND($T60&lt;&gt;"",$T60=$T59),$U59,IF(B60="x",U59,"")))</f>
        <v/>
      </c>
      <c r="V60" t="str">
        <f>IF(C60=1,MAX($V$2:$V59)+1,IF(AND($T60&lt;&gt;"",$T60=$T59),$U59,IF(C60="x",V59,"")))</f>
        <v/>
      </c>
      <c r="W60" t="str" cm="1">
        <f t="array" ref="W60">IFERROR(_xlfn._xlws.FILTER(game_rosters!AB:AB,(game_rosters!J:J=events!X60)*(K60&lt;&gt;"")),"")</f>
        <v/>
      </c>
      <c r="X60" t="str" cm="1">
        <f t="array" ref="X60">IF(S60="","",IF($I60&lt;&gt;"",$I60,INDEX($I$2:$I59,ROW()-COUNTIFS($T$2:$T59,"="&amp;$T60,$S$2:$S59,"&lt;&gt;"&amp;$S60)-1)))</f>
        <v/>
      </c>
      <c r="Y60" t="b">
        <f>IF(X60&lt;&gt;"",VLOOKUP(X60,game_rosters!$C$43:$E$64,3,FALSE))</f>
        <v>0</v>
      </c>
      <c r="Z60" t="e" cm="1" vm="1">
        <f t="array" aca="1" ref="Z60" ca="1">IFERROR(IF(_xlfn._xlws.FILTER(game_rosters!$J:$J,(game_rosters!$G:$G=events!$AN60)*(game_rosters!$J:$J=events!$X60))&gt;0,1,""),"")</f>
        <v>#VALUE!</v>
      </c>
      <c r="AA60" t="e">
        <f t="shared" si="4"/>
        <v>#VALUE!</v>
      </c>
      <c r="AB60" t="str">
        <f t="shared" si="5"/>
        <v/>
      </c>
      <c r="AC60" t="e">
        <f t="shared" si="0"/>
        <v>#VALUE!</v>
      </c>
      <c r="AD60" s="6"/>
      <c r="BJ60" s="39"/>
      <c r="BM60" s="39"/>
      <c r="BO60" s="19"/>
      <c r="BQ60" s="17"/>
    </row>
    <row r="61" spans="1:69" x14ac:dyDescent="0.2">
      <c r="A61" t="str">
        <f t="shared" si="3"/>
        <v/>
      </c>
      <c r="E61" s="4"/>
      <c r="F61" s="44"/>
      <c r="G61" s="4"/>
      <c r="H61" s="47"/>
      <c r="J61" s="45" t="str">
        <f t="shared" si="41"/>
        <v/>
      </c>
      <c r="N61" t="str">
        <f t="shared" si="43"/>
        <v/>
      </c>
      <c r="Q61" t="str">
        <f t="shared" si="42"/>
        <v/>
      </c>
      <c r="S61" t="str">
        <f>IF(A61=1,MAX(S$2:S60)+1,IF(OR(I61&lt;&gt;"",A61="x"),S60,""))</f>
        <v/>
      </c>
      <c r="T61" t="str">
        <f>IF(D61=1,MAX($T$2:$T60)+1,IF(S61=$S60,$S60,IF($D61="x",T60,IF($D60="x","",""))))</f>
        <v/>
      </c>
      <c r="U61" t="str">
        <f>IF(B61=1,MAX($U$2:$U60)+1,IF(AND($T61&lt;&gt;"",$T61=$T60),$U60,IF(B61="x",U60,"")))</f>
        <v/>
      </c>
      <c r="V61" t="str">
        <f>IF(C61=1,MAX($V$2:$V60)+1,IF(AND($T61&lt;&gt;"",$T61=$T60),$U60,IF(C61="x",V60,"")))</f>
        <v/>
      </c>
      <c r="W61" t="str" cm="1">
        <f t="array" ref="W61">IFERROR(_xlfn._xlws.FILTER(game_rosters!AB:AB,(game_rosters!J:J=events!X61)*(K61&lt;&gt;"")),"")</f>
        <v/>
      </c>
      <c r="X61" t="str" cm="1">
        <f t="array" ref="X61">IF(S61="","",IF($I61&lt;&gt;"",$I61,INDEX($I$2:$I60,ROW()-COUNTIFS($T$2:$T60,"="&amp;$T61,$S$2:$S60,"&lt;&gt;"&amp;$S61)-1)))</f>
        <v/>
      </c>
      <c r="Y61" t="b">
        <f>IF(X61&lt;&gt;"",VLOOKUP(X61,game_rosters!$C$43:$E$64,3,FALSE))</f>
        <v>0</v>
      </c>
      <c r="Z61" t="e" cm="1" vm="1">
        <f t="array" aca="1" ref="Z61" ca="1">IFERROR(IF(_xlfn._xlws.FILTER(game_rosters!$J:$J,(game_rosters!$G:$G=events!$AN61)*(game_rosters!$J:$J=events!$X61))&gt;0,1,""),"")</f>
        <v>#VALUE!</v>
      </c>
      <c r="AA61" t="e">
        <f t="shared" si="4"/>
        <v>#VALUE!</v>
      </c>
      <c r="AB61" t="str">
        <f t="shared" si="5"/>
        <v/>
      </c>
      <c r="AC61" t="e">
        <f t="shared" si="0"/>
        <v>#VALUE!</v>
      </c>
      <c r="AD61" s="6"/>
      <c r="BJ61" s="39"/>
      <c r="BM61" s="39"/>
      <c r="BO61" s="19"/>
      <c r="BQ61" s="17"/>
    </row>
    <row r="62" spans="1:69" x14ac:dyDescent="0.2">
      <c r="A62" t="str">
        <f t="shared" si="3"/>
        <v/>
      </c>
      <c r="E62" s="4"/>
      <c r="F62" s="44"/>
      <c r="G62" s="4"/>
      <c r="H62" s="47"/>
      <c r="J62" s="45" t="str">
        <f t="shared" si="41"/>
        <v/>
      </c>
      <c r="N62" t="str">
        <f t="shared" si="43"/>
        <v/>
      </c>
      <c r="Q62" t="str">
        <f t="shared" si="42"/>
        <v/>
      </c>
      <c r="S62" t="str">
        <f>IF(A62=1,MAX(S$2:S61)+1,IF(OR(I62&lt;&gt;"",A62="x"),S61,""))</f>
        <v/>
      </c>
      <c r="T62" t="str">
        <f>IF(D62=1,MAX($T$2:$T61)+1,IF(S62=$S61,$S61,IF($D62="x",T61,IF($D61="x","",""))))</f>
        <v/>
      </c>
      <c r="U62" t="str">
        <f>IF(B62=1,MAX($U$2:$U61)+1,IF(AND($T62&lt;&gt;"",$T62=$T61),$U61,IF(B62="x",U61,"")))</f>
        <v/>
      </c>
      <c r="V62" t="str">
        <f>IF(C62=1,MAX($V$2:$V61)+1,IF(AND($T62&lt;&gt;"",$T62=$T61),$U61,IF(C62="x",V61,"")))</f>
        <v/>
      </c>
      <c r="W62" t="str" cm="1">
        <f t="array" ref="W62">IFERROR(_xlfn._xlws.FILTER(game_rosters!AB:AB,(game_rosters!J:J=events!X62)*(K62&lt;&gt;"")),"")</f>
        <v/>
      </c>
      <c r="X62" t="str" cm="1">
        <f t="array" ref="X62">IF(S62="","",IF($I62&lt;&gt;"",$I62,INDEX($I$2:$I61,ROW()-COUNTIFS($T$2:$T61,"="&amp;$T62,$S$2:$S61,"&lt;&gt;"&amp;$S62)-1)))</f>
        <v/>
      </c>
      <c r="Y62" t="b">
        <f>IF(X62&lt;&gt;"",VLOOKUP(X62,game_rosters!$C$43:$E$64,3,FALSE))</f>
        <v>0</v>
      </c>
      <c r="Z62" t="e" cm="1" vm="1">
        <f t="array" aca="1" ref="Z62" ca="1">IFERROR(IF(_xlfn._xlws.FILTER(game_rosters!$J:$J,(game_rosters!$G:$G=events!$AN62)*(game_rosters!$J:$J=events!$X62))&gt;0,1,""),"")</f>
        <v>#VALUE!</v>
      </c>
      <c r="AA62" t="e">
        <f t="shared" si="4"/>
        <v>#VALUE!</v>
      </c>
      <c r="AB62" t="str">
        <f t="shared" si="5"/>
        <v/>
      </c>
      <c r="AC62" t="e">
        <f t="shared" si="0"/>
        <v>#VALUE!</v>
      </c>
      <c r="AD62" s="6"/>
      <c r="BJ62" s="39"/>
      <c r="BM62" s="39"/>
      <c r="BO62" s="19"/>
      <c r="BQ62" s="17"/>
    </row>
    <row r="63" spans="1:69" x14ac:dyDescent="0.2">
      <c r="A63" t="str">
        <f t="shared" si="3"/>
        <v/>
      </c>
      <c r="E63" s="4"/>
      <c r="F63" s="44"/>
      <c r="G63" s="4"/>
      <c r="H63" s="47"/>
      <c r="J63" s="45" t="str">
        <f t="shared" si="41"/>
        <v/>
      </c>
      <c r="N63" t="str">
        <f t="shared" si="43"/>
        <v/>
      </c>
      <c r="Q63" t="str">
        <f t="shared" si="42"/>
        <v/>
      </c>
      <c r="S63" t="str">
        <f>IF(A63=1,MAX(S$2:S62)+1,IF(OR(I63&lt;&gt;"",A63="x"),S62,""))</f>
        <v/>
      </c>
      <c r="T63" t="str">
        <f>IF(D63=1,MAX($T$2:$T62)+1,IF(S63=$S62,$S62,IF($D63="x",T62,IF($D62="x","",""))))</f>
        <v/>
      </c>
      <c r="U63" t="str">
        <f>IF(B63=1,MAX($U$2:$U62)+1,IF(AND($T63&lt;&gt;"",$T63=$T62),$U62,IF(B63="x",U62,"")))</f>
        <v/>
      </c>
      <c r="V63" t="str">
        <f>IF(C63=1,MAX($V$2:$V62)+1,IF(AND($T63&lt;&gt;"",$T63=$T62),$U62,IF(C63="x",V62,"")))</f>
        <v/>
      </c>
      <c r="W63" t="str" cm="1">
        <f t="array" ref="W63">IFERROR(_xlfn._xlws.FILTER(game_rosters!AB:AB,(game_rosters!J:J=events!X63)*(K63&lt;&gt;"")),"")</f>
        <v/>
      </c>
      <c r="X63" t="str" cm="1">
        <f t="array" ref="X63">IF(S63="","",IF($I63&lt;&gt;"",$I63,INDEX($I$2:$I62,ROW()-COUNTIFS($T$2:$T62,"="&amp;$T63,$S$2:$S62,"&lt;&gt;"&amp;$S63)-1)))</f>
        <v/>
      </c>
      <c r="Y63" t="b">
        <f>IF(X63&lt;&gt;"",VLOOKUP(X63,game_rosters!$C$43:$E$64,3,FALSE))</f>
        <v>0</v>
      </c>
      <c r="Z63" t="e" cm="1" vm="1">
        <f t="array" aca="1" ref="Z63" ca="1">IFERROR(IF(_xlfn._xlws.FILTER(game_rosters!$J:$J,(game_rosters!$G:$G=events!$AN63)*(game_rosters!$J:$J=events!$X63))&gt;0,1,""),"")</f>
        <v>#VALUE!</v>
      </c>
      <c r="AA63" t="e">
        <f t="shared" si="4"/>
        <v>#VALUE!</v>
      </c>
      <c r="AB63" t="str">
        <f t="shared" si="5"/>
        <v/>
      </c>
      <c r="AC63" t="e">
        <f t="shared" si="0"/>
        <v>#VALUE!</v>
      </c>
      <c r="AD63" s="6"/>
      <c r="BJ63" s="39"/>
      <c r="BM63" s="39"/>
      <c r="BO63" s="19"/>
      <c r="BQ63" s="17"/>
    </row>
    <row r="64" spans="1:69" x14ac:dyDescent="0.2">
      <c r="A64" t="str">
        <f t="shared" si="3"/>
        <v/>
      </c>
      <c r="E64" s="4"/>
      <c r="F64" s="44"/>
      <c r="G64" s="4"/>
      <c r="H64" s="47"/>
      <c r="J64" s="45" t="str">
        <f t="shared" si="41"/>
        <v/>
      </c>
      <c r="N64" t="str">
        <f t="shared" si="43"/>
        <v/>
      </c>
      <c r="Q64" t="str">
        <f t="shared" si="42"/>
        <v/>
      </c>
      <c r="S64" t="str">
        <f>IF(A64=1,MAX(S$2:S63)+1,IF(OR(I64&lt;&gt;"",A64="x"),S63,""))</f>
        <v/>
      </c>
      <c r="T64" t="str">
        <f>IF(D64=1,MAX($T$2:$T63)+1,IF(S64=$S63,$S63,IF($D64="x",T63,IF($D63="x","",""))))</f>
        <v/>
      </c>
      <c r="U64" t="str">
        <f>IF(B64=1,MAX($U$2:$U63)+1,IF(AND($T64&lt;&gt;"",$T64=$T63),$U63,IF(B64="x",U63,"")))</f>
        <v/>
      </c>
      <c r="V64" t="str">
        <f>IF(C64=1,MAX($V$2:$V63)+1,IF(AND($T64&lt;&gt;"",$T64=$T63),$U63,IF(C64="x",V63,"")))</f>
        <v/>
      </c>
      <c r="W64" t="str" cm="1">
        <f t="array" ref="W64">IFERROR(_xlfn._xlws.FILTER(game_rosters!AB:AB,(game_rosters!J:J=events!X64)*(K64&lt;&gt;"")),"")</f>
        <v/>
      </c>
      <c r="X64" t="str" cm="1">
        <f t="array" ref="X64">IF(S64="","",IF($I64&lt;&gt;"",$I64,INDEX($I$2:$I63,ROW()-COUNTIFS($T$2:$T63,"="&amp;$T64,$S$2:$S63,"&lt;&gt;"&amp;$S64)-1)))</f>
        <v/>
      </c>
      <c r="Y64" t="b">
        <f>IF(X64&lt;&gt;"",VLOOKUP(X64,game_rosters!$C$43:$E$64,3,FALSE))</f>
        <v>0</v>
      </c>
      <c r="Z64" t="e" cm="1" vm="1">
        <f t="array" aca="1" ref="Z64" ca="1">IFERROR(IF(_xlfn._xlws.FILTER(game_rosters!$J:$J,(game_rosters!$G:$G=events!$AN64)*(game_rosters!$J:$J=events!$X64))&gt;0,1,""),"")</f>
        <v>#VALUE!</v>
      </c>
      <c r="AA64" t="e">
        <f t="shared" si="4"/>
        <v>#VALUE!</v>
      </c>
      <c r="AB64" t="str">
        <f t="shared" si="5"/>
        <v/>
      </c>
      <c r="AC64" t="e">
        <f t="shared" si="0"/>
        <v>#VALUE!</v>
      </c>
      <c r="AD64" s="6"/>
      <c r="BJ64" s="39"/>
      <c r="BM64" s="39"/>
      <c r="BO64" s="19"/>
      <c r="BQ64" s="17"/>
    </row>
    <row r="65" spans="1:69" x14ac:dyDescent="0.2">
      <c r="A65" t="str">
        <f t="shared" si="3"/>
        <v/>
      </c>
      <c r="E65" s="4"/>
      <c r="F65" s="44"/>
      <c r="G65" s="4"/>
      <c r="H65" s="47"/>
      <c r="J65" s="45" t="str">
        <f t="shared" si="41"/>
        <v/>
      </c>
      <c r="N65" t="str">
        <f t="shared" si="43"/>
        <v/>
      </c>
      <c r="Q65" t="str">
        <f t="shared" si="42"/>
        <v/>
      </c>
      <c r="S65" t="str">
        <f>IF(A65=1,MAX(S$2:S64)+1,IF(OR(I65&lt;&gt;"",A65="x"),S64,""))</f>
        <v/>
      </c>
      <c r="T65" t="str">
        <f>IF(D65=1,MAX($T$2:$T64)+1,IF(S65=$S64,$S64,IF($D65="x",T64,IF($D64="x","",""))))</f>
        <v/>
      </c>
      <c r="U65" t="str">
        <f>IF(B65=1,MAX($U$2:$U64)+1,IF(AND($T65&lt;&gt;"",$T65=$T64),$U64,IF(B65="x",U64,"")))</f>
        <v/>
      </c>
      <c r="V65" t="str">
        <f>IF(C65=1,MAX($V$2:$V64)+1,IF(AND($T65&lt;&gt;"",$T65=$T64),$U64,IF(C65="x",V64,"")))</f>
        <v/>
      </c>
      <c r="W65" t="str" cm="1">
        <f t="array" ref="W65">IFERROR(_xlfn._xlws.FILTER(game_rosters!AB:AB,(game_rosters!J:J=events!X65)*(K65&lt;&gt;"")),"")</f>
        <v/>
      </c>
      <c r="X65" t="str" cm="1">
        <f t="array" ref="X65">IF(S65="","",IF($I65&lt;&gt;"",$I65,INDEX($I$2:$I64,ROW()-COUNTIFS($T$2:$T64,"="&amp;$T65,$S$2:$S64,"&lt;&gt;"&amp;$S65)-1)))</f>
        <v/>
      </c>
      <c r="Y65" t="b">
        <f>IF(X65&lt;&gt;"",VLOOKUP(X65,game_rosters!$C$43:$E$64,3,FALSE))</f>
        <v>0</v>
      </c>
      <c r="Z65" t="e" cm="1" vm="1">
        <f t="array" aca="1" ref="Z65" ca="1">IFERROR(IF(_xlfn._xlws.FILTER(game_rosters!$J:$J,(game_rosters!$G:$G=events!$AN65)*(game_rosters!$J:$J=events!$X65))&gt;0,1,""),"")</f>
        <v>#VALUE!</v>
      </c>
      <c r="AA65" t="e">
        <f t="shared" si="4"/>
        <v>#VALUE!</v>
      </c>
      <c r="AB65" t="str">
        <f t="shared" si="5"/>
        <v/>
      </c>
      <c r="AC65" t="e">
        <f t="shared" si="0"/>
        <v>#VALUE!</v>
      </c>
      <c r="AD65" s="6"/>
      <c r="BJ65" s="39"/>
      <c r="BM65" s="39"/>
      <c r="BO65" s="19"/>
      <c r="BQ65" s="17"/>
    </row>
    <row r="66" spans="1:69" x14ac:dyDescent="0.2">
      <c r="A66" t="str">
        <f t="shared" si="3"/>
        <v/>
      </c>
      <c r="E66" s="4"/>
      <c r="F66" s="44"/>
      <c r="G66" s="4"/>
      <c r="H66" s="47"/>
      <c r="J66" s="45" t="str">
        <f t="shared" si="41"/>
        <v/>
      </c>
      <c r="N66" t="str">
        <f t="shared" si="43"/>
        <v/>
      </c>
      <c r="Q66" t="str">
        <f t="shared" si="42"/>
        <v/>
      </c>
      <c r="S66" t="str">
        <f>IF(A66=1,MAX(S$2:S65)+1,IF(OR(I66&lt;&gt;"",A66="x"),S65,""))</f>
        <v/>
      </c>
      <c r="T66" t="str">
        <f>IF(D66=1,MAX($T$2:$T65)+1,IF(S66=$S65,$S65,IF($D66="x",T65,IF($D65="x","",""))))</f>
        <v/>
      </c>
      <c r="U66" t="str">
        <f>IF(B66=1,MAX($U$2:$U65)+1,IF(AND($T66&lt;&gt;"",$T66=$T65),$U65,IF(B66="x",U65,"")))</f>
        <v/>
      </c>
      <c r="V66" t="str">
        <f>IF(C66=1,MAX($V$2:$V65)+1,IF(AND($T66&lt;&gt;"",$T66=$T65),$U65,IF(C66="x",V65,"")))</f>
        <v/>
      </c>
      <c r="W66" t="str" cm="1">
        <f t="array" ref="W66">IFERROR(_xlfn._xlws.FILTER(game_rosters!AB:AB,(game_rosters!J:J=events!X66)*(K66&lt;&gt;"")),"")</f>
        <v/>
      </c>
      <c r="X66" t="str" cm="1">
        <f t="array" ref="X66">IF(S66="","",IF($I66&lt;&gt;"",$I66,INDEX($I$2:$I65,ROW()-COUNTIFS($T$2:$T65,"="&amp;$T66,$S$2:$S65,"&lt;&gt;"&amp;$S66)-1)))</f>
        <v/>
      </c>
      <c r="Y66" t="b">
        <f>IF(X66&lt;&gt;"",VLOOKUP(X66,game_rosters!$C$43:$E$64,3,FALSE))</f>
        <v>0</v>
      </c>
      <c r="Z66" t="e" cm="1" vm="1">
        <f t="array" aca="1" ref="Z66" ca="1">IFERROR(IF(_xlfn._xlws.FILTER(game_rosters!$J:$J,(game_rosters!$G:$G=events!$AN66)*(game_rosters!$J:$J=events!$X66))&gt;0,1,""),"")</f>
        <v>#VALUE!</v>
      </c>
      <c r="AA66" t="e">
        <f t="shared" si="4"/>
        <v>#VALUE!</v>
      </c>
      <c r="AB66" t="str">
        <f t="shared" si="5"/>
        <v/>
      </c>
      <c r="AC66" t="e">
        <f t="shared" ref="AC66:AC129" si="44">IF(AB66&lt;&gt;"",AB66,S66+1000)</f>
        <v>#VALUE!</v>
      </c>
      <c r="AD66" s="6"/>
      <c r="BJ66" s="39"/>
      <c r="BM66" s="39"/>
      <c r="BO66" s="19"/>
      <c r="BQ66" s="17"/>
    </row>
    <row r="67" spans="1:69" x14ac:dyDescent="0.2">
      <c r="A67" t="str">
        <f t="shared" si="3"/>
        <v/>
      </c>
      <c r="E67" s="4"/>
      <c r="F67" s="44"/>
      <c r="G67" s="4"/>
      <c r="H67" s="47"/>
      <c r="J67" s="45" t="str">
        <f t="shared" si="41"/>
        <v/>
      </c>
      <c r="N67" t="str">
        <f t="shared" si="43"/>
        <v/>
      </c>
      <c r="Q67" t="str">
        <f t="shared" si="42"/>
        <v/>
      </c>
      <c r="S67" t="str">
        <f>IF(A67=1,MAX(S$2:S66)+1,IF(OR(I67&lt;&gt;"",A67="x"),S66,""))</f>
        <v/>
      </c>
      <c r="T67" t="str">
        <f>IF(D67=1,MAX($T$2:$T66)+1,IF(S67=$S66,$S66,IF($D67="x",T66,IF($D66="x","",""))))</f>
        <v/>
      </c>
      <c r="U67" t="str">
        <f>IF(B67=1,MAX($U$2:$U66)+1,IF(AND($T67&lt;&gt;"",$T67=$T66),$U66,IF(B67="x",U66,"")))</f>
        <v/>
      </c>
      <c r="V67" t="str">
        <f>IF(C67=1,MAX($V$2:$V66)+1,IF(AND($T67&lt;&gt;"",$T67=$T66),$U66,IF(C67="x",V66,"")))</f>
        <v/>
      </c>
      <c r="W67" t="str" cm="1">
        <f t="array" ref="W67">IFERROR(_xlfn._xlws.FILTER(game_rosters!AB:AB,(game_rosters!J:J=events!X67)*(K67&lt;&gt;"")),"")</f>
        <v/>
      </c>
      <c r="X67" t="str" cm="1">
        <f t="array" ref="X67">IF(S67="","",IF($I67&lt;&gt;"",$I67,INDEX($I$2:$I66,ROW()-COUNTIFS($T$2:$T66,"="&amp;$T67,$S$2:$S66,"&lt;&gt;"&amp;$S67)-1)))</f>
        <v/>
      </c>
      <c r="Y67" t="b">
        <f>IF(X67&lt;&gt;"",VLOOKUP(X67,game_rosters!$C$43:$E$64,3,FALSE))</f>
        <v>0</v>
      </c>
      <c r="Z67" t="e" cm="1" vm="1">
        <f t="array" aca="1" ref="Z67" ca="1">IFERROR(IF(_xlfn._xlws.FILTER(game_rosters!$J:$J,(game_rosters!$G:$G=events!$AN67)*(game_rosters!$J:$J=events!$X67))&gt;0,1,""),"")</f>
        <v>#VALUE!</v>
      </c>
      <c r="AA67" t="e">
        <f t="shared" si="4"/>
        <v>#VALUE!</v>
      </c>
      <c r="AB67" t="str">
        <f t="shared" si="5"/>
        <v/>
      </c>
      <c r="AC67" t="e">
        <f t="shared" si="44"/>
        <v>#VALUE!</v>
      </c>
      <c r="AD67" s="6"/>
      <c r="BJ67" s="39"/>
      <c r="BM67" s="39"/>
      <c r="BO67" s="19"/>
      <c r="BQ67" s="17"/>
    </row>
    <row r="68" spans="1:69" x14ac:dyDescent="0.2">
      <c r="A68" t="str">
        <f t="shared" si="3"/>
        <v/>
      </c>
      <c r="E68" s="4"/>
      <c r="F68" s="44"/>
      <c r="G68" s="4"/>
      <c r="H68" s="47"/>
      <c r="J68" s="45" t="str">
        <f t="shared" si="41"/>
        <v/>
      </c>
      <c r="N68" t="str">
        <f t="shared" si="43"/>
        <v/>
      </c>
      <c r="Q68" t="str">
        <f t="shared" si="42"/>
        <v/>
      </c>
      <c r="S68" t="str">
        <f>IF(A68=1,MAX(S$2:S67)+1,IF(OR(I68&lt;&gt;"",A68="x"),S67,""))</f>
        <v/>
      </c>
      <c r="T68" t="str">
        <f>IF(D68=1,MAX($T$2:$T67)+1,IF(S68=$S67,$S67,IF($D68="x",T67,IF($D67="x","",""))))</f>
        <v/>
      </c>
      <c r="U68" t="str">
        <f>IF(B68=1,MAX($U$2:$U67)+1,IF(AND($T68&lt;&gt;"",$T68=$T67),$U67,IF(B68="x",U67,"")))</f>
        <v/>
      </c>
      <c r="V68" t="str">
        <f>IF(C68=1,MAX($V$2:$V67)+1,IF(AND($T68&lt;&gt;"",$T68=$T67),$U67,IF(C68="x",V67,"")))</f>
        <v/>
      </c>
      <c r="W68" t="str" cm="1">
        <f t="array" ref="W68">IFERROR(_xlfn._xlws.FILTER(game_rosters!AB:AB,(game_rosters!J:J=events!X68)*(K68&lt;&gt;"")),"")</f>
        <v/>
      </c>
      <c r="X68" t="str" cm="1">
        <f t="array" ref="X68">IF(S68="","",IF($I68&lt;&gt;"",$I68,INDEX($I$2:$I67,ROW()-COUNTIFS($T$2:$T67,"="&amp;$T68,$S$2:$S67,"&lt;&gt;"&amp;$S68)-1)))</f>
        <v/>
      </c>
      <c r="Y68" t="b">
        <f>IF(X68&lt;&gt;"",VLOOKUP(X68,game_rosters!$C$43:$E$64,3,FALSE))</f>
        <v>0</v>
      </c>
      <c r="Z68" t="e" cm="1" vm="1">
        <f t="array" aca="1" ref="Z68" ca="1">IFERROR(IF(_xlfn._xlws.FILTER(game_rosters!$J:$J,(game_rosters!$G:$G=events!$AN68)*(game_rosters!$J:$J=events!$X68))&gt;0,1,""),"")</f>
        <v>#VALUE!</v>
      </c>
      <c r="AA68" t="e">
        <f t="shared" ref="AA68:AA131" si="45">S68+1000</f>
        <v>#VALUE!</v>
      </c>
      <c r="AB68" t="str">
        <f t="shared" ref="AB68:AB131" si="46">IF(T68&lt;&gt;"",9000+T68,"")</f>
        <v/>
      </c>
      <c r="AC68" t="e">
        <f t="shared" si="44"/>
        <v>#VALUE!</v>
      </c>
      <c r="AD68" s="6"/>
      <c r="BJ68" s="39"/>
      <c r="BM68" s="39"/>
      <c r="BO68" s="19"/>
      <c r="BQ68" s="17"/>
    </row>
    <row r="69" spans="1:69" x14ac:dyDescent="0.2">
      <c r="A69" t="str">
        <f t="shared" ref="A69:A132" si="47">IF(K69&lt;&gt;"",1,IF(D69="x","x",""))</f>
        <v/>
      </c>
      <c r="E69" s="4"/>
      <c r="F69" s="44"/>
      <c r="G69" s="4"/>
      <c r="H69" s="47"/>
      <c r="J69" s="45" t="str">
        <f t="shared" si="41"/>
        <v/>
      </c>
      <c r="N69" t="str">
        <f t="shared" si="43"/>
        <v/>
      </c>
      <c r="Q69" t="str">
        <f t="shared" si="42"/>
        <v/>
      </c>
      <c r="S69" t="str">
        <f>IF(A69=1,MAX(S$2:S68)+1,IF(OR(I69&lt;&gt;"",A69="x"),S68,""))</f>
        <v/>
      </c>
      <c r="T69" t="str">
        <f>IF(D69=1,MAX($T$2:$T68)+1,IF(S69=$S68,$S68,IF($D69="x",T68,IF($D68="x","",""))))</f>
        <v/>
      </c>
      <c r="U69" t="str">
        <f>IF(B69=1,MAX($U$2:$U68)+1,IF(AND($T69&lt;&gt;"",$T69=$T68),$U68,IF(B69="x",U68,"")))</f>
        <v/>
      </c>
      <c r="V69" t="str">
        <f>IF(C69=1,MAX($V$2:$V68)+1,IF(AND($T69&lt;&gt;"",$T69=$T68),$U68,IF(C69="x",V68,"")))</f>
        <v/>
      </c>
      <c r="W69" t="str" cm="1">
        <f t="array" ref="W69">IFERROR(_xlfn._xlws.FILTER(game_rosters!AB:AB,(game_rosters!J:J=events!X69)*(K69&lt;&gt;"")),"")</f>
        <v/>
      </c>
      <c r="X69" t="str" cm="1">
        <f t="array" ref="X69">IF(S69="","",IF($I69&lt;&gt;"",$I69,INDEX($I$2:$I68,ROW()-COUNTIFS($T$2:$T68,"="&amp;$T69,$S$2:$S68,"&lt;&gt;"&amp;$S69)-1)))</f>
        <v/>
      </c>
      <c r="Y69" t="b">
        <f>IF(X69&lt;&gt;"",VLOOKUP(X69,game_rosters!$C$43:$E$64,3,FALSE))</f>
        <v>0</v>
      </c>
      <c r="Z69" t="e" cm="1" vm="1">
        <f t="array" aca="1" ref="Z69" ca="1">IFERROR(IF(_xlfn._xlws.FILTER(game_rosters!$J:$J,(game_rosters!$G:$G=events!$AN69)*(game_rosters!$J:$J=events!$X69))&gt;0,1,""),"")</f>
        <v>#VALUE!</v>
      </c>
      <c r="AA69" t="e">
        <f t="shared" si="45"/>
        <v>#VALUE!</v>
      </c>
      <c r="AB69" t="str">
        <f t="shared" si="46"/>
        <v/>
      </c>
      <c r="AC69" t="e">
        <f t="shared" si="44"/>
        <v>#VALUE!</v>
      </c>
      <c r="AD69" s="6"/>
      <c r="BJ69" s="39"/>
      <c r="BM69" s="39"/>
      <c r="BO69" s="19"/>
      <c r="BQ69" s="17"/>
    </row>
    <row r="70" spans="1:69" x14ac:dyDescent="0.2">
      <c r="A70" t="str">
        <f t="shared" si="47"/>
        <v/>
      </c>
      <c r="E70" s="4"/>
      <c r="F70" s="44"/>
      <c r="G70" s="4"/>
      <c r="H70" s="47"/>
      <c r="J70" s="45" t="str">
        <f t="shared" ref="J70:J133" si="48">IF(OR(K70="Goal",K70="Shot",L70="Zone_Entry",M70="Stoppage-Goal",M69="Stoppage-Goal"),"o",IF(OR(K70="Save",K70="Rebound",L70="Zone_Exit",M70="Stoppage-GoalieStoppage",M69="Stoppage-GoalieStoppage"),"d",IF(OR(L70="Faceoff_AfterGoal",L70="Faceoff_PeriodStart",698="Faceoff_GameStart",M69="Stoppage-Goal"),"n","")))</f>
        <v/>
      </c>
      <c r="N70" t="str">
        <f t="shared" si="43"/>
        <v/>
      </c>
      <c r="Q70" t="str">
        <f t="shared" si="42"/>
        <v/>
      </c>
      <c r="S70" t="str">
        <f>IF(A70=1,MAX(S$2:S69)+1,IF(OR(I70&lt;&gt;"",A70="x"),S69,""))</f>
        <v/>
      </c>
      <c r="T70" t="str">
        <f>IF(D70=1,MAX($T$2:$T69)+1,IF(S70=$S69,$S69,IF($D70="x",T69,IF($D69="x","",""))))</f>
        <v/>
      </c>
      <c r="U70" t="str">
        <f>IF(B70=1,MAX($U$2:$U69)+1,IF(AND($T70&lt;&gt;"",$T70=$T69),$U69,IF(B70="x",U69,"")))</f>
        <v/>
      </c>
      <c r="V70" t="str">
        <f>IF(C70=1,MAX($V$2:$V69)+1,IF(AND($T70&lt;&gt;"",$T70=$T69),$U69,IF(C70="x",V69,"")))</f>
        <v/>
      </c>
      <c r="W70" t="str" cm="1">
        <f t="array" ref="W70">IFERROR(_xlfn._xlws.FILTER(game_rosters!AB:AB,(game_rosters!J:J=events!X70)*(K70&lt;&gt;"")),"")</f>
        <v/>
      </c>
      <c r="X70" t="str" cm="1">
        <f t="array" ref="X70">IF(S70="","",IF($I70&lt;&gt;"",$I70,INDEX($I$2:$I69,ROW()-COUNTIFS($T$2:$T69,"="&amp;$T70,$S$2:$S69,"&lt;&gt;"&amp;$S70)-1)))</f>
        <v/>
      </c>
      <c r="Y70" t="b">
        <f>IF(X70&lt;&gt;"",VLOOKUP(X70,game_rosters!$C$43:$E$64,3,FALSE))</f>
        <v>0</v>
      </c>
      <c r="Z70" t="e" cm="1" vm="1">
        <f t="array" aca="1" ref="Z70" ca="1">IFERROR(IF(_xlfn._xlws.FILTER(game_rosters!$J:$J,(game_rosters!$G:$G=events!$AN70)*(game_rosters!$J:$J=events!$X70))&gt;0,1,""),"")</f>
        <v>#VALUE!</v>
      </c>
      <c r="AA70" t="e">
        <f t="shared" si="45"/>
        <v>#VALUE!</v>
      </c>
      <c r="AB70" t="str">
        <f t="shared" si="46"/>
        <v/>
      </c>
      <c r="AC70" t="e">
        <f t="shared" si="44"/>
        <v>#VALUE!</v>
      </c>
      <c r="AD70" s="6"/>
      <c r="BJ70" s="39"/>
      <c r="BM70" s="39"/>
      <c r="BO70" s="19"/>
      <c r="BQ70" s="17"/>
    </row>
    <row r="71" spans="1:69" x14ac:dyDescent="0.2">
      <c r="A71" t="str">
        <f t="shared" si="47"/>
        <v/>
      </c>
      <c r="E71" s="4"/>
      <c r="F71" s="44"/>
      <c r="G71" s="4"/>
      <c r="H71" s="47"/>
      <c r="J71" s="45" t="str">
        <f t="shared" si="48"/>
        <v/>
      </c>
      <c r="N71" t="str">
        <f t="shared" si="43"/>
        <v/>
      </c>
      <c r="Q71" t="str">
        <f t="shared" si="42"/>
        <v/>
      </c>
      <c r="S71" t="str">
        <f>IF(A71=1,MAX(S$2:S70)+1,IF(OR(I71&lt;&gt;"",A71="x"),S70,""))</f>
        <v/>
      </c>
      <c r="T71" t="str">
        <f>IF(D71=1,MAX($T$2:$T70)+1,IF(S71=$S70,$S70,IF($D71="x",T70,IF($D70="x","",""))))</f>
        <v/>
      </c>
      <c r="U71" t="str">
        <f>IF(B71=1,MAX($U$2:$U70)+1,IF(AND($T71&lt;&gt;"",$T71=$T70),$U70,IF(B71="x",U70,"")))</f>
        <v/>
      </c>
      <c r="V71" t="str">
        <f>IF(C71=1,MAX($V$2:$V70)+1,IF(AND($T71&lt;&gt;"",$T71=$T70),$U70,IF(C71="x",V70,"")))</f>
        <v/>
      </c>
      <c r="W71" t="str" cm="1">
        <f t="array" ref="W71">IFERROR(_xlfn._xlws.FILTER(game_rosters!AB:AB,(game_rosters!J:J=events!X71)*(K71&lt;&gt;"")),"")</f>
        <v/>
      </c>
      <c r="X71" t="str" cm="1">
        <f t="array" ref="X71">IF(S71="","",IF($I71&lt;&gt;"",$I71,INDEX($I$2:$I70,ROW()-COUNTIFS($T$2:$T70,"="&amp;$T71,$S$2:$S70,"&lt;&gt;"&amp;$S71)-1)))</f>
        <v/>
      </c>
      <c r="Y71" t="b">
        <f>IF(X71&lt;&gt;"",VLOOKUP(X71,game_rosters!$C$43:$E$64,3,FALSE))</f>
        <v>0</v>
      </c>
      <c r="Z71" t="e" cm="1" vm="1">
        <f t="array" aca="1" ref="Z71" ca="1">IFERROR(IF(_xlfn._xlws.FILTER(game_rosters!$J:$J,(game_rosters!$G:$G=events!$AN71)*(game_rosters!$J:$J=events!$X71))&gt;0,1,""),"")</f>
        <v>#VALUE!</v>
      </c>
      <c r="AA71" t="e">
        <f t="shared" si="45"/>
        <v>#VALUE!</v>
      </c>
      <c r="AB71" t="str">
        <f t="shared" si="46"/>
        <v/>
      </c>
      <c r="AC71" t="e">
        <f t="shared" si="44"/>
        <v>#VALUE!</v>
      </c>
      <c r="AD71" s="6"/>
      <c r="BJ71" s="39"/>
      <c r="BM71" s="39"/>
      <c r="BO71" s="19"/>
      <c r="BQ71" s="17"/>
    </row>
    <row r="72" spans="1:69" x14ac:dyDescent="0.2">
      <c r="A72" t="str">
        <f t="shared" si="47"/>
        <v/>
      </c>
      <c r="E72" s="4"/>
      <c r="F72" s="44"/>
      <c r="G72" s="4"/>
      <c r="H72" s="47"/>
      <c r="J72" s="45" t="str">
        <f t="shared" si="48"/>
        <v/>
      </c>
      <c r="N72" t="str">
        <f t="shared" si="43"/>
        <v/>
      </c>
      <c r="Q72" t="str">
        <f t="shared" si="42"/>
        <v/>
      </c>
      <c r="S72" t="str">
        <f>IF(A72=1,MAX(S$2:S71)+1,IF(OR(I72&lt;&gt;"",A72="x"),S71,""))</f>
        <v/>
      </c>
      <c r="T72" t="str">
        <f>IF(D72=1,MAX($T$2:$T71)+1,IF(S72=$S71,$S71,IF($D72="x",T71,IF($D71="x","",""))))</f>
        <v/>
      </c>
      <c r="U72" t="str">
        <f>IF(B72=1,MAX($U$2:$U71)+1,IF(AND($T72&lt;&gt;"",$T72=$T71),$U71,IF(B72="x",U71,"")))</f>
        <v/>
      </c>
      <c r="V72" t="str">
        <f>IF(C72=1,MAX($V$2:$V71)+1,IF(AND($T72&lt;&gt;"",$T72=$T71),$U71,IF(C72="x",V71,"")))</f>
        <v/>
      </c>
      <c r="W72" t="str" cm="1">
        <f t="array" ref="W72">IFERROR(_xlfn._xlws.FILTER(game_rosters!AB:AB,(game_rosters!J:J=events!X72)*(K72&lt;&gt;"")),"")</f>
        <v/>
      </c>
      <c r="X72" t="str" cm="1">
        <f t="array" ref="X72">IF(S72="","",IF($I72&lt;&gt;"",$I72,INDEX($I$2:$I71,ROW()-COUNTIFS($T$2:$T71,"="&amp;$T72,$S$2:$S71,"&lt;&gt;"&amp;$S72)-1)))</f>
        <v/>
      </c>
      <c r="Y72" t="b">
        <f>IF(X72&lt;&gt;"",VLOOKUP(X72,game_rosters!$C$43:$E$64,3,FALSE))</f>
        <v>0</v>
      </c>
      <c r="Z72" t="e" cm="1" vm="1">
        <f t="array" aca="1" ref="Z72" ca="1">IFERROR(IF(_xlfn._xlws.FILTER(game_rosters!$J:$J,(game_rosters!$G:$G=events!$AN72)*(game_rosters!$J:$J=events!$X72))&gt;0,1,""),"")</f>
        <v>#VALUE!</v>
      </c>
      <c r="AA72" t="e">
        <f t="shared" si="45"/>
        <v>#VALUE!</v>
      </c>
      <c r="AB72" t="str">
        <f t="shared" si="46"/>
        <v/>
      </c>
      <c r="AC72" t="e">
        <f t="shared" si="44"/>
        <v>#VALUE!</v>
      </c>
      <c r="AD72" s="6"/>
      <c r="BJ72" s="39"/>
      <c r="BM72" s="39"/>
      <c r="BO72" s="19"/>
      <c r="BQ72" s="17"/>
    </row>
    <row r="73" spans="1:69" x14ac:dyDescent="0.2">
      <c r="A73" t="str">
        <f t="shared" si="47"/>
        <v/>
      </c>
      <c r="E73" s="4"/>
      <c r="F73" s="44"/>
      <c r="G73" s="4"/>
      <c r="H73" s="47"/>
      <c r="J73" s="45" t="str">
        <f t="shared" si="48"/>
        <v/>
      </c>
      <c r="N73" t="str">
        <f t="shared" si="43"/>
        <v/>
      </c>
      <c r="Q73" t="str">
        <f t="shared" si="42"/>
        <v/>
      </c>
      <c r="S73" t="str">
        <f>IF(A73=1,MAX(S$2:S72)+1,IF(OR(I73&lt;&gt;"",A73="x"),S72,""))</f>
        <v/>
      </c>
      <c r="T73" t="str">
        <f>IF(D73=1,MAX($T$2:$T72)+1,IF(S73=$S72,$S72,IF($D73="x",T72,IF($D72="x","",""))))</f>
        <v/>
      </c>
      <c r="U73" t="str">
        <f>IF(B73=1,MAX($U$2:$U72)+1,IF(AND($T73&lt;&gt;"",$T73=$T72),$U72,IF(B73="x",U72,"")))</f>
        <v/>
      </c>
      <c r="V73" t="str">
        <f>IF(C73=1,MAX($V$2:$V72)+1,IF(AND($T73&lt;&gt;"",$T73=$T72),$U72,IF(C73="x",V72,"")))</f>
        <v/>
      </c>
      <c r="W73" t="str" cm="1">
        <f t="array" ref="W73">IFERROR(_xlfn._xlws.FILTER(game_rosters!AB:AB,(game_rosters!J:J=events!X73)*(K73&lt;&gt;"")),"")</f>
        <v/>
      </c>
      <c r="X73" t="str" cm="1">
        <f t="array" ref="X73">IF(S73="","",IF($I73&lt;&gt;"",$I73,INDEX($I$2:$I72,ROW()-COUNTIFS($T$2:$T72,"="&amp;$T73,$S$2:$S72,"&lt;&gt;"&amp;$S73)-1)))</f>
        <v/>
      </c>
      <c r="Y73" t="b">
        <f>IF(X73&lt;&gt;"",VLOOKUP(X73,game_rosters!$C$43:$E$64,3,FALSE))</f>
        <v>0</v>
      </c>
      <c r="Z73" t="e" cm="1" vm="1">
        <f t="array" aca="1" ref="Z73" ca="1">IFERROR(IF(_xlfn._xlws.FILTER(game_rosters!$J:$J,(game_rosters!$G:$G=events!$AN73)*(game_rosters!$J:$J=events!$X73))&gt;0,1,""),"")</f>
        <v>#VALUE!</v>
      </c>
      <c r="AA73" t="e">
        <f t="shared" si="45"/>
        <v>#VALUE!</v>
      </c>
      <c r="AB73" t="str">
        <f t="shared" si="46"/>
        <v/>
      </c>
      <c r="AC73" t="e">
        <f t="shared" si="44"/>
        <v>#VALUE!</v>
      </c>
      <c r="AD73" s="6"/>
      <c r="BJ73" s="39"/>
      <c r="BM73" s="39"/>
      <c r="BO73" s="19"/>
      <c r="BQ73" s="17"/>
    </row>
    <row r="74" spans="1:69" x14ac:dyDescent="0.2">
      <c r="A74" t="str">
        <f t="shared" si="47"/>
        <v/>
      </c>
      <c r="E74" s="4"/>
      <c r="F74" s="44"/>
      <c r="G74" s="4"/>
      <c r="H74" s="47"/>
      <c r="J74" s="45" t="str">
        <f t="shared" si="48"/>
        <v/>
      </c>
      <c r="N74" t="str">
        <f t="shared" si="43"/>
        <v/>
      </c>
      <c r="Q74" t="str">
        <f t="shared" si="42"/>
        <v/>
      </c>
      <c r="S74" t="str">
        <f>IF(A74=1,MAX(S$2:S73)+1,IF(OR(I74&lt;&gt;"",A74="x"),S73,""))</f>
        <v/>
      </c>
      <c r="T74" t="str">
        <f>IF(D74=1,MAX($T$2:$T73)+1,IF(S74=$S73,$S73,IF($D74="x",T73,IF($D73="x","",""))))</f>
        <v/>
      </c>
      <c r="U74" t="str">
        <f>IF(B74=1,MAX($U$2:$U73)+1,IF(AND($T74&lt;&gt;"",$T74=$T73),$U73,IF(B74="x",U73,"")))</f>
        <v/>
      </c>
      <c r="V74" t="str">
        <f>IF(C74=1,MAX($V$2:$V73)+1,IF(AND($T74&lt;&gt;"",$T74=$T73),$U73,IF(C74="x",V73,"")))</f>
        <v/>
      </c>
      <c r="W74" t="str" cm="1">
        <f t="array" ref="W74">IFERROR(_xlfn._xlws.FILTER(game_rosters!AB:AB,(game_rosters!J:J=events!X74)*(K74&lt;&gt;"")),"")</f>
        <v/>
      </c>
      <c r="X74" t="str" cm="1">
        <f t="array" ref="X74">IF(S74="","",IF($I74&lt;&gt;"",$I74,INDEX($I$2:$I73,ROW()-COUNTIFS($T$2:$T73,"="&amp;$T74,$S$2:$S73,"&lt;&gt;"&amp;$S74)-1)))</f>
        <v/>
      </c>
      <c r="Y74" t="b">
        <f>IF(X74&lt;&gt;"",VLOOKUP(X74,game_rosters!$C$43:$E$64,3,FALSE))</f>
        <v>0</v>
      </c>
      <c r="Z74" t="e" cm="1" vm="1">
        <f t="array" aca="1" ref="Z74" ca="1">IFERROR(IF(_xlfn._xlws.FILTER(game_rosters!$J:$J,(game_rosters!$G:$G=events!$AN74)*(game_rosters!$J:$J=events!$X74))&gt;0,1,""),"")</f>
        <v>#VALUE!</v>
      </c>
      <c r="AA74" t="e">
        <f t="shared" si="45"/>
        <v>#VALUE!</v>
      </c>
      <c r="AB74" t="str">
        <f t="shared" si="46"/>
        <v/>
      </c>
      <c r="AC74" t="e">
        <f t="shared" si="44"/>
        <v>#VALUE!</v>
      </c>
      <c r="AD74" s="6"/>
      <c r="BJ74" s="39"/>
      <c r="BM74" s="39"/>
      <c r="BO74" s="19"/>
      <c r="BQ74" s="17"/>
    </row>
    <row r="75" spans="1:69" x14ac:dyDescent="0.2">
      <c r="A75" t="str">
        <f t="shared" si="47"/>
        <v/>
      </c>
      <c r="E75" s="4"/>
      <c r="F75" s="44"/>
      <c r="G75" s="4"/>
      <c r="H75" s="47"/>
      <c r="J75" s="45" t="str">
        <f t="shared" si="48"/>
        <v/>
      </c>
      <c r="N75" t="str">
        <f t="shared" si="43"/>
        <v/>
      </c>
      <c r="Q75" t="str">
        <f t="shared" si="42"/>
        <v/>
      </c>
      <c r="S75" t="str">
        <f>IF(A75=1,MAX(S$2:S74)+1,IF(OR(I75&lt;&gt;"",A75="x"),S74,""))</f>
        <v/>
      </c>
      <c r="T75" t="str">
        <f>IF(D75=1,MAX($T$2:$T74)+1,IF(S75=$S74,$S74,IF($D75="x",T74,IF($D74="x","",""))))</f>
        <v/>
      </c>
      <c r="U75" t="str">
        <f>IF(B75=1,MAX($U$2:$U74)+1,IF(AND($T75&lt;&gt;"",$T75=$T74),$U74,IF(B75="x",U74,"")))</f>
        <v/>
      </c>
      <c r="V75" t="str">
        <f>IF(C75=1,MAX($V$2:$V74)+1,IF(AND($T75&lt;&gt;"",$T75=$T74),$U74,IF(C75="x",V74,"")))</f>
        <v/>
      </c>
      <c r="W75" t="str" cm="1">
        <f t="array" ref="W75">IFERROR(_xlfn._xlws.FILTER(game_rosters!AB:AB,(game_rosters!J:J=events!X75)*(K75&lt;&gt;"")),"")</f>
        <v/>
      </c>
      <c r="X75" t="str" cm="1">
        <f t="array" ref="X75">IF(S75="","",IF($I75&lt;&gt;"",$I75,INDEX($I$2:$I74,ROW()-COUNTIFS($T$2:$T74,"="&amp;$T75,$S$2:$S74,"&lt;&gt;"&amp;$S75)-1)))</f>
        <v/>
      </c>
      <c r="Y75" t="b">
        <f>IF(X75&lt;&gt;"",VLOOKUP(X75,game_rosters!$C$43:$E$64,3,FALSE))</f>
        <v>0</v>
      </c>
      <c r="Z75" t="e" cm="1" vm="1">
        <f t="array" aca="1" ref="Z75" ca="1">IFERROR(IF(_xlfn._xlws.FILTER(game_rosters!$J:$J,(game_rosters!$G:$G=events!$AN75)*(game_rosters!$J:$J=events!$X75))&gt;0,1,""),"")</f>
        <v>#VALUE!</v>
      </c>
      <c r="AA75" t="e">
        <f t="shared" si="45"/>
        <v>#VALUE!</v>
      </c>
      <c r="AB75" t="str">
        <f t="shared" si="46"/>
        <v/>
      </c>
      <c r="AC75" t="e">
        <f t="shared" si="44"/>
        <v>#VALUE!</v>
      </c>
      <c r="AD75" s="6"/>
      <c r="BJ75" s="39"/>
      <c r="BM75" s="39"/>
      <c r="BO75" s="19"/>
      <c r="BQ75" s="17"/>
    </row>
    <row r="76" spans="1:69" x14ac:dyDescent="0.2">
      <c r="A76" t="str">
        <f t="shared" si="47"/>
        <v/>
      </c>
      <c r="E76" s="4"/>
      <c r="F76" s="44"/>
      <c r="G76" s="4"/>
      <c r="H76" s="47"/>
      <c r="J76" s="45" t="str">
        <f t="shared" si="48"/>
        <v/>
      </c>
      <c r="N76" t="str">
        <f t="shared" si="43"/>
        <v/>
      </c>
      <c r="Q76" t="str">
        <f t="shared" si="42"/>
        <v/>
      </c>
      <c r="S76" t="str">
        <f>IF(A76=1,MAX(S$2:S75)+1,IF(OR(I76&lt;&gt;"",A76="x"),S75,""))</f>
        <v/>
      </c>
      <c r="T76" t="str">
        <f>IF(D76=1,MAX($T$2:$T75)+1,IF(S76=$S75,$S75,IF($D76="x",T75,IF($D75="x","",""))))</f>
        <v/>
      </c>
      <c r="U76" t="str">
        <f>IF(B76=1,MAX($U$2:$U75)+1,IF(AND($T76&lt;&gt;"",$T76=$T75),$U75,IF(B76="x",U75,"")))</f>
        <v/>
      </c>
      <c r="V76" t="str">
        <f>IF(C76=1,MAX($V$2:$V75)+1,IF(AND($T76&lt;&gt;"",$T76=$T75),$U75,IF(C76="x",V75,"")))</f>
        <v/>
      </c>
      <c r="W76" t="str" cm="1">
        <f t="array" ref="W76">IFERROR(_xlfn._xlws.FILTER(game_rosters!AB:AB,(game_rosters!J:J=events!X76)*(K76&lt;&gt;"")),"")</f>
        <v/>
      </c>
      <c r="X76" t="str" cm="1">
        <f t="array" ref="X76">IF(S76="","",IF($I76&lt;&gt;"",$I76,INDEX($I$2:$I75,ROW()-COUNTIFS($T$2:$T75,"="&amp;$T76,$S$2:$S75,"&lt;&gt;"&amp;$S76)-1)))</f>
        <v/>
      </c>
      <c r="Y76" t="b">
        <f>IF(X76&lt;&gt;"",VLOOKUP(X76,game_rosters!$C$43:$E$64,3,FALSE))</f>
        <v>0</v>
      </c>
      <c r="Z76" t="e" cm="1" vm="1">
        <f t="array" aca="1" ref="Z76" ca="1">IFERROR(IF(_xlfn._xlws.FILTER(game_rosters!$J:$J,(game_rosters!$G:$G=events!$AN76)*(game_rosters!$J:$J=events!$X76))&gt;0,1,""),"")</f>
        <v>#VALUE!</v>
      </c>
      <c r="AA76" t="e">
        <f t="shared" si="45"/>
        <v>#VALUE!</v>
      </c>
      <c r="AB76" t="str">
        <f t="shared" si="46"/>
        <v/>
      </c>
      <c r="AC76" t="e">
        <f t="shared" si="44"/>
        <v>#VALUE!</v>
      </c>
      <c r="AD76" s="6"/>
      <c r="BJ76" s="39"/>
      <c r="BM76" s="39"/>
      <c r="BO76" s="19"/>
      <c r="BQ76" s="17"/>
    </row>
    <row r="77" spans="1:69" x14ac:dyDescent="0.2">
      <c r="A77" t="str">
        <f t="shared" si="47"/>
        <v/>
      </c>
      <c r="E77" s="4"/>
      <c r="F77" s="44"/>
      <c r="G77" s="4"/>
      <c r="H77" s="47"/>
      <c r="J77" s="45" t="str">
        <f t="shared" si="48"/>
        <v/>
      </c>
      <c r="N77" t="str">
        <f t="shared" si="43"/>
        <v/>
      </c>
      <c r="Q77" t="str">
        <f t="shared" si="42"/>
        <v/>
      </c>
      <c r="S77" t="str">
        <f>IF(A77=1,MAX(S$2:S76)+1,IF(OR(I77&lt;&gt;"",A77="x"),S76,""))</f>
        <v/>
      </c>
      <c r="T77" t="str">
        <f>IF(D77=1,MAX($T$2:$T76)+1,IF(S77=$S76,$S76,IF($D77="x",T76,IF($D76="x","",""))))</f>
        <v/>
      </c>
      <c r="U77" t="str">
        <f>IF(B77=1,MAX($U$2:$U76)+1,IF(AND($T77&lt;&gt;"",$T77=$T76),$U76,IF(B77="x",U76,"")))</f>
        <v/>
      </c>
      <c r="V77" t="str">
        <f>IF(C77=1,MAX($V$2:$V76)+1,IF(AND($T77&lt;&gt;"",$T77=$T76),$U76,IF(C77="x",V76,"")))</f>
        <v/>
      </c>
      <c r="W77" t="str" cm="1">
        <f t="array" ref="W77">IFERROR(_xlfn._xlws.FILTER(game_rosters!AB:AB,(game_rosters!J:J=events!X77)*(K77&lt;&gt;"")),"")</f>
        <v/>
      </c>
      <c r="X77" t="str" cm="1">
        <f t="array" ref="X77">IF(S77="","",IF($I77&lt;&gt;"",$I77,INDEX($I$2:$I76,ROW()-COUNTIFS($T$2:$T76,"="&amp;$T77,$S$2:$S76,"&lt;&gt;"&amp;$S77)-1)))</f>
        <v/>
      </c>
      <c r="Y77" t="b">
        <f>IF(X77&lt;&gt;"",VLOOKUP(X77,game_rosters!$C$43:$E$64,3,FALSE))</f>
        <v>0</v>
      </c>
      <c r="Z77" t="e" cm="1" vm="1">
        <f t="array" aca="1" ref="Z77" ca="1">IFERROR(IF(_xlfn._xlws.FILTER(game_rosters!$J:$J,(game_rosters!$G:$G=events!$AN77)*(game_rosters!$J:$J=events!$X77))&gt;0,1,""),"")</f>
        <v>#VALUE!</v>
      </c>
      <c r="AA77" t="e">
        <f t="shared" si="45"/>
        <v>#VALUE!</v>
      </c>
      <c r="AB77" t="str">
        <f t="shared" si="46"/>
        <v/>
      </c>
      <c r="AC77" t="e">
        <f t="shared" si="44"/>
        <v>#VALUE!</v>
      </c>
      <c r="AD77" s="6"/>
      <c r="BJ77" s="39"/>
      <c r="BM77" s="39"/>
      <c r="BO77" s="19"/>
      <c r="BQ77" s="17"/>
    </row>
    <row r="78" spans="1:69" x14ac:dyDescent="0.2">
      <c r="A78" t="str">
        <f t="shared" si="47"/>
        <v/>
      </c>
      <c r="E78" s="4"/>
      <c r="F78" s="44"/>
      <c r="G78" s="4"/>
      <c r="H78" s="47"/>
      <c r="J78" s="45" t="str">
        <f t="shared" si="48"/>
        <v/>
      </c>
      <c r="N78" t="str">
        <f t="shared" si="43"/>
        <v/>
      </c>
      <c r="Q78" t="str">
        <f t="shared" si="42"/>
        <v/>
      </c>
      <c r="S78" t="str">
        <f>IF(A78=1,MAX(S$2:S77)+1,IF(OR(I78&lt;&gt;"",A78="x"),S77,""))</f>
        <v/>
      </c>
      <c r="T78" t="str">
        <f>IF(D78=1,MAX($T$2:$T77)+1,IF(S78=$S77,$S77,IF($D78="x",T77,IF($D77="x","",""))))</f>
        <v/>
      </c>
      <c r="U78" t="str">
        <f>IF(B78=1,MAX($U$2:$U77)+1,IF(AND($T78&lt;&gt;"",$T78=$T77),$U77,IF(B78="x",U77,"")))</f>
        <v/>
      </c>
      <c r="V78" t="str">
        <f>IF(C78=1,MAX($V$2:$V77)+1,IF(AND($T78&lt;&gt;"",$T78=$T77),$U77,IF(C78="x",V77,"")))</f>
        <v/>
      </c>
      <c r="W78" t="str" cm="1">
        <f t="array" ref="W78">IFERROR(_xlfn._xlws.FILTER(game_rosters!AB:AB,(game_rosters!J:J=events!X78)*(K78&lt;&gt;"")),"")</f>
        <v/>
      </c>
      <c r="X78" t="str" cm="1">
        <f t="array" ref="X78">IF(S78="","",IF($I78&lt;&gt;"",$I78,INDEX($I$2:$I77,ROW()-COUNTIFS($T$2:$T77,"="&amp;$T78,$S$2:$S77,"&lt;&gt;"&amp;$S78)-1)))</f>
        <v/>
      </c>
      <c r="Y78" t="b">
        <f>IF(X78&lt;&gt;"",VLOOKUP(X78,game_rosters!$C$43:$E$64,3,FALSE))</f>
        <v>0</v>
      </c>
      <c r="Z78" t="e" cm="1" vm="1">
        <f t="array" aca="1" ref="Z78" ca="1">IFERROR(IF(_xlfn._xlws.FILTER(game_rosters!$J:$J,(game_rosters!$G:$G=events!$AN78)*(game_rosters!$J:$J=events!$X78))&gt;0,1,""),"")</f>
        <v>#VALUE!</v>
      </c>
      <c r="AA78" t="e">
        <f t="shared" si="45"/>
        <v>#VALUE!</v>
      </c>
      <c r="AB78" t="str">
        <f t="shared" si="46"/>
        <v/>
      </c>
      <c r="AC78" t="e">
        <f t="shared" si="44"/>
        <v>#VALUE!</v>
      </c>
      <c r="AD78" s="6"/>
      <c r="BJ78" s="39"/>
      <c r="BM78" s="39"/>
      <c r="BO78" s="19"/>
      <c r="BQ78" s="17"/>
    </row>
    <row r="79" spans="1:69" x14ac:dyDescent="0.2">
      <c r="A79" t="str">
        <f t="shared" si="47"/>
        <v/>
      </c>
      <c r="E79" s="4"/>
      <c r="F79" s="44"/>
      <c r="G79" s="4"/>
      <c r="H79" s="47"/>
      <c r="J79" s="45" t="str">
        <f t="shared" si="48"/>
        <v/>
      </c>
      <c r="N79" t="str">
        <f t="shared" si="43"/>
        <v/>
      </c>
      <c r="Q79" t="str">
        <f t="shared" si="42"/>
        <v/>
      </c>
      <c r="S79" t="str">
        <f>IF(A79=1,MAX(S$2:S78)+1,IF(OR(I79&lt;&gt;"",A79="x"),S78,""))</f>
        <v/>
      </c>
      <c r="T79" t="str">
        <f>IF(D79=1,MAX($T$2:$T78)+1,IF(S79=$S78,$S78,IF($D79="x",T78,IF($D78="x","",""))))</f>
        <v/>
      </c>
      <c r="U79" t="str">
        <f>IF(B79=1,MAX($U$2:$U78)+1,IF(AND($T79&lt;&gt;"",$T79=$T78),$U78,IF(B79="x",U78,"")))</f>
        <v/>
      </c>
      <c r="V79" t="str">
        <f>IF(C79=1,MAX($V$2:$V78)+1,IF(AND($T79&lt;&gt;"",$T79=$T78),$U78,IF(C79="x",V78,"")))</f>
        <v/>
      </c>
      <c r="W79" t="str" cm="1">
        <f t="array" ref="W79">IFERROR(_xlfn._xlws.FILTER(game_rosters!AB:AB,(game_rosters!J:J=events!X79)*(K79&lt;&gt;"")),"")</f>
        <v/>
      </c>
      <c r="X79" t="str" cm="1">
        <f t="array" ref="X79">IF(S79="","",IF($I79&lt;&gt;"",$I79,INDEX($I$2:$I78,ROW()-COUNTIFS($T$2:$T78,"="&amp;$T79,$S$2:$S78,"&lt;&gt;"&amp;$S79)-1)))</f>
        <v/>
      </c>
      <c r="Y79" t="b">
        <f>IF(X79&lt;&gt;"",VLOOKUP(X79,game_rosters!$C$43:$E$64,3,FALSE))</f>
        <v>0</v>
      </c>
      <c r="Z79" t="e" cm="1" vm="1">
        <f t="array" aca="1" ref="Z79" ca="1">IFERROR(IF(_xlfn._xlws.FILTER(game_rosters!$J:$J,(game_rosters!$G:$G=events!$AN79)*(game_rosters!$J:$J=events!$X79))&gt;0,1,""),"")</f>
        <v>#VALUE!</v>
      </c>
      <c r="AA79" t="e">
        <f t="shared" si="45"/>
        <v>#VALUE!</v>
      </c>
      <c r="AB79" t="str">
        <f t="shared" si="46"/>
        <v/>
      </c>
      <c r="AC79" t="e">
        <f t="shared" si="44"/>
        <v>#VALUE!</v>
      </c>
      <c r="AD79" s="6"/>
      <c r="BJ79" s="39"/>
      <c r="BM79" s="39"/>
      <c r="BO79" s="19"/>
      <c r="BQ79" s="17"/>
    </row>
    <row r="80" spans="1:69" x14ac:dyDescent="0.2">
      <c r="A80" t="str">
        <f t="shared" si="47"/>
        <v/>
      </c>
      <c r="E80" s="4"/>
      <c r="F80" s="44"/>
      <c r="G80" s="4"/>
      <c r="H80" s="47"/>
      <c r="J80" s="45" t="str">
        <f t="shared" si="48"/>
        <v/>
      </c>
      <c r="N80" t="str">
        <f t="shared" si="43"/>
        <v/>
      </c>
      <c r="Q80" t="str">
        <f t="shared" ref="Q80:Q143" si="49">IF(O80="","",IF(AND(N80&lt;&gt;"",OR(O80&lt;&gt;"",P80&lt;&gt;"")),N80,IF(OR(ISNUMBER(SEARCH("attemp",O80)),ISNUMBER(SEARCH("beat",O80)),ISNUMBER(SEARCH("mis",O80)),ISNUMBER(SEARCH("fail",O80)),ISNUMBER(SEARCH("loss",O80)),ISNUMBER(SEARCH("lost",O80)),ISNUMBER(SEARCH("attemp",P80)),ISNUMBER(SEARCH("mis",P80)),ISNUMBER(SEARCH("fail",P80)),ISNUMBER(SEARCH("loss",P80)),ISNUMBER(SEARCH("beat",P80)),ISNUMBER(SEARCH("lost",P80))),"u","")))</f>
        <v/>
      </c>
      <c r="S80" t="str">
        <f>IF(A80=1,MAX(S$2:S79)+1,IF(OR(I80&lt;&gt;"",A80="x"),S79,""))</f>
        <v/>
      </c>
      <c r="T80" t="str">
        <f>IF(D80=1,MAX($T$2:$T79)+1,IF(S80=$S79,$S79,IF($D80="x",T79,IF($D79="x","",""))))</f>
        <v/>
      </c>
      <c r="U80" t="str">
        <f>IF(B80=1,MAX($U$2:$U79)+1,IF(AND($T80&lt;&gt;"",$T80=$T79),$U79,IF(B80="x",U79,"")))</f>
        <v/>
      </c>
      <c r="V80" t="str">
        <f>IF(C80=1,MAX($V$2:$V79)+1,IF(AND($T80&lt;&gt;"",$T80=$T79),$U79,IF(C80="x",V79,"")))</f>
        <v/>
      </c>
      <c r="W80" t="str" cm="1">
        <f t="array" ref="W80">IFERROR(_xlfn._xlws.FILTER(game_rosters!AB:AB,(game_rosters!J:J=events!X80)*(K80&lt;&gt;"")),"")</f>
        <v/>
      </c>
      <c r="X80" t="str" cm="1">
        <f t="array" ref="X80">IF(S80="","",IF($I80&lt;&gt;"",$I80,INDEX($I$2:$I79,ROW()-COUNTIFS($T$2:$T79,"="&amp;$T80,$S$2:$S79,"&lt;&gt;"&amp;$S80)-1)))</f>
        <v/>
      </c>
      <c r="Y80" t="b">
        <f>IF(X80&lt;&gt;"",VLOOKUP(X80,game_rosters!$C$43:$E$64,3,FALSE))</f>
        <v>0</v>
      </c>
      <c r="Z80" t="e" cm="1" vm="1">
        <f t="array" aca="1" ref="Z80" ca="1">IFERROR(IF(_xlfn._xlws.FILTER(game_rosters!$J:$J,(game_rosters!$G:$G=events!$AN80)*(game_rosters!$J:$J=events!$X80))&gt;0,1,""),"")</f>
        <v>#VALUE!</v>
      </c>
      <c r="AA80" t="e">
        <f t="shared" si="45"/>
        <v>#VALUE!</v>
      </c>
      <c r="AB80" t="str">
        <f t="shared" si="46"/>
        <v/>
      </c>
      <c r="AC80" t="e">
        <f t="shared" si="44"/>
        <v>#VALUE!</v>
      </c>
      <c r="AD80" s="6"/>
      <c r="BJ80" s="39"/>
      <c r="BM80" s="39"/>
      <c r="BO80" s="19"/>
      <c r="BQ80" s="17"/>
    </row>
    <row r="81" spans="1:69" x14ac:dyDescent="0.2">
      <c r="A81" t="str">
        <f t="shared" si="47"/>
        <v/>
      </c>
      <c r="E81" s="4"/>
      <c r="F81" s="44"/>
      <c r="G81" s="4"/>
      <c r="H81" s="47"/>
      <c r="J81" s="45" t="str">
        <f t="shared" si="48"/>
        <v/>
      </c>
      <c r="N81" t="str">
        <f t="shared" si="43"/>
        <v/>
      </c>
      <c r="Q81" t="str">
        <f t="shared" si="49"/>
        <v/>
      </c>
      <c r="S81" t="str">
        <f>IF(A81=1,MAX(S$2:S80)+1,IF(OR(I81&lt;&gt;"",A81="x"),S80,""))</f>
        <v/>
      </c>
      <c r="T81" t="str">
        <f>IF(D81=1,MAX($T$2:$T80)+1,IF(S81=$S80,$S80,IF($D81="x",T80,IF($D80="x","",""))))</f>
        <v/>
      </c>
      <c r="U81" t="str">
        <f>IF(B81=1,MAX($U$2:$U80)+1,IF(AND($T81&lt;&gt;"",$T81=$T80),$U80,IF(B81="x",U80,"")))</f>
        <v/>
      </c>
      <c r="V81" t="str">
        <f>IF(C81=1,MAX($V$2:$V80)+1,IF(AND($T81&lt;&gt;"",$T81=$T80),$U80,IF(C81="x",V80,"")))</f>
        <v/>
      </c>
      <c r="W81" t="str" cm="1">
        <f t="array" ref="W81">IFERROR(_xlfn._xlws.FILTER(game_rosters!AB:AB,(game_rosters!J:J=events!X81)*(K81&lt;&gt;"")),"")</f>
        <v/>
      </c>
      <c r="X81" t="str" cm="1">
        <f t="array" ref="X81">IF(S81="","",IF($I81&lt;&gt;"",$I81,INDEX($I$2:$I80,ROW()-COUNTIFS($T$2:$T80,"="&amp;$T81,$S$2:$S80,"&lt;&gt;"&amp;$S81)-1)))</f>
        <v/>
      </c>
      <c r="Y81" t="b">
        <f>IF(X81&lt;&gt;"",VLOOKUP(X81,game_rosters!$C$43:$E$64,3,FALSE))</f>
        <v>0</v>
      </c>
      <c r="Z81" t="e" cm="1" vm="1">
        <f t="array" aca="1" ref="Z81" ca="1">IFERROR(IF(_xlfn._xlws.FILTER(game_rosters!$J:$J,(game_rosters!$G:$G=events!$AN81)*(game_rosters!$J:$J=events!$X81))&gt;0,1,""),"")</f>
        <v>#VALUE!</v>
      </c>
      <c r="AA81" t="e">
        <f t="shared" si="45"/>
        <v>#VALUE!</v>
      </c>
      <c r="AB81" t="str">
        <f t="shared" si="46"/>
        <v/>
      </c>
      <c r="AC81" t="e">
        <f t="shared" si="44"/>
        <v>#VALUE!</v>
      </c>
      <c r="AD81" s="6"/>
      <c r="BJ81" s="39"/>
      <c r="BM81" s="39"/>
      <c r="BO81" s="19"/>
      <c r="BQ81" s="17"/>
    </row>
    <row r="82" spans="1:69" x14ac:dyDescent="0.2">
      <c r="A82" t="str">
        <f t="shared" si="47"/>
        <v/>
      </c>
      <c r="E82" s="4"/>
      <c r="F82" s="44"/>
      <c r="G82" s="4"/>
      <c r="H82" s="47"/>
      <c r="J82" s="45" t="str">
        <f t="shared" si="48"/>
        <v/>
      </c>
      <c r="N82" t="str">
        <f t="shared" si="43"/>
        <v/>
      </c>
      <c r="Q82" t="str">
        <f t="shared" si="49"/>
        <v/>
      </c>
      <c r="S82" t="str">
        <f>IF(A82=1,MAX(S$2:S81)+1,IF(OR(I82&lt;&gt;"",A82="x"),S81,""))</f>
        <v/>
      </c>
      <c r="T82" t="str">
        <f>IF(D82=1,MAX($T$2:$T81)+1,IF(S82=$S81,$S81,IF($D82="x",T81,IF($D81="x","",""))))</f>
        <v/>
      </c>
      <c r="U82" t="str">
        <f>IF(B82=1,MAX($U$2:$U81)+1,IF(AND($T82&lt;&gt;"",$T82=$T81),$U81,IF(B82="x",U81,"")))</f>
        <v/>
      </c>
      <c r="V82" t="str">
        <f>IF(C82=1,MAX($V$2:$V81)+1,IF(AND($T82&lt;&gt;"",$T82=$T81),$U81,IF(C82="x",V81,"")))</f>
        <v/>
      </c>
      <c r="W82" t="str" cm="1">
        <f t="array" ref="W82">IFERROR(_xlfn._xlws.FILTER(game_rosters!AB:AB,(game_rosters!J:J=events!X82)*(K82&lt;&gt;"")),"")</f>
        <v/>
      </c>
      <c r="X82" t="str" cm="1">
        <f t="array" ref="X82">IF(S82="","",IF($I82&lt;&gt;"",$I82,INDEX($I$2:$I81,ROW()-COUNTIFS($T$2:$T81,"="&amp;$T82,$S$2:$S81,"&lt;&gt;"&amp;$S82)-1)))</f>
        <v/>
      </c>
      <c r="Y82" t="b">
        <f>IF(X82&lt;&gt;"",VLOOKUP(X82,game_rosters!$C$43:$E$64,3,FALSE))</f>
        <v>0</v>
      </c>
      <c r="Z82" t="e" cm="1" vm="1">
        <f t="array" aca="1" ref="Z82" ca="1">IFERROR(IF(_xlfn._xlws.FILTER(game_rosters!$J:$J,(game_rosters!$G:$G=events!$AN82)*(game_rosters!$J:$J=events!$X82))&gt;0,1,""),"")</f>
        <v>#VALUE!</v>
      </c>
      <c r="AA82" t="e">
        <f t="shared" si="45"/>
        <v>#VALUE!</v>
      </c>
      <c r="AB82" t="str">
        <f t="shared" si="46"/>
        <v/>
      </c>
      <c r="AC82" t="e">
        <f t="shared" si="44"/>
        <v>#VALUE!</v>
      </c>
      <c r="AD82" s="6"/>
      <c r="BJ82" s="39"/>
      <c r="BM82" s="39"/>
      <c r="BO82" s="19"/>
      <c r="BQ82" s="17"/>
    </row>
    <row r="83" spans="1:69" x14ac:dyDescent="0.2">
      <c r="A83" t="str">
        <f t="shared" si="47"/>
        <v/>
      </c>
      <c r="E83" s="4"/>
      <c r="F83" s="44"/>
      <c r="G83" s="4"/>
      <c r="H83" s="47"/>
      <c r="J83" s="45" t="str">
        <f t="shared" si="48"/>
        <v/>
      </c>
      <c r="N83" t="str">
        <f t="shared" si="43"/>
        <v/>
      </c>
      <c r="Q83" t="str">
        <f t="shared" si="49"/>
        <v/>
      </c>
      <c r="S83" t="str">
        <f>IF(A83=1,MAX(S$2:S82)+1,IF(OR(I83&lt;&gt;"",A83="x"),S82,""))</f>
        <v/>
      </c>
      <c r="T83" t="str">
        <f>IF(D83=1,MAX($T$2:$T82)+1,IF(S83=$S82,$S82,IF($D83="x",T82,IF($D82="x","",""))))</f>
        <v/>
      </c>
      <c r="U83" t="str">
        <f>IF(B83=1,MAX($U$2:$U82)+1,IF(AND($T83&lt;&gt;"",$T83=$T82),$U82,IF(B83="x",U82,"")))</f>
        <v/>
      </c>
      <c r="V83" t="str">
        <f>IF(C83=1,MAX($V$2:$V82)+1,IF(AND($T83&lt;&gt;"",$T83=$T82),$U82,IF(C83="x",V82,"")))</f>
        <v/>
      </c>
      <c r="W83" t="str" cm="1">
        <f t="array" ref="W83">IFERROR(_xlfn._xlws.FILTER(game_rosters!AB:AB,(game_rosters!J:J=events!X83)*(K83&lt;&gt;"")),"")</f>
        <v/>
      </c>
      <c r="X83" t="str" cm="1">
        <f t="array" ref="X83">IF(S83="","",IF($I83&lt;&gt;"",$I83,INDEX($I$2:$I82,ROW()-COUNTIFS($T$2:$T82,"="&amp;$T83,$S$2:$S82,"&lt;&gt;"&amp;$S83)-1)))</f>
        <v/>
      </c>
      <c r="Y83" t="b">
        <f>IF(X83&lt;&gt;"",VLOOKUP(X83,game_rosters!$C$43:$E$64,3,FALSE))</f>
        <v>0</v>
      </c>
      <c r="Z83" t="e" cm="1" vm="1">
        <f t="array" aca="1" ref="Z83" ca="1">IFERROR(IF(_xlfn._xlws.FILTER(game_rosters!$J:$J,(game_rosters!$G:$G=events!$AN83)*(game_rosters!$J:$J=events!$X83))&gt;0,1,""),"")</f>
        <v>#VALUE!</v>
      </c>
      <c r="AA83" t="e">
        <f t="shared" si="45"/>
        <v>#VALUE!</v>
      </c>
      <c r="AB83" t="str">
        <f t="shared" si="46"/>
        <v/>
      </c>
      <c r="AC83" t="e">
        <f t="shared" si="44"/>
        <v>#VALUE!</v>
      </c>
      <c r="AD83" s="6"/>
      <c r="BJ83" s="39"/>
      <c r="BM83" s="39"/>
      <c r="BO83" s="19"/>
      <c r="BQ83" s="17"/>
    </row>
    <row r="84" spans="1:69" x14ac:dyDescent="0.2">
      <c r="A84" t="str">
        <f t="shared" si="47"/>
        <v/>
      </c>
      <c r="E84" s="4"/>
      <c r="F84" s="44"/>
      <c r="G84" s="4"/>
      <c r="H84" s="47"/>
      <c r="J84" s="45" t="str">
        <f t="shared" si="48"/>
        <v/>
      </c>
      <c r="N84" t="str">
        <f t="shared" si="43"/>
        <v/>
      </c>
      <c r="Q84" t="str">
        <f t="shared" si="49"/>
        <v/>
      </c>
      <c r="S84" t="str">
        <f>IF(A84=1,MAX(S$2:S83)+1,IF(OR(I84&lt;&gt;"",A84="x"),S83,""))</f>
        <v/>
      </c>
      <c r="T84" t="str">
        <f>IF(D84=1,MAX($T$2:$T83)+1,IF(S84=$S83,$S83,IF($D84="x",T83,IF($D83="x","",""))))</f>
        <v/>
      </c>
      <c r="U84" t="str">
        <f>IF(B84=1,MAX($U$2:$U83)+1,IF(AND($T84&lt;&gt;"",$T84=$T83),$U83,IF(B84="x",U83,"")))</f>
        <v/>
      </c>
      <c r="V84" t="str">
        <f>IF(C84=1,MAX($V$2:$V83)+1,IF(AND($T84&lt;&gt;"",$T84=$T83),$U83,IF(C84="x",V83,"")))</f>
        <v/>
      </c>
      <c r="W84" t="str" cm="1">
        <f t="array" ref="W84">IFERROR(_xlfn._xlws.FILTER(game_rosters!AB:AB,(game_rosters!J:J=events!X84)*(K84&lt;&gt;"")),"")</f>
        <v/>
      </c>
      <c r="X84" t="str" cm="1">
        <f t="array" ref="X84">IF(S84="","",IF($I84&lt;&gt;"",$I84,INDEX($I$2:$I83,ROW()-COUNTIFS($T$2:$T83,"="&amp;$T84,$S$2:$S83,"&lt;&gt;"&amp;$S84)-1)))</f>
        <v/>
      </c>
      <c r="Y84" t="b">
        <f>IF(X84&lt;&gt;"",VLOOKUP(X84,game_rosters!$C$43:$E$64,3,FALSE))</f>
        <v>0</v>
      </c>
      <c r="Z84" t="e" cm="1" vm="1">
        <f t="array" aca="1" ref="Z84" ca="1">IFERROR(IF(_xlfn._xlws.FILTER(game_rosters!$J:$J,(game_rosters!$G:$G=events!$AN84)*(game_rosters!$J:$J=events!$X84))&gt;0,1,""),"")</f>
        <v>#VALUE!</v>
      </c>
      <c r="AA84" t="e">
        <f t="shared" si="45"/>
        <v>#VALUE!</v>
      </c>
      <c r="AB84" t="str">
        <f t="shared" si="46"/>
        <v/>
      </c>
      <c r="AC84" t="e">
        <f t="shared" si="44"/>
        <v>#VALUE!</v>
      </c>
      <c r="AD84" s="6"/>
      <c r="BJ84" s="39"/>
      <c r="BM84" s="39"/>
      <c r="BO84" s="19"/>
      <c r="BQ84" s="17"/>
    </row>
    <row r="85" spans="1:69" x14ac:dyDescent="0.2">
      <c r="A85" t="str">
        <f t="shared" si="47"/>
        <v/>
      </c>
      <c r="E85" s="4"/>
      <c r="F85" s="44"/>
      <c r="G85" s="4"/>
      <c r="H85" s="47"/>
      <c r="J85" s="45" t="str">
        <f t="shared" si="48"/>
        <v/>
      </c>
      <c r="N85" t="str">
        <f t="shared" ref="N85:N148" si="50">IF(K85="","",IF(K85="Goal","s",IF(AND(K85="Zone_Entry_Exit",OR(ISNUMBER(SEARCH("fail",L85)),ISNUMBER(SEARCH("FromExitClear",M85)),ISNUMBER(SEARCH("miss",M85)))),"u",IF(AND(K85="Zone_Entry_Exit",OR(NOT(ISNUMBER(SEARCH("fail",L85))),NOT(ISNUMBER(SEARCH("FromExitClear",M85))),NOT(ISNUMBER(SEARCH("miss",M85))))),"s",IF(AND(OR(K85="Shot",K85="Pass"),OR(ISNUMBER(SEARCH("complete",L85)),ISNUMBER(SEARCH("goal",L85)),ISNUMBER(SEARCH("OnNet",L85)))),"s",IF(L85="Turnover_Giveaway","u",IF(AND(OR(K85="Shot",K85="Pass"),OR(ISNUMBER(SEARCH("fail",L85)),NOT(ISNUMBER(SEARCH("complete",L85))),NOT(ISNUMBER(SEARCH("OnNet",L85))))),"u","")))))))</f>
        <v/>
      </c>
      <c r="Q85" t="str">
        <f t="shared" si="49"/>
        <v/>
      </c>
      <c r="S85" t="str">
        <f>IF(A85=1,MAX(S$2:S84)+1,IF(OR(I85&lt;&gt;"",A85="x"),S84,""))</f>
        <v/>
      </c>
      <c r="T85" t="str">
        <f>IF(D85=1,MAX($T$2:$T84)+1,IF(S85=$S84,$S84,IF($D85="x",T84,IF($D84="x","",""))))</f>
        <v/>
      </c>
      <c r="U85" t="str">
        <f>IF(B85=1,MAX($U$2:$U84)+1,IF(AND($T85&lt;&gt;"",$T85=$T84),$U84,IF(B85="x",U84,"")))</f>
        <v/>
      </c>
      <c r="V85" t="str">
        <f>IF(C85=1,MAX($V$2:$V84)+1,IF(AND($T85&lt;&gt;"",$T85=$T84),$U84,IF(C85="x",V84,"")))</f>
        <v/>
      </c>
      <c r="W85" t="str" cm="1">
        <f t="array" ref="W85">IFERROR(_xlfn._xlws.FILTER(game_rosters!AB:AB,(game_rosters!J:J=events!X85)*(K85&lt;&gt;"")),"")</f>
        <v/>
      </c>
      <c r="X85" t="str" cm="1">
        <f t="array" ref="X85">IF(S85="","",IF($I85&lt;&gt;"",$I85,INDEX($I$2:$I84,ROW()-COUNTIFS($T$2:$T84,"="&amp;$T85,$S$2:$S84,"&lt;&gt;"&amp;$S85)-1)))</f>
        <v/>
      </c>
      <c r="Y85" t="b">
        <f>IF(X85&lt;&gt;"",VLOOKUP(X85,game_rosters!$C$43:$E$64,3,FALSE))</f>
        <v>0</v>
      </c>
      <c r="Z85" t="e" cm="1" vm="1">
        <f t="array" aca="1" ref="Z85" ca="1">IFERROR(IF(_xlfn._xlws.FILTER(game_rosters!$J:$J,(game_rosters!$G:$G=events!$AN85)*(game_rosters!$J:$J=events!$X85))&gt;0,1,""),"")</f>
        <v>#VALUE!</v>
      </c>
      <c r="AA85" t="e">
        <f t="shared" si="45"/>
        <v>#VALUE!</v>
      </c>
      <c r="AB85" t="str">
        <f t="shared" si="46"/>
        <v/>
      </c>
      <c r="AC85" t="e">
        <f t="shared" si="44"/>
        <v>#VALUE!</v>
      </c>
      <c r="AD85" s="6"/>
      <c r="BJ85" s="39"/>
      <c r="BM85" s="39"/>
      <c r="BO85" s="19"/>
      <c r="BQ85" s="17"/>
    </row>
    <row r="86" spans="1:69" x14ac:dyDescent="0.2">
      <c r="A86" t="str">
        <f t="shared" si="47"/>
        <v/>
      </c>
      <c r="E86" s="4"/>
      <c r="F86" s="44"/>
      <c r="G86" s="4"/>
      <c r="H86" s="47"/>
      <c r="J86" s="45" t="str">
        <f t="shared" si="48"/>
        <v/>
      </c>
      <c r="N86" t="str">
        <f t="shared" si="50"/>
        <v/>
      </c>
      <c r="Q86" t="str">
        <f t="shared" si="49"/>
        <v/>
      </c>
      <c r="S86" t="str">
        <f>IF(A86=1,MAX(S$2:S85)+1,IF(OR(I86&lt;&gt;"",A86="x"),S85,""))</f>
        <v/>
      </c>
      <c r="T86" t="str">
        <f>IF(D86=1,MAX($T$2:$T85)+1,IF(S86=$S85,$S85,IF($D86="x",T85,IF($D85="x","",""))))</f>
        <v/>
      </c>
      <c r="U86" t="str">
        <f>IF(B86=1,MAX($U$2:$U85)+1,IF(AND($T86&lt;&gt;"",$T86=$T85),$U85,IF(B86="x",U85,"")))</f>
        <v/>
      </c>
      <c r="V86" t="str">
        <f>IF(C86=1,MAX($V$2:$V85)+1,IF(AND($T86&lt;&gt;"",$T86=$T85),$U85,IF(C86="x",V85,"")))</f>
        <v/>
      </c>
      <c r="W86" t="str" cm="1">
        <f t="array" ref="W86">IFERROR(_xlfn._xlws.FILTER(game_rosters!AB:AB,(game_rosters!J:J=events!X86)*(K86&lt;&gt;"")),"")</f>
        <v/>
      </c>
      <c r="X86" t="str" cm="1">
        <f t="array" ref="X86">IF(S86="","",IF($I86&lt;&gt;"",$I86,INDEX($I$2:$I85,ROW()-COUNTIFS($T$2:$T85,"="&amp;$T86,$S$2:$S85,"&lt;&gt;"&amp;$S86)-1)))</f>
        <v/>
      </c>
      <c r="Y86" t="b">
        <f>IF(X86&lt;&gt;"",VLOOKUP(X86,game_rosters!$C$43:$E$64,3,FALSE))</f>
        <v>0</v>
      </c>
      <c r="Z86" t="e" cm="1" vm="1">
        <f t="array" aca="1" ref="Z86" ca="1">IFERROR(IF(_xlfn._xlws.FILTER(game_rosters!$J:$J,(game_rosters!$G:$G=events!$AN86)*(game_rosters!$J:$J=events!$X86))&gt;0,1,""),"")</f>
        <v>#VALUE!</v>
      </c>
      <c r="AA86" t="e">
        <f t="shared" si="45"/>
        <v>#VALUE!</v>
      </c>
      <c r="AB86" t="str">
        <f t="shared" si="46"/>
        <v/>
      </c>
      <c r="AC86" t="e">
        <f t="shared" si="44"/>
        <v>#VALUE!</v>
      </c>
      <c r="AD86" s="6"/>
      <c r="BJ86" s="39"/>
      <c r="BM86" s="39"/>
      <c r="BO86" s="19"/>
      <c r="BQ86" s="17"/>
    </row>
    <row r="87" spans="1:69" x14ac:dyDescent="0.2">
      <c r="A87" t="str">
        <f t="shared" si="47"/>
        <v/>
      </c>
      <c r="E87" s="4"/>
      <c r="F87" s="44"/>
      <c r="G87" s="4"/>
      <c r="H87" s="47"/>
      <c r="J87" s="45" t="str">
        <f t="shared" si="48"/>
        <v/>
      </c>
      <c r="N87" t="str">
        <f t="shared" si="50"/>
        <v/>
      </c>
      <c r="Q87" t="str">
        <f t="shared" si="49"/>
        <v/>
      </c>
      <c r="S87" t="str">
        <f>IF(A87=1,MAX(S$2:S86)+1,IF(OR(I87&lt;&gt;"",A87="x"),S86,""))</f>
        <v/>
      </c>
      <c r="T87" t="str">
        <f>IF(D87=1,MAX($T$2:$T86)+1,IF(S87=$S86,$S86,IF($D87="x",T86,IF($D86="x","",""))))</f>
        <v/>
      </c>
      <c r="U87" t="str">
        <f>IF(B87=1,MAX($U$2:$U86)+1,IF(AND($T87&lt;&gt;"",$T87=$T86),$U86,IF(B87="x",U86,"")))</f>
        <v/>
      </c>
      <c r="V87" t="str">
        <f>IF(C87=1,MAX($V$2:$V86)+1,IF(AND($T87&lt;&gt;"",$T87=$T86),$U86,IF(C87="x",V86,"")))</f>
        <v/>
      </c>
      <c r="W87" t="str" cm="1">
        <f t="array" ref="W87">IFERROR(_xlfn._xlws.FILTER(game_rosters!AB:AB,(game_rosters!J:J=events!X87)*(K87&lt;&gt;"")),"")</f>
        <v/>
      </c>
      <c r="X87" t="str" cm="1">
        <f t="array" ref="X87">IF(S87="","",IF($I87&lt;&gt;"",$I87,INDEX($I$2:$I86,ROW()-COUNTIFS($T$2:$T86,"="&amp;$T87,$S$2:$S86,"&lt;&gt;"&amp;$S87)-1)))</f>
        <v/>
      </c>
      <c r="Y87" t="b">
        <f>IF(X87&lt;&gt;"",VLOOKUP(X87,game_rosters!$C$43:$E$64,3,FALSE))</f>
        <v>0</v>
      </c>
      <c r="Z87" t="e" cm="1" vm="1">
        <f t="array" aca="1" ref="Z87" ca="1">IFERROR(IF(_xlfn._xlws.FILTER(game_rosters!$J:$J,(game_rosters!$G:$G=events!$AN87)*(game_rosters!$J:$J=events!$X87))&gt;0,1,""),"")</f>
        <v>#VALUE!</v>
      </c>
      <c r="AA87" t="e">
        <f t="shared" si="45"/>
        <v>#VALUE!</v>
      </c>
      <c r="AB87" t="str">
        <f t="shared" si="46"/>
        <v/>
      </c>
      <c r="AC87" t="e">
        <f t="shared" si="44"/>
        <v>#VALUE!</v>
      </c>
      <c r="AD87" s="6"/>
      <c r="BJ87" s="39"/>
      <c r="BM87" s="39"/>
      <c r="BO87" s="19"/>
      <c r="BQ87" s="17"/>
    </row>
    <row r="88" spans="1:69" x14ac:dyDescent="0.2">
      <c r="A88" t="str">
        <f t="shared" si="47"/>
        <v/>
      </c>
      <c r="E88" s="4"/>
      <c r="F88" s="44"/>
      <c r="G88" s="4"/>
      <c r="H88" s="47"/>
      <c r="J88" s="45" t="str">
        <f t="shared" si="48"/>
        <v/>
      </c>
      <c r="N88" t="str">
        <f t="shared" si="50"/>
        <v/>
      </c>
      <c r="Q88" t="str">
        <f t="shared" si="49"/>
        <v/>
      </c>
      <c r="S88" t="str">
        <f>IF(A88=1,MAX(S$2:S87)+1,IF(OR(I88&lt;&gt;"",A88="x"),S87,""))</f>
        <v/>
      </c>
      <c r="T88" t="str">
        <f>IF(D88=1,MAX($T$2:$T87)+1,IF(S88=$S87,$S87,IF($D88="x",T87,IF($D87="x","",""))))</f>
        <v/>
      </c>
      <c r="U88" t="str">
        <f>IF(B88=1,MAX($U$2:$U87)+1,IF(AND($T88&lt;&gt;"",$T88=$T87),$U87,IF(B88="x",U87,"")))</f>
        <v/>
      </c>
      <c r="V88" t="str">
        <f>IF(C88=1,MAX($V$2:$V87)+1,IF(AND($T88&lt;&gt;"",$T88=$T87),$U87,IF(C88="x",V87,"")))</f>
        <v/>
      </c>
      <c r="W88" t="str" cm="1">
        <f t="array" ref="W88">IFERROR(_xlfn._xlws.FILTER(game_rosters!AB:AB,(game_rosters!J:J=events!X88)*(K88&lt;&gt;"")),"")</f>
        <v/>
      </c>
      <c r="X88" t="str" cm="1">
        <f t="array" ref="X88">IF(S88="","",IF($I88&lt;&gt;"",$I88,INDEX($I$2:$I87,ROW()-COUNTIFS($T$2:$T87,"="&amp;$T88,$S$2:$S87,"&lt;&gt;"&amp;$S88)-1)))</f>
        <v/>
      </c>
      <c r="Y88" t="b">
        <f>IF(X88&lt;&gt;"",VLOOKUP(X88,game_rosters!$C$43:$E$64,3,FALSE))</f>
        <v>0</v>
      </c>
      <c r="Z88" t="e" cm="1" vm="1">
        <f t="array" aca="1" ref="Z88" ca="1">IFERROR(IF(_xlfn._xlws.FILTER(game_rosters!$J:$J,(game_rosters!$G:$G=events!$AN88)*(game_rosters!$J:$J=events!$X88))&gt;0,1,""),"")</f>
        <v>#VALUE!</v>
      </c>
      <c r="AA88" t="e">
        <f t="shared" si="45"/>
        <v>#VALUE!</v>
      </c>
      <c r="AB88" t="str">
        <f t="shared" si="46"/>
        <v/>
      </c>
      <c r="AC88" t="e">
        <f t="shared" si="44"/>
        <v>#VALUE!</v>
      </c>
      <c r="AD88" s="6"/>
      <c r="BJ88" s="39"/>
      <c r="BM88" s="39"/>
      <c r="BO88" s="19"/>
      <c r="BQ88" s="17"/>
    </row>
    <row r="89" spans="1:69" x14ac:dyDescent="0.2">
      <c r="A89" t="str">
        <f t="shared" si="47"/>
        <v/>
      </c>
      <c r="E89" s="4"/>
      <c r="F89" s="44"/>
      <c r="G89" s="4"/>
      <c r="H89" s="47"/>
      <c r="J89" s="45" t="str">
        <f t="shared" si="48"/>
        <v/>
      </c>
      <c r="N89" t="str">
        <f t="shared" si="50"/>
        <v/>
      </c>
      <c r="Q89" t="str">
        <f t="shared" si="49"/>
        <v/>
      </c>
      <c r="S89" t="str">
        <f>IF(A89=1,MAX(S$2:S88)+1,IF(OR(I89&lt;&gt;"",A89="x"),S88,""))</f>
        <v/>
      </c>
      <c r="T89" t="str">
        <f>IF(D89=1,MAX($T$2:$T88)+1,IF(S89=$S88,$S88,IF($D89="x",T88,IF($D88="x","",""))))</f>
        <v/>
      </c>
      <c r="U89" t="str">
        <f>IF(B89=1,MAX($U$2:$U88)+1,IF(AND($T89&lt;&gt;"",$T89=$T88),$U88,IF(B89="x",U88,"")))</f>
        <v/>
      </c>
      <c r="V89" t="str">
        <f>IF(C89=1,MAX($V$2:$V88)+1,IF(AND($T89&lt;&gt;"",$T89=$T88),$U88,IF(C89="x",V88,"")))</f>
        <v/>
      </c>
      <c r="W89" t="str" cm="1">
        <f t="array" ref="W89">IFERROR(_xlfn._xlws.FILTER(game_rosters!AB:AB,(game_rosters!J:J=events!X89)*(K89&lt;&gt;"")),"")</f>
        <v/>
      </c>
      <c r="X89" t="str" cm="1">
        <f t="array" ref="X89">IF(S89="","",IF($I89&lt;&gt;"",$I89,INDEX($I$2:$I88,ROW()-COUNTIFS($T$2:$T88,"="&amp;$T89,$S$2:$S88,"&lt;&gt;"&amp;$S89)-1)))</f>
        <v/>
      </c>
      <c r="Y89" t="b">
        <f>IF(X89&lt;&gt;"",VLOOKUP(X89,game_rosters!$C$43:$E$64,3,FALSE))</f>
        <v>0</v>
      </c>
      <c r="Z89" t="e" cm="1" vm="1">
        <f t="array" aca="1" ref="Z89" ca="1">IFERROR(IF(_xlfn._xlws.FILTER(game_rosters!$J:$J,(game_rosters!$G:$G=events!$AN89)*(game_rosters!$J:$J=events!$X89))&gt;0,1,""),"")</f>
        <v>#VALUE!</v>
      </c>
      <c r="AA89" t="e">
        <f t="shared" si="45"/>
        <v>#VALUE!</v>
      </c>
      <c r="AB89" t="str">
        <f t="shared" si="46"/>
        <v/>
      </c>
      <c r="AC89" t="e">
        <f t="shared" si="44"/>
        <v>#VALUE!</v>
      </c>
      <c r="AD89" s="6"/>
      <c r="BJ89" s="39"/>
      <c r="BM89" s="39"/>
      <c r="BO89" s="19"/>
      <c r="BQ89" s="17"/>
    </row>
    <row r="90" spans="1:69" x14ac:dyDescent="0.2">
      <c r="A90" t="str">
        <f t="shared" si="47"/>
        <v/>
      </c>
      <c r="E90" s="4"/>
      <c r="F90" s="44"/>
      <c r="G90" s="4"/>
      <c r="H90" s="47"/>
      <c r="J90" s="45" t="str">
        <f t="shared" si="48"/>
        <v/>
      </c>
      <c r="N90" t="str">
        <f t="shared" si="50"/>
        <v/>
      </c>
      <c r="Q90" t="str">
        <f t="shared" si="49"/>
        <v/>
      </c>
      <c r="S90" t="str">
        <f>IF(A90=1,MAX(S$2:S89)+1,IF(OR(I90&lt;&gt;"",A90="x"),S89,""))</f>
        <v/>
      </c>
      <c r="T90" t="str">
        <f>IF(D90=1,MAX($T$2:$T89)+1,IF(S90=$S89,$S89,IF($D90="x",T89,IF($D89="x","",""))))</f>
        <v/>
      </c>
      <c r="U90" t="str">
        <f>IF(B90=1,MAX($U$2:$U89)+1,IF(AND($T90&lt;&gt;"",$T90=$T89),$U89,IF(B90="x",U89,"")))</f>
        <v/>
      </c>
      <c r="V90" t="str">
        <f>IF(C90=1,MAX($V$2:$V89)+1,IF(AND($T90&lt;&gt;"",$T90=$T89),$U89,IF(C90="x",V89,"")))</f>
        <v/>
      </c>
      <c r="W90" t="str" cm="1">
        <f t="array" ref="W90">IFERROR(_xlfn._xlws.FILTER(game_rosters!AB:AB,(game_rosters!J:J=events!X90)*(K90&lt;&gt;"")),"")</f>
        <v/>
      </c>
      <c r="X90" t="str" cm="1">
        <f t="array" ref="X90">IF(S90="","",IF($I90&lt;&gt;"",$I90,INDEX($I$2:$I89,ROW()-COUNTIFS($T$2:$T89,"="&amp;$T90,$S$2:$S89,"&lt;&gt;"&amp;$S90)-1)))</f>
        <v/>
      </c>
      <c r="Y90" t="b">
        <f>IF(X90&lt;&gt;"",VLOOKUP(X90,game_rosters!$C$43:$E$64,3,FALSE))</f>
        <v>0</v>
      </c>
      <c r="Z90" t="e" cm="1" vm="1">
        <f t="array" aca="1" ref="Z90" ca="1">IFERROR(IF(_xlfn._xlws.FILTER(game_rosters!$J:$J,(game_rosters!$G:$G=events!$AN90)*(game_rosters!$J:$J=events!$X90))&gt;0,1,""),"")</f>
        <v>#VALUE!</v>
      </c>
      <c r="AA90" t="e">
        <f t="shared" si="45"/>
        <v>#VALUE!</v>
      </c>
      <c r="AB90" t="str">
        <f t="shared" si="46"/>
        <v/>
      </c>
      <c r="AC90" t="e">
        <f t="shared" si="44"/>
        <v>#VALUE!</v>
      </c>
      <c r="AD90" s="6"/>
      <c r="BJ90" s="39"/>
      <c r="BM90" s="39"/>
      <c r="BO90" s="19"/>
      <c r="BQ90" s="17"/>
    </row>
    <row r="91" spans="1:69" x14ac:dyDescent="0.2">
      <c r="A91" t="str">
        <f t="shared" si="47"/>
        <v/>
      </c>
      <c r="E91" s="4"/>
      <c r="F91" s="44"/>
      <c r="G91" s="4"/>
      <c r="H91" s="47"/>
      <c r="J91" s="45" t="str">
        <f t="shared" si="48"/>
        <v/>
      </c>
      <c r="N91" t="str">
        <f t="shared" si="50"/>
        <v/>
      </c>
      <c r="Q91" t="str">
        <f t="shared" si="49"/>
        <v/>
      </c>
      <c r="S91" t="str">
        <f>IF(A91=1,MAX(S$2:S90)+1,IF(OR(I91&lt;&gt;"",A91="x"),S90,""))</f>
        <v/>
      </c>
      <c r="T91" t="str">
        <f>IF(D91=1,MAX($T$2:$T90)+1,IF(S91=$S90,$S90,IF($D91="x",T90,IF($D90="x","",""))))</f>
        <v/>
      </c>
      <c r="U91" t="str">
        <f>IF(B91=1,MAX($U$2:$U90)+1,IF(AND($T91&lt;&gt;"",$T91=$T90),$U90,IF(B91="x",U90,"")))</f>
        <v/>
      </c>
      <c r="V91" t="str">
        <f>IF(C91=1,MAX($V$2:$V90)+1,IF(AND($T91&lt;&gt;"",$T91=$T90),$U90,IF(C91="x",V90,"")))</f>
        <v/>
      </c>
      <c r="W91" t="str" cm="1">
        <f t="array" ref="W91">IFERROR(_xlfn._xlws.FILTER(game_rosters!AB:AB,(game_rosters!J:J=events!X91)*(K91&lt;&gt;"")),"")</f>
        <v/>
      </c>
      <c r="X91" t="str" cm="1">
        <f t="array" ref="X91">IF(S91="","",IF($I91&lt;&gt;"",$I91,INDEX($I$2:$I90,ROW()-COUNTIFS($T$2:$T90,"="&amp;$T91,$S$2:$S90,"&lt;&gt;"&amp;$S91)-1)))</f>
        <v/>
      </c>
      <c r="Y91" t="b">
        <f>IF(X91&lt;&gt;"",VLOOKUP(X91,game_rosters!$C$43:$E$64,3,FALSE))</f>
        <v>0</v>
      </c>
      <c r="Z91" t="e" cm="1" vm="1">
        <f t="array" aca="1" ref="Z91" ca="1">IFERROR(IF(_xlfn._xlws.FILTER(game_rosters!$J:$J,(game_rosters!$G:$G=events!$AN91)*(game_rosters!$J:$J=events!$X91))&gt;0,1,""),"")</f>
        <v>#VALUE!</v>
      </c>
      <c r="AA91" t="e">
        <f t="shared" si="45"/>
        <v>#VALUE!</v>
      </c>
      <c r="AB91" t="str">
        <f t="shared" si="46"/>
        <v/>
      </c>
      <c r="AC91" t="e">
        <f t="shared" si="44"/>
        <v>#VALUE!</v>
      </c>
      <c r="AD91" s="6"/>
      <c r="BJ91" s="39"/>
      <c r="BM91" s="39"/>
      <c r="BO91" s="19"/>
      <c r="BQ91" s="17"/>
    </row>
    <row r="92" spans="1:69" x14ac:dyDescent="0.2">
      <c r="A92" t="str">
        <f t="shared" si="47"/>
        <v/>
      </c>
      <c r="E92" s="4"/>
      <c r="F92" s="44"/>
      <c r="G92" s="4"/>
      <c r="H92" s="47"/>
      <c r="J92" s="45" t="str">
        <f t="shared" si="48"/>
        <v/>
      </c>
      <c r="N92" t="str">
        <f t="shared" si="50"/>
        <v/>
      </c>
      <c r="Q92" t="str">
        <f t="shared" si="49"/>
        <v/>
      </c>
      <c r="S92" t="str">
        <f>IF(A92=1,MAX(S$2:S91)+1,IF(OR(I92&lt;&gt;"",A92="x"),S91,""))</f>
        <v/>
      </c>
      <c r="T92" t="str">
        <f>IF(D92=1,MAX($T$2:$T91)+1,IF(S92=$S91,$S91,IF($D92="x",T91,IF($D91="x","",""))))</f>
        <v/>
      </c>
      <c r="U92" t="str">
        <f>IF(B92=1,MAX($U$2:$U91)+1,IF(AND($T92&lt;&gt;"",$T92=$T91),$U91,IF(B92="x",U91,"")))</f>
        <v/>
      </c>
      <c r="V92" t="str">
        <f>IF(C92=1,MAX($V$2:$V91)+1,IF(AND($T92&lt;&gt;"",$T92=$T91),$U91,IF(C92="x",V91,"")))</f>
        <v/>
      </c>
      <c r="W92" t="str" cm="1">
        <f t="array" ref="W92">IFERROR(_xlfn._xlws.FILTER(game_rosters!AB:AB,(game_rosters!J:J=events!X92)*(K92&lt;&gt;"")),"")</f>
        <v/>
      </c>
      <c r="X92" t="str" cm="1">
        <f t="array" ref="X92">IF(S92="","",IF($I92&lt;&gt;"",$I92,INDEX($I$2:$I91,ROW()-COUNTIFS($T$2:$T91,"="&amp;$T92,$S$2:$S91,"&lt;&gt;"&amp;$S92)-1)))</f>
        <v/>
      </c>
      <c r="Y92" t="b">
        <f>IF(X92&lt;&gt;"",VLOOKUP(X92,game_rosters!$C$43:$E$64,3,FALSE))</f>
        <v>0</v>
      </c>
      <c r="Z92" t="e" cm="1" vm="1">
        <f t="array" aca="1" ref="Z92" ca="1">IFERROR(IF(_xlfn._xlws.FILTER(game_rosters!$J:$J,(game_rosters!$G:$G=events!$AN92)*(game_rosters!$J:$J=events!$X92))&gt;0,1,""),"")</f>
        <v>#VALUE!</v>
      </c>
      <c r="AA92" t="e">
        <f t="shared" si="45"/>
        <v>#VALUE!</v>
      </c>
      <c r="AB92" t="str">
        <f t="shared" si="46"/>
        <v/>
      </c>
      <c r="AC92" t="e">
        <f t="shared" si="44"/>
        <v>#VALUE!</v>
      </c>
      <c r="AD92" s="6"/>
      <c r="BJ92" s="39"/>
      <c r="BM92" s="39"/>
      <c r="BO92" s="19"/>
      <c r="BQ92" s="17"/>
    </row>
    <row r="93" spans="1:69" x14ac:dyDescent="0.2">
      <c r="A93" t="str">
        <f t="shared" si="47"/>
        <v/>
      </c>
      <c r="E93" s="4"/>
      <c r="F93" s="44"/>
      <c r="G93" s="4"/>
      <c r="H93" s="47"/>
      <c r="J93" s="45" t="str">
        <f t="shared" si="48"/>
        <v/>
      </c>
      <c r="N93" t="str">
        <f t="shared" si="50"/>
        <v/>
      </c>
      <c r="Q93" t="str">
        <f t="shared" si="49"/>
        <v/>
      </c>
      <c r="S93" t="str">
        <f>IF(A93=1,MAX(S$2:S92)+1,IF(OR(I93&lt;&gt;"",A93="x"),S92,""))</f>
        <v/>
      </c>
      <c r="T93" t="str">
        <f>IF(D93=1,MAX($T$2:$T92)+1,IF(S93=$S92,$S92,IF($D93="x",T92,IF($D92="x","",""))))</f>
        <v/>
      </c>
      <c r="U93" t="str">
        <f>IF(B93=1,MAX($U$2:$U92)+1,IF(AND($T93&lt;&gt;"",$T93=$T92),$U92,IF(B93="x",U92,"")))</f>
        <v/>
      </c>
      <c r="V93" t="str">
        <f>IF(C93=1,MAX($V$2:$V92)+1,IF(AND($T93&lt;&gt;"",$T93=$T92),$U92,IF(C93="x",V92,"")))</f>
        <v/>
      </c>
      <c r="W93" t="str" cm="1">
        <f t="array" ref="W93">IFERROR(_xlfn._xlws.FILTER(game_rosters!AB:AB,(game_rosters!J:J=events!X93)*(K93&lt;&gt;"")),"")</f>
        <v/>
      </c>
      <c r="X93" t="str" cm="1">
        <f t="array" ref="X93">IF(S93="","",IF($I93&lt;&gt;"",$I93,INDEX($I$2:$I92,ROW()-COUNTIFS($T$2:$T92,"="&amp;$T93,$S$2:$S92,"&lt;&gt;"&amp;$S93)-1)))</f>
        <v/>
      </c>
      <c r="Y93" t="b">
        <f>IF(X93&lt;&gt;"",VLOOKUP(X93,game_rosters!$C$43:$E$64,3,FALSE))</f>
        <v>0</v>
      </c>
      <c r="Z93" t="e" cm="1" vm="1">
        <f t="array" aca="1" ref="Z93" ca="1">IFERROR(IF(_xlfn._xlws.FILTER(game_rosters!$J:$J,(game_rosters!$G:$G=events!$AN93)*(game_rosters!$J:$J=events!$X93))&gt;0,1,""),"")</f>
        <v>#VALUE!</v>
      </c>
      <c r="AA93" t="e">
        <f t="shared" si="45"/>
        <v>#VALUE!</v>
      </c>
      <c r="AB93" t="str">
        <f t="shared" si="46"/>
        <v/>
      </c>
      <c r="AC93" t="e">
        <f t="shared" si="44"/>
        <v>#VALUE!</v>
      </c>
      <c r="AD93" s="6"/>
      <c r="BJ93" s="39"/>
      <c r="BM93" s="39"/>
      <c r="BO93" s="19"/>
      <c r="BQ93" s="17"/>
    </row>
    <row r="94" spans="1:69" x14ac:dyDescent="0.2">
      <c r="A94" t="str">
        <f t="shared" si="47"/>
        <v/>
      </c>
      <c r="E94" s="4"/>
      <c r="F94" s="44"/>
      <c r="G94" s="4"/>
      <c r="H94" s="47"/>
      <c r="J94" s="45" t="str">
        <f t="shared" si="48"/>
        <v/>
      </c>
      <c r="N94" t="str">
        <f t="shared" si="50"/>
        <v/>
      </c>
      <c r="Q94" t="str">
        <f t="shared" si="49"/>
        <v/>
      </c>
      <c r="S94" t="str">
        <f>IF(A94=1,MAX(S$2:S93)+1,IF(OR(I94&lt;&gt;"",A94="x"),S93,""))</f>
        <v/>
      </c>
      <c r="T94" t="str">
        <f>IF(D94=1,MAX($T$2:$T93)+1,IF(S94=$S93,$S93,IF($D94="x",T93,IF($D93="x","",""))))</f>
        <v/>
      </c>
      <c r="U94" t="str">
        <f>IF(B94=1,MAX($U$2:$U93)+1,IF(AND($T94&lt;&gt;"",$T94=$T93),$U93,IF(B94="x",U93,"")))</f>
        <v/>
      </c>
      <c r="V94" t="str">
        <f>IF(C94=1,MAX($V$2:$V93)+1,IF(AND($T94&lt;&gt;"",$T94=$T93),$U93,IF(C94="x",V93,"")))</f>
        <v/>
      </c>
      <c r="W94" t="str" cm="1">
        <f t="array" ref="W94">IFERROR(_xlfn._xlws.FILTER(game_rosters!AB:AB,(game_rosters!J:J=events!X94)*(K94&lt;&gt;"")),"")</f>
        <v/>
      </c>
      <c r="X94" t="str" cm="1">
        <f t="array" ref="X94">IF(S94="","",IF($I94&lt;&gt;"",$I94,INDEX($I$2:$I93,ROW()-COUNTIFS($T$2:$T93,"="&amp;$T94,$S$2:$S93,"&lt;&gt;"&amp;$S94)-1)))</f>
        <v/>
      </c>
      <c r="Y94" t="b">
        <f>IF(X94&lt;&gt;"",VLOOKUP(X94,game_rosters!$C$43:$E$64,3,FALSE))</f>
        <v>0</v>
      </c>
      <c r="Z94" t="e" cm="1" vm="1">
        <f t="array" aca="1" ref="Z94" ca="1">IFERROR(IF(_xlfn._xlws.FILTER(game_rosters!$J:$J,(game_rosters!$G:$G=events!$AN94)*(game_rosters!$J:$J=events!$X94))&gt;0,1,""),"")</f>
        <v>#VALUE!</v>
      </c>
      <c r="AA94" t="e">
        <f t="shared" si="45"/>
        <v>#VALUE!</v>
      </c>
      <c r="AB94" t="str">
        <f t="shared" si="46"/>
        <v/>
      </c>
      <c r="AC94" t="e">
        <f t="shared" si="44"/>
        <v>#VALUE!</v>
      </c>
      <c r="AD94" s="6"/>
      <c r="BJ94" s="39"/>
      <c r="BM94" s="39"/>
      <c r="BO94" s="19"/>
      <c r="BQ94" s="17"/>
    </row>
    <row r="95" spans="1:69" x14ac:dyDescent="0.2">
      <c r="A95" t="str">
        <f t="shared" si="47"/>
        <v/>
      </c>
      <c r="E95" s="4"/>
      <c r="F95" s="44"/>
      <c r="G95" s="4"/>
      <c r="H95" s="47"/>
      <c r="J95" s="45" t="str">
        <f t="shared" si="48"/>
        <v/>
      </c>
      <c r="N95" t="str">
        <f t="shared" si="50"/>
        <v/>
      </c>
      <c r="Q95" t="str">
        <f t="shared" si="49"/>
        <v/>
      </c>
      <c r="S95" t="str">
        <f>IF(A95=1,MAX(S$2:S94)+1,IF(OR(I95&lt;&gt;"",A95="x"),S94,""))</f>
        <v/>
      </c>
      <c r="T95" t="str">
        <f>IF(D95=1,MAX($T$2:$T94)+1,IF(S95=$S94,$S94,IF($D95="x",T94,IF($D94="x","",""))))</f>
        <v/>
      </c>
      <c r="U95" t="str">
        <f>IF(B95=1,MAX($U$2:$U94)+1,IF(AND($T95&lt;&gt;"",$T95=$T94),$U94,IF(B95="x",U94,"")))</f>
        <v/>
      </c>
      <c r="V95" t="str">
        <f>IF(C95=1,MAX($V$2:$V94)+1,IF(AND($T95&lt;&gt;"",$T95=$T94),$U94,IF(C95="x",V94,"")))</f>
        <v/>
      </c>
      <c r="W95" t="str" cm="1">
        <f t="array" ref="W95">IFERROR(_xlfn._xlws.FILTER(game_rosters!AB:AB,(game_rosters!J:J=events!X95)*(K95&lt;&gt;"")),"")</f>
        <v/>
      </c>
      <c r="X95" t="str" cm="1">
        <f t="array" ref="X95">IF(S95="","",IF($I95&lt;&gt;"",$I95,INDEX($I$2:$I94,ROW()-COUNTIFS($T$2:$T94,"="&amp;$T95,$S$2:$S94,"&lt;&gt;"&amp;$S95)-1)))</f>
        <v/>
      </c>
      <c r="Y95" t="b">
        <f>IF(X95&lt;&gt;"",VLOOKUP(X95,game_rosters!$C$43:$E$64,3,FALSE))</f>
        <v>0</v>
      </c>
      <c r="Z95" t="e" cm="1" vm="1">
        <f t="array" aca="1" ref="Z95" ca="1">IFERROR(IF(_xlfn._xlws.FILTER(game_rosters!$J:$J,(game_rosters!$G:$G=events!$AN95)*(game_rosters!$J:$J=events!$X95))&gt;0,1,""),"")</f>
        <v>#VALUE!</v>
      </c>
      <c r="AA95" t="e">
        <f t="shared" si="45"/>
        <v>#VALUE!</v>
      </c>
      <c r="AB95" t="str">
        <f t="shared" si="46"/>
        <v/>
      </c>
      <c r="AC95" t="e">
        <f t="shared" si="44"/>
        <v>#VALUE!</v>
      </c>
      <c r="AD95" s="6"/>
      <c r="BJ95" s="39"/>
      <c r="BM95" s="39"/>
      <c r="BO95" s="19"/>
      <c r="BQ95" s="17"/>
    </row>
    <row r="96" spans="1:69" x14ac:dyDescent="0.2">
      <c r="A96" t="str">
        <f t="shared" si="47"/>
        <v/>
      </c>
      <c r="E96" s="4"/>
      <c r="F96" s="44"/>
      <c r="G96" s="4"/>
      <c r="H96" s="47"/>
      <c r="J96" s="45" t="str">
        <f t="shared" si="48"/>
        <v/>
      </c>
      <c r="N96" t="str">
        <f t="shared" si="50"/>
        <v/>
      </c>
      <c r="Q96" t="str">
        <f t="shared" si="49"/>
        <v/>
      </c>
      <c r="S96" t="str">
        <f>IF(A96=1,MAX(S$2:S95)+1,IF(OR(I96&lt;&gt;"",A96="x"),S95,""))</f>
        <v/>
      </c>
      <c r="T96" t="str">
        <f>IF(D96=1,MAX($T$2:$T95)+1,IF(S96=$S95,$S95,IF($D96="x",T95,IF($D95="x","",""))))</f>
        <v/>
      </c>
      <c r="U96" t="str">
        <f>IF(B96=1,MAX($U$2:$U95)+1,IF(AND($T96&lt;&gt;"",$T96=$T95),$U95,IF(B96="x",U95,"")))</f>
        <v/>
      </c>
      <c r="V96" t="str">
        <f>IF(C96=1,MAX($V$2:$V95)+1,IF(AND($T96&lt;&gt;"",$T96=$T95),$U95,IF(C96="x",V95,"")))</f>
        <v/>
      </c>
      <c r="W96" t="str" cm="1">
        <f t="array" ref="W96">IFERROR(_xlfn._xlws.FILTER(game_rosters!AB:AB,(game_rosters!J:J=events!X96)*(K96&lt;&gt;"")),"")</f>
        <v/>
      </c>
      <c r="X96" t="str" cm="1">
        <f t="array" ref="X96">IF(S96="","",IF($I96&lt;&gt;"",$I96,INDEX($I$2:$I95,ROW()-COUNTIFS($T$2:$T95,"="&amp;$T96,$S$2:$S95,"&lt;&gt;"&amp;$S96)-1)))</f>
        <v/>
      </c>
      <c r="Y96" t="b">
        <f>IF(X96&lt;&gt;"",VLOOKUP(X96,game_rosters!$C$43:$E$64,3,FALSE))</f>
        <v>0</v>
      </c>
      <c r="Z96" t="e" cm="1" vm="1">
        <f t="array" aca="1" ref="Z96" ca="1">IFERROR(IF(_xlfn._xlws.FILTER(game_rosters!$J:$J,(game_rosters!$G:$G=events!$AN96)*(game_rosters!$J:$J=events!$X96))&gt;0,1,""),"")</f>
        <v>#VALUE!</v>
      </c>
      <c r="AA96" t="e">
        <f t="shared" si="45"/>
        <v>#VALUE!</v>
      </c>
      <c r="AB96" t="str">
        <f t="shared" si="46"/>
        <v/>
      </c>
      <c r="AC96" t="e">
        <f t="shared" si="44"/>
        <v>#VALUE!</v>
      </c>
      <c r="AD96" s="6"/>
      <c r="BJ96" s="39"/>
      <c r="BM96" s="39"/>
      <c r="BO96" s="19"/>
      <c r="BQ96" s="17"/>
    </row>
    <row r="97" spans="1:69" x14ac:dyDescent="0.2">
      <c r="A97" t="str">
        <f t="shared" si="47"/>
        <v/>
      </c>
      <c r="E97" s="4"/>
      <c r="F97" s="44"/>
      <c r="G97" s="4"/>
      <c r="H97" s="47"/>
      <c r="J97" s="45" t="str">
        <f t="shared" si="48"/>
        <v/>
      </c>
      <c r="N97" t="str">
        <f t="shared" si="50"/>
        <v/>
      </c>
      <c r="Q97" t="str">
        <f t="shared" si="49"/>
        <v/>
      </c>
      <c r="S97" t="str">
        <f>IF(A97=1,MAX(S$2:S96)+1,IF(OR(I97&lt;&gt;"",A97="x"),S96,""))</f>
        <v/>
      </c>
      <c r="T97" t="str">
        <f>IF(D97=1,MAX($T$2:$T96)+1,IF(S97=$S96,$S96,IF($D97="x",T96,IF($D96="x","",""))))</f>
        <v/>
      </c>
      <c r="U97" t="str">
        <f>IF(B97=1,MAX($U$2:$U96)+1,IF(AND($T97&lt;&gt;"",$T97=$T96),$U96,IF(B97="x",U96,"")))</f>
        <v/>
      </c>
      <c r="V97" t="str">
        <f>IF(C97=1,MAX($V$2:$V96)+1,IF(AND($T97&lt;&gt;"",$T97=$T96),$U96,IF(C97="x",V96,"")))</f>
        <v/>
      </c>
      <c r="W97" t="str" cm="1">
        <f t="array" ref="W97">IFERROR(_xlfn._xlws.FILTER(game_rosters!AB:AB,(game_rosters!J:J=events!X97)*(K97&lt;&gt;"")),"")</f>
        <v/>
      </c>
      <c r="X97" t="str" cm="1">
        <f t="array" ref="X97">IF(S97="","",IF($I97&lt;&gt;"",$I97,INDEX($I$2:$I96,ROW()-COUNTIFS($T$2:$T96,"="&amp;$T97,$S$2:$S96,"&lt;&gt;"&amp;$S97)-1)))</f>
        <v/>
      </c>
      <c r="Y97" t="b">
        <f>IF(X97&lt;&gt;"",VLOOKUP(X97,game_rosters!$C$43:$E$64,3,FALSE))</f>
        <v>0</v>
      </c>
      <c r="Z97" t="e" cm="1" vm="1">
        <f t="array" aca="1" ref="Z97" ca="1">IFERROR(IF(_xlfn._xlws.FILTER(game_rosters!$J:$J,(game_rosters!$G:$G=events!$AN97)*(game_rosters!$J:$J=events!$X97))&gt;0,1,""),"")</f>
        <v>#VALUE!</v>
      </c>
      <c r="AA97" t="e">
        <f t="shared" si="45"/>
        <v>#VALUE!</v>
      </c>
      <c r="AB97" t="str">
        <f t="shared" si="46"/>
        <v/>
      </c>
      <c r="AC97" t="e">
        <f t="shared" si="44"/>
        <v>#VALUE!</v>
      </c>
      <c r="AD97" s="6"/>
      <c r="BJ97" s="39"/>
      <c r="BM97" s="39"/>
      <c r="BO97" s="19"/>
      <c r="BQ97" s="17"/>
    </row>
    <row r="98" spans="1:69" x14ac:dyDescent="0.2">
      <c r="A98" t="str">
        <f t="shared" si="47"/>
        <v/>
      </c>
      <c r="E98" s="4"/>
      <c r="F98" s="44"/>
      <c r="G98" s="4"/>
      <c r="H98" s="47"/>
      <c r="J98" s="45" t="str">
        <f t="shared" si="48"/>
        <v/>
      </c>
      <c r="N98" t="str">
        <f t="shared" si="50"/>
        <v/>
      </c>
      <c r="Q98" t="str">
        <f t="shared" si="49"/>
        <v/>
      </c>
      <c r="S98" t="str">
        <f>IF(A98=1,MAX(S$2:S97)+1,IF(OR(I98&lt;&gt;"",A98="x"),S97,""))</f>
        <v/>
      </c>
      <c r="T98" t="str">
        <f>IF(D98=1,MAX($T$2:$T97)+1,IF(S98=$S97,$S97,IF($D98="x",T97,IF($D97="x","",""))))</f>
        <v/>
      </c>
      <c r="U98" t="str">
        <f>IF(B98=1,MAX($U$2:$U97)+1,IF(AND($T98&lt;&gt;"",$T98=$T97),$U97,IF(B98="x",U97,"")))</f>
        <v/>
      </c>
      <c r="V98" t="str">
        <f>IF(C98=1,MAX($V$2:$V97)+1,IF(AND($T98&lt;&gt;"",$T98=$T97),$U97,IF(C98="x",V97,"")))</f>
        <v/>
      </c>
      <c r="W98" t="str" cm="1">
        <f t="array" ref="W98">IFERROR(_xlfn._xlws.FILTER(game_rosters!AB:AB,(game_rosters!J:J=events!X98)*(K98&lt;&gt;"")),"")</f>
        <v/>
      </c>
      <c r="X98" t="str" cm="1">
        <f t="array" ref="X98">IF(S98="","",IF($I98&lt;&gt;"",$I98,INDEX($I$2:$I97,ROW()-COUNTIFS($T$2:$T97,"="&amp;$T98,$S$2:$S97,"&lt;&gt;"&amp;$S98)-1)))</f>
        <v/>
      </c>
      <c r="Y98" t="b">
        <f>IF(X98&lt;&gt;"",VLOOKUP(X98,game_rosters!$C$43:$E$64,3,FALSE))</f>
        <v>0</v>
      </c>
      <c r="Z98" t="e" cm="1" vm="1">
        <f t="array" aca="1" ref="Z98" ca="1">IFERROR(IF(_xlfn._xlws.FILTER(game_rosters!$J:$J,(game_rosters!$G:$G=events!$AN98)*(game_rosters!$J:$J=events!$X98))&gt;0,1,""),"")</f>
        <v>#VALUE!</v>
      </c>
      <c r="AA98" t="e">
        <f t="shared" si="45"/>
        <v>#VALUE!</v>
      </c>
      <c r="AB98" t="str">
        <f t="shared" si="46"/>
        <v/>
      </c>
      <c r="AC98" t="e">
        <f t="shared" si="44"/>
        <v>#VALUE!</v>
      </c>
      <c r="AD98" s="6"/>
      <c r="BJ98" s="39"/>
      <c r="BM98" s="39"/>
      <c r="BO98" s="19"/>
      <c r="BQ98" s="17"/>
    </row>
    <row r="99" spans="1:69" x14ac:dyDescent="0.2">
      <c r="A99" t="str">
        <f t="shared" si="47"/>
        <v/>
      </c>
      <c r="E99" s="4"/>
      <c r="F99" s="44"/>
      <c r="G99" s="4"/>
      <c r="H99" s="47"/>
      <c r="J99" s="45" t="str">
        <f t="shared" si="48"/>
        <v/>
      </c>
      <c r="N99" t="str">
        <f t="shared" si="50"/>
        <v/>
      </c>
      <c r="Q99" t="str">
        <f t="shared" si="49"/>
        <v/>
      </c>
      <c r="S99" t="str">
        <f>IF(A99=1,MAX(S$2:S98)+1,IF(OR(I99&lt;&gt;"",A99="x"),S98,""))</f>
        <v/>
      </c>
      <c r="T99" t="str">
        <f>IF(D99=1,MAX($T$2:$T98)+1,IF(S99=$S98,$S98,IF($D99="x",T98,IF($D98="x","",""))))</f>
        <v/>
      </c>
      <c r="U99" t="str">
        <f>IF(B99=1,MAX($U$2:$U98)+1,IF(AND($T99&lt;&gt;"",$T99=$T98),$U98,IF(B99="x",U98,"")))</f>
        <v/>
      </c>
      <c r="V99" t="str">
        <f>IF(C99=1,MAX($V$2:$V98)+1,IF(AND($T99&lt;&gt;"",$T99=$T98),$U98,IF(C99="x",V98,"")))</f>
        <v/>
      </c>
      <c r="W99" t="str" cm="1">
        <f t="array" ref="W99">IFERROR(_xlfn._xlws.FILTER(game_rosters!AB:AB,(game_rosters!J:J=events!X99)*(K99&lt;&gt;"")),"")</f>
        <v/>
      </c>
      <c r="X99" t="str" cm="1">
        <f t="array" ref="X99">IF(S99="","",IF($I99&lt;&gt;"",$I99,INDEX($I$2:$I98,ROW()-COUNTIFS($T$2:$T98,"="&amp;$T99,$S$2:$S98,"&lt;&gt;"&amp;$S99)-1)))</f>
        <v/>
      </c>
      <c r="Y99" t="b">
        <f>IF(X99&lt;&gt;"",VLOOKUP(X99,game_rosters!$C$43:$E$64,3,FALSE))</f>
        <v>0</v>
      </c>
      <c r="Z99" t="e" cm="1" vm="1">
        <f t="array" aca="1" ref="Z99" ca="1">IFERROR(IF(_xlfn._xlws.FILTER(game_rosters!$J:$J,(game_rosters!$G:$G=events!$AN99)*(game_rosters!$J:$J=events!$X99))&gt;0,1,""),"")</f>
        <v>#VALUE!</v>
      </c>
      <c r="AA99" t="e">
        <f t="shared" si="45"/>
        <v>#VALUE!</v>
      </c>
      <c r="AB99" t="str">
        <f t="shared" si="46"/>
        <v/>
      </c>
      <c r="AC99" t="e">
        <f t="shared" si="44"/>
        <v>#VALUE!</v>
      </c>
      <c r="AD99" s="6"/>
      <c r="BJ99" s="39"/>
      <c r="BM99" s="39"/>
      <c r="BO99" s="19"/>
      <c r="BQ99" s="17"/>
    </row>
    <row r="100" spans="1:69" x14ac:dyDescent="0.2">
      <c r="A100" t="str">
        <f t="shared" si="47"/>
        <v/>
      </c>
      <c r="E100" s="4"/>
      <c r="F100" s="44"/>
      <c r="G100" s="4"/>
      <c r="H100" s="47"/>
      <c r="J100" s="45" t="str">
        <f t="shared" si="48"/>
        <v/>
      </c>
      <c r="N100" t="str">
        <f t="shared" si="50"/>
        <v/>
      </c>
      <c r="Q100" t="str">
        <f t="shared" si="49"/>
        <v/>
      </c>
      <c r="S100" t="str">
        <f>IF(A100=1,MAX(S$2:S99)+1,IF(OR(I100&lt;&gt;"",A100="x"),S99,""))</f>
        <v/>
      </c>
      <c r="T100" t="str">
        <f>IF(D100=1,MAX($T$2:$T99)+1,IF(S100=$S99,$S99,IF($D100="x",T99,IF($D99="x","",""))))</f>
        <v/>
      </c>
      <c r="U100" t="str">
        <f>IF(B100=1,MAX($U$2:$U99)+1,IF(AND($T100&lt;&gt;"",$T100=$T99),$U99,IF(B100="x",U99,"")))</f>
        <v/>
      </c>
      <c r="V100" t="str">
        <f>IF(C100=1,MAX($V$2:$V99)+1,IF(AND($T100&lt;&gt;"",$T100=$T99),$U99,IF(C100="x",V99,"")))</f>
        <v/>
      </c>
      <c r="W100" t="str" cm="1">
        <f t="array" ref="W100">IFERROR(_xlfn._xlws.FILTER(game_rosters!AB:AB,(game_rosters!J:J=events!X100)*(K100&lt;&gt;"")),"")</f>
        <v/>
      </c>
      <c r="X100" t="str" cm="1">
        <f t="array" ref="X100">IF(S100="","",IF($I100&lt;&gt;"",$I100,INDEX($I$2:$I99,ROW()-COUNTIFS($T$2:$T99,"="&amp;$T100,$S$2:$S99,"&lt;&gt;"&amp;$S100)-1)))</f>
        <v/>
      </c>
      <c r="Y100" t="b">
        <f>IF(X100&lt;&gt;"",VLOOKUP(X100,game_rosters!$C$43:$E$64,3,FALSE))</f>
        <v>0</v>
      </c>
      <c r="Z100" t="e" cm="1" vm="1">
        <f t="array" aca="1" ref="Z100" ca="1">IFERROR(IF(_xlfn._xlws.FILTER(game_rosters!$J:$J,(game_rosters!$G:$G=events!$AN100)*(game_rosters!$J:$J=events!$X100))&gt;0,1,""),"")</f>
        <v>#VALUE!</v>
      </c>
      <c r="AA100" t="e">
        <f t="shared" si="45"/>
        <v>#VALUE!</v>
      </c>
      <c r="AB100" t="str">
        <f t="shared" si="46"/>
        <v/>
      </c>
      <c r="AC100" t="e">
        <f t="shared" si="44"/>
        <v>#VALUE!</v>
      </c>
      <c r="AD100" s="6"/>
      <c r="BJ100" s="39"/>
      <c r="BM100" s="39"/>
      <c r="BO100" s="19"/>
      <c r="BQ100" s="17"/>
    </row>
    <row r="101" spans="1:69" x14ac:dyDescent="0.2">
      <c r="A101" t="str">
        <f t="shared" si="47"/>
        <v/>
      </c>
      <c r="E101" s="4"/>
      <c r="F101" s="44"/>
      <c r="G101" s="4"/>
      <c r="H101" s="47"/>
      <c r="J101" s="45" t="str">
        <f t="shared" si="48"/>
        <v/>
      </c>
      <c r="N101" t="str">
        <f t="shared" si="50"/>
        <v/>
      </c>
      <c r="Q101" t="str">
        <f t="shared" si="49"/>
        <v/>
      </c>
      <c r="S101" t="str">
        <f>IF(A101=1,MAX(S$2:S100)+1,IF(OR(I101&lt;&gt;"",A101="x"),S100,""))</f>
        <v/>
      </c>
      <c r="T101" t="str">
        <f>IF(D101=1,MAX($T$2:$T100)+1,IF(S101=$S100,$S100,IF($D101="x",T100,IF($D100="x","",""))))</f>
        <v/>
      </c>
      <c r="U101" t="str">
        <f>IF(B101=1,MAX($U$2:$U100)+1,IF(AND($T101&lt;&gt;"",$T101=$T100),$U100,IF(B101="x",U100,"")))</f>
        <v/>
      </c>
      <c r="V101" t="str">
        <f>IF(C101=1,MAX($V$2:$V100)+1,IF(AND($T101&lt;&gt;"",$T101=$T100),$U100,IF(C101="x",V100,"")))</f>
        <v/>
      </c>
      <c r="W101" t="str" cm="1">
        <f t="array" ref="W101">IFERROR(_xlfn._xlws.FILTER(game_rosters!AB:AB,(game_rosters!J:J=events!X101)*(K101&lt;&gt;"")),"")</f>
        <v/>
      </c>
      <c r="X101" t="str" cm="1">
        <f t="array" ref="X101">IF(S101="","",IF($I101&lt;&gt;"",$I101,INDEX($I$2:$I100,ROW()-COUNTIFS($T$2:$T100,"="&amp;$T101,$S$2:$S100,"&lt;&gt;"&amp;$S101)-1)))</f>
        <v/>
      </c>
      <c r="Y101" t="b">
        <f>IF(X101&lt;&gt;"",VLOOKUP(X101,game_rosters!$C$43:$E$64,3,FALSE))</f>
        <v>0</v>
      </c>
      <c r="Z101" t="e" cm="1" vm="1">
        <f t="array" aca="1" ref="Z101" ca="1">IFERROR(IF(_xlfn._xlws.FILTER(game_rosters!$J:$J,(game_rosters!$G:$G=events!$AN101)*(game_rosters!$J:$J=events!$X101))&gt;0,1,""),"")</f>
        <v>#VALUE!</v>
      </c>
      <c r="AA101" t="e">
        <f t="shared" si="45"/>
        <v>#VALUE!</v>
      </c>
      <c r="AB101" t="str">
        <f t="shared" si="46"/>
        <v/>
      </c>
      <c r="AC101" t="e">
        <f t="shared" si="44"/>
        <v>#VALUE!</v>
      </c>
      <c r="AD101" s="6"/>
      <c r="BJ101" s="39"/>
      <c r="BM101" s="39"/>
      <c r="BO101" s="19"/>
      <c r="BQ101" s="17"/>
    </row>
    <row r="102" spans="1:69" x14ac:dyDescent="0.2">
      <c r="A102" t="str">
        <f t="shared" si="47"/>
        <v/>
      </c>
      <c r="E102" s="4"/>
      <c r="F102" s="44"/>
      <c r="G102" s="4"/>
      <c r="H102" s="47"/>
      <c r="J102" s="45" t="str">
        <f t="shared" si="48"/>
        <v/>
      </c>
      <c r="N102" t="str">
        <f t="shared" si="50"/>
        <v/>
      </c>
      <c r="Q102" t="str">
        <f t="shared" si="49"/>
        <v/>
      </c>
      <c r="S102" t="str">
        <f>IF(A102=1,MAX(S$2:S101)+1,IF(OR(I102&lt;&gt;"",A102="x"),S101,""))</f>
        <v/>
      </c>
      <c r="T102" t="str">
        <f>IF(D102=1,MAX($T$2:$T101)+1,IF(S102=$S101,$S101,IF($D102="x",T101,IF($D101="x","",""))))</f>
        <v/>
      </c>
      <c r="U102" t="str">
        <f>IF(B102=1,MAX($U$2:$U101)+1,IF(AND($T102&lt;&gt;"",$T102=$T101),$U101,IF(B102="x",U101,"")))</f>
        <v/>
      </c>
      <c r="V102" t="str">
        <f>IF(C102=1,MAX($V$2:$V101)+1,IF(AND($T102&lt;&gt;"",$T102=$T101),$U101,IF(C102="x",V101,"")))</f>
        <v/>
      </c>
      <c r="W102" t="str" cm="1">
        <f t="array" ref="W102">IFERROR(_xlfn._xlws.FILTER(game_rosters!AB:AB,(game_rosters!J:J=events!X102)*(K102&lt;&gt;"")),"")</f>
        <v/>
      </c>
      <c r="X102" t="str" cm="1">
        <f t="array" ref="X102">IF(S102="","",IF($I102&lt;&gt;"",$I102,INDEX($I$2:$I101,ROW()-COUNTIFS($T$2:$T101,"="&amp;$T102,$S$2:$S101,"&lt;&gt;"&amp;$S102)-1)))</f>
        <v/>
      </c>
      <c r="Y102" t="b">
        <f>IF(X102&lt;&gt;"",VLOOKUP(X102,game_rosters!$C$43:$E$64,3,FALSE))</f>
        <v>0</v>
      </c>
      <c r="Z102" t="e" cm="1" vm="1">
        <f t="array" aca="1" ref="Z102" ca="1">IFERROR(IF(_xlfn._xlws.FILTER(game_rosters!$J:$J,(game_rosters!$G:$G=events!$AN102)*(game_rosters!$J:$J=events!$X102))&gt;0,1,""),"")</f>
        <v>#VALUE!</v>
      </c>
      <c r="AA102" t="e">
        <f t="shared" si="45"/>
        <v>#VALUE!</v>
      </c>
      <c r="AB102" t="str">
        <f t="shared" si="46"/>
        <v/>
      </c>
      <c r="AC102" t="e">
        <f t="shared" si="44"/>
        <v>#VALUE!</v>
      </c>
      <c r="AD102" s="6"/>
      <c r="BJ102" s="39"/>
      <c r="BM102" s="39"/>
      <c r="BO102" s="19"/>
      <c r="BQ102" s="17"/>
    </row>
    <row r="103" spans="1:69" x14ac:dyDescent="0.2">
      <c r="A103" t="str">
        <f t="shared" si="47"/>
        <v/>
      </c>
      <c r="E103" s="4"/>
      <c r="F103" s="44"/>
      <c r="G103" s="4"/>
      <c r="H103" s="47"/>
      <c r="J103" s="45" t="str">
        <f t="shared" si="48"/>
        <v/>
      </c>
      <c r="N103" t="str">
        <f t="shared" si="50"/>
        <v/>
      </c>
      <c r="Q103" t="str">
        <f t="shared" si="49"/>
        <v/>
      </c>
      <c r="S103" t="str">
        <f>IF(A103=1,MAX(S$2:S102)+1,IF(OR(I103&lt;&gt;"",A103="x"),S102,""))</f>
        <v/>
      </c>
      <c r="T103" t="str">
        <f>IF(D103=1,MAX($T$2:$T102)+1,IF(S103=$S102,$S102,IF($D103="x",T102,IF($D102="x","",""))))</f>
        <v/>
      </c>
      <c r="U103" t="str">
        <f>IF(B103=1,MAX($U$2:$U102)+1,IF(AND($T103&lt;&gt;"",$T103=$T102),$U102,IF(B103="x",U102,"")))</f>
        <v/>
      </c>
      <c r="V103" t="str">
        <f>IF(C103=1,MAX($V$2:$V102)+1,IF(AND($T103&lt;&gt;"",$T103=$T102),$U102,IF(C103="x",V102,"")))</f>
        <v/>
      </c>
      <c r="W103" t="str" cm="1">
        <f t="array" ref="W103">IFERROR(_xlfn._xlws.FILTER(game_rosters!AB:AB,(game_rosters!J:J=events!X103)*(K103&lt;&gt;"")),"")</f>
        <v/>
      </c>
      <c r="X103" t="str" cm="1">
        <f t="array" ref="X103">IF(S103="","",IF($I103&lt;&gt;"",$I103,INDEX($I$2:$I102,ROW()-COUNTIFS($T$2:$T102,"="&amp;$T103,$S$2:$S102,"&lt;&gt;"&amp;$S103)-1)))</f>
        <v/>
      </c>
      <c r="Y103" t="b">
        <f>IF(X103&lt;&gt;"",VLOOKUP(X103,game_rosters!$C$43:$E$64,3,FALSE))</f>
        <v>0</v>
      </c>
      <c r="Z103" t="e" cm="1" vm="1">
        <f t="array" aca="1" ref="Z103" ca="1">IFERROR(IF(_xlfn._xlws.FILTER(game_rosters!$J:$J,(game_rosters!$G:$G=events!$AN103)*(game_rosters!$J:$J=events!$X103))&gt;0,1,""),"")</f>
        <v>#VALUE!</v>
      </c>
      <c r="AA103" t="e">
        <f t="shared" si="45"/>
        <v>#VALUE!</v>
      </c>
      <c r="AB103" t="str">
        <f t="shared" si="46"/>
        <v/>
      </c>
      <c r="AC103" t="e">
        <f t="shared" si="44"/>
        <v>#VALUE!</v>
      </c>
      <c r="AD103" s="6"/>
      <c r="BJ103" s="39"/>
      <c r="BM103" s="39"/>
      <c r="BO103" s="19"/>
      <c r="BQ103" s="17"/>
    </row>
    <row r="104" spans="1:69" x14ac:dyDescent="0.2">
      <c r="A104" t="str">
        <f t="shared" si="47"/>
        <v/>
      </c>
      <c r="E104" s="4"/>
      <c r="F104" s="44"/>
      <c r="G104" s="4"/>
      <c r="H104" s="47"/>
      <c r="J104" s="45" t="str">
        <f t="shared" si="48"/>
        <v/>
      </c>
      <c r="N104" t="str">
        <f t="shared" si="50"/>
        <v/>
      </c>
      <c r="Q104" t="str">
        <f t="shared" si="49"/>
        <v/>
      </c>
      <c r="S104" t="str">
        <f>IF(A104=1,MAX(S$2:S103)+1,IF(OR(I104&lt;&gt;"",A104="x"),S103,""))</f>
        <v/>
      </c>
      <c r="T104" t="str">
        <f>IF(D104=1,MAX($T$2:$T103)+1,IF(S104=$S103,$S103,IF($D104="x",T103,IF($D103="x","",""))))</f>
        <v/>
      </c>
      <c r="U104" t="str">
        <f>IF(B104=1,MAX($U$2:$U103)+1,IF(AND($T104&lt;&gt;"",$T104=$T103),$U103,IF(B104="x",U103,"")))</f>
        <v/>
      </c>
      <c r="V104" t="str">
        <f>IF(C104=1,MAX($V$2:$V103)+1,IF(AND($T104&lt;&gt;"",$T104=$T103),$U103,IF(C104="x",V103,"")))</f>
        <v/>
      </c>
      <c r="W104" t="str" cm="1">
        <f t="array" ref="W104">IFERROR(_xlfn._xlws.FILTER(game_rosters!AB:AB,(game_rosters!J:J=events!X104)*(K104&lt;&gt;"")),"")</f>
        <v/>
      </c>
      <c r="X104" t="str" cm="1">
        <f t="array" ref="X104">IF(S104="","",IF($I104&lt;&gt;"",$I104,INDEX($I$2:$I103,ROW()-COUNTIFS($T$2:$T103,"="&amp;$T104,$S$2:$S103,"&lt;&gt;"&amp;$S104)-1)))</f>
        <v/>
      </c>
      <c r="Y104" t="b">
        <f>IF(X104&lt;&gt;"",VLOOKUP(X104,game_rosters!$C$43:$E$64,3,FALSE))</f>
        <v>0</v>
      </c>
      <c r="Z104" t="e" cm="1" vm="1">
        <f t="array" aca="1" ref="Z104" ca="1">IFERROR(IF(_xlfn._xlws.FILTER(game_rosters!$J:$J,(game_rosters!$G:$G=events!$AN104)*(game_rosters!$J:$J=events!$X104))&gt;0,1,""),"")</f>
        <v>#VALUE!</v>
      </c>
      <c r="AA104" t="e">
        <f t="shared" si="45"/>
        <v>#VALUE!</v>
      </c>
      <c r="AB104" t="str">
        <f t="shared" si="46"/>
        <v/>
      </c>
      <c r="AC104" t="e">
        <f t="shared" si="44"/>
        <v>#VALUE!</v>
      </c>
      <c r="AD104" s="6"/>
      <c r="BJ104" s="39"/>
      <c r="BM104" s="39"/>
      <c r="BO104" s="19"/>
      <c r="BQ104" s="17"/>
    </row>
    <row r="105" spans="1:69" x14ac:dyDescent="0.2">
      <c r="A105" t="str">
        <f t="shared" si="47"/>
        <v/>
      </c>
      <c r="E105" s="4"/>
      <c r="F105" s="44"/>
      <c r="G105" s="4"/>
      <c r="H105" s="47"/>
      <c r="J105" s="45" t="str">
        <f t="shared" si="48"/>
        <v/>
      </c>
      <c r="N105" t="str">
        <f t="shared" si="50"/>
        <v/>
      </c>
      <c r="Q105" t="str">
        <f t="shared" si="49"/>
        <v/>
      </c>
      <c r="S105" t="str">
        <f>IF(A105=1,MAX(S$2:S104)+1,IF(OR(I105&lt;&gt;"",A105="x"),S104,""))</f>
        <v/>
      </c>
      <c r="T105" t="str">
        <f>IF(D105=1,MAX($T$2:$T104)+1,IF(S105=$S104,$S104,IF($D105="x",T104,IF($D104="x","",""))))</f>
        <v/>
      </c>
      <c r="U105" t="str">
        <f>IF(B105=1,MAX($U$2:$U104)+1,IF(AND($T105&lt;&gt;"",$T105=$T104),$U104,IF(B105="x",U104,"")))</f>
        <v/>
      </c>
      <c r="V105" t="str">
        <f>IF(C105=1,MAX($V$2:$V104)+1,IF(AND($T105&lt;&gt;"",$T105=$T104),$U104,IF(C105="x",V104,"")))</f>
        <v/>
      </c>
      <c r="W105" t="str" cm="1">
        <f t="array" ref="W105">IFERROR(_xlfn._xlws.FILTER(game_rosters!AB:AB,(game_rosters!J:J=events!X105)*(K105&lt;&gt;"")),"")</f>
        <v/>
      </c>
      <c r="X105" t="str" cm="1">
        <f t="array" ref="X105">IF(S105="","",IF($I105&lt;&gt;"",$I105,INDEX($I$2:$I104,ROW()-COUNTIFS($T$2:$T104,"="&amp;$T105,$S$2:$S104,"&lt;&gt;"&amp;$S105)-1)))</f>
        <v/>
      </c>
      <c r="Y105" t="b">
        <f>IF(X105&lt;&gt;"",VLOOKUP(X105,game_rosters!$C$43:$E$64,3,FALSE))</f>
        <v>0</v>
      </c>
      <c r="Z105" t="e" cm="1" vm="1">
        <f t="array" aca="1" ref="Z105" ca="1">IFERROR(IF(_xlfn._xlws.FILTER(game_rosters!$J:$J,(game_rosters!$G:$G=events!$AN105)*(game_rosters!$J:$J=events!$X105))&gt;0,1,""),"")</f>
        <v>#VALUE!</v>
      </c>
      <c r="AA105" t="e">
        <f t="shared" si="45"/>
        <v>#VALUE!</v>
      </c>
      <c r="AB105" t="str">
        <f t="shared" si="46"/>
        <v/>
      </c>
      <c r="AC105" t="e">
        <f t="shared" si="44"/>
        <v>#VALUE!</v>
      </c>
      <c r="AD105" s="6"/>
      <c r="BJ105" s="39"/>
      <c r="BM105" s="39"/>
      <c r="BO105" s="19"/>
      <c r="BQ105" s="17"/>
    </row>
    <row r="106" spans="1:69" x14ac:dyDescent="0.2">
      <c r="A106" t="str">
        <f t="shared" si="47"/>
        <v/>
      </c>
      <c r="E106" s="4"/>
      <c r="F106" s="44"/>
      <c r="G106" s="4"/>
      <c r="H106" s="47"/>
      <c r="J106" s="45" t="str">
        <f t="shared" si="48"/>
        <v/>
      </c>
      <c r="N106" t="str">
        <f t="shared" si="50"/>
        <v/>
      </c>
      <c r="Q106" t="str">
        <f t="shared" si="49"/>
        <v/>
      </c>
      <c r="S106" t="str">
        <f>IF(A106=1,MAX(S$2:S105)+1,IF(OR(I106&lt;&gt;"",A106="x"),S105,""))</f>
        <v/>
      </c>
      <c r="T106" t="str">
        <f>IF(D106=1,MAX($T$2:$T105)+1,IF(S106=$S105,$S105,IF($D106="x",T105,IF($D105="x","",""))))</f>
        <v/>
      </c>
      <c r="U106" t="str">
        <f>IF(B106=1,MAX($U$2:$U105)+1,IF(AND($T106&lt;&gt;"",$T106=$T105),$U105,IF(B106="x",U105,"")))</f>
        <v/>
      </c>
      <c r="V106" t="str">
        <f>IF(C106=1,MAX($V$2:$V105)+1,IF(AND($T106&lt;&gt;"",$T106=$T105),$U105,IF(C106="x",V105,"")))</f>
        <v/>
      </c>
      <c r="W106" t="str" cm="1">
        <f t="array" ref="W106">IFERROR(_xlfn._xlws.FILTER(game_rosters!AB:AB,(game_rosters!J:J=events!X106)*(K106&lt;&gt;"")),"")</f>
        <v/>
      </c>
      <c r="X106" t="str" cm="1">
        <f t="array" ref="X106">IF(S106="","",IF($I106&lt;&gt;"",$I106,INDEX($I$2:$I105,ROW()-COUNTIFS($T$2:$T105,"="&amp;$T106,$S$2:$S105,"&lt;&gt;"&amp;$S106)-1)))</f>
        <v/>
      </c>
      <c r="Y106" t="b">
        <f>IF(X106&lt;&gt;"",VLOOKUP(X106,game_rosters!$C$43:$E$64,3,FALSE))</f>
        <v>0</v>
      </c>
      <c r="Z106" t="e" cm="1" vm="1">
        <f t="array" aca="1" ref="Z106" ca="1">IFERROR(IF(_xlfn._xlws.FILTER(game_rosters!$J:$J,(game_rosters!$G:$G=events!$AN106)*(game_rosters!$J:$J=events!$X106))&gt;0,1,""),"")</f>
        <v>#VALUE!</v>
      </c>
      <c r="AA106" t="e">
        <f t="shared" si="45"/>
        <v>#VALUE!</v>
      </c>
      <c r="AB106" t="str">
        <f t="shared" si="46"/>
        <v/>
      </c>
      <c r="AC106" t="e">
        <f t="shared" si="44"/>
        <v>#VALUE!</v>
      </c>
      <c r="AD106" s="6"/>
      <c r="BJ106" s="39"/>
      <c r="BM106" s="39"/>
      <c r="BO106" s="19"/>
      <c r="BQ106" s="17"/>
    </row>
    <row r="107" spans="1:69" x14ac:dyDescent="0.2">
      <c r="A107" t="str">
        <f t="shared" si="47"/>
        <v/>
      </c>
      <c r="E107" s="4"/>
      <c r="F107" s="44"/>
      <c r="G107" s="4"/>
      <c r="H107" s="47"/>
      <c r="J107" s="45" t="str">
        <f t="shared" si="48"/>
        <v/>
      </c>
      <c r="N107" t="str">
        <f t="shared" si="50"/>
        <v/>
      </c>
      <c r="Q107" t="str">
        <f t="shared" si="49"/>
        <v/>
      </c>
      <c r="S107" t="str">
        <f>IF(A107=1,MAX(S$2:S106)+1,IF(OR(I107&lt;&gt;"",A107="x"),S106,""))</f>
        <v/>
      </c>
      <c r="T107" t="str">
        <f>IF(D107=1,MAX($T$2:$T106)+1,IF(S107=$S106,$S106,IF($D107="x",T106,IF($D106="x","",""))))</f>
        <v/>
      </c>
      <c r="U107" t="str">
        <f>IF(B107=1,MAX($U$2:$U106)+1,IF(AND($T107&lt;&gt;"",$T107=$T106),$U106,IF(B107="x",U106,"")))</f>
        <v/>
      </c>
      <c r="V107" t="str">
        <f>IF(C107=1,MAX($V$2:$V106)+1,IF(AND($T107&lt;&gt;"",$T107=$T106),$U106,IF(C107="x",V106,"")))</f>
        <v/>
      </c>
      <c r="W107" t="str" cm="1">
        <f t="array" ref="W107">IFERROR(_xlfn._xlws.FILTER(game_rosters!AB:AB,(game_rosters!J:J=events!X107)*(K107&lt;&gt;"")),"")</f>
        <v/>
      </c>
      <c r="X107" t="str" cm="1">
        <f t="array" ref="X107">IF(S107="","",IF($I107&lt;&gt;"",$I107,INDEX($I$2:$I106,ROW()-COUNTIFS($T$2:$T106,"="&amp;$T107,$S$2:$S106,"&lt;&gt;"&amp;$S107)-1)))</f>
        <v/>
      </c>
      <c r="Y107" t="b">
        <f>IF(X107&lt;&gt;"",VLOOKUP(X107,game_rosters!$C$43:$E$64,3,FALSE))</f>
        <v>0</v>
      </c>
      <c r="Z107" t="e" cm="1" vm="1">
        <f t="array" aca="1" ref="Z107" ca="1">IFERROR(IF(_xlfn._xlws.FILTER(game_rosters!$J:$J,(game_rosters!$G:$G=events!$AN107)*(game_rosters!$J:$J=events!$X107))&gt;0,1,""),"")</f>
        <v>#VALUE!</v>
      </c>
      <c r="AA107" t="e">
        <f t="shared" si="45"/>
        <v>#VALUE!</v>
      </c>
      <c r="AB107" t="str">
        <f t="shared" si="46"/>
        <v/>
      </c>
      <c r="AC107" t="e">
        <f t="shared" si="44"/>
        <v>#VALUE!</v>
      </c>
      <c r="AD107" s="6"/>
      <c r="BJ107" s="39"/>
      <c r="BM107" s="39"/>
      <c r="BO107" s="19"/>
      <c r="BQ107" s="17"/>
    </row>
    <row r="108" spans="1:69" x14ac:dyDescent="0.2">
      <c r="A108" t="str">
        <f t="shared" si="47"/>
        <v/>
      </c>
      <c r="E108" s="4"/>
      <c r="F108" s="44"/>
      <c r="G108" s="4"/>
      <c r="H108" s="47"/>
      <c r="J108" s="45" t="str">
        <f t="shared" si="48"/>
        <v/>
      </c>
      <c r="N108" t="str">
        <f t="shared" si="50"/>
        <v/>
      </c>
      <c r="Q108" t="str">
        <f t="shared" si="49"/>
        <v/>
      </c>
      <c r="S108" t="str">
        <f>IF(A108=1,MAX(S$2:S107)+1,IF(OR(I108&lt;&gt;"",A108="x"),S107,""))</f>
        <v/>
      </c>
      <c r="T108" t="str">
        <f>IF(D108=1,MAX($T$2:$T107)+1,IF(S108=$S107,$S107,IF($D108="x",T107,IF($D107="x","",""))))</f>
        <v/>
      </c>
      <c r="U108" t="str">
        <f>IF(B108=1,MAX($U$2:$U107)+1,IF(AND($T108&lt;&gt;"",$T108=$T107),$U107,IF(B108="x",U107,"")))</f>
        <v/>
      </c>
      <c r="V108" t="str">
        <f>IF(C108=1,MAX($V$2:$V107)+1,IF(AND($T108&lt;&gt;"",$T108=$T107),$U107,IF(C108="x",V107,"")))</f>
        <v/>
      </c>
      <c r="W108" t="str" cm="1">
        <f t="array" ref="W108">IFERROR(_xlfn._xlws.FILTER(game_rosters!AB:AB,(game_rosters!J:J=events!X108)*(K108&lt;&gt;"")),"")</f>
        <v/>
      </c>
      <c r="X108" t="str" cm="1">
        <f t="array" ref="X108">IF(S108="","",IF($I108&lt;&gt;"",$I108,INDEX($I$2:$I107,ROW()-COUNTIFS($T$2:$T107,"="&amp;$T108,$S$2:$S107,"&lt;&gt;"&amp;$S108)-1)))</f>
        <v/>
      </c>
      <c r="Y108" t="b">
        <f>IF(X108&lt;&gt;"",VLOOKUP(X108,game_rosters!$C$43:$E$64,3,FALSE))</f>
        <v>0</v>
      </c>
      <c r="Z108" t="e" cm="1" vm="1">
        <f t="array" aca="1" ref="Z108" ca="1">IFERROR(IF(_xlfn._xlws.FILTER(game_rosters!$J:$J,(game_rosters!$G:$G=events!$AN108)*(game_rosters!$J:$J=events!$X108))&gt;0,1,""),"")</f>
        <v>#VALUE!</v>
      </c>
      <c r="AA108" t="e">
        <f t="shared" si="45"/>
        <v>#VALUE!</v>
      </c>
      <c r="AB108" t="str">
        <f t="shared" si="46"/>
        <v/>
      </c>
      <c r="AC108" t="e">
        <f t="shared" si="44"/>
        <v>#VALUE!</v>
      </c>
      <c r="AD108" s="6"/>
      <c r="BJ108" s="39"/>
      <c r="BM108" s="39"/>
      <c r="BO108" s="19"/>
      <c r="BQ108" s="17"/>
    </row>
    <row r="109" spans="1:69" x14ac:dyDescent="0.2">
      <c r="A109" t="str">
        <f t="shared" si="47"/>
        <v/>
      </c>
      <c r="E109" s="4"/>
      <c r="F109" s="44"/>
      <c r="G109" s="4"/>
      <c r="H109" s="47"/>
      <c r="J109" s="45" t="str">
        <f t="shared" si="48"/>
        <v/>
      </c>
      <c r="N109" t="str">
        <f t="shared" si="50"/>
        <v/>
      </c>
      <c r="Q109" t="str">
        <f t="shared" si="49"/>
        <v/>
      </c>
      <c r="S109" t="str">
        <f>IF(A109=1,MAX(S$2:S108)+1,IF(OR(I109&lt;&gt;"",A109="x"),S108,""))</f>
        <v/>
      </c>
      <c r="T109" t="str">
        <f>IF(D109=1,MAX($T$2:$T108)+1,IF(S109=$S108,$S108,IF($D109="x",T108,IF($D108="x","",""))))</f>
        <v/>
      </c>
      <c r="U109" t="str">
        <f>IF(B109=1,MAX($U$2:$U108)+1,IF(AND($T109&lt;&gt;"",$T109=$T108),$U108,IF(B109="x",U108,"")))</f>
        <v/>
      </c>
      <c r="V109" t="str">
        <f>IF(C109=1,MAX($V$2:$V108)+1,IF(AND($T109&lt;&gt;"",$T109=$T108),$U108,IF(C109="x",V108,"")))</f>
        <v/>
      </c>
      <c r="W109" t="str" cm="1">
        <f t="array" ref="W109">IFERROR(_xlfn._xlws.FILTER(game_rosters!AB:AB,(game_rosters!J:J=events!X109)*(K109&lt;&gt;"")),"")</f>
        <v/>
      </c>
      <c r="X109" t="str" cm="1">
        <f t="array" ref="X109">IF(S109="","",IF($I109&lt;&gt;"",$I109,INDEX($I$2:$I108,ROW()-COUNTIFS($T$2:$T108,"="&amp;$T109,$S$2:$S108,"&lt;&gt;"&amp;$S109)-1)))</f>
        <v/>
      </c>
      <c r="Y109" t="b">
        <f>IF(X109&lt;&gt;"",VLOOKUP(X109,game_rosters!$C$43:$E$64,3,FALSE))</f>
        <v>0</v>
      </c>
      <c r="Z109" t="e" cm="1" vm="1">
        <f t="array" aca="1" ref="Z109" ca="1">IFERROR(IF(_xlfn._xlws.FILTER(game_rosters!$J:$J,(game_rosters!$G:$G=events!$AN109)*(game_rosters!$J:$J=events!$X109))&gt;0,1,""),"")</f>
        <v>#VALUE!</v>
      </c>
      <c r="AA109" t="e">
        <f t="shared" si="45"/>
        <v>#VALUE!</v>
      </c>
      <c r="AB109" t="str">
        <f t="shared" si="46"/>
        <v/>
      </c>
      <c r="AC109" t="e">
        <f t="shared" si="44"/>
        <v>#VALUE!</v>
      </c>
      <c r="AD109" s="6"/>
      <c r="BJ109" s="39"/>
      <c r="BM109" s="39"/>
      <c r="BO109" s="19"/>
      <c r="BQ109" s="17"/>
    </row>
    <row r="110" spans="1:69" x14ac:dyDescent="0.2">
      <c r="A110" t="str">
        <f t="shared" si="47"/>
        <v/>
      </c>
      <c r="E110" s="4"/>
      <c r="F110" s="44"/>
      <c r="G110" s="4"/>
      <c r="H110" s="47"/>
      <c r="J110" s="45" t="str">
        <f t="shared" si="48"/>
        <v/>
      </c>
      <c r="N110" t="str">
        <f t="shared" si="50"/>
        <v/>
      </c>
      <c r="Q110" t="str">
        <f t="shared" si="49"/>
        <v/>
      </c>
      <c r="S110" t="str">
        <f>IF(A110=1,MAX(S$2:S109)+1,IF(OR(I110&lt;&gt;"",A110="x"),S109,""))</f>
        <v/>
      </c>
      <c r="T110" t="str">
        <f>IF(D110=1,MAX($T$2:$T109)+1,IF(S110=$S109,$S109,IF($D110="x",T109,IF($D109="x","",""))))</f>
        <v/>
      </c>
      <c r="U110" t="str">
        <f>IF(B110=1,MAX($U$2:$U109)+1,IF(AND($T110&lt;&gt;"",$T110=$T109),$U109,IF(B110="x",U109,"")))</f>
        <v/>
      </c>
      <c r="V110" t="str">
        <f>IF(C110=1,MAX($V$2:$V109)+1,IF(AND($T110&lt;&gt;"",$T110=$T109),$U109,IF(C110="x",V109,"")))</f>
        <v/>
      </c>
      <c r="W110" t="str" cm="1">
        <f t="array" ref="W110">IFERROR(_xlfn._xlws.FILTER(game_rosters!AB:AB,(game_rosters!J:J=events!X110)*(K110&lt;&gt;"")),"")</f>
        <v/>
      </c>
      <c r="X110" t="str" cm="1">
        <f t="array" ref="X110">IF(S110="","",IF($I110&lt;&gt;"",$I110,INDEX($I$2:$I109,ROW()-COUNTIFS($T$2:$T109,"="&amp;$T110,$S$2:$S109,"&lt;&gt;"&amp;$S110)-1)))</f>
        <v/>
      </c>
      <c r="Y110" t="b">
        <f>IF(X110&lt;&gt;"",VLOOKUP(X110,game_rosters!$C$43:$E$64,3,FALSE))</f>
        <v>0</v>
      </c>
      <c r="Z110" t="e" cm="1" vm="1">
        <f t="array" aca="1" ref="Z110" ca="1">IFERROR(IF(_xlfn._xlws.FILTER(game_rosters!$J:$J,(game_rosters!$G:$G=events!$AN110)*(game_rosters!$J:$J=events!$X110))&gt;0,1,""),"")</f>
        <v>#VALUE!</v>
      </c>
      <c r="AA110" t="e">
        <f t="shared" si="45"/>
        <v>#VALUE!</v>
      </c>
      <c r="AB110" t="str">
        <f t="shared" si="46"/>
        <v/>
      </c>
      <c r="AC110" t="e">
        <f t="shared" si="44"/>
        <v>#VALUE!</v>
      </c>
      <c r="AD110" s="6"/>
      <c r="BJ110" s="39"/>
      <c r="BM110" s="39"/>
      <c r="BO110" s="19"/>
      <c r="BQ110" s="17"/>
    </row>
    <row r="111" spans="1:69" x14ac:dyDescent="0.2">
      <c r="A111" t="str">
        <f t="shared" si="47"/>
        <v/>
      </c>
      <c r="E111" s="4"/>
      <c r="F111" s="44"/>
      <c r="G111" s="4"/>
      <c r="H111" s="47"/>
      <c r="J111" s="45" t="str">
        <f t="shared" si="48"/>
        <v/>
      </c>
      <c r="N111" t="str">
        <f t="shared" si="50"/>
        <v/>
      </c>
      <c r="Q111" t="str">
        <f t="shared" si="49"/>
        <v/>
      </c>
      <c r="S111" t="str">
        <f>IF(A111=1,MAX(S$2:S110)+1,IF(OR(I111&lt;&gt;"",A111="x"),S110,""))</f>
        <v/>
      </c>
      <c r="T111" t="str">
        <f>IF(D111=1,MAX($T$2:$T110)+1,IF(S111=$S110,$S110,IF($D111="x",T110,IF($D110="x","",""))))</f>
        <v/>
      </c>
      <c r="U111" t="str">
        <f>IF(B111=1,MAX($U$2:$U110)+1,IF(AND($T111&lt;&gt;"",$T111=$T110),$U110,IF(B111="x",U110,"")))</f>
        <v/>
      </c>
      <c r="V111" t="str">
        <f>IF(C111=1,MAX($V$2:$V110)+1,IF(AND($T111&lt;&gt;"",$T111=$T110),$U110,IF(C111="x",V110,"")))</f>
        <v/>
      </c>
      <c r="W111" t="str" cm="1">
        <f t="array" ref="W111">IFERROR(_xlfn._xlws.FILTER(game_rosters!AB:AB,(game_rosters!J:J=events!X111)*(K111&lt;&gt;"")),"")</f>
        <v/>
      </c>
      <c r="X111" t="str" cm="1">
        <f t="array" ref="X111">IF(S111="","",IF($I111&lt;&gt;"",$I111,INDEX($I$2:$I110,ROW()-COUNTIFS($T$2:$T110,"="&amp;$T111,$S$2:$S110,"&lt;&gt;"&amp;$S111)-1)))</f>
        <v/>
      </c>
      <c r="Y111" t="b">
        <f>IF(X111&lt;&gt;"",VLOOKUP(X111,game_rosters!$C$43:$E$64,3,FALSE))</f>
        <v>0</v>
      </c>
      <c r="Z111" t="e" cm="1" vm="1">
        <f t="array" aca="1" ref="Z111" ca="1">IFERROR(IF(_xlfn._xlws.FILTER(game_rosters!$J:$J,(game_rosters!$G:$G=events!$AN111)*(game_rosters!$J:$J=events!$X111))&gt;0,1,""),"")</f>
        <v>#VALUE!</v>
      </c>
      <c r="AA111" t="e">
        <f t="shared" si="45"/>
        <v>#VALUE!</v>
      </c>
      <c r="AB111" t="str">
        <f t="shared" si="46"/>
        <v/>
      </c>
      <c r="AC111" t="e">
        <f t="shared" si="44"/>
        <v>#VALUE!</v>
      </c>
      <c r="AD111" s="6"/>
      <c r="BJ111" s="39"/>
      <c r="BM111" s="39"/>
      <c r="BO111" s="19"/>
      <c r="BQ111" s="17"/>
    </row>
    <row r="112" spans="1:69" x14ac:dyDescent="0.2">
      <c r="A112" t="str">
        <f t="shared" si="47"/>
        <v/>
      </c>
      <c r="E112" s="4"/>
      <c r="F112" s="44"/>
      <c r="G112" s="4"/>
      <c r="H112" s="47"/>
      <c r="J112" s="45" t="str">
        <f t="shared" si="48"/>
        <v/>
      </c>
      <c r="N112" t="str">
        <f t="shared" si="50"/>
        <v/>
      </c>
      <c r="Q112" t="str">
        <f t="shared" si="49"/>
        <v/>
      </c>
      <c r="S112" t="str">
        <f>IF(A112=1,MAX(S$2:S111)+1,IF(OR(I112&lt;&gt;"",A112="x"),S111,""))</f>
        <v/>
      </c>
      <c r="T112" t="str">
        <f>IF(D112=1,MAX($T$2:$T111)+1,IF(S112=$S111,$S111,IF($D112="x",T111,IF($D111="x","",""))))</f>
        <v/>
      </c>
      <c r="U112" t="str">
        <f>IF(B112=1,MAX($U$2:$U111)+1,IF(AND($T112&lt;&gt;"",$T112=$T111),$U111,IF(B112="x",U111,"")))</f>
        <v/>
      </c>
      <c r="V112" t="str">
        <f>IF(C112=1,MAX($V$2:$V111)+1,IF(AND($T112&lt;&gt;"",$T112=$T111),$U111,IF(C112="x",V111,"")))</f>
        <v/>
      </c>
      <c r="W112" t="str" cm="1">
        <f t="array" ref="W112">IFERROR(_xlfn._xlws.FILTER(game_rosters!AB:AB,(game_rosters!J:J=events!X112)*(K112&lt;&gt;"")),"")</f>
        <v/>
      </c>
      <c r="X112" t="str" cm="1">
        <f t="array" ref="X112">IF(S112="","",IF($I112&lt;&gt;"",$I112,INDEX($I$2:$I111,ROW()-COUNTIFS($T$2:$T111,"="&amp;$T112,$S$2:$S111,"&lt;&gt;"&amp;$S112)-1)))</f>
        <v/>
      </c>
      <c r="Y112" t="b">
        <f>IF(X112&lt;&gt;"",VLOOKUP(X112,game_rosters!$C$43:$E$64,3,FALSE))</f>
        <v>0</v>
      </c>
      <c r="Z112" t="e" cm="1" vm="1">
        <f t="array" aca="1" ref="Z112" ca="1">IFERROR(IF(_xlfn._xlws.FILTER(game_rosters!$J:$J,(game_rosters!$G:$G=events!$AN112)*(game_rosters!$J:$J=events!$X112))&gt;0,1,""),"")</f>
        <v>#VALUE!</v>
      </c>
      <c r="AA112" t="e">
        <f t="shared" si="45"/>
        <v>#VALUE!</v>
      </c>
      <c r="AB112" t="str">
        <f t="shared" si="46"/>
        <v/>
      </c>
      <c r="AC112" t="e">
        <f t="shared" si="44"/>
        <v>#VALUE!</v>
      </c>
      <c r="AD112" s="6"/>
      <c r="BJ112" s="39"/>
      <c r="BM112" s="39"/>
      <c r="BO112" s="19"/>
      <c r="BQ112" s="17"/>
    </row>
    <row r="113" spans="1:69" x14ac:dyDescent="0.2">
      <c r="A113" t="str">
        <f t="shared" si="47"/>
        <v/>
      </c>
      <c r="E113" s="4"/>
      <c r="F113" s="44"/>
      <c r="G113" s="4"/>
      <c r="H113" s="47"/>
      <c r="J113" s="45" t="str">
        <f t="shared" si="48"/>
        <v/>
      </c>
      <c r="N113" t="str">
        <f t="shared" si="50"/>
        <v/>
      </c>
      <c r="Q113" t="str">
        <f t="shared" si="49"/>
        <v/>
      </c>
      <c r="S113" t="str">
        <f>IF(A113=1,MAX(S$2:S112)+1,IF(OR(I113&lt;&gt;"",A113="x"),S112,""))</f>
        <v/>
      </c>
      <c r="T113" t="str">
        <f>IF(D113=1,MAX($T$2:$T112)+1,IF(S113=$S112,$S112,IF($D113="x",T112,IF($D112="x","",""))))</f>
        <v/>
      </c>
      <c r="U113" t="str">
        <f>IF(B113=1,MAX($U$2:$U112)+1,IF(AND($T113&lt;&gt;"",$T113=$T112),$U112,IF(B113="x",U112,"")))</f>
        <v/>
      </c>
      <c r="V113" t="str">
        <f>IF(C113=1,MAX($V$2:$V112)+1,IF(AND($T113&lt;&gt;"",$T113=$T112),$U112,IF(C113="x",V112,"")))</f>
        <v/>
      </c>
      <c r="W113" t="str" cm="1">
        <f t="array" ref="W113">IFERROR(_xlfn._xlws.FILTER(game_rosters!AB:AB,(game_rosters!J:J=events!X113)*(K113&lt;&gt;"")),"")</f>
        <v/>
      </c>
      <c r="X113" t="str" cm="1">
        <f t="array" ref="X113">IF(S113="","",IF($I113&lt;&gt;"",$I113,INDEX($I$2:$I112,ROW()-COUNTIFS($T$2:$T112,"="&amp;$T113,$S$2:$S112,"&lt;&gt;"&amp;$S113)-1)))</f>
        <v/>
      </c>
      <c r="Y113" t="b">
        <f>IF(X113&lt;&gt;"",VLOOKUP(X113,game_rosters!$C$43:$E$64,3,FALSE))</f>
        <v>0</v>
      </c>
      <c r="Z113" t="e" cm="1" vm="1">
        <f t="array" aca="1" ref="Z113" ca="1">IFERROR(IF(_xlfn._xlws.FILTER(game_rosters!$J:$J,(game_rosters!$G:$G=events!$AN113)*(game_rosters!$J:$J=events!$X113))&gt;0,1,""),"")</f>
        <v>#VALUE!</v>
      </c>
      <c r="AA113" t="e">
        <f t="shared" si="45"/>
        <v>#VALUE!</v>
      </c>
      <c r="AB113" t="str">
        <f t="shared" si="46"/>
        <v/>
      </c>
      <c r="AC113" t="e">
        <f t="shared" si="44"/>
        <v>#VALUE!</v>
      </c>
      <c r="AD113" s="6"/>
      <c r="BJ113" s="39"/>
      <c r="BM113" s="39"/>
      <c r="BO113" s="19"/>
      <c r="BQ113" s="17"/>
    </row>
    <row r="114" spans="1:69" x14ac:dyDescent="0.2">
      <c r="A114" t="str">
        <f t="shared" si="47"/>
        <v/>
      </c>
      <c r="E114" s="4"/>
      <c r="F114" s="44"/>
      <c r="G114" s="4"/>
      <c r="H114" s="47"/>
      <c r="J114" s="45" t="str">
        <f t="shared" si="48"/>
        <v/>
      </c>
      <c r="N114" t="str">
        <f t="shared" si="50"/>
        <v/>
      </c>
      <c r="Q114" t="str">
        <f t="shared" si="49"/>
        <v/>
      </c>
      <c r="S114" t="str">
        <f>IF(A114=1,MAX(S$2:S113)+1,IF(OR(I114&lt;&gt;"",A114="x"),S113,""))</f>
        <v/>
      </c>
      <c r="T114" t="str">
        <f>IF(D114=1,MAX($T$2:$T113)+1,IF(S114=$S113,$S113,IF($D114="x",T113,IF($D113="x","",""))))</f>
        <v/>
      </c>
      <c r="U114" t="str">
        <f>IF(B114=1,MAX($U$2:$U113)+1,IF(AND($T114&lt;&gt;"",$T114=$T113),$U113,IF(B114="x",U113,"")))</f>
        <v/>
      </c>
      <c r="V114" t="str">
        <f>IF(C114=1,MAX($V$2:$V113)+1,IF(AND($T114&lt;&gt;"",$T114=$T113),$U113,IF(C114="x",V113,"")))</f>
        <v/>
      </c>
      <c r="W114" t="str" cm="1">
        <f t="array" ref="W114">IFERROR(_xlfn._xlws.FILTER(game_rosters!AB:AB,(game_rosters!J:J=events!X114)*(K114&lt;&gt;"")),"")</f>
        <v/>
      </c>
      <c r="X114" t="str" cm="1">
        <f t="array" ref="X114">IF(S114="","",IF($I114&lt;&gt;"",$I114,INDEX($I$2:$I113,ROW()-COUNTIFS($T$2:$T113,"="&amp;$T114,$S$2:$S113,"&lt;&gt;"&amp;$S114)-1)))</f>
        <v/>
      </c>
      <c r="Y114" t="b">
        <f>IF(X114&lt;&gt;"",VLOOKUP(X114,game_rosters!$C$43:$E$64,3,FALSE))</f>
        <v>0</v>
      </c>
      <c r="Z114" t="e" cm="1" vm="1">
        <f t="array" aca="1" ref="Z114" ca="1">IFERROR(IF(_xlfn._xlws.FILTER(game_rosters!$J:$J,(game_rosters!$G:$G=events!$AN114)*(game_rosters!$J:$J=events!$X114))&gt;0,1,""),"")</f>
        <v>#VALUE!</v>
      </c>
      <c r="AA114" t="e">
        <f t="shared" si="45"/>
        <v>#VALUE!</v>
      </c>
      <c r="AB114" t="str">
        <f t="shared" si="46"/>
        <v/>
      </c>
      <c r="AC114" t="e">
        <f t="shared" si="44"/>
        <v>#VALUE!</v>
      </c>
      <c r="AD114" s="6"/>
      <c r="BJ114" s="39"/>
      <c r="BM114" s="39"/>
      <c r="BO114" s="19"/>
      <c r="BQ114" s="17"/>
    </row>
    <row r="115" spans="1:69" x14ac:dyDescent="0.2">
      <c r="A115" t="str">
        <f t="shared" si="47"/>
        <v/>
      </c>
      <c r="E115" s="4"/>
      <c r="F115" s="44"/>
      <c r="G115" s="4"/>
      <c r="H115" s="47"/>
      <c r="J115" s="45" t="str">
        <f t="shared" si="48"/>
        <v/>
      </c>
      <c r="N115" t="str">
        <f t="shared" si="50"/>
        <v/>
      </c>
      <c r="Q115" t="str">
        <f t="shared" si="49"/>
        <v/>
      </c>
      <c r="S115" t="str">
        <f>IF(A115=1,MAX(S$2:S114)+1,IF(OR(I115&lt;&gt;"",A115="x"),S114,""))</f>
        <v/>
      </c>
      <c r="T115" t="str">
        <f>IF(D115=1,MAX($T$2:$T114)+1,IF(S115=$S114,$S114,IF($D115="x",T114,IF($D114="x","",""))))</f>
        <v/>
      </c>
      <c r="U115" t="str">
        <f>IF(B115=1,MAX($U$2:$U114)+1,IF(AND($T115&lt;&gt;"",$T115=$T114),$U114,IF(B115="x",U114,"")))</f>
        <v/>
      </c>
      <c r="V115" t="str">
        <f>IF(C115=1,MAX($V$2:$V114)+1,IF(AND($T115&lt;&gt;"",$T115=$T114),$U114,IF(C115="x",V114,"")))</f>
        <v/>
      </c>
      <c r="W115" t="str" cm="1">
        <f t="array" ref="W115">IFERROR(_xlfn._xlws.FILTER(game_rosters!AB:AB,(game_rosters!J:J=events!X115)*(K115&lt;&gt;"")),"")</f>
        <v/>
      </c>
      <c r="X115" t="str" cm="1">
        <f t="array" ref="X115">IF(S115="","",IF($I115&lt;&gt;"",$I115,INDEX($I$2:$I114,ROW()-COUNTIFS($T$2:$T114,"="&amp;$T115,$S$2:$S114,"&lt;&gt;"&amp;$S115)-1)))</f>
        <v/>
      </c>
      <c r="Y115" t="b">
        <f>IF(X115&lt;&gt;"",VLOOKUP(X115,game_rosters!$C$43:$E$64,3,FALSE))</f>
        <v>0</v>
      </c>
      <c r="Z115" t="e" cm="1" vm="1">
        <f t="array" aca="1" ref="Z115" ca="1">IFERROR(IF(_xlfn._xlws.FILTER(game_rosters!$J:$J,(game_rosters!$G:$G=events!$AN115)*(game_rosters!$J:$J=events!$X115))&gt;0,1,""),"")</f>
        <v>#VALUE!</v>
      </c>
      <c r="AA115" t="e">
        <f t="shared" si="45"/>
        <v>#VALUE!</v>
      </c>
      <c r="AB115" t="str">
        <f t="shared" si="46"/>
        <v/>
      </c>
      <c r="AC115" t="e">
        <f t="shared" si="44"/>
        <v>#VALUE!</v>
      </c>
      <c r="AD115" s="6"/>
      <c r="BJ115" s="39"/>
      <c r="BM115" s="39"/>
      <c r="BO115" s="19"/>
      <c r="BQ115" s="17"/>
    </row>
    <row r="116" spans="1:69" x14ac:dyDescent="0.2">
      <c r="A116" t="str">
        <f t="shared" si="47"/>
        <v/>
      </c>
      <c r="E116" s="4"/>
      <c r="F116" s="44"/>
      <c r="G116" s="4"/>
      <c r="H116" s="47"/>
      <c r="J116" s="45" t="str">
        <f t="shared" si="48"/>
        <v/>
      </c>
      <c r="N116" t="str">
        <f t="shared" si="50"/>
        <v/>
      </c>
      <c r="Q116" t="str">
        <f t="shared" si="49"/>
        <v/>
      </c>
      <c r="S116" t="str">
        <f>IF(A116=1,MAX(S$2:S115)+1,IF(OR(I116&lt;&gt;"",A116="x"),S115,""))</f>
        <v/>
      </c>
      <c r="T116" t="str">
        <f>IF(D116=1,MAX($T$2:$T115)+1,IF(S116=$S115,$S115,IF($D116="x",T115,IF($D115="x","",""))))</f>
        <v/>
      </c>
      <c r="U116" t="str">
        <f>IF(B116=1,MAX($U$2:$U115)+1,IF(AND($T116&lt;&gt;"",$T116=$T115),$U115,IF(B116="x",U115,"")))</f>
        <v/>
      </c>
      <c r="V116" t="str">
        <f>IF(C116=1,MAX($V$2:$V115)+1,IF(AND($T116&lt;&gt;"",$T116=$T115),$U115,IF(C116="x",V115,"")))</f>
        <v/>
      </c>
      <c r="W116" t="str" cm="1">
        <f t="array" ref="W116">IFERROR(_xlfn._xlws.FILTER(game_rosters!AB:AB,(game_rosters!J:J=events!X116)*(K116&lt;&gt;"")),"")</f>
        <v/>
      </c>
      <c r="X116" t="str" cm="1">
        <f t="array" ref="X116">IF(S116="","",IF($I116&lt;&gt;"",$I116,INDEX($I$2:$I115,ROW()-COUNTIFS($T$2:$T115,"="&amp;$T116,$S$2:$S115,"&lt;&gt;"&amp;$S116)-1)))</f>
        <v/>
      </c>
      <c r="Y116" t="b">
        <f>IF(X116&lt;&gt;"",VLOOKUP(X116,game_rosters!$C$43:$E$64,3,FALSE))</f>
        <v>0</v>
      </c>
      <c r="Z116" t="e" cm="1" vm="1">
        <f t="array" aca="1" ref="Z116" ca="1">IFERROR(IF(_xlfn._xlws.FILTER(game_rosters!$J:$J,(game_rosters!$G:$G=events!$AN116)*(game_rosters!$J:$J=events!$X116))&gt;0,1,""),"")</f>
        <v>#VALUE!</v>
      </c>
      <c r="AA116" t="e">
        <f t="shared" si="45"/>
        <v>#VALUE!</v>
      </c>
      <c r="AB116" t="str">
        <f t="shared" si="46"/>
        <v/>
      </c>
      <c r="AC116" t="e">
        <f t="shared" si="44"/>
        <v>#VALUE!</v>
      </c>
      <c r="AD116" s="6"/>
      <c r="BJ116" s="39"/>
      <c r="BM116" s="39"/>
      <c r="BO116" s="19"/>
      <c r="BQ116" s="17"/>
    </row>
    <row r="117" spans="1:69" x14ac:dyDescent="0.2">
      <c r="A117" t="str">
        <f t="shared" si="47"/>
        <v/>
      </c>
      <c r="E117" s="4"/>
      <c r="F117" s="44"/>
      <c r="G117" s="4"/>
      <c r="H117" s="47"/>
      <c r="J117" s="45" t="str">
        <f t="shared" si="48"/>
        <v/>
      </c>
      <c r="N117" t="str">
        <f t="shared" si="50"/>
        <v/>
      </c>
      <c r="Q117" t="str">
        <f t="shared" si="49"/>
        <v/>
      </c>
      <c r="S117" t="str">
        <f>IF(A117=1,MAX(S$2:S116)+1,IF(OR(I117&lt;&gt;"",A117="x"),S116,""))</f>
        <v/>
      </c>
      <c r="T117" t="str">
        <f>IF(D117=1,MAX($T$2:$T116)+1,IF(S117=$S116,$S116,IF($D117="x",T116,IF($D116="x","",""))))</f>
        <v/>
      </c>
      <c r="U117" t="str">
        <f>IF(B117=1,MAX($U$2:$U116)+1,IF(AND($T117&lt;&gt;"",$T117=$T116),$U116,IF(B117="x",U116,"")))</f>
        <v/>
      </c>
      <c r="V117" t="str">
        <f>IF(C117=1,MAX($V$2:$V116)+1,IF(AND($T117&lt;&gt;"",$T117=$T116),$U116,IF(C117="x",V116,"")))</f>
        <v/>
      </c>
      <c r="W117" t="str" cm="1">
        <f t="array" ref="W117">IFERROR(_xlfn._xlws.FILTER(game_rosters!AB:AB,(game_rosters!J:J=events!X117)*(K117&lt;&gt;"")),"")</f>
        <v/>
      </c>
      <c r="X117" t="str" cm="1">
        <f t="array" ref="X117">IF(S117="","",IF($I117&lt;&gt;"",$I117,INDEX($I$2:$I116,ROW()-COUNTIFS($T$2:$T116,"="&amp;$T117,$S$2:$S116,"&lt;&gt;"&amp;$S117)-1)))</f>
        <v/>
      </c>
      <c r="Y117" t="b">
        <f>IF(X117&lt;&gt;"",VLOOKUP(X117,game_rosters!$C$43:$E$64,3,FALSE))</f>
        <v>0</v>
      </c>
      <c r="Z117" t="e" cm="1" vm="1">
        <f t="array" aca="1" ref="Z117" ca="1">IFERROR(IF(_xlfn._xlws.FILTER(game_rosters!$J:$J,(game_rosters!$G:$G=events!$AN117)*(game_rosters!$J:$J=events!$X117))&gt;0,1,""),"")</f>
        <v>#VALUE!</v>
      </c>
      <c r="AA117" t="e">
        <f t="shared" si="45"/>
        <v>#VALUE!</v>
      </c>
      <c r="AB117" t="str">
        <f t="shared" si="46"/>
        <v/>
      </c>
      <c r="AC117" t="e">
        <f t="shared" si="44"/>
        <v>#VALUE!</v>
      </c>
      <c r="AD117" s="6"/>
      <c r="BJ117" s="39"/>
      <c r="BM117" s="39"/>
      <c r="BO117" s="19"/>
      <c r="BQ117" s="17"/>
    </row>
    <row r="118" spans="1:69" x14ac:dyDescent="0.2">
      <c r="A118" t="str">
        <f t="shared" si="47"/>
        <v/>
      </c>
      <c r="E118" s="4"/>
      <c r="F118" s="44"/>
      <c r="G118" s="4"/>
      <c r="H118" s="47"/>
      <c r="J118" s="45" t="str">
        <f t="shared" si="48"/>
        <v/>
      </c>
      <c r="N118" t="str">
        <f t="shared" si="50"/>
        <v/>
      </c>
      <c r="Q118" t="str">
        <f t="shared" si="49"/>
        <v/>
      </c>
      <c r="S118" t="str">
        <f>IF(A118=1,MAX(S$2:S117)+1,IF(OR(I118&lt;&gt;"",A118="x"),S117,""))</f>
        <v/>
      </c>
      <c r="T118" t="str">
        <f>IF(D118=1,MAX($T$2:$T117)+1,IF(S118=$S117,$S117,IF($D118="x",T117,IF($D117="x","",""))))</f>
        <v/>
      </c>
      <c r="U118" t="str">
        <f>IF(B118=1,MAX($U$2:$U117)+1,IF(AND($T118&lt;&gt;"",$T118=$T117),$U117,IF(B118="x",U117,"")))</f>
        <v/>
      </c>
      <c r="V118" t="str">
        <f>IF(C118=1,MAX($V$2:$V117)+1,IF(AND($T118&lt;&gt;"",$T118=$T117),$U117,IF(C118="x",V117,"")))</f>
        <v/>
      </c>
      <c r="W118" t="str" cm="1">
        <f t="array" ref="W118">IFERROR(_xlfn._xlws.FILTER(game_rosters!AB:AB,(game_rosters!J:J=events!X118)*(K118&lt;&gt;"")),"")</f>
        <v/>
      </c>
      <c r="X118" t="str" cm="1">
        <f t="array" ref="X118">IF(S118="","",IF($I118&lt;&gt;"",$I118,INDEX($I$2:$I117,ROW()-COUNTIFS($T$2:$T117,"="&amp;$T118,$S$2:$S117,"&lt;&gt;"&amp;$S118)-1)))</f>
        <v/>
      </c>
      <c r="Y118" t="b">
        <f>IF(X118&lt;&gt;"",VLOOKUP(X118,game_rosters!$C$43:$E$64,3,FALSE))</f>
        <v>0</v>
      </c>
      <c r="Z118" t="e" cm="1" vm="1">
        <f t="array" aca="1" ref="Z118" ca="1">IFERROR(IF(_xlfn._xlws.FILTER(game_rosters!$J:$J,(game_rosters!$G:$G=events!$AN118)*(game_rosters!$J:$J=events!$X118))&gt;0,1,""),"")</f>
        <v>#VALUE!</v>
      </c>
      <c r="AA118" t="e">
        <f t="shared" si="45"/>
        <v>#VALUE!</v>
      </c>
      <c r="AB118" t="str">
        <f t="shared" si="46"/>
        <v/>
      </c>
      <c r="AC118" t="e">
        <f t="shared" si="44"/>
        <v>#VALUE!</v>
      </c>
      <c r="AD118" s="6"/>
      <c r="BJ118" s="39"/>
      <c r="BM118" s="39"/>
      <c r="BO118" s="19"/>
      <c r="BQ118" s="17"/>
    </row>
    <row r="119" spans="1:69" x14ac:dyDescent="0.2">
      <c r="A119" t="str">
        <f t="shared" si="47"/>
        <v/>
      </c>
      <c r="E119" s="4"/>
      <c r="F119" s="44"/>
      <c r="G119" s="4"/>
      <c r="H119" s="47"/>
      <c r="J119" s="45" t="str">
        <f t="shared" si="48"/>
        <v/>
      </c>
      <c r="N119" t="str">
        <f t="shared" si="50"/>
        <v/>
      </c>
      <c r="Q119" t="str">
        <f t="shared" si="49"/>
        <v/>
      </c>
      <c r="S119" t="str">
        <f>IF(A119=1,MAX(S$2:S118)+1,IF(OR(I119&lt;&gt;"",A119="x"),S118,""))</f>
        <v/>
      </c>
      <c r="T119" t="str">
        <f>IF(D119=1,MAX($T$2:$T118)+1,IF(S119=$S118,$S118,IF($D119="x",T118,IF($D118="x","",""))))</f>
        <v/>
      </c>
      <c r="U119" t="str">
        <f>IF(B119=1,MAX($U$2:$U118)+1,IF(AND($T119&lt;&gt;"",$T119=$T118),$U118,IF(B119="x",U118,"")))</f>
        <v/>
      </c>
      <c r="V119" t="str">
        <f>IF(C119=1,MAX($V$2:$V118)+1,IF(AND($T119&lt;&gt;"",$T119=$T118),$U118,IF(C119="x",V118,"")))</f>
        <v/>
      </c>
      <c r="W119" t="str" cm="1">
        <f t="array" ref="W119">IFERROR(_xlfn._xlws.FILTER(game_rosters!AB:AB,(game_rosters!J:J=events!X119)*(K119&lt;&gt;"")),"")</f>
        <v/>
      </c>
      <c r="X119" t="str" cm="1">
        <f t="array" ref="X119">IF(S119="","",IF($I119&lt;&gt;"",$I119,INDEX($I$2:$I118,ROW()-COUNTIFS($T$2:$T118,"="&amp;$T119,$S$2:$S118,"&lt;&gt;"&amp;$S119)-1)))</f>
        <v/>
      </c>
      <c r="Y119" t="b">
        <f>IF(X119&lt;&gt;"",VLOOKUP(X119,game_rosters!$C$43:$E$64,3,FALSE))</f>
        <v>0</v>
      </c>
      <c r="Z119" t="e" cm="1" vm="1">
        <f t="array" aca="1" ref="Z119" ca="1">IFERROR(IF(_xlfn._xlws.FILTER(game_rosters!$J:$J,(game_rosters!$G:$G=events!$AN119)*(game_rosters!$J:$J=events!$X119))&gt;0,1,""),"")</f>
        <v>#VALUE!</v>
      </c>
      <c r="AA119" t="e">
        <f t="shared" si="45"/>
        <v>#VALUE!</v>
      </c>
      <c r="AB119" t="str">
        <f t="shared" si="46"/>
        <v/>
      </c>
      <c r="AC119" t="e">
        <f t="shared" si="44"/>
        <v>#VALUE!</v>
      </c>
      <c r="AD119" s="6"/>
      <c r="BJ119" s="39"/>
      <c r="BM119" s="39"/>
      <c r="BO119" s="19"/>
      <c r="BQ119" s="17"/>
    </row>
    <row r="120" spans="1:69" x14ac:dyDescent="0.2">
      <c r="A120" t="str">
        <f t="shared" si="47"/>
        <v/>
      </c>
      <c r="E120" s="4"/>
      <c r="F120" s="44"/>
      <c r="G120" s="4"/>
      <c r="H120" s="47"/>
      <c r="J120" s="45" t="str">
        <f t="shared" si="48"/>
        <v/>
      </c>
      <c r="N120" t="str">
        <f t="shared" si="50"/>
        <v/>
      </c>
      <c r="Q120" t="str">
        <f t="shared" si="49"/>
        <v/>
      </c>
      <c r="S120" t="str">
        <f>IF(A120=1,MAX(S$2:S119)+1,IF(OR(I120&lt;&gt;"",A120="x"),S119,""))</f>
        <v/>
      </c>
      <c r="T120" t="str">
        <f>IF(D120=1,MAX($T$2:$T119)+1,IF(S120=$S119,$S119,IF($D120="x",T119,IF($D119="x","",""))))</f>
        <v/>
      </c>
      <c r="U120" t="str">
        <f>IF(B120=1,MAX($U$2:$U119)+1,IF(AND($T120&lt;&gt;"",$T120=$T119),$U119,IF(B120="x",U119,"")))</f>
        <v/>
      </c>
      <c r="V120" t="str">
        <f>IF(C120=1,MAX($V$2:$V119)+1,IF(AND($T120&lt;&gt;"",$T120=$T119),$U119,IF(C120="x",V119,"")))</f>
        <v/>
      </c>
      <c r="W120" t="str" cm="1">
        <f t="array" ref="W120">IFERROR(_xlfn._xlws.FILTER(game_rosters!AB:AB,(game_rosters!J:J=events!X120)*(K120&lt;&gt;"")),"")</f>
        <v/>
      </c>
      <c r="X120" t="str" cm="1">
        <f t="array" ref="X120">IF(S120="","",IF($I120&lt;&gt;"",$I120,INDEX($I$2:$I119,ROW()-COUNTIFS($T$2:$T119,"="&amp;$T120,$S$2:$S119,"&lt;&gt;"&amp;$S120)-1)))</f>
        <v/>
      </c>
      <c r="Y120" t="b">
        <f>IF(X120&lt;&gt;"",VLOOKUP(X120,game_rosters!$C$43:$E$64,3,FALSE))</f>
        <v>0</v>
      </c>
      <c r="Z120" t="e" cm="1" vm="1">
        <f t="array" aca="1" ref="Z120" ca="1">IFERROR(IF(_xlfn._xlws.FILTER(game_rosters!$J:$J,(game_rosters!$G:$G=events!$AN120)*(game_rosters!$J:$J=events!$X120))&gt;0,1,""),"")</f>
        <v>#VALUE!</v>
      </c>
      <c r="AA120" t="e">
        <f t="shared" si="45"/>
        <v>#VALUE!</v>
      </c>
      <c r="AB120" t="str">
        <f t="shared" si="46"/>
        <v/>
      </c>
      <c r="AC120" t="e">
        <f t="shared" si="44"/>
        <v>#VALUE!</v>
      </c>
      <c r="AD120" s="6"/>
      <c r="BJ120" s="39"/>
      <c r="BM120" s="39"/>
      <c r="BO120" s="19"/>
      <c r="BQ120" s="17"/>
    </row>
    <row r="121" spans="1:69" x14ac:dyDescent="0.2">
      <c r="A121" t="str">
        <f t="shared" si="47"/>
        <v/>
      </c>
      <c r="E121" s="4"/>
      <c r="F121" s="44"/>
      <c r="G121" s="4"/>
      <c r="H121" s="47"/>
      <c r="J121" s="45" t="str">
        <f t="shared" si="48"/>
        <v/>
      </c>
      <c r="N121" t="str">
        <f t="shared" si="50"/>
        <v/>
      </c>
      <c r="Q121" t="str">
        <f t="shared" si="49"/>
        <v/>
      </c>
      <c r="S121" t="str">
        <f>IF(A121=1,MAX(S$2:S120)+1,IF(OR(I121&lt;&gt;"",A121="x"),S120,""))</f>
        <v/>
      </c>
      <c r="T121" t="str">
        <f>IF(D121=1,MAX($T$2:$T120)+1,IF(S121=$S120,$S120,IF($D121="x",T120,IF($D120="x","",""))))</f>
        <v/>
      </c>
      <c r="U121" t="str">
        <f>IF(B121=1,MAX($U$2:$U120)+1,IF(AND($T121&lt;&gt;"",$T121=$T120),$U120,IF(B121="x",U120,"")))</f>
        <v/>
      </c>
      <c r="V121" t="str">
        <f>IF(C121=1,MAX($V$2:$V120)+1,IF(AND($T121&lt;&gt;"",$T121=$T120),$U120,IF(C121="x",V120,"")))</f>
        <v/>
      </c>
      <c r="W121" t="str" cm="1">
        <f t="array" ref="W121">IFERROR(_xlfn._xlws.FILTER(game_rosters!AB:AB,(game_rosters!J:J=events!X121)*(K121&lt;&gt;"")),"")</f>
        <v/>
      </c>
      <c r="X121" t="str" cm="1">
        <f t="array" ref="X121">IF(S121="","",IF($I121&lt;&gt;"",$I121,INDEX($I$2:$I120,ROW()-COUNTIFS($T$2:$T120,"="&amp;$T121,$S$2:$S120,"&lt;&gt;"&amp;$S121)-1)))</f>
        <v/>
      </c>
      <c r="Y121" t="b">
        <f>IF(X121&lt;&gt;"",VLOOKUP(X121,game_rosters!$C$43:$E$64,3,FALSE))</f>
        <v>0</v>
      </c>
      <c r="Z121" t="e" cm="1" vm="1">
        <f t="array" aca="1" ref="Z121" ca="1">IFERROR(IF(_xlfn._xlws.FILTER(game_rosters!$J:$J,(game_rosters!$G:$G=events!$AN121)*(game_rosters!$J:$J=events!$X121))&gt;0,1,""),"")</f>
        <v>#VALUE!</v>
      </c>
      <c r="AA121" t="e">
        <f t="shared" si="45"/>
        <v>#VALUE!</v>
      </c>
      <c r="AB121" t="str">
        <f t="shared" si="46"/>
        <v/>
      </c>
      <c r="AC121" t="e">
        <f t="shared" si="44"/>
        <v>#VALUE!</v>
      </c>
      <c r="AD121" s="6"/>
      <c r="BJ121" s="39"/>
      <c r="BM121" s="39"/>
      <c r="BO121" s="19"/>
      <c r="BQ121" s="17"/>
    </row>
    <row r="122" spans="1:69" x14ac:dyDescent="0.2">
      <c r="A122" t="str">
        <f t="shared" si="47"/>
        <v/>
      </c>
      <c r="E122" s="4"/>
      <c r="F122" s="44"/>
      <c r="G122" s="4"/>
      <c r="H122" s="47"/>
      <c r="J122" s="45" t="str">
        <f t="shared" si="48"/>
        <v/>
      </c>
      <c r="N122" t="str">
        <f t="shared" si="50"/>
        <v/>
      </c>
      <c r="Q122" t="str">
        <f t="shared" si="49"/>
        <v/>
      </c>
      <c r="S122" t="str">
        <f>IF(A122=1,MAX(S$2:S121)+1,IF(OR(I122&lt;&gt;"",A122="x"),S121,""))</f>
        <v/>
      </c>
      <c r="T122" t="str">
        <f>IF(D122=1,MAX($T$2:$T121)+1,IF(S122=$S121,$S121,IF($D122="x",T121,IF($D121="x","",""))))</f>
        <v/>
      </c>
      <c r="U122" t="str">
        <f>IF(B122=1,MAX($U$2:$U121)+1,IF(AND($T122&lt;&gt;"",$T122=$T121),$U121,IF(B122="x",U121,"")))</f>
        <v/>
      </c>
      <c r="V122" t="str">
        <f>IF(C122=1,MAX($V$2:$V121)+1,IF(AND($T122&lt;&gt;"",$T122=$T121),$U121,IF(C122="x",V121,"")))</f>
        <v/>
      </c>
      <c r="W122" t="str" cm="1">
        <f t="array" ref="W122">IFERROR(_xlfn._xlws.FILTER(game_rosters!AB:AB,(game_rosters!J:J=events!X122)*(K122&lt;&gt;"")),"")</f>
        <v/>
      </c>
      <c r="X122" t="str" cm="1">
        <f t="array" ref="X122">IF(S122="","",IF($I122&lt;&gt;"",$I122,INDEX($I$2:$I121,ROW()-COUNTIFS($T$2:$T121,"="&amp;$T122,$S$2:$S121,"&lt;&gt;"&amp;$S122)-1)))</f>
        <v/>
      </c>
      <c r="Y122" t="b">
        <f>IF(X122&lt;&gt;"",VLOOKUP(X122,game_rosters!$C$43:$E$64,3,FALSE))</f>
        <v>0</v>
      </c>
      <c r="Z122" t="e" cm="1" vm="1">
        <f t="array" aca="1" ref="Z122" ca="1">IFERROR(IF(_xlfn._xlws.FILTER(game_rosters!$J:$J,(game_rosters!$G:$G=events!$AN122)*(game_rosters!$J:$J=events!$X122))&gt;0,1,""),"")</f>
        <v>#VALUE!</v>
      </c>
      <c r="AA122" t="e">
        <f t="shared" si="45"/>
        <v>#VALUE!</v>
      </c>
      <c r="AB122" t="str">
        <f t="shared" si="46"/>
        <v/>
      </c>
      <c r="AC122" t="e">
        <f t="shared" si="44"/>
        <v>#VALUE!</v>
      </c>
      <c r="AD122" s="6"/>
      <c r="BJ122" s="39"/>
      <c r="BM122" s="39"/>
      <c r="BO122" s="19"/>
      <c r="BQ122" s="17"/>
    </row>
    <row r="123" spans="1:69" x14ac:dyDescent="0.2">
      <c r="A123" t="str">
        <f t="shared" si="47"/>
        <v/>
      </c>
      <c r="E123" s="4"/>
      <c r="F123" s="44"/>
      <c r="G123" s="4"/>
      <c r="H123" s="47"/>
      <c r="J123" s="45" t="str">
        <f t="shared" si="48"/>
        <v/>
      </c>
      <c r="N123" t="str">
        <f t="shared" si="50"/>
        <v/>
      </c>
      <c r="Q123" t="str">
        <f t="shared" si="49"/>
        <v/>
      </c>
      <c r="S123" t="str">
        <f>IF(A123=1,MAX(S$2:S122)+1,IF(OR(I123&lt;&gt;"",A123="x"),S122,""))</f>
        <v/>
      </c>
      <c r="T123" t="str">
        <f>IF(D123=1,MAX($T$2:$T122)+1,IF(S123=$S122,$S122,IF($D123="x",T122,IF($D122="x","",""))))</f>
        <v/>
      </c>
      <c r="U123" t="str">
        <f>IF(B123=1,MAX($U$2:$U122)+1,IF(AND($T123&lt;&gt;"",$T123=$T122),$U122,IF(B123="x",U122,"")))</f>
        <v/>
      </c>
      <c r="V123" t="str">
        <f>IF(C123=1,MAX($V$2:$V122)+1,IF(AND($T123&lt;&gt;"",$T123=$T122),$U122,IF(C123="x",V122,"")))</f>
        <v/>
      </c>
      <c r="W123" t="str" cm="1">
        <f t="array" ref="W123">IFERROR(_xlfn._xlws.FILTER(game_rosters!AB:AB,(game_rosters!J:J=events!X123)*(K123&lt;&gt;"")),"")</f>
        <v/>
      </c>
      <c r="X123" t="str" cm="1">
        <f t="array" ref="X123">IF(S123="","",IF($I123&lt;&gt;"",$I123,INDEX($I$2:$I122,ROW()-COUNTIFS($T$2:$T122,"="&amp;$T123,$S$2:$S122,"&lt;&gt;"&amp;$S123)-1)))</f>
        <v/>
      </c>
      <c r="Y123" t="b">
        <f>IF(X123&lt;&gt;"",VLOOKUP(X123,game_rosters!$C$43:$E$64,3,FALSE))</f>
        <v>0</v>
      </c>
      <c r="Z123" t="e" cm="1" vm="1">
        <f t="array" aca="1" ref="Z123" ca="1">IFERROR(IF(_xlfn._xlws.FILTER(game_rosters!$J:$J,(game_rosters!$G:$G=events!$AN123)*(game_rosters!$J:$J=events!$X123))&gt;0,1,""),"")</f>
        <v>#VALUE!</v>
      </c>
      <c r="AA123" t="e">
        <f t="shared" si="45"/>
        <v>#VALUE!</v>
      </c>
      <c r="AB123" t="str">
        <f t="shared" si="46"/>
        <v/>
      </c>
      <c r="AC123" t="e">
        <f t="shared" si="44"/>
        <v>#VALUE!</v>
      </c>
      <c r="AD123" s="6"/>
      <c r="BJ123" s="39"/>
      <c r="BM123" s="39"/>
      <c r="BO123" s="19"/>
      <c r="BQ123" s="17"/>
    </row>
    <row r="124" spans="1:69" x14ac:dyDescent="0.2">
      <c r="A124" t="str">
        <f t="shared" si="47"/>
        <v/>
      </c>
      <c r="E124" s="4"/>
      <c r="F124" s="44"/>
      <c r="G124" s="4"/>
      <c r="H124" s="47"/>
      <c r="J124" s="45" t="str">
        <f t="shared" si="48"/>
        <v/>
      </c>
      <c r="N124" t="str">
        <f t="shared" si="50"/>
        <v/>
      </c>
      <c r="Q124" t="str">
        <f t="shared" si="49"/>
        <v/>
      </c>
      <c r="S124" t="str">
        <f>IF(A124=1,MAX(S$2:S123)+1,IF(OR(I124&lt;&gt;"",A124="x"),S123,""))</f>
        <v/>
      </c>
      <c r="T124" t="str">
        <f>IF(D124=1,MAX($T$2:$T123)+1,IF(S124=$S123,$S123,IF($D124="x",T123,IF($D123="x","",""))))</f>
        <v/>
      </c>
      <c r="U124" t="str">
        <f>IF(B124=1,MAX($U$2:$U123)+1,IF(AND($T124&lt;&gt;"",$T124=$T123),$U123,IF(B124="x",U123,"")))</f>
        <v/>
      </c>
      <c r="V124" t="str">
        <f>IF(C124=1,MAX($V$2:$V123)+1,IF(AND($T124&lt;&gt;"",$T124=$T123),$U123,IF(C124="x",V123,"")))</f>
        <v/>
      </c>
      <c r="W124" t="str" cm="1">
        <f t="array" ref="W124">IFERROR(_xlfn._xlws.FILTER(game_rosters!AB:AB,(game_rosters!J:J=events!X124)*(K124&lt;&gt;"")),"")</f>
        <v/>
      </c>
      <c r="X124" t="str" cm="1">
        <f t="array" ref="X124">IF(S124="","",IF($I124&lt;&gt;"",$I124,INDEX($I$2:$I123,ROW()-COUNTIFS($T$2:$T123,"="&amp;$T124,$S$2:$S123,"&lt;&gt;"&amp;$S124)-1)))</f>
        <v/>
      </c>
      <c r="Y124" t="b">
        <f>IF(X124&lt;&gt;"",VLOOKUP(X124,game_rosters!$C$43:$E$64,3,FALSE))</f>
        <v>0</v>
      </c>
      <c r="Z124" t="e" cm="1" vm="1">
        <f t="array" aca="1" ref="Z124" ca="1">IFERROR(IF(_xlfn._xlws.FILTER(game_rosters!$J:$J,(game_rosters!$G:$G=events!$AN124)*(game_rosters!$J:$J=events!$X124))&gt;0,1,""),"")</f>
        <v>#VALUE!</v>
      </c>
      <c r="AA124" t="e">
        <f t="shared" si="45"/>
        <v>#VALUE!</v>
      </c>
      <c r="AB124" t="str">
        <f t="shared" si="46"/>
        <v/>
      </c>
      <c r="AC124" t="e">
        <f t="shared" si="44"/>
        <v>#VALUE!</v>
      </c>
      <c r="AD124" s="6"/>
      <c r="BJ124" s="39"/>
      <c r="BM124" s="39"/>
      <c r="BO124" s="19"/>
      <c r="BQ124" s="17"/>
    </row>
    <row r="125" spans="1:69" x14ac:dyDescent="0.2">
      <c r="A125" t="str">
        <f t="shared" si="47"/>
        <v/>
      </c>
      <c r="E125" s="4"/>
      <c r="F125" s="44"/>
      <c r="G125" s="4"/>
      <c r="H125" s="47"/>
      <c r="J125" s="45" t="str">
        <f t="shared" si="48"/>
        <v/>
      </c>
      <c r="N125" t="str">
        <f t="shared" si="50"/>
        <v/>
      </c>
      <c r="Q125" t="str">
        <f t="shared" si="49"/>
        <v/>
      </c>
      <c r="S125" t="str">
        <f>IF(A125=1,MAX(S$2:S124)+1,IF(OR(I125&lt;&gt;"",A125="x"),S124,""))</f>
        <v/>
      </c>
      <c r="T125" t="str">
        <f>IF(D125=1,MAX($T$2:$T124)+1,IF(S125=$S124,$S124,IF($D125="x",T124,IF($D124="x","",""))))</f>
        <v/>
      </c>
      <c r="U125" t="str">
        <f>IF(B125=1,MAX($U$2:$U124)+1,IF(AND($T125&lt;&gt;"",$T125=$T124),$U124,IF(B125="x",U124,"")))</f>
        <v/>
      </c>
      <c r="V125" t="str">
        <f>IF(C125=1,MAX($V$2:$V124)+1,IF(AND($T125&lt;&gt;"",$T125=$T124),$U124,IF(C125="x",V124,"")))</f>
        <v/>
      </c>
      <c r="W125" t="str" cm="1">
        <f t="array" ref="W125">IFERROR(_xlfn._xlws.FILTER(game_rosters!AB:AB,(game_rosters!J:J=events!X125)*(K125&lt;&gt;"")),"")</f>
        <v/>
      </c>
      <c r="X125" t="str" cm="1">
        <f t="array" ref="X125">IF(S125="","",IF($I125&lt;&gt;"",$I125,INDEX($I$2:$I124,ROW()-COUNTIFS($T$2:$T124,"="&amp;$T125,$S$2:$S124,"&lt;&gt;"&amp;$S125)-1)))</f>
        <v/>
      </c>
      <c r="Y125" t="b">
        <f>IF(X125&lt;&gt;"",VLOOKUP(X125,game_rosters!$C$43:$E$64,3,FALSE))</f>
        <v>0</v>
      </c>
      <c r="Z125" t="e" cm="1" vm="1">
        <f t="array" aca="1" ref="Z125" ca="1">IFERROR(IF(_xlfn._xlws.FILTER(game_rosters!$J:$J,(game_rosters!$G:$G=events!$AN125)*(game_rosters!$J:$J=events!$X125))&gt;0,1,""),"")</f>
        <v>#VALUE!</v>
      </c>
      <c r="AA125" t="e">
        <f t="shared" si="45"/>
        <v>#VALUE!</v>
      </c>
      <c r="AB125" t="str">
        <f t="shared" si="46"/>
        <v/>
      </c>
      <c r="AC125" t="e">
        <f t="shared" si="44"/>
        <v>#VALUE!</v>
      </c>
      <c r="AD125" s="6"/>
      <c r="BJ125" s="39"/>
      <c r="BM125" s="39"/>
      <c r="BO125" s="19"/>
      <c r="BQ125" s="17"/>
    </row>
    <row r="126" spans="1:69" x14ac:dyDescent="0.2">
      <c r="A126" t="str">
        <f t="shared" si="47"/>
        <v/>
      </c>
      <c r="E126" s="4"/>
      <c r="F126" s="44"/>
      <c r="G126" s="4"/>
      <c r="H126" s="47"/>
      <c r="J126" s="45" t="str">
        <f t="shared" si="48"/>
        <v/>
      </c>
      <c r="N126" t="str">
        <f t="shared" si="50"/>
        <v/>
      </c>
      <c r="Q126" t="str">
        <f t="shared" si="49"/>
        <v/>
      </c>
      <c r="S126" t="str">
        <f>IF(A126=1,MAX(S$2:S125)+1,IF(OR(I126&lt;&gt;"",A126="x"),S125,""))</f>
        <v/>
      </c>
      <c r="T126" t="str">
        <f>IF(D126=1,MAX($T$2:$T125)+1,IF(S126=$S125,$S125,IF($D126="x",T125,IF($D125="x","",""))))</f>
        <v/>
      </c>
      <c r="U126" t="str">
        <f>IF(B126=1,MAX($U$2:$U125)+1,IF(AND($T126&lt;&gt;"",$T126=$T125),$U125,IF(B126="x",U125,"")))</f>
        <v/>
      </c>
      <c r="V126" t="str">
        <f>IF(C126=1,MAX($V$2:$V125)+1,IF(AND($T126&lt;&gt;"",$T126=$T125),$U125,IF(C126="x",V125,"")))</f>
        <v/>
      </c>
      <c r="W126" t="str" cm="1">
        <f t="array" ref="W126">IFERROR(_xlfn._xlws.FILTER(game_rosters!AB:AB,(game_rosters!J:J=events!X126)*(K126&lt;&gt;"")),"")</f>
        <v/>
      </c>
      <c r="X126" t="str" cm="1">
        <f t="array" ref="X126">IF(S126="","",IF($I126&lt;&gt;"",$I126,INDEX($I$2:$I125,ROW()-COUNTIFS($T$2:$T125,"="&amp;$T126,$S$2:$S125,"&lt;&gt;"&amp;$S126)-1)))</f>
        <v/>
      </c>
      <c r="Y126" t="b">
        <f>IF(X126&lt;&gt;"",VLOOKUP(X126,game_rosters!$C$43:$E$64,3,FALSE))</f>
        <v>0</v>
      </c>
      <c r="Z126" t="e" cm="1" vm="1">
        <f t="array" aca="1" ref="Z126" ca="1">IFERROR(IF(_xlfn._xlws.FILTER(game_rosters!$J:$J,(game_rosters!$G:$G=events!$AN126)*(game_rosters!$J:$J=events!$X126))&gt;0,1,""),"")</f>
        <v>#VALUE!</v>
      </c>
      <c r="AA126" t="e">
        <f t="shared" si="45"/>
        <v>#VALUE!</v>
      </c>
      <c r="AB126" t="str">
        <f t="shared" si="46"/>
        <v/>
      </c>
      <c r="AC126" t="e">
        <f t="shared" si="44"/>
        <v>#VALUE!</v>
      </c>
      <c r="AD126" s="6"/>
      <c r="BJ126" s="39"/>
      <c r="BM126" s="39"/>
      <c r="BO126" s="19"/>
      <c r="BQ126" s="17"/>
    </row>
    <row r="127" spans="1:69" x14ac:dyDescent="0.2">
      <c r="A127" t="str">
        <f t="shared" si="47"/>
        <v/>
      </c>
      <c r="E127" s="4"/>
      <c r="F127" s="44"/>
      <c r="G127" s="4"/>
      <c r="H127" s="47"/>
      <c r="J127" s="45" t="str">
        <f t="shared" si="48"/>
        <v/>
      </c>
      <c r="N127" t="str">
        <f t="shared" si="50"/>
        <v/>
      </c>
      <c r="Q127" t="str">
        <f t="shared" si="49"/>
        <v/>
      </c>
      <c r="S127" t="str">
        <f>IF(A127=1,MAX(S$2:S126)+1,IF(OR(I127&lt;&gt;"",A127="x"),S126,""))</f>
        <v/>
      </c>
      <c r="T127" t="str">
        <f>IF(D127=1,MAX($T$2:$T126)+1,IF(S127=$S126,$S126,IF($D127="x",T126,IF($D126="x","",""))))</f>
        <v/>
      </c>
      <c r="U127" t="str">
        <f>IF(B127=1,MAX($U$2:$U126)+1,IF(AND($T127&lt;&gt;"",$T127=$T126),$U126,IF(B127="x",U126,"")))</f>
        <v/>
      </c>
      <c r="V127" t="str">
        <f>IF(C127=1,MAX($V$2:$V126)+1,IF(AND($T127&lt;&gt;"",$T127=$T126),$U126,IF(C127="x",V126,"")))</f>
        <v/>
      </c>
      <c r="W127" t="str" cm="1">
        <f t="array" ref="W127">IFERROR(_xlfn._xlws.FILTER(game_rosters!AB:AB,(game_rosters!J:J=events!X127)*(K127&lt;&gt;"")),"")</f>
        <v/>
      </c>
      <c r="X127" t="str" cm="1">
        <f t="array" ref="X127">IF(S127="","",IF($I127&lt;&gt;"",$I127,INDEX($I$2:$I126,ROW()-COUNTIFS($T$2:$T126,"="&amp;$T127,$S$2:$S126,"&lt;&gt;"&amp;$S127)-1)))</f>
        <v/>
      </c>
      <c r="Y127" t="b">
        <f>IF(X127&lt;&gt;"",VLOOKUP(X127,game_rosters!$C$43:$E$64,3,FALSE))</f>
        <v>0</v>
      </c>
      <c r="Z127" t="e" cm="1" vm="1">
        <f t="array" aca="1" ref="Z127" ca="1">IFERROR(IF(_xlfn._xlws.FILTER(game_rosters!$J:$J,(game_rosters!$G:$G=events!$AN127)*(game_rosters!$J:$J=events!$X127))&gt;0,1,""),"")</f>
        <v>#VALUE!</v>
      </c>
      <c r="AA127" t="e">
        <f t="shared" si="45"/>
        <v>#VALUE!</v>
      </c>
      <c r="AB127" t="str">
        <f t="shared" si="46"/>
        <v/>
      </c>
      <c r="AC127" t="e">
        <f t="shared" si="44"/>
        <v>#VALUE!</v>
      </c>
      <c r="AD127" s="6"/>
      <c r="BJ127" s="39"/>
      <c r="BM127" s="39"/>
      <c r="BO127" s="19"/>
      <c r="BQ127" s="17"/>
    </row>
    <row r="128" spans="1:69" x14ac:dyDescent="0.2">
      <c r="A128" t="str">
        <f t="shared" si="47"/>
        <v/>
      </c>
      <c r="E128" s="4"/>
      <c r="F128" s="44"/>
      <c r="G128" s="4"/>
      <c r="H128" s="47"/>
      <c r="J128" s="45" t="str">
        <f t="shared" si="48"/>
        <v/>
      </c>
      <c r="N128" t="str">
        <f t="shared" si="50"/>
        <v/>
      </c>
      <c r="Q128" t="str">
        <f t="shared" si="49"/>
        <v/>
      </c>
      <c r="S128" t="str">
        <f>IF(A128=1,MAX(S$2:S127)+1,IF(OR(I128&lt;&gt;"",A128="x"),S127,""))</f>
        <v/>
      </c>
      <c r="T128" t="str">
        <f>IF(D128=1,MAX($T$2:$T127)+1,IF(S128=$S127,$S127,IF($D128="x",T127,IF($D127="x","",""))))</f>
        <v/>
      </c>
      <c r="U128" t="str">
        <f>IF(B128=1,MAX($U$2:$U127)+1,IF(AND($T128&lt;&gt;"",$T128=$T127),$U127,IF(B128="x",U127,"")))</f>
        <v/>
      </c>
      <c r="V128" t="str">
        <f>IF(C128=1,MAX($V$2:$V127)+1,IF(AND($T128&lt;&gt;"",$T128=$T127),$U127,IF(C128="x",V127,"")))</f>
        <v/>
      </c>
      <c r="W128" t="str" cm="1">
        <f t="array" ref="W128">IFERROR(_xlfn._xlws.FILTER(game_rosters!AB:AB,(game_rosters!J:J=events!X128)*(K128&lt;&gt;"")),"")</f>
        <v/>
      </c>
      <c r="X128" t="str" cm="1">
        <f t="array" ref="X128">IF(S128="","",IF($I128&lt;&gt;"",$I128,INDEX($I$2:$I127,ROW()-COUNTIFS($T$2:$T127,"="&amp;$T128,$S$2:$S127,"&lt;&gt;"&amp;$S128)-1)))</f>
        <v/>
      </c>
      <c r="Y128" t="b">
        <f>IF(X128&lt;&gt;"",VLOOKUP(X128,game_rosters!$C$43:$E$64,3,FALSE))</f>
        <v>0</v>
      </c>
      <c r="Z128" t="e" cm="1" vm="1">
        <f t="array" aca="1" ref="Z128" ca="1">IFERROR(IF(_xlfn._xlws.FILTER(game_rosters!$J:$J,(game_rosters!$G:$G=events!$AN128)*(game_rosters!$J:$J=events!$X128))&gt;0,1,""),"")</f>
        <v>#VALUE!</v>
      </c>
      <c r="AA128" t="e">
        <f t="shared" si="45"/>
        <v>#VALUE!</v>
      </c>
      <c r="AB128" t="str">
        <f t="shared" si="46"/>
        <v/>
      </c>
      <c r="AC128" t="e">
        <f t="shared" si="44"/>
        <v>#VALUE!</v>
      </c>
      <c r="AD128" s="6"/>
      <c r="BJ128" s="39"/>
      <c r="BM128" s="39"/>
      <c r="BO128" s="19"/>
      <c r="BQ128" s="17"/>
    </row>
    <row r="129" spans="1:69" x14ac:dyDescent="0.2">
      <c r="A129" t="str">
        <f t="shared" si="47"/>
        <v/>
      </c>
      <c r="E129" s="4"/>
      <c r="F129" s="44"/>
      <c r="G129" s="4"/>
      <c r="H129" s="47"/>
      <c r="J129" s="45" t="str">
        <f t="shared" si="48"/>
        <v/>
      </c>
      <c r="N129" t="str">
        <f t="shared" si="50"/>
        <v/>
      </c>
      <c r="Q129" t="str">
        <f t="shared" si="49"/>
        <v/>
      </c>
      <c r="S129" t="str">
        <f>IF(A129=1,MAX(S$2:S128)+1,IF(OR(I129&lt;&gt;"",A129="x"),S128,""))</f>
        <v/>
      </c>
      <c r="T129" t="str">
        <f>IF(D129=1,MAX($T$2:$T128)+1,IF(S129=$S128,$S128,IF($D129="x",T128,IF($D128="x","",""))))</f>
        <v/>
      </c>
      <c r="U129" t="str">
        <f>IF(B129=1,MAX($U$2:$U128)+1,IF(AND($T129&lt;&gt;"",$T129=$T128),$U128,IF(B129="x",U128,"")))</f>
        <v/>
      </c>
      <c r="V129" t="str">
        <f>IF(C129=1,MAX($V$2:$V128)+1,IF(AND($T129&lt;&gt;"",$T129=$T128),$U128,IF(C129="x",V128,"")))</f>
        <v/>
      </c>
      <c r="W129" t="str" cm="1">
        <f t="array" ref="W129">IFERROR(_xlfn._xlws.FILTER(game_rosters!AB:AB,(game_rosters!J:J=events!X129)*(K129&lt;&gt;"")),"")</f>
        <v/>
      </c>
      <c r="X129" t="str" cm="1">
        <f t="array" ref="X129">IF(S129="","",IF($I129&lt;&gt;"",$I129,INDEX($I$2:$I128,ROW()-COUNTIFS($T$2:$T128,"="&amp;$T129,$S$2:$S128,"&lt;&gt;"&amp;$S129)-1)))</f>
        <v/>
      </c>
      <c r="Y129" t="b">
        <f>IF(X129&lt;&gt;"",VLOOKUP(X129,game_rosters!$C$43:$E$64,3,FALSE))</f>
        <v>0</v>
      </c>
      <c r="Z129" t="e" cm="1" vm="1">
        <f t="array" aca="1" ref="Z129" ca="1">IFERROR(IF(_xlfn._xlws.FILTER(game_rosters!$J:$J,(game_rosters!$G:$G=events!$AN129)*(game_rosters!$J:$J=events!$X129))&gt;0,1,""),"")</f>
        <v>#VALUE!</v>
      </c>
      <c r="AA129" t="e">
        <f t="shared" si="45"/>
        <v>#VALUE!</v>
      </c>
      <c r="AB129" t="str">
        <f t="shared" si="46"/>
        <v/>
      </c>
      <c r="AC129" t="e">
        <f t="shared" si="44"/>
        <v>#VALUE!</v>
      </c>
      <c r="AD129" s="6"/>
      <c r="BJ129" s="39"/>
      <c r="BM129" s="39"/>
      <c r="BO129" s="19"/>
      <c r="BQ129" s="17"/>
    </row>
    <row r="130" spans="1:69" x14ac:dyDescent="0.2">
      <c r="A130" t="str">
        <f t="shared" si="47"/>
        <v/>
      </c>
      <c r="E130" s="4"/>
      <c r="F130" s="44"/>
      <c r="G130" s="4"/>
      <c r="H130" s="47"/>
      <c r="J130" s="45" t="str">
        <f t="shared" si="48"/>
        <v/>
      </c>
      <c r="N130" t="str">
        <f t="shared" si="50"/>
        <v/>
      </c>
      <c r="Q130" t="str">
        <f t="shared" si="49"/>
        <v/>
      </c>
      <c r="S130" t="str">
        <f>IF(A130=1,MAX(S$2:S129)+1,IF(OR(I130&lt;&gt;"",A130="x"),S129,""))</f>
        <v/>
      </c>
      <c r="T130" t="str">
        <f>IF(D130=1,MAX($T$2:$T129)+1,IF(S130=$S129,$S129,IF($D130="x",T129,IF($D129="x","",""))))</f>
        <v/>
      </c>
      <c r="U130" t="str">
        <f>IF(B130=1,MAX($U$2:$U129)+1,IF(AND($T130&lt;&gt;"",$T130=$T129),$U129,IF(B130="x",U129,"")))</f>
        <v/>
      </c>
      <c r="V130" t="str">
        <f>IF(C130=1,MAX($V$2:$V129)+1,IF(AND($T130&lt;&gt;"",$T130=$T129),$U129,IF(C130="x",V129,"")))</f>
        <v/>
      </c>
      <c r="W130" t="str" cm="1">
        <f t="array" ref="W130">IFERROR(_xlfn._xlws.FILTER(game_rosters!AB:AB,(game_rosters!J:J=events!X130)*(K130&lt;&gt;"")),"")</f>
        <v/>
      </c>
      <c r="X130" t="str" cm="1">
        <f t="array" ref="X130">IF(S130="","",IF($I130&lt;&gt;"",$I130,INDEX($I$2:$I129,ROW()-COUNTIFS($T$2:$T129,"="&amp;$T130,$S$2:$S129,"&lt;&gt;"&amp;$S130)-1)))</f>
        <v/>
      </c>
      <c r="Y130" t="b">
        <f>IF(X130&lt;&gt;"",VLOOKUP(X130,game_rosters!$C$43:$E$64,3,FALSE))</f>
        <v>0</v>
      </c>
      <c r="Z130" t="e" cm="1" vm="1">
        <f t="array" aca="1" ref="Z130" ca="1">IFERROR(IF(_xlfn._xlws.FILTER(game_rosters!$J:$J,(game_rosters!$G:$G=events!$AN130)*(game_rosters!$J:$J=events!$X130))&gt;0,1,""),"")</f>
        <v>#VALUE!</v>
      </c>
      <c r="AA130" t="e">
        <f t="shared" si="45"/>
        <v>#VALUE!</v>
      </c>
      <c r="AB130" t="str">
        <f t="shared" si="46"/>
        <v/>
      </c>
      <c r="AC130" t="e">
        <f t="shared" ref="AC130:AC193" si="51">IF(AB130&lt;&gt;"",AB130,S130+1000)</f>
        <v>#VALUE!</v>
      </c>
      <c r="AD130" s="6"/>
      <c r="BJ130" s="39"/>
      <c r="BM130" s="39"/>
      <c r="BO130" s="19"/>
      <c r="BQ130" s="17"/>
    </row>
    <row r="131" spans="1:69" x14ac:dyDescent="0.2">
      <c r="A131" t="str">
        <f t="shared" si="47"/>
        <v/>
      </c>
      <c r="E131" s="4"/>
      <c r="F131" s="44"/>
      <c r="G131" s="4"/>
      <c r="H131" s="47"/>
      <c r="J131" s="45" t="str">
        <f t="shared" si="48"/>
        <v/>
      </c>
      <c r="N131" t="str">
        <f t="shared" si="50"/>
        <v/>
      </c>
      <c r="Q131" t="str">
        <f t="shared" si="49"/>
        <v/>
      </c>
      <c r="S131" t="str">
        <f>IF(A131=1,MAX(S$2:S130)+1,IF(OR(I131&lt;&gt;"",A131="x"),S130,""))</f>
        <v/>
      </c>
      <c r="T131" t="str">
        <f>IF(D131=1,MAX($T$2:$T130)+1,IF(S131=$S130,$S130,IF($D131="x",T130,IF($D130="x","",""))))</f>
        <v/>
      </c>
      <c r="U131" t="str">
        <f>IF(B131=1,MAX($U$2:$U130)+1,IF(AND($T131&lt;&gt;"",$T131=$T130),$U130,IF(B131="x",U130,"")))</f>
        <v/>
      </c>
      <c r="V131" t="str">
        <f>IF(C131=1,MAX($V$2:$V130)+1,IF(AND($T131&lt;&gt;"",$T131=$T130),$U130,IF(C131="x",V130,"")))</f>
        <v/>
      </c>
      <c r="W131" t="str" cm="1">
        <f t="array" ref="W131">IFERROR(_xlfn._xlws.FILTER(game_rosters!AB:AB,(game_rosters!J:J=events!X131)*(K131&lt;&gt;"")),"")</f>
        <v/>
      </c>
      <c r="X131" t="str" cm="1">
        <f t="array" ref="X131">IF(S131="","",IF($I131&lt;&gt;"",$I131,INDEX($I$2:$I130,ROW()-COUNTIFS($T$2:$T130,"="&amp;$T131,$S$2:$S130,"&lt;&gt;"&amp;$S131)-1)))</f>
        <v/>
      </c>
      <c r="Y131" t="b">
        <f>IF(X131&lt;&gt;"",VLOOKUP(X131,game_rosters!$C$43:$E$64,3,FALSE))</f>
        <v>0</v>
      </c>
      <c r="Z131" t="e" cm="1" vm="1">
        <f t="array" aca="1" ref="Z131" ca="1">IFERROR(IF(_xlfn._xlws.FILTER(game_rosters!$J:$J,(game_rosters!$G:$G=events!$AN131)*(game_rosters!$J:$J=events!$X131))&gt;0,1,""),"")</f>
        <v>#VALUE!</v>
      </c>
      <c r="AA131" t="e">
        <f t="shared" si="45"/>
        <v>#VALUE!</v>
      </c>
      <c r="AB131" t="str">
        <f t="shared" si="46"/>
        <v/>
      </c>
      <c r="AC131" t="e">
        <f t="shared" si="51"/>
        <v>#VALUE!</v>
      </c>
      <c r="AD131" s="6"/>
      <c r="BJ131" s="39"/>
      <c r="BM131" s="39"/>
      <c r="BO131" s="19"/>
      <c r="BQ131" s="17"/>
    </row>
    <row r="132" spans="1:69" x14ac:dyDescent="0.2">
      <c r="A132" t="str">
        <f t="shared" si="47"/>
        <v/>
      </c>
      <c r="E132" s="4"/>
      <c r="F132" s="44"/>
      <c r="G132" s="4"/>
      <c r="H132" s="47"/>
      <c r="J132" s="45" t="str">
        <f t="shared" si="48"/>
        <v/>
      </c>
      <c r="N132" t="str">
        <f t="shared" si="50"/>
        <v/>
      </c>
      <c r="Q132" t="str">
        <f t="shared" si="49"/>
        <v/>
      </c>
      <c r="S132" t="str">
        <f>IF(A132=1,MAX(S$2:S131)+1,IF(OR(I132&lt;&gt;"",A132="x"),S131,""))</f>
        <v/>
      </c>
      <c r="T132" t="str">
        <f>IF(D132=1,MAX($T$2:$T131)+1,IF(S132=$S131,$S131,IF($D132="x",T131,IF($D131="x","",""))))</f>
        <v/>
      </c>
      <c r="U132" t="str">
        <f>IF(B132=1,MAX($U$2:$U131)+1,IF(AND($T132&lt;&gt;"",$T132=$T131),$U131,IF(B132="x",U131,"")))</f>
        <v/>
      </c>
      <c r="V132" t="str">
        <f>IF(C132=1,MAX($V$2:$V131)+1,IF(AND($T132&lt;&gt;"",$T132=$T131),$U131,IF(C132="x",V131,"")))</f>
        <v/>
      </c>
      <c r="W132" t="str" cm="1">
        <f t="array" ref="W132">IFERROR(_xlfn._xlws.FILTER(game_rosters!AB:AB,(game_rosters!J:J=events!X132)*(K132&lt;&gt;"")),"")</f>
        <v/>
      </c>
      <c r="X132" t="str" cm="1">
        <f t="array" ref="X132">IF(S132="","",IF($I132&lt;&gt;"",$I132,INDEX($I$2:$I131,ROW()-COUNTIFS($T$2:$T131,"="&amp;$T132,$S$2:$S131,"&lt;&gt;"&amp;$S132)-1)))</f>
        <v/>
      </c>
      <c r="Y132" t="b">
        <f>IF(X132&lt;&gt;"",VLOOKUP(X132,game_rosters!$C$43:$E$64,3,FALSE))</f>
        <v>0</v>
      </c>
      <c r="Z132" t="e" cm="1" vm="1">
        <f t="array" aca="1" ref="Z132" ca="1">IFERROR(IF(_xlfn._xlws.FILTER(game_rosters!$J:$J,(game_rosters!$G:$G=events!$AN132)*(game_rosters!$J:$J=events!$X132))&gt;0,1,""),"")</f>
        <v>#VALUE!</v>
      </c>
      <c r="AA132" t="e">
        <f t="shared" ref="AA132:AA195" si="52">S132+1000</f>
        <v>#VALUE!</v>
      </c>
      <c r="AB132" t="str">
        <f t="shared" ref="AB132:AB195" si="53">IF(T132&lt;&gt;"",9000+T132,"")</f>
        <v/>
      </c>
      <c r="AC132" t="e">
        <f t="shared" si="51"/>
        <v>#VALUE!</v>
      </c>
      <c r="AD132" s="6"/>
      <c r="BJ132" s="39"/>
      <c r="BM132" s="39"/>
      <c r="BO132" s="19"/>
      <c r="BQ132" s="17"/>
    </row>
    <row r="133" spans="1:69" x14ac:dyDescent="0.2">
      <c r="A133" t="str">
        <f t="shared" ref="A133:A196" si="54">IF(K133&lt;&gt;"",1,IF(D133="x","x",""))</f>
        <v/>
      </c>
      <c r="E133" s="4"/>
      <c r="F133" s="44"/>
      <c r="G133" s="4"/>
      <c r="H133" s="47"/>
      <c r="J133" s="45" t="str">
        <f t="shared" si="48"/>
        <v/>
      </c>
      <c r="N133" t="str">
        <f t="shared" si="50"/>
        <v/>
      </c>
      <c r="Q133" t="str">
        <f t="shared" si="49"/>
        <v/>
      </c>
      <c r="S133" t="str">
        <f>IF(A133=1,MAX(S$2:S132)+1,IF(OR(I133&lt;&gt;"",A133="x"),S132,""))</f>
        <v/>
      </c>
      <c r="T133" t="str">
        <f>IF(D133=1,MAX($T$2:$T132)+1,IF(S133=$S132,$S132,IF($D133="x",T132,IF($D132="x","",""))))</f>
        <v/>
      </c>
      <c r="U133" t="str">
        <f>IF(B133=1,MAX($U$2:$U132)+1,IF(AND($T133&lt;&gt;"",$T133=$T132),$U132,IF(B133="x",U132,"")))</f>
        <v/>
      </c>
      <c r="V133" t="str">
        <f>IF(C133=1,MAX($V$2:$V132)+1,IF(AND($T133&lt;&gt;"",$T133=$T132),$U132,IF(C133="x",V132,"")))</f>
        <v/>
      </c>
      <c r="W133" t="str" cm="1">
        <f t="array" ref="W133">IFERROR(_xlfn._xlws.FILTER(game_rosters!AB:AB,(game_rosters!J:J=events!X133)*(K133&lt;&gt;"")),"")</f>
        <v/>
      </c>
      <c r="X133" t="str" cm="1">
        <f t="array" ref="X133">IF(S133="","",IF($I133&lt;&gt;"",$I133,INDEX($I$2:$I132,ROW()-COUNTIFS($T$2:$T132,"="&amp;$T133,$S$2:$S132,"&lt;&gt;"&amp;$S133)-1)))</f>
        <v/>
      </c>
      <c r="Y133" t="b">
        <f>IF(X133&lt;&gt;"",VLOOKUP(X133,game_rosters!$C$43:$E$64,3,FALSE))</f>
        <v>0</v>
      </c>
      <c r="Z133" t="e" cm="1" vm="1">
        <f t="array" aca="1" ref="Z133" ca="1">IFERROR(IF(_xlfn._xlws.FILTER(game_rosters!$J:$J,(game_rosters!$G:$G=events!$AN133)*(game_rosters!$J:$J=events!$X133))&gt;0,1,""),"")</f>
        <v>#VALUE!</v>
      </c>
      <c r="AA133" t="e">
        <f t="shared" si="52"/>
        <v>#VALUE!</v>
      </c>
      <c r="AB133" t="str">
        <f t="shared" si="53"/>
        <v/>
      </c>
      <c r="AC133" t="e">
        <f t="shared" si="51"/>
        <v>#VALUE!</v>
      </c>
      <c r="AD133" s="6"/>
      <c r="BJ133" s="39"/>
      <c r="BM133" s="39"/>
      <c r="BO133" s="19"/>
      <c r="BQ133" s="17"/>
    </row>
    <row r="134" spans="1:69" x14ac:dyDescent="0.2">
      <c r="A134" t="str">
        <f t="shared" si="54"/>
        <v/>
      </c>
      <c r="E134" s="4"/>
      <c r="F134" s="44"/>
      <c r="G134" s="4"/>
      <c r="H134" s="47"/>
      <c r="J134" s="45" t="str">
        <f t="shared" ref="J134:J197" si="55">IF(OR(K134="Goal",K134="Shot",L134="Zone_Entry",M134="Stoppage-Goal",M133="Stoppage-Goal"),"o",IF(OR(K134="Save",K134="Rebound",L134="Zone_Exit",M134="Stoppage-GoalieStoppage",M133="Stoppage-GoalieStoppage"),"d",IF(OR(L134="Faceoff_AfterGoal",L134="Faceoff_PeriodStart",698="Faceoff_GameStart",M133="Stoppage-Goal"),"n","")))</f>
        <v/>
      </c>
      <c r="N134" t="str">
        <f t="shared" si="50"/>
        <v/>
      </c>
      <c r="Q134" t="str">
        <f t="shared" si="49"/>
        <v/>
      </c>
      <c r="S134" t="str">
        <f>IF(A134=1,MAX(S$2:S133)+1,IF(OR(I134&lt;&gt;"",A134="x"),S133,""))</f>
        <v/>
      </c>
      <c r="T134" t="str">
        <f>IF(D134=1,MAX($T$2:$T133)+1,IF(S134=$S133,$S133,IF($D134="x",T133,IF($D133="x","",""))))</f>
        <v/>
      </c>
      <c r="U134" t="str">
        <f>IF(B134=1,MAX($U$2:$U133)+1,IF(AND($T134&lt;&gt;"",$T134=$T133),$U133,IF(B134="x",U133,"")))</f>
        <v/>
      </c>
      <c r="V134" t="str">
        <f>IF(C134=1,MAX($V$2:$V133)+1,IF(AND($T134&lt;&gt;"",$T134=$T133),$U133,IF(C134="x",V133,"")))</f>
        <v/>
      </c>
      <c r="W134" t="str" cm="1">
        <f t="array" ref="W134">IFERROR(_xlfn._xlws.FILTER(game_rosters!AB:AB,(game_rosters!J:J=events!X134)*(K134&lt;&gt;"")),"")</f>
        <v/>
      </c>
      <c r="X134" t="str" cm="1">
        <f t="array" ref="X134">IF(S134="","",IF($I134&lt;&gt;"",$I134,INDEX($I$2:$I133,ROW()-COUNTIFS($T$2:$T133,"="&amp;$T134,$S$2:$S133,"&lt;&gt;"&amp;$S134)-1)))</f>
        <v/>
      </c>
      <c r="Y134" t="b">
        <f>IF(X134&lt;&gt;"",VLOOKUP(X134,game_rosters!$C$43:$E$64,3,FALSE))</f>
        <v>0</v>
      </c>
      <c r="Z134" t="e" cm="1" vm="1">
        <f t="array" aca="1" ref="Z134" ca="1">IFERROR(IF(_xlfn._xlws.FILTER(game_rosters!$J:$J,(game_rosters!$G:$G=events!$AN134)*(game_rosters!$J:$J=events!$X134))&gt;0,1,""),"")</f>
        <v>#VALUE!</v>
      </c>
      <c r="AA134" t="e">
        <f t="shared" si="52"/>
        <v>#VALUE!</v>
      </c>
      <c r="AB134" t="str">
        <f t="shared" si="53"/>
        <v/>
      </c>
      <c r="AC134" t="e">
        <f t="shared" si="51"/>
        <v>#VALUE!</v>
      </c>
      <c r="AD134" s="6"/>
      <c r="BJ134" s="39"/>
      <c r="BM134" s="39"/>
      <c r="BO134" s="19"/>
      <c r="BQ134" s="17"/>
    </row>
    <row r="135" spans="1:69" x14ac:dyDescent="0.2">
      <c r="A135" t="str">
        <f t="shared" si="54"/>
        <v/>
      </c>
      <c r="E135" s="4"/>
      <c r="F135" s="44"/>
      <c r="G135" s="4"/>
      <c r="H135" s="47"/>
      <c r="J135" s="45" t="str">
        <f t="shared" si="55"/>
        <v/>
      </c>
      <c r="N135" t="str">
        <f t="shared" si="50"/>
        <v/>
      </c>
      <c r="Q135" t="str">
        <f t="shared" si="49"/>
        <v/>
      </c>
      <c r="S135" t="str">
        <f>IF(A135=1,MAX(S$2:S134)+1,IF(OR(I135&lt;&gt;"",A135="x"),S134,""))</f>
        <v/>
      </c>
      <c r="T135" t="str">
        <f>IF(D135=1,MAX($T$2:$T134)+1,IF(S135=$S134,$S134,IF($D135="x",T134,IF($D134="x","",""))))</f>
        <v/>
      </c>
      <c r="U135" t="str">
        <f>IF(B135=1,MAX($U$2:$U134)+1,IF(AND($T135&lt;&gt;"",$T135=$T134),$U134,IF(B135="x",U134,"")))</f>
        <v/>
      </c>
      <c r="V135" t="str">
        <f>IF(C135=1,MAX($V$2:$V134)+1,IF(AND($T135&lt;&gt;"",$T135=$T134),$U134,IF(C135="x",V134,"")))</f>
        <v/>
      </c>
      <c r="W135" t="str" cm="1">
        <f t="array" ref="W135">IFERROR(_xlfn._xlws.FILTER(game_rosters!AB:AB,(game_rosters!J:J=events!X135)*(K135&lt;&gt;"")),"")</f>
        <v/>
      </c>
      <c r="X135" t="str" cm="1">
        <f t="array" ref="X135">IF(S135="","",IF($I135&lt;&gt;"",$I135,INDEX($I$2:$I134,ROW()-COUNTIFS($T$2:$T134,"="&amp;$T135,$S$2:$S134,"&lt;&gt;"&amp;$S135)-1)))</f>
        <v/>
      </c>
      <c r="Y135" t="b">
        <f>IF(X135&lt;&gt;"",VLOOKUP(X135,game_rosters!$C$43:$E$64,3,FALSE))</f>
        <v>0</v>
      </c>
      <c r="Z135" t="e" cm="1" vm="1">
        <f t="array" aca="1" ref="Z135" ca="1">IFERROR(IF(_xlfn._xlws.FILTER(game_rosters!$J:$J,(game_rosters!$G:$G=events!$AN135)*(game_rosters!$J:$J=events!$X135))&gt;0,1,""),"")</f>
        <v>#VALUE!</v>
      </c>
      <c r="AA135" t="e">
        <f t="shared" si="52"/>
        <v>#VALUE!</v>
      </c>
      <c r="AB135" t="str">
        <f t="shared" si="53"/>
        <v/>
      </c>
      <c r="AC135" t="e">
        <f t="shared" si="51"/>
        <v>#VALUE!</v>
      </c>
      <c r="AD135" s="6"/>
      <c r="BJ135" s="39"/>
      <c r="BM135" s="39"/>
      <c r="BO135" s="19"/>
      <c r="BQ135" s="17"/>
    </row>
    <row r="136" spans="1:69" x14ac:dyDescent="0.2">
      <c r="A136" t="str">
        <f t="shared" si="54"/>
        <v/>
      </c>
      <c r="E136" s="4"/>
      <c r="F136" s="44"/>
      <c r="G136" s="4"/>
      <c r="H136" s="47"/>
      <c r="J136" s="45" t="str">
        <f t="shared" si="55"/>
        <v/>
      </c>
      <c r="N136" t="str">
        <f t="shared" si="50"/>
        <v/>
      </c>
      <c r="Q136" t="str">
        <f t="shared" si="49"/>
        <v/>
      </c>
      <c r="S136" t="str">
        <f>IF(A136=1,MAX(S$2:S135)+1,IF(OR(I136&lt;&gt;"",A136="x"),S135,""))</f>
        <v/>
      </c>
      <c r="T136" t="str">
        <f>IF(D136=1,MAX($T$2:$T135)+1,IF(S136=$S135,$S135,IF($D136="x",T135,IF($D135="x","",""))))</f>
        <v/>
      </c>
      <c r="U136" t="str">
        <f>IF(B136=1,MAX($U$2:$U135)+1,IF(AND($T136&lt;&gt;"",$T136=$T135),$U135,IF(B136="x",U135,"")))</f>
        <v/>
      </c>
      <c r="V136" t="str">
        <f>IF(C136=1,MAX($V$2:$V135)+1,IF(AND($T136&lt;&gt;"",$T136=$T135),$U135,IF(C136="x",V135,"")))</f>
        <v/>
      </c>
      <c r="W136" t="str" cm="1">
        <f t="array" ref="W136">IFERROR(_xlfn._xlws.FILTER(game_rosters!AB:AB,(game_rosters!J:J=events!X136)*(K136&lt;&gt;"")),"")</f>
        <v/>
      </c>
      <c r="X136" t="str" cm="1">
        <f t="array" ref="X136">IF(S136="","",IF($I136&lt;&gt;"",$I136,INDEX($I$2:$I135,ROW()-COUNTIFS($T$2:$T135,"="&amp;$T136,$S$2:$S135,"&lt;&gt;"&amp;$S136)-1)))</f>
        <v/>
      </c>
      <c r="Y136" t="b">
        <f>IF(X136&lt;&gt;"",VLOOKUP(X136,game_rosters!$C$43:$E$64,3,FALSE))</f>
        <v>0</v>
      </c>
      <c r="Z136" t="e" cm="1" vm="1">
        <f t="array" aca="1" ref="Z136" ca="1">IFERROR(IF(_xlfn._xlws.FILTER(game_rosters!$J:$J,(game_rosters!$G:$G=events!$AN136)*(game_rosters!$J:$J=events!$X136))&gt;0,1,""),"")</f>
        <v>#VALUE!</v>
      </c>
      <c r="AA136" t="e">
        <f t="shared" si="52"/>
        <v>#VALUE!</v>
      </c>
      <c r="AB136" t="str">
        <f t="shared" si="53"/>
        <v/>
      </c>
      <c r="AC136" t="e">
        <f t="shared" si="51"/>
        <v>#VALUE!</v>
      </c>
      <c r="AD136" s="6"/>
      <c r="BJ136" s="39"/>
      <c r="BM136" s="39"/>
      <c r="BO136" s="19"/>
      <c r="BQ136" s="17"/>
    </row>
    <row r="137" spans="1:69" x14ac:dyDescent="0.2">
      <c r="A137" t="str">
        <f t="shared" si="54"/>
        <v/>
      </c>
      <c r="E137" s="4"/>
      <c r="F137" s="44"/>
      <c r="G137" s="4"/>
      <c r="H137" s="47"/>
      <c r="J137" s="45" t="str">
        <f t="shared" si="55"/>
        <v/>
      </c>
      <c r="N137" t="str">
        <f t="shared" si="50"/>
        <v/>
      </c>
      <c r="Q137" t="str">
        <f t="shared" si="49"/>
        <v/>
      </c>
      <c r="S137" t="str">
        <f>IF(A137=1,MAX(S$2:S136)+1,IF(OR(I137&lt;&gt;"",A137="x"),S136,""))</f>
        <v/>
      </c>
      <c r="T137" t="str">
        <f>IF(D137=1,MAX($T$2:$T136)+1,IF(S137=$S136,$S136,IF($D137="x",T136,IF($D136="x","",""))))</f>
        <v/>
      </c>
      <c r="U137" t="str">
        <f>IF(B137=1,MAX($U$2:$U136)+1,IF(AND($T137&lt;&gt;"",$T137=$T136),$U136,IF(B137="x",U136,"")))</f>
        <v/>
      </c>
      <c r="V137" t="str">
        <f>IF(C137=1,MAX($V$2:$V136)+1,IF(AND($T137&lt;&gt;"",$T137=$T136),$U136,IF(C137="x",V136,"")))</f>
        <v/>
      </c>
      <c r="W137" t="str" cm="1">
        <f t="array" ref="W137">IFERROR(_xlfn._xlws.FILTER(game_rosters!AB:AB,(game_rosters!J:J=events!X137)*(K137&lt;&gt;"")),"")</f>
        <v/>
      </c>
      <c r="X137" t="str" cm="1">
        <f t="array" ref="X137">IF(S137="","",IF($I137&lt;&gt;"",$I137,INDEX($I$2:$I136,ROW()-COUNTIFS($T$2:$T136,"="&amp;$T137,$S$2:$S136,"&lt;&gt;"&amp;$S137)-1)))</f>
        <v/>
      </c>
      <c r="Y137" t="b">
        <f>IF(X137&lt;&gt;"",VLOOKUP(X137,game_rosters!$C$43:$E$64,3,FALSE))</f>
        <v>0</v>
      </c>
      <c r="Z137" t="e" cm="1" vm="1">
        <f t="array" aca="1" ref="Z137" ca="1">IFERROR(IF(_xlfn._xlws.FILTER(game_rosters!$J:$J,(game_rosters!$G:$G=events!$AN137)*(game_rosters!$J:$J=events!$X137))&gt;0,1,""),"")</f>
        <v>#VALUE!</v>
      </c>
      <c r="AA137" t="e">
        <f t="shared" si="52"/>
        <v>#VALUE!</v>
      </c>
      <c r="AB137" t="str">
        <f t="shared" si="53"/>
        <v/>
      </c>
      <c r="AC137" t="e">
        <f t="shared" si="51"/>
        <v>#VALUE!</v>
      </c>
      <c r="AD137" s="6"/>
      <c r="BJ137" s="39"/>
      <c r="BM137" s="39"/>
      <c r="BO137" s="19"/>
      <c r="BQ137" s="17"/>
    </row>
    <row r="138" spans="1:69" x14ac:dyDescent="0.2">
      <c r="A138" t="str">
        <f t="shared" si="54"/>
        <v/>
      </c>
      <c r="E138" s="4"/>
      <c r="F138" s="44"/>
      <c r="G138" s="4"/>
      <c r="H138" s="47"/>
      <c r="J138" s="45" t="str">
        <f t="shared" si="55"/>
        <v/>
      </c>
      <c r="N138" t="str">
        <f t="shared" si="50"/>
        <v/>
      </c>
      <c r="Q138" t="str">
        <f t="shared" si="49"/>
        <v/>
      </c>
      <c r="S138" t="str">
        <f>IF(A138=1,MAX(S$2:S137)+1,IF(OR(I138&lt;&gt;"",A138="x"),S137,""))</f>
        <v/>
      </c>
      <c r="T138" t="str">
        <f>IF(D138=1,MAX($T$2:$T137)+1,IF(S138=$S137,$S137,IF($D138="x",T137,IF($D137="x","",""))))</f>
        <v/>
      </c>
      <c r="U138" t="str">
        <f>IF(B138=1,MAX($U$2:$U137)+1,IF(AND($T138&lt;&gt;"",$T138=$T137),$U137,IF(B138="x",U137,"")))</f>
        <v/>
      </c>
      <c r="V138" t="str">
        <f>IF(C138=1,MAX($V$2:$V137)+1,IF(AND($T138&lt;&gt;"",$T138=$T137),$U137,IF(C138="x",V137,"")))</f>
        <v/>
      </c>
      <c r="W138" t="str" cm="1">
        <f t="array" ref="W138">IFERROR(_xlfn._xlws.FILTER(game_rosters!AB:AB,(game_rosters!J:J=events!X138)*(K138&lt;&gt;"")),"")</f>
        <v/>
      </c>
      <c r="X138" t="str" cm="1">
        <f t="array" ref="X138">IF(S138="","",IF($I138&lt;&gt;"",$I138,INDEX($I$2:$I137,ROW()-COUNTIFS($T$2:$T137,"="&amp;$T138,$S$2:$S137,"&lt;&gt;"&amp;$S138)-1)))</f>
        <v/>
      </c>
      <c r="Y138" t="b">
        <f>IF(X138&lt;&gt;"",VLOOKUP(X138,game_rosters!$C$43:$E$64,3,FALSE))</f>
        <v>0</v>
      </c>
      <c r="Z138" t="e" cm="1" vm="1">
        <f t="array" aca="1" ref="Z138" ca="1">IFERROR(IF(_xlfn._xlws.FILTER(game_rosters!$J:$J,(game_rosters!$G:$G=events!$AN138)*(game_rosters!$J:$J=events!$X138))&gt;0,1,""),"")</f>
        <v>#VALUE!</v>
      </c>
      <c r="AA138" t="e">
        <f t="shared" si="52"/>
        <v>#VALUE!</v>
      </c>
      <c r="AB138" t="str">
        <f t="shared" si="53"/>
        <v/>
      </c>
      <c r="AC138" t="e">
        <f t="shared" si="51"/>
        <v>#VALUE!</v>
      </c>
      <c r="AD138" s="6"/>
      <c r="BJ138" s="39"/>
      <c r="BM138" s="39"/>
      <c r="BO138" s="19"/>
      <c r="BQ138" s="17"/>
    </row>
    <row r="139" spans="1:69" x14ac:dyDescent="0.2">
      <c r="A139" t="str">
        <f t="shared" si="54"/>
        <v/>
      </c>
      <c r="E139" s="4"/>
      <c r="F139" s="44"/>
      <c r="G139" s="4"/>
      <c r="H139" s="47"/>
      <c r="J139" s="45" t="str">
        <f t="shared" si="55"/>
        <v/>
      </c>
      <c r="N139" t="str">
        <f t="shared" si="50"/>
        <v/>
      </c>
      <c r="Q139" t="str">
        <f t="shared" si="49"/>
        <v/>
      </c>
      <c r="S139" t="str">
        <f>IF(A139=1,MAX(S$2:S138)+1,IF(OR(I139&lt;&gt;"",A139="x"),S138,""))</f>
        <v/>
      </c>
      <c r="T139" t="str">
        <f>IF(D139=1,MAX($T$2:$T138)+1,IF(S139=$S138,$S138,IF($D139="x",T138,IF($D138="x","",""))))</f>
        <v/>
      </c>
      <c r="U139" t="str">
        <f>IF(B139=1,MAX($U$2:$U138)+1,IF(AND($T139&lt;&gt;"",$T139=$T138),$U138,IF(B139="x",U138,"")))</f>
        <v/>
      </c>
      <c r="V139" t="str">
        <f>IF(C139=1,MAX($V$2:$V138)+1,IF(AND($T139&lt;&gt;"",$T139=$T138),$U138,IF(C139="x",V138,"")))</f>
        <v/>
      </c>
      <c r="W139" t="str" cm="1">
        <f t="array" ref="W139">IFERROR(_xlfn._xlws.FILTER(game_rosters!AB:AB,(game_rosters!J:J=events!X139)*(K139&lt;&gt;"")),"")</f>
        <v/>
      </c>
      <c r="X139" t="str" cm="1">
        <f t="array" ref="X139">IF(S139="","",IF($I139&lt;&gt;"",$I139,INDEX($I$2:$I138,ROW()-COUNTIFS($T$2:$T138,"="&amp;$T139,$S$2:$S138,"&lt;&gt;"&amp;$S139)-1)))</f>
        <v/>
      </c>
      <c r="Y139" t="b">
        <f>IF(X139&lt;&gt;"",VLOOKUP(X139,game_rosters!$C$43:$E$64,3,FALSE))</f>
        <v>0</v>
      </c>
      <c r="Z139" t="e" cm="1" vm="1">
        <f t="array" aca="1" ref="Z139" ca="1">IFERROR(IF(_xlfn._xlws.FILTER(game_rosters!$J:$J,(game_rosters!$G:$G=events!$AN139)*(game_rosters!$J:$J=events!$X139))&gt;0,1,""),"")</f>
        <v>#VALUE!</v>
      </c>
      <c r="AA139" t="e">
        <f t="shared" si="52"/>
        <v>#VALUE!</v>
      </c>
      <c r="AB139" t="str">
        <f t="shared" si="53"/>
        <v/>
      </c>
      <c r="AC139" t="e">
        <f t="shared" si="51"/>
        <v>#VALUE!</v>
      </c>
      <c r="AD139" s="6"/>
      <c r="BJ139" s="39"/>
      <c r="BM139" s="39"/>
      <c r="BO139" s="19"/>
      <c r="BQ139" s="17"/>
    </row>
    <row r="140" spans="1:69" x14ac:dyDescent="0.2">
      <c r="A140" t="str">
        <f t="shared" si="54"/>
        <v/>
      </c>
      <c r="E140" s="4"/>
      <c r="F140" s="44"/>
      <c r="G140" s="4"/>
      <c r="H140" s="47"/>
      <c r="J140" s="45" t="str">
        <f t="shared" si="55"/>
        <v/>
      </c>
      <c r="N140" t="str">
        <f t="shared" si="50"/>
        <v/>
      </c>
      <c r="Q140" t="str">
        <f t="shared" si="49"/>
        <v/>
      </c>
      <c r="S140" t="str">
        <f>IF(A140=1,MAX(S$2:S139)+1,IF(OR(I140&lt;&gt;"",A140="x"),S139,""))</f>
        <v/>
      </c>
      <c r="T140" t="str">
        <f>IF(D140=1,MAX($T$2:$T139)+1,IF(S140=$S139,$S139,IF($D140="x",T139,IF($D139="x","",""))))</f>
        <v/>
      </c>
      <c r="U140" t="str">
        <f>IF(B140=1,MAX($U$2:$U139)+1,IF(AND($T140&lt;&gt;"",$T140=$T139),$U139,IF(B140="x",U139,"")))</f>
        <v/>
      </c>
      <c r="V140" t="str">
        <f>IF(C140=1,MAX($V$2:$V139)+1,IF(AND($T140&lt;&gt;"",$T140=$T139),$U139,IF(C140="x",V139,"")))</f>
        <v/>
      </c>
      <c r="W140" t="str" cm="1">
        <f t="array" ref="W140">IFERROR(_xlfn._xlws.FILTER(game_rosters!AB:AB,(game_rosters!J:J=events!X140)*(K140&lt;&gt;"")),"")</f>
        <v/>
      </c>
      <c r="X140" t="str" cm="1">
        <f t="array" ref="X140">IF(S140="","",IF($I140&lt;&gt;"",$I140,INDEX($I$2:$I139,ROW()-COUNTIFS($T$2:$T139,"="&amp;$T140,$S$2:$S139,"&lt;&gt;"&amp;$S140)-1)))</f>
        <v/>
      </c>
      <c r="Y140" t="b">
        <f>IF(X140&lt;&gt;"",VLOOKUP(X140,game_rosters!$C$43:$E$64,3,FALSE))</f>
        <v>0</v>
      </c>
      <c r="Z140" t="e" cm="1" vm="1">
        <f t="array" aca="1" ref="Z140" ca="1">IFERROR(IF(_xlfn._xlws.FILTER(game_rosters!$J:$J,(game_rosters!$G:$G=events!$AN140)*(game_rosters!$J:$J=events!$X140))&gt;0,1,""),"")</f>
        <v>#VALUE!</v>
      </c>
      <c r="AA140" t="e">
        <f t="shared" si="52"/>
        <v>#VALUE!</v>
      </c>
      <c r="AB140" t="str">
        <f t="shared" si="53"/>
        <v/>
      </c>
      <c r="AC140" t="e">
        <f t="shared" si="51"/>
        <v>#VALUE!</v>
      </c>
      <c r="AD140" s="6"/>
      <c r="BJ140" s="39"/>
      <c r="BM140" s="39"/>
      <c r="BO140" s="19"/>
      <c r="BQ140" s="17"/>
    </row>
    <row r="141" spans="1:69" x14ac:dyDescent="0.2">
      <c r="A141" t="str">
        <f t="shared" si="54"/>
        <v/>
      </c>
      <c r="E141" s="4"/>
      <c r="F141" s="44"/>
      <c r="G141" s="4"/>
      <c r="H141" s="47"/>
      <c r="J141" s="45" t="str">
        <f t="shared" si="55"/>
        <v/>
      </c>
      <c r="N141" t="str">
        <f t="shared" si="50"/>
        <v/>
      </c>
      <c r="Q141" t="str">
        <f t="shared" si="49"/>
        <v/>
      </c>
      <c r="S141" t="str">
        <f>IF(A141=1,MAX(S$2:S140)+1,IF(OR(I141&lt;&gt;"",A141="x"),S140,""))</f>
        <v/>
      </c>
      <c r="T141" t="str">
        <f>IF(D141=1,MAX($T$2:$T140)+1,IF(S141=$S140,$S140,IF($D141="x",T140,IF($D140="x","",""))))</f>
        <v/>
      </c>
      <c r="U141" t="str">
        <f>IF(B141=1,MAX($U$2:$U140)+1,IF(AND($T141&lt;&gt;"",$T141=$T140),$U140,IF(B141="x",U140,"")))</f>
        <v/>
      </c>
      <c r="V141" t="str">
        <f>IF(C141=1,MAX($V$2:$V140)+1,IF(AND($T141&lt;&gt;"",$T141=$T140),$U140,IF(C141="x",V140,"")))</f>
        <v/>
      </c>
      <c r="W141" t="str" cm="1">
        <f t="array" ref="W141">IFERROR(_xlfn._xlws.FILTER(game_rosters!AB:AB,(game_rosters!J:J=events!X141)*(K141&lt;&gt;"")),"")</f>
        <v/>
      </c>
      <c r="X141" t="str" cm="1">
        <f t="array" ref="X141">IF(S141="","",IF($I141&lt;&gt;"",$I141,INDEX($I$2:$I140,ROW()-COUNTIFS($T$2:$T140,"="&amp;$T141,$S$2:$S140,"&lt;&gt;"&amp;$S141)-1)))</f>
        <v/>
      </c>
      <c r="Y141" t="b">
        <f>IF(X141&lt;&gt;"",VLOOKUP(X141,game_rosters!$C$43:$E$64,3,FALSE))</f>
        <v>0</v>
      </c>
      <c r="Z141" t="e" cm="1" vm="1">
        <f t="array" aca="1" ref="Z141" ca="1">IFERROR(IF(_xlfn._xlws.FILTER(game_rosters!$J:$J,(game_rosters!$G:$G=events!$AN141)*(game_rosters!$J:$J=events!$X141))&gt;0,1,""),"")</f>
        <v>#VALUE!</v>
      </c>
      <c r="AA141" t="e">
        <f t="shared" si="52"/>
        <v>#VALUE!</v>
      </c>
      <c r="AB141" t="str">
        <f t="shared" si="53"/>
        <v/>
      </c>
      <c r="AC141" t="e">
        <f t="shared" si="51"/>
        <v>#VALUE!</v>
      </c>
      <c r="AD141" s="6"/>
      <c r="BJ141" s="39"/>
      <c r="BM141" s="39"/>
      <c r="BO141" s="19"/>
      <c r="BQ141" s="17"/>
    </row>
    <row r="142" spans="1:69" x14ac:dyDescent="0.2">
      <c r="A142" t="str">
        <f t="shared" si="54"/>
        <v/>
      </c>
      <c r="E142" s="4"/>
      <c r="F142" s="44"/>
      <c r="G142" s="4"/>
      <c r="H142" s="47"/>
      <c r="J142" s="45" t="str">
        <f t="shared" si="55"/>
        <v/>
      </c>
      <c r="N142" t="str">
        <f t="shared" si="50"/>
        <v/>
      </c>
      <c r="Q142" t="str">
        <f t="shared" si="49"/>
        <v/>
      </c>
      <c r="S142" t="str">
        <f>IF(A142=1,MAX(S$2:S141)+1,IF(OR(I142&lt;&gt;"",A142="x"),S141,""))</f>
        <v/>
      </c>
      <c r="T142" t="str">
        <f>IF(D142=1,MAX($T$2:$T141)+1,IF(S142=$S141,$S141,IF($D142="x",T141,IF($D141="x","",""))))</f>
        <v/>
      </c>
      <c r="U142" t="str">
        <f>IF(B142=1,MAX($U$2:$U141)+1,IF(AND($T142&lt;&gt;"",$T142=$T141),$U141,IF(B142="x",U141,"")))</f>
        <v/>
      </c>
      <c r="V142" t="str">
        <f>IF(C142=1,MAX($V$2:$V141)+1,IF(AND($T142&lt;&gt;"",$T142=$T141),$U141,IF(C142="x",V141,"")))</f>
        <v/>
      </c>
      <c r="W142" t="str" cm="1">
        <f t="array" ref="W142">IFERROR(_xlfn._xlws.FILTER(game_rosters!AB:AB,(game_rosters!J:J=events!X142)*(K142&lt;&gt;"")),"")</f>
        <v/>
      </c>
      <c r="X142" t="str" cm="1">
        <f t="array" ref="X142">IF(S142="","",IF($I142&lt;&gt;"",$I142,INDEX($I$2:$I141,ROW()-COUNTIFS($T$2:$T141,"="&amp;$T142,$S$2:$S141,"&lt;&gt;"&amp;$S142)-1)))</f>
        <v/>
      </c>
      <c r="Y142" t="b">
        <f>IF(X142&lt;&gt;"",VLOOKUP(X142,game_rosters!$C$43:$E$64,3,FALSE))</f>
        <v>0</v>
      </c>
      <c r="Z142" t="e" cm="1" vm="1">
        <f t="array" aca="1" ref="Z142" ca="1">IFERROR(IF(_xlfn._xlws.FILTER(game_rosters!$J:$J,(game_rosters!$G:$G=events!$AN142)*(game_rosters!$J:$J=events!$X142))&gt;0,1,""),"")</f>
        <v>#VALUE!</v>
      </c>
      <c r="AA142" t="e">
        <f t="shared" si="52"/>
        <v>#VALUE!</v>
      </c>
      <c r="AB142" t="str">
        <f t="shared" si="53"/>
        <v/>
      </c>
      <c r="AC142" t="e">
        <f t="shared" si="51"/>
        <v>#VALUE!</v>
      </c>
      <c r="AD142" s="6"/>
      <c r="BJ142" s="39"/>
      <c r="BM142" s="39"/>
      <c r="BO142" s="19"/>
      <c r="BQ142" s="17"/>
    </row>
    <row r="143" spans="1:69" x14ac:dyDescent="0.2">
      <c r="A143" t="str">
        <f t="shared" si="54"/>
        <v/>
      </c>
      <c r="E143" s="4"/>
      <c r="F143" s="44"/>
      <c r="G143" s="4"/>
      <c r="H143" s="47"/>
      <c r="J143" s="45" t="str">
        <f t="shared" si="55"/>
        <v/>
      </c>
      <c r="N143" t="str">
        <f t="shared" si="50"/>
        <v/>
      </c>
      <c r="Q143" t="str">
        <f t="shared" si="49"/>
        <v/>
      </c>
      <c r="S143" t="str">
        <f>IF(A143=1,MAX(S$2:S142)+1,IF(OR(I143&lt;&gt;"",A143="x"),S142,""))</f>
        <v/>
      </c>
      <c r="T143" t="str">
        <f>IF(D143=1,MAX($T$2:$T142)+1,IF(S143=$S142,$S142,IF($D143="x",T142,IF($D142="x","",""))))</f>
        <v/>
      </c>
      <c r="U143" t="str">
        <f>IF(B143=1,MAX($U$2:$U142)+1,IF(AND($T143&lt;&gt;"",$T143=$T142),$U142,IF(B143="x",U142,"")))</f>
        <v/>
      </c>
      <c r="V143" t="str">
        <f>IF(C143=1,MAX($V$2:$V142)+1,IF(AND($T143&lt;&gt;"",$T143=$T142),$U142,IF(C143="x",V142,"")))</f>
        <v/>
      </c>
      <c r="W143" t="str" cm="1">
        <f t="array" ref="W143">IFERROR(_xlfn._xlws.FILTER(game_rosters!AB:AB,(game_rosters!J:J=events!X143)*(K143&lt;&gt;"")),"")</f>
        <v/>
      </c>
      <c r="X143" t="str" cm="1">
        <f t="array" ref="X143">IF(S143="","",IF($I143&lt;&gt;"",$I143,INDEX($I$2:$I142,ROW()-COUNTIFS($T$2:$T142,"="&amp;$T143,$S$2:$S142,"&lt;&gt;"&amp;$S143)-1)))</f>
        <v/>
      </c>
      <c r="Y143" t="b">
        <f>IF(X143&lt;&gt;"",VLOOKUP(X143,game_rosters!$C$43:$E$64,3,FALSE))</f>
        <v>0</v>
      </c>
      <c r="Z143" t="e" cm="1" vm="1">
        <f t="array" aca="1" ref="Z143" ca="1">IFERROR(IF(_xlfn._xlws.FILTER(game_rosters!$J:$J,(game_rosters!$G:$G=events!$AN143)*(game_rosters!$J:$J=events!$X143))&gt;0,1,""),"")</f>
        <v>#VALUE!</v>
      </c>
      <c r="AA143" t="e">
        <f t="shared" si="52"/>
        <v>#VALUE!</v>
      </c>
      <c r="AB143" t="str">
        <f t="shared" si="53"/>
        <v/>
      </c>
      <c r="AC143" t="e">
        <f t="shared" si="51"/>
        <v>#VALUE!</v>
      </c>
      <c r="AD143" s="6"/>
      <c r="BJ143" s="39"/>
      <c r="BM143" s="39"/>
      <c r="BO143" s="19"/>
      <c r="BQ143" s="17"/>
    </row>
    <row r="144" spans="1:69" x14ac:dyDescent="0.2">
      <c r="A144" t="str">
        <f t="shared" si="54"/>
        <v/>
      </c>
      <c r="E144" s="4"/>
      <c r="F144" s="44"/>
      <c r="G144" s="4"/>
      <c r="H144" s="47"/>
      <c r="J144" s="45" t="str">
        <f t="shared" si="55"/>
        <v/>
      </c>
      <c r="N144" t="str">
        <f t="shared" si="50"/>
        <v/>
      </c>
      <c r="Q144" t="str">
        <f t="shared" ref="Q144:Q207" si="56">IF(O144="","",IF(AND(N144&lt;&gt;"",OR(O144&lt;&gt;"",P144&lt;&gt;"")),N144,IF(OR(ISNUMBER(SEARCH("attemp",O144)),ISNUMBER(SEARCH("beat",O144)),ISNUMBER(SEARCH("mis",O144)),ISNUMBER(SEARCH("fail",O144)),ISNUMBER(SEARCH("loss",O144)),ISNUMBER(SEARCH("lost",O144)),ISNUMBER(SEARCH("attemp",P144)),ISNUMBER(SEARCH("mis",P144)),ISNUMBER(SEARCH("fail",P144)),ISNUMBER(SEARCH("loss",P144)),ISNUMBER(SEARCH("beat",P144)),ISNUMBER(SEARCH("lost",P144))),"u","")))</f>
        <v/>
      </c>
      <c r="S144" t="str">
        <f>IF(A144=1,MAX(S$2:S143)+1,IF(OR(I144&lt;&gt;"",A144="x"),S143,""))</f>
        <v/>
      </c>
      <c r="T144" t="str">
        <f>IF(D144=1,MAX($T$2:$T143)+1,IF(S144=$S143,$S143,IF($D144="x",T143,IF($D143="x","",""))))</f>
        <v/>
      </c>
      <c r="U144" t="str">
        <f>IF(B144=1,MAX($U$2:$U143)+1,IF(AND($T144&lt;&gt;"",$T144=$T143),$U143,IF(B144="x",U143,"")))</f>
        <v/>
      </c>
      <c r="V144" t="str">
        <f>IF(C144=1,MAX($V$2:$V143)+1,IF(AND($T144&lt;&gt;"",$T144=$T143),$U143,IF(C144="x",V143,"")))</f>
        <v/>
      </c>
      <c r="W144" t="str" cm="1">
        <f t="array" ref="W144">IFERROR(_xlfn._xlws.FILTER(game_rosters!AB:AB,(game_rosters!J:J=events!X144)*(K144&lt;&gt;"")),"")</f>
        <v/>
      </c>
      <c r="X144" t="str" cm="1">
        <f t="array" ref="X144">IF(S144="","",IF($I144&lt;&gt;"",$I144,INDEX($I$2:$I143,ROW()-COUNTIFS($T$2:$T143,"="&amp;$T144,$S$2:$S143,"&lt;&gt;"&amp;$S144)-1)))</f>
        <v/>
      </c>
      <c r="Y144" t="b">
        <f>IF(X144&lt;&gt;"",VLOOKUP(X144,game_rosters!$C$43:$E$64,3,FALSE))</f>
        <v>0</v>
      </c>
      <c r="Z144" t="e" cm="1" vm="1">
        <f t="array" aca="1" ref="Z144" ca="1">IFERROR(IF(_xlfn._xlws.FILTER(game_rosters!$J:$J,(game_rosters!$G:$G=events!$AN144)*(game_rosters!$J:$J=events!$X144))&gt;0,1,""),"")</f>
        <v>#VALUE!</v>
      </c>
      <c r="AA144" t="e">
        <f t="shared" si="52"/>
        <v>#VALUE!</v>
      </c>
      <c r="AB144" t="str">
        <f t="shared" si="53"/>
        <v/>
      </c>
      <c r="AC144" t="e">
        <f t="shared" si="51"/>
        <v>#VALUE!</v>
      </c>
      <c r="AD144" s="6"/>
      <c r="BJ144" s="39"/>
      <c r="BM144" s="39"/>
      <c r="BO144" s="19"/>
      <c r="BQ144" s="17"/>
    </row>
    <row r="145" spans="1:69" x14ac:dyDescent="0.2">
      <c r="A145" t="str">
        <f t="shared" si="54"/>
        <v/>
      </c>
      <c r="E145" s="4"/>
      <c r="F145" s="44"/>
      <c r="G145" s="4"/>
      <c r="H145" s="47"/>
      <c r="J145" s="45" t="str">
        <f t="shared" si="55"/>
        <v/>
      </c>
      <c r="N145" t="str">
        <f t="shared" si="50"/>
        <v/>
      </c>
      <c r="Q145" t="str">
        <f t="shared" si="56"/>
        <v/>
      </c>
      <c r="S145" t="str">
        <f>IF(A145=1,MAX(S$2:S144)+1,IF(OR(I145&lt;&gt;"",A145="x"),S144,""))</f>
        <v/>
      </c>
      <c r="T145" t="str">
        <f>IF(D145=1,MAX($T$2:$T144)+1,IF(S145=$S144,$S144,IF($D145="x",T144,IF($D144="x","",""))))</f>
        <v/>
      </c>
      <c r="U145" t="str">
        <f>IF(B145=1,MAX($U$2:$U144)+1,IF(AND($T145&lt;&gt;"",$T145=$T144),$U144,IF(B145="x",U144,"")))</f>
        <v/>
      </c>
      <c r="V145" t="str">
        <f>IF(C145=1,MAX($V$2:$V144)+1,IF(AND($T145&lt;&gt;"",$T145=$T144),$U144,IF(C145="x",V144,"")))</f>
        <v/>
      </c>
      <c r="W145" t="str" cm="1">
        <f t="array" ref="W145">IFERROR(_xlfn._xlws.FILTER(game_rosters!AB:AB,(game_rosters!J:J=events!X145)*(K145&lt;&gt;"")),"")</f>
        <v/>
      </c>
      <c r="X145" t="str" cm="1">
        <f t="array" ref="X145">IF(S145="","",IF($I145&lt;&gt;"",$I145,INDEX($I$2:$I144,ROW()-COUNTIFS($T$2:$T144,"="&amp;$T145,$S$2:$S144,"&lt;&gt;"&amp;$S145)-1)))</f>
        <v/>
      </c>
      <c r="Y145" t="b">
        <f>IF(X145&lt;&gt;"",VLOOKUP(X145,game_rosters!$C$43:$E$64,3,FALSE))</f>
        <v>0</v>
      </c>
      <c r="Z145" t="e" cm="1" vm="1">
        <f t="array" aca="1" ref="Z145" ca="1">IFERROR(IF(_xlfn._xlws.FILTER(game_rosters!$J:$J,(game_rosters!$G:$G=events!$AN145)*(game_rosters!$J:$J=events!$X145))&gt;0,1,""),"")</f>
        <v>#VALUE!</v>
      </c>
      <c r="AA145" t="e">
        <f t="shared" si="52"/>
        <v>#VALUE!</v>
      </c>
      <c r="AB145" t="str">
        <f t="shared" si="53"/>
        <v/>
      </c>
      <c r="AC145" t="e">
        <f t="shared" si="51"/>
        <v>#VALUE!</v>
      </c>
      <c r="AD145" s="6"/>
      <c r="BJ145" s="39"/>
      <c r="BM145" s="39"/>
      <c r="BO145" s="19"/>
      <c r="BQ145" s="17"/>
    </row>
    <row r="146" spans="1:69" x14ac:dyDescent="0.2">
      <c r="A146" t="str">
        <f t="shared" si="54"/>
        <v/>
      </c>
      <c r="E146" s="4"/>
      <c r="F146" s="44"/>
      <c r="G146" s="4"/>
      <c r="H146" s="47"/>
      <c r="J146" s="45" t="str">
        <f t="shared" si="55"/>
        <v/>
      </c>
      <c r="N146" t="str">
        <f t="shared" si="50"/>
        <v/>
      </c>
      <c r="Q146" t="str">
        <f t="shared" si="56"/>
        <v/>
      </c>
      <c r="S146" t="str">
        <f>IF(A146=1,MAX(S$2:S145)+1,IF(OR(I146&lt;&gt;"",A146="x"),S145,""))</f>
        <v/>
      </c>
      <c r="T146" t="str">
        <f>IF(D146=1,MAX($T$2:$T145)+1,IF(S146=$S145,$S145,IF($D146="x",T145,IF($D145="x","",""))))</f>
        <v/>
      </c>
      <c r="U146" t="str">
        <f>IF(B146=1,MAX($U$2:$U145)+1,IF(AND($T146&lt;&gt;"",$T146=$T145),$U145,IF(B146="x",U145,"")))</f>
        <v/>
      </c>
      <c r="V146" t="str">
        <f>IF(C146=1,MAX($V$2:$V145)+1,IF(AND($T146&lt;&gt;"",$T146=$T145),$U145,IF(C146="x",V145,"")))</f>
        <v/>
      </c>
      <c r="W146" t="str" cm="1">
        <f t="array" ref="W146">IFERROR(_xlfn._xlws.FILTER(game_rosters!AB:AB,(game_rosters!J:J=events!X146)*(K146&lt;&gt;"")),"")</f>
        <v/>
      </c>
      <c r="X146" t="str" cm="1">
        <f t="array" ref="X146">IF(S146="","",IF($I146&lt;&gt;"",$I146,INDEX($I$2:$I145,ROW()-COUNTIFS($T$2:$T145,"="&amp;$T146,$S$2:$S145,"&lt;&gt;"&amp;$S146)-1)))</f>
        <v/>
      </c>
      <c r="Y146" t="b">
        <f>IF(X146&lt;&gt;"",VLOOKUP(X146,game_rosters!$C$43:$E$64,3,FALSE))</f>
        <v>0</v>
      </c>
      <c r="Z146" t="e" cm="1" vm="1">
        <f t="array" aca="1" ref="Z146" ca="1">IFERROR(IF(_xlfn._xlws.FILTER(game_rosters!$J:$J,(game_rosters!$G:$G=events!$AN146)*(game_rosters!$J:$J=events!$X146))&gt;0,1,""),"")</f>
        <v>#VALUE!</v>
      </c>
      <c r="AA146" t="e">
        <f t="shared" si="52"/>
        <v>#VALUE!</v>
      </c>
      <c r="AB146" t="str">
        <f t="shared" si="53"/>
        <v/>
      </c>
      <c r="AC146" t="e">
        <f t="shared" si="51"/>
        <v>#VALUE!</v>
      </c>
      <c r="AD146" s="6"/>
      <c r="BJ146" s="39"/>
      <c r="BM146" s="39"/>
      <c r="BO146" s="19"/>
      <c r="BQ146" s="17"/>
    </row>
    <row r="147" spans="1:69" x14ac:dyDescent="0.2">
      <c r="A147" t="str">
        <f t="shared" si="54"/>
        <v/>
      </c>
      <c r="E147" s="4"/>
      <c r="F147" s="44"/>
      <c r="G147" s="4"/>
      <c r="H147" s="47"/>
      <c r="J147" s="45" t="str">
        <f t="shared" si="55"/>
        <v/>
      </c>
      <c r="N147" t="str">
        <f t="shared" si="50"/>
        <v/>
      </c>
      <c r="Q147" t="str">
        <f t="shared" si="56"/>
        <v/>
      </c>
      <c r="S147" t="str">
        <f>IF(A147=1,MAX(S$2:S146)+1,IF(OR(I147&lt;&gt;"",A147="x"),S146,""))</f>
        <v/>
      </c>
      <c r="T147" t="str">
        <f>IF(D147=1,MAX($T$2:$T146)+1,IF(S147=$S146,$S146,IF($D147="x",T146,IF($D146="x","",""))))</f>
        <v/>
      </c>
      <c r="U147" t="str">
        <f>IF(B147=1,MAX($U$2:$U146)+1,IF(AND($T147&lt;&gt;"",$T147=$T146),$U146,IF(B147="x",U146,"")))</f>
        <v/>
      </c>
      <c r="V147" t="str">
        <f>IF(C147=1,MAX($V$2:$V146)+1,IF(AND($T147&lt;&gt;"",$T147=$T146),$U146,IF(C147="x",V146,"")))</f>
        <v/>
      </c>
      <c r="W147" t="str" cm="1">
        <f t="array" ref="W147">IFERROR(_xlfn._xlws.FILTER(game_rosters!AB:AB,(game_rosters!J:J=events!X147)*(K147&lt;&gt;"")),"")</f>
        <v/>
      </c>
      <c r="X147" t="str" cm="1">
        <f t="array" ref="X147">IF(S147="","",IF($I147&lt;&gt;"",$I147,INDEX($I$2:$I146,ROW()-COUNTIFS($T$2:$T146,"="&amp;$T147,$S$2:$S146,"&lt;&gt;"&amp;$S147)-1)))</f>
        <v/>
      </c>
      <c r="Y147" t="b">
        <f>IF(X147&lt;&gt;"",VLOOKUP(X147,game_rosters!$C$43:$E$64,3,FALSE))</f>
        <v>0</v>
      </c>
      <c r="Z147" t="e" cm="1" vm="1">
        <f t="array" aca="1" ref="Z147" ca="1">IFERROR(IF(_xlfn._xlws.FILTER(game_rosters!$J:$J,(game_rosters!$G:$G=events!$AN147)*(game_rosters!$J:$J=events!$X147))&gt;0,1,""),"")</f>
        <v>#VALUE!</v>
      </c>
      <c r="AA147" t="e">
        <f t="shared" si="52"/>
        <v>#VALUE!</v>
      </c>
      <c r="AB147" t="str">
        <f t="shared" si="53"/>
        <v/>
      </c>
      <c r="AC147" t="e">
        <f t="shared" si="51"/>
        <v>#VALUE!</v>
      </c>
      <c r="AD147" s="6"/>
      <c r="BJ147" s="39"/>
      <c r="BM147" s="39"/>
      <c r="BO147" s="19"/>
      <c r="BQ147" s="17"/>
    </row>
    <row r="148" spans="1:69" x14ac:dyDescent="0.2">
      <c r="A148" t="str">
        <f t="shared" si="54"/>
        <v/>
      </c>
      <c r="E148" s="4"/>
      <c r="F148" s="44"/>
      <c r="G148" s="4"/>
      <c r="H148" s="47"/>
      <c r="J148" s="45" t="str">
        <f t="shared" si="55"/>
        <v/>
      </c>
      <c r="N148" t="str">
        <f t="shared" si="50"/>
        <v/>
      </c>
      <c r="Q148" t="str">
        <f t="shared" si="56"/>
        <v/>
      </c>
      <c r="S148" t="str">
        <f>IF(A148=1,MAX(S$2:S147)+1,IF(OR(I148&lt;&gt;"",A148="x"),S147,""))</f>
        <v/>
      </c>
      <c r="T148" t="str">
        <f>IF(D148=1,MAX($T$2:$T147)+1,IF(S148=$S147,$S147,IF($D148="x",T147,IF($D147="x","",""))))</f>
        <v/>
      </c>
      <c r="U148" t="str">
        <f>IF(B148=1,MAX($U$2:$U147)+1,IF(AND($T148&lt;&gt;"",$T148=$T147),$U147,IF(B148="x",U147,"")))</f>
        <v/>
      </c>
      <c r="V148" t="str">
        <f>IF(C148=1,MAX($V$2:$V147)+1,IF(AND($T148&lt;&gt;"",$T148=$T147),$U147,IF(C148="x",V147,"")))</f>
        <v/>
      </c>
      <c r="W148" t="str" cm="1">
        <f t="array" ref="W148">IFERROR(_xlfn._xlws.FILTER(game_rosters!AB:AB,(game_rosters!J:J=events!X148)*(K148&lt;&gt;"")),"")</f>
        <v/>
      </c>
      <c r="X148" t="str" cm="1">
        <f t="array" ref="X148">IF(S148="","",IF($I148&lt;&gt;"",$I148,INDEX($I$2:$I147,ROW()-COUNTIFS($T$2:$T147,"="&amp;$T148,$S$2:$S147,"&lt;&gt;"&amp;$S148)-1)))</f>
        <v/>
      </c>
      <c r="Y148" t="b">
        <f>IF(X148&lt;&gt;"",VLOOKUP(X148,game_rosters!$C$43:$E$64,3,FALSE))</f>
        <v>0</v>
      </c>
      <c r="Z148" t="e" cm="1" vm="1">
        <f t="array" aca="1" ref="Z148" ca="1">IFERROR(IF(_xlfn._xlws.FILTER(game_rosters!$J:$J,(game_rosters!$G:$G=events!$AN148)*(game_rosters!$J:$J=events!$X148))&gt;0,1,""),"")</f>
        <v>#VALUE!</v>
      </c>
      <c r="AA148" t="e">
        <f t="shared" si="52"/>
        <v>#VALUE!</v>
      </c>
      <c r="AB148" t="str">
        <f t="shared" si="53"/>
        <v/>
      </c>
      <c r="AC148" t="e">
        <f t="shared" si="51"/>
        <v>#VALUE!</v>
      </c>
      <c r="AD148" s="6"/>
      <c r="BJ148" s="39"/>
      <c r="BM148" s="39"/>
      <c r="BO148" s="19"/>
      <c r="BQ148" s="17"/>
    </row>
    <row r="149" spans="1:69" x14ac:dyDescent="0.2">
      <c r="A149" t="str">
        <f t="shared" si="54"/>
        <v/>
      </c>
      <c r="E149" s="4"/>
      <c r="F149" s="44"/>
      <c r="G149" s="4"/>
      <c r="H149" s="47"/>
      <c r="J149" s="45" t="str">
        <f t="shared" si="55"/>
        <v/>
      </c>
      <c r="N149" t="str">
        <f t="shared" ref="N149:N212" si="57">IF(K149="","",IF(K149="Goal","s",IF(AND(K149="Zone_Entry_Exit",OR(ISNUMBER(SEARCH("fail",L149)),ISNUMBER(SEARCH("FromExitClear",M149)),ISNUMBER(SEARCH("miss",M149)))),"u",IF(AND(K149="Zone_Entry_Exit",OR(NOT(ISNUMBER(SEARCH("fail",L149))),NOT(ISNUMBER(SEARCH("FromExitClear",M149))),NOT(ISNUMBER(SEARCH("miss",M149))))),"s",IF(AND(OR(K149="Shot",K149="Pass"),OR(ISNUMBER(SEARCH("complete",L149)),ISNUMBER(SEARCH("goal",L149)),ISNUMBER(SEARCH("OnNet",L149)))),"s",IF(L149="Turnover_Giveaway","u",IF(AND(OR(K149="Shot",K149="Pass"),OR(ISNUMBER(SEARCH("fail",L149)),NOT(ISNUMBER(SEARCH("complete",L149))),NOT(ISNUMBER(SEARCH("OnNet",L149))))),"u","")))))))</f>
        <v/>
      </c>
      <c r="Q149" t="str">
        <f t="shared" si="56"/>
        <v/>
      </c>
      <c r="S149" t="str">
        <f>IF(A149=1,MAX(S$2:S148)+1,IF(OR(I149&lt;&gt;"",A149="x"),S148,""))</f>
        <v/>
      </c>
      <c r="T149" t="str">
        <f>IF(D149=1,MAX($T$2:$T148)+1,IF(S149=$S148,$S148,IF($D149="x",T148,IF($D148="x","",""))))</f>
        <v/>
      </c>
      <c r="U149" t="str">
        <f>IF(B149=1,MAX($U$2:$U148)+1,IF(AND($T149&lt;&gt;"",$T149=$T148),$U148,IF(B149="x",U148,"")))</f>
        <v/>
      </c>
      <c r="V149" t="str">
        <f>IF(C149=1,MAX($V$2:$V148)+1,IF(AND($T149&lt;&gt;"",$T149=$T148),$U148,IF(C149="x",V148,"")))</f>
        <v/>
      </c>
      <c r="W149" t="str" cm="1">
        <f t="array" ref="W149">IFERROR(_xlfn._xlws.FILTER(game_rosters!AB:AB,(game_rosters!J:J=events!X149)*(K149&lt;&gt;"")),"")</f>
        <v/>
      </c>
      <c r="X149" t="str" cm="1">
        <f t="array" ref="X149">IF(S149="","",IF($I149&lt;&gt;"",$I149,INDEX($I$2:$I148,ROW()-COUNTIFS($T$2:$T148,"="&amp;$T149,$S$2:$S148,"&lt;&gt;"&amp;$S149)-1)))</f>
        <v/>
      </c>
      <c r="Y149" t="b">
        <f>IF(X149&lt;&gt;"",VLOOKUP(X149,game_rosters!$C$43:$E$64,3,FALSE))</f>
        <v>0</v>
      </c>
      <c r="Z149" t="e" cm="1" vm="1">
        <f t="array" aca="1" ref="Z149" ca="1">IFERROR(IF(_xlfn._xlws.FILTER(game_rosters!$J:$J,(game_rosters!$G:$G=events!$AN149)*(game_rosters!$J:$J=events!$X149))&gt;0,1,""),"")</f>
        <v>#VALUE!</v>
      </c>
      <c r="AA149" t="e">
        <f t="shared" si="52"/>
        <v>#VALUE!</v>
      </c>
      <c r="AB149" t="str">
        <f t="shared" si="53"/>
        <v/>
      </c>
      <c r="AC149" t="e">
        <f t="shared" si="51"/>
        <v>#VALUE!</v>
      </c>
      <c r="AD149" s="6"/>
      <c r="BJ149" s="39"/>
      <c r="BM149" s="39"/>
      <c r="BO149" s="19"/>
      <c r="BQ149" s="17"/>
    </row>
    <row r="150" spans="1:69" x14ac:dyDescent="0.2">
      <c r="A150" t="str">
        <f t="shared" si="54"/>
        <v/>
      </c>
      <c r="E150" s="4"/>
      <c r="F150" s="44"/>
      <c r="G150" s="4"/>
      <c r="H150" s="47"/>
      <c r="J150" s="45" t="str">
        <f t="shared" si="55"/>
        <v/>
      </c>
      <c r="N150" t="str">
        <f t="shared" si="57"/>
        <v/>
      </c>
      <c r="Q150" t="str">
        <f t="shared" si="56"/>
        <v/>
      </c>
      <c r="S150" t="str">
        <f>IF(A150=1,MAX(S$2:S149)+1,IF(OR(I150&lt;&gt;"",A150="x"),S149,""))</f>
        <v/>
      </c>
      <c r="T150" t="str">
        <f>IF(D150=1,MAX($T$2:$T149)+1,IF(S150=$S149,$S149,IF($D150="x",T149,IF($D149="x","",""))))</f>
        <v/>
      </c>
      <c r="U150" t="str">
        <f>IF(B150=1,MAX($U$2:$U149)+1,IF(AND($T150&lt;&gt;"",$T150=$T149),$U149,IF(B150="x",U149,"")))</f>
        <v/>
      </c>
      <c r="V150" t="str">
        <f>IF(C150=1,MAX($V$2:$V149)+1,IF(AND($T150&lt;&gt;"",$T150=$T149),$U149,IF(C150="x",V149,"")))</f>
        <v/>
      </c>
      <c r="W150" t="str" cm="1">
        <f t="array" ref="W150">IFERROR(_xlfn._xlws.FILTER(game_rosters!AB:AB,(game_rosters!J:J=events!X150)*(K150&lt;&gt;"")),"")</f>
        <v/>
      </c>
      <c r="X150" t="str" cm="1">
        <f t="array" ref="X150">IF(S150="","",IF($I150&lt;&gt;"",$I150,INDEX($I$2:$I149,ROW()-COUNTIFS($T$2:$T149,"="&amp;$T150,$S$2:$S149,"&lt;&gt;"&amp;$S150)-1)))</f>
        <v/>
      </c>
      <c r="Y150" t="b">
        <f>IF(X150&lt;&gt;"",VLOOKUP(X150,game_rosters!$C$43:$E$64,3,FALSE))</f>
        <v>0</v>
      </c>
      <c r="Z150" t="e" cm="1" vm="1">
        <f t="array" aca="1" ref="Z150" ca="1">IFERROR(IF(_xlfn._xlws.FILTER(game_rosters!$J:$J,(game_rosters!$G:$G=events!$AN150)*(game_rosters!$J:$J=events!$X150))&gt;0,1,""),"")</f>
        <v>#VALUE!</v>
      </c>
      <c r="AA150" t="e">
        <f t="shared" si="52"/>
        <v>#VALUE!</v>
      </c>
      <c r="AB150" t="str">
        <f t="shared" si="53"/>
        <v/>
      </c>
      <c r="AC150" t="e">
        <f t="shared" si="51"/>
        <v>#VALUE!</v>
      </c>
      <c r="AD150" s="6"/>
      <c r="BJ150" s="39"/>
      <c r="BM150" s="39"/>
      <c r="BO150" s="19"/>
      <c r="BQ150" s="17"/>
    </row>
    <row r="151" spans="1:69" x14ac:dyDescent="0.2">
      <c r="A151" t="str">
        <f t="shared" si="54"/>
        <v/>
      </c>
      <c r="E151" s="4"/>
      <c r="F151" s="44"/>
      <c r="G151" s="4"/>
      <c r="H151" s="47"/>
      <c r="J151" s="45" t="str">
        <f t="shared" si="55"/>
        <v/>
      </c>
      <c r="N151" t="str">
        <f t="shared" si="57"/>
        <v/>
      </c>
      <c r="Q151" t="str">
        <f t="shared" si="56"/>
        <v/>
      </c>
      <c r="S151" t="str">
        <f>IF(A151=1,MAX(S$2:S150)+1,IF(OR(I151&lt;&gt;"",A151="x"),S150,""))</f>
        <v/>
      </c>
      <c r="T151" t="str">
        <f>IF(D151=1,MAX($T$2:$T150)+1,IF(S151=$S150,$S150,IF($D151="x",T150,IF($D150="x","",""))))</f>
        <v/>
      </c>
      <c r="U151" t="str">
        <f>IF(B151=1,MAX($U$2:$U150)+1,IF(AND($T151&lt;&gt;"",$T151=$T150),$U150,IF(B151="x",U150,"")))</f>
        <v/>
      </c>
      <c r="V151" t="str">
        <f>IF(C151=1,MAX($V$2:$V150)+1,IF(AND($T151&lt;&gt;"",$T151=$T150),$U150,IF(C151="x",V150,"")))</f>
        <v/>
      </c>
      <c r="W151" t="str" cm="1">
        <f t="array" ref="W151">IFERROR(_xlfn._xlws.FILTER(game_rosters!AB:AB,(game_rosters!J:J=events!X151)*(K151&lt;&gt;"")),"")</f>
        <v/>
      </c>
      <c r="X151" t="str" cm="1">
        <f t="array" ref="X151">IF(S151="","",IF($I151&lt;&gt;"",$I151,INDEX($I$2:$I150,ROW()-COUNTIFS($T$2:$T150,"="&amp;$T151,$S$2:$S150,"&lt;&gt;"&amp;$S151)-1)))</f>
        <v/>
      </c>
      <c r="Y151" t="b">
        <f>IF(X151&lt;&gt;"",VLOOKUP(X151,game_rosters!$C$43:$E$64,3,FALSE))</f>
        <v>0</v>
      </c>
      <c r="Z151" t="e" cm="1" vm="1">
        <f t="array" aca="1" ref="Z151" ca="1">IFERROR(IF(_xlfn._xlws.FILTER(game_rosters!$J:$J,(game_rosters!$G:$G=events!$AN151)*(game_rosters!$J:$J=events!$X151))&gt;0,1,""),"")</f>
        <v>#VALUE!</v>
      </c>
      <c r="AA151" t="e">
        <f t="shared" si="52"/>
        <v>#VALUE!</v>
      </c>
      <c r="AB151" t="str">
        <f t="shared" si="53"/>
        <v/>
      </c>
      <c r="AC151" t="e">
        <f t="shared" si="51"/>
        <v>#VALUE!</v>
      </c>
      <c r="AD151" s="6"/>
      <c r="BJ151" s="39"/>
      <c r="BM151" s="39"/>
      <c r="BO151" s="19"/>
      <c r="BQ151" s="17"/>
    </row>
    <row r="152" spans="1:69" x14ac:dyDescent="0.2">
      <c r="A152" t="str">
        <f t="shared" si="54"/>
        <v/>
      </c>
      <c r="E152" s="4"/>
      <c r="F152" s="44"/>
      <c r="G152" s="4"/>
      <c r="H152" s="47"/>
      <c r="J152" s="45" t="str">
        <f t="shared" si="55"/>
        <v/>
      </c>
      <c r="N152" t="str">
        <f t="shared" si="57"/>
        <v/>
      </c>
      <c r="Q152" t="str">
        <f t="shared" si="56"/>
        <v/>
      </c>
      <c r="S152" t="str">
        <f>IF(A152=1,MAX(S$2:S151)+1,IF(OR(I152&lt;&gt;"",A152="x"),S151,""))</f>
        <v/>
      </c>
      <c r="T152" t="str">
        <f>IF(D152=1,MAX($T$2:$T151)+1,IF(S152=$S151,$S151,IF($D152="x",T151,IF($D151="x","",""))))</f>
        <v/>
      </c>
      <c r="U152" t="str">
        <f>IF(B152=1,MAX($U$2:$U151)+1,IF(AND($T152&lt;&gt;"",$T152=$T151),$U151,IF(B152="x",U151,"")))</f>
        <v/>
      </c>
      <c r="V152" t="str">
        <f>IF(C152=1,MAX($V$2:$V151)+1,IF(AND($T152&lt;&gt;"",$T152=$T151),$U151,IF(C152="x",V151,"")))</f>
        <v/>
      </c>
      <c r="W152" t="str" cm="1">
        <f t="array" ref="W152">IFERROR(_xlfn._xlws.FILTER(game_rosters!AB:AB,(game_rosters!J:J=events!X152)*(K152&lt;&gt;"")),"")</f>
        <v/>
      </c>
      <c r="X152" t="str" cm="1">
        <f t="array" ref="X152">IF(S152="","",IF($I152&lt;&gt;"",$I152,INDEX($I$2:$I151,ROW()-COUNTIFS($T$2:$T151,"="&amp;$T152,$S$2:$S151,"&lt;&gt;"&amp;$S152)-1)))</f>
        <v/>
      </c>
      <c r="Y152" t="b">
        <f>IF(X152&lt;&gt;"",VLOOKUP(X152,game_rosters!$C$43:$E$64,3,FALSE))</f>
        <v>0</v>
      </c>
      <c r="Z152" t="e" cm="1" vm="1">
        <f t="array" aca="1" ref="Z152" ca="1">IFERROR(IF(_xlfn._xlws.FILTER(game_rosters!$J:$J,(game_rosters!$G:$G=events!$AN152)*(game_rosters!$J:$J=events!$X152))&gt;0,1,""),"")</f>
        <v>#VALUE!</v>
      </c>
      <c r="AA152" t="e">
        <f t="shared" si="52"/>
        <v>#VALUE!</v>
      </c>
      <c r="AB152" t="str">
        <f t="shared" si="53"/>
        <v/>
      </c>
      <c r="AC152" t="e">
        <f t="shared" si="51"/>
        <v>#VALUE!</v>
      </c>
      <c r="AD152" s="6"/>
      <c r="BJ152" s="39"/>
      <c r="BM152" s="39"/>
      <c r="BO152" s="19"/>
      <c r="BQ152" s="17"/>
    </row>
    <row r="153" spans="1:69" x14ac:dyDescent="0.2">
      <c r="A153" t="str">
        <f t="shared" si="54"/>
        <v/>
      </c>
      <c r="E153" s="4"/>
      <c r="F153" s="44"/>
      <c r="G153" s="4"/>
      <c r="H153" s="47"/>
      <c r="J153" s="45" t="str">
        <f t="shared" si="55"/>
        <v/>
      </c>
      <c r="N153" t="str">
        <f t="shared" si="57"/>
        <v/>
      </c>
      <c r="Q153" t="str">
        <f t="shared" si="56"/>
        <v/>
      </c>
      <c r="S153" t="str">
        <f>IF(A153=1,MAX(S$2:S152)+1,IF(OR(I153&lt;&gt;"",A153="x"),S152,""))</f>
        <v/>
      </c>
      <c r="T153" t="str">
        <f>IF(D153=1,MAX($T$2:$T152)+1,IF(S153=$S152,$S152,IF($D153="x",T152,IF($D152="x","",""))))</f>
        <v/>
      </c>
      <c r="U153" t="str">
        <f>IF(B153=1,MAX($U$2:$U152)+1,IF(AND($T153&lt;&gt;"",$T153=$T152),$U152,IF(B153="x",U152,"")))</f>
        <v/>
      </c>
      <c r="V153" t="str">
        <f>IF(C153=1,MAX($V$2:$V152)+1,IF(AND($T153&lt;&gt;"",$T153=$T152),$U152,IF(C153="x",V152,"")))</f>
        <v/>
      </c>
      <c r="W153" t="str" cm="1">
        <f t="array" ref="W153">IFERROR(_xlfn._xlws.FILTER(game_rosters!AB:AB,(game_rosters!J:J=events!X153)*(K153&lt;&gt;"")),"")</f>
        <v/>
      </c>
      <c r="X153" t="str" cm="1">
        <f t="array" ref="X153">IF(S153="","",IF($I153&lt;&gt;"",$I153,INDEX($I$2:$I152,ROW()-COUNTIFS($T$2:$T152,"="&amp;$T153,$S$2:$S152,"&lt;&gt;"&amp;$S153)-1)))</f>
        <v/>
      </c>
      <c r="Y153" t="b">
        <f>IF(X153&lt;&gt;"",VLOOKUP(X153,game_rosters!$C$43:$E$64,3,FALSE))</f>
        <v>0</v>
      </c>
      <c r="Z153" t="e" cm="1" vm="1">
        <f t="array" aca="1" ref="Z153" ca="1">IFERROR(IF(_xlfn._xlws.FILTER(game_rosters!$J:$J,(game_rosters!$G:$G=events!$AN153)*(game_rosters!$J:$J=events!$X153))&gt;0,1,""),"")</f>
        <v>#VALUE!</v>
      </c>
      <c r="AA153" t="e">
        <f t="shared" si="52"/>
        <v>#VALUE!</v>
      </c>
      <c r="AB153" t="str">
        <f t="shared" si="53"/>
        <v/>
      </c>
      <c r="AC153" t="e">
        <f t="shared" si="51"/>
        <v>#VALUE!</v>
      </c>
      <c r="AD153" s="6"/>
      <c r="BJ153" s="39"/>
      <c r="BM153" s="39"/>
      <c r="BO153" s="19"/>
      <c r="BQ153" s="17"/>
    </row>
    <row r="154" spans="1:69" x14ac:dyDescent="0.2">
      <c r="A154" t="str">
        <f t="shared" si="54"/>
        <v/>
      </c>
      <c r="E154" s="4"/>
      <c r="F154" s="44"/>
      <c r="G154" s="4"/>
      <c r="H154" s="47"/>
      <c r="J154" s="45" t="str">
        <f t="shared" si="55"/>
        <v/>
      </c>
      <c r="N154" t="str">
        <f t="shared" si="57"/>
        <v/>
      </c>
      <c r="Q154" t="str">
        <f t="shared" si="56"/>
        <v/>
      </c>
      <c r="S154" t="str">
        <f>IF(A154=1,MAX(S$2:S153)+1,IF(OR(I154&lt;&gt;"",A154="x"),S153,""))</f>
        <v/>
      </c>
      <c r="T154" t="str">
        <f>IF(D154=1,MAX($T$2:$T153)+1,IF(S154=$S153,$S153,IF($D154="x",T153,IF($D153="x","",""))))</f>
        <v/>
      </c>
      <c r="U154" t="str">
        <f>IF(B154=1,MAX($U$2:$U153)+1,IF(AND($T154&lt;&gt;"",$T154=$T153),$U153,IF(B154="x",U153,"")))</f>
        <v/>
      </c>
      <c r="V154" t="str">
        <f>IF(C154=1,MAX($V$2:$V153)+1,IF(AND($T154&lt;&gt;"",$T154=$T153),$U153,IF(C154="x",V153,"")))</f>
        <v/>
      </c>
      <c r="W154" t="str" cm="1">
        <f t="array" ref="W154">IFERROR(_xlfn._xlws.FILTER(game_rosters!AB:AB,(game_rosters!J:J=events!X154)*(K154&lt;&gt;"")),"")</f>
        <v/>
      </c>
      <c r="X154" t="str" cm="1">
        <f t="array" ref="X154">IF(S154="","",IF($I154&lt;&gt;"",$I154,INDEX($I$2:$I153,ROW()-COUNTIFS($T$2:$T153,"="&amp;$T154,$S$2:$S153,"&lt;&gt;"&amp;$S154)-1)))</f>
        <v/>
      </c>
      <c r="Y154" t="b">
        <f>IF(X154&lt;&gt;"",VLOOKUP(X154,game_rosters!$C$43:$E$64,3,FALSE))</f>
        <v>0</v>
      </c>
      <c r="Z154" t="e" cm="1" vm="1">
        <f t="array" aca="1" ref="Z154" ca="1">IFERROR(IF(_xlfn._xlws.FILTER(game_rosters!$J:$J,(game_rosters!$G:$G=events!$AN154)*(game_rosters!$J:$J=events!$X154))&gt;0,1,""),"")</f>
        <v>#VALUE!</v>
      </c>
      <c r="AA154" t="e">
        <f t="shared" si="52"/>
        <v>#VALUE!</v>
      </c>
      <c r="AB154" t="str">
        <f t="shared" si="53"/>
        <v/>
      </c>
      <c r="AC154" t="e">
        <f t="shared" si="51"/>
        <v>#VALUE!</v>
      </c>
      <c r="AD154" s="6"/>
      <c r="BJ154" s="39"/>
      <c r="BM154" s="39"/>
      <c r="BO154" s="19"/>
      <c r="BQ154" s="17"/>
    </row>
    <row r="155" spans="1:69" x14ac:dyDescent="0.2">
      <c r="A155" t="str">
        <f t="shared" si="54"/>
        <v/>
      </c>
      <c r="E155" s="4"/>
      <c r="F155" s="44"/>
      <c r="G155" s="4"/>
      <c r="H155" s="47"/>
      <c r="J155" s="45" t="str">
        <f t="shared" si="55"/>
        <v/>
      </c>
      <c r="N155" t="str">
        <f t="shared" si="57"/>
        <v/>
      </c>
      <c r="Q155" t="str">
        <f t="shared" si="56"/>
        <v/>
      </c>
      <c r="S155" t="str">
        <f>IF(A155=1,MAX(S$2:S154)+1,IF(OR(I155&lt;&gt;"",A155="x"),S154,""))</f>
        <v/>
      </c>
      <c r="T155" t="str">
        <f>IF(D155=1,MAX($T$2:$T154)+1,IF(S155=$S154,$S154,IF($D155="x",T154,IF($D154="x","",""))))</f>
        <v/>
      </c>
      <c r="U155" t="str">
        <f>IF(B155=1,MAX($U$2:$U154)+1,IF(AND($T155&lt;&gt;"",$T155=$T154),$U154,IF(B155="x",U154,"")))</f>
        <v/>
      </c>
      <c r="V155" t="str">
        <f>IF(C155=1,MAX($V$2:$V154)+1,IF(AND($T155&lt;&gt;"",$T155=$T154),$U154,IF(C155="x",V154,"")))</f>
        <v/>
      </c>
      <c r="W155" t="str" cm="1">
        <f t="array" ref="W155">IFERROR(_xlfn._xlws.FILTER(game_rosters!AB:AB,(game_rosters!J:J=events!X155)*(K155&lt;&gt;"")),"")</f>
        <v/>
      </c>
      <c r="X155" t="str" cm="1">
        <f t="array" ref="X155">IF(S155="","",IF($I155&lt;&gt;"",$I155,INDEX($I$2:$I154,ROW()-COUNTIFS($T$2:$T154,"="&amp;$T155,$S$2:$S154,"&lt;&gt;"&amp;$S155)-1)))</f>
        <v/>
      </c>
      <c r="Y155" t="b">
        <f>IF(X155&lt;&gt;"",VLOOKUP(X155,game_rosters!$C$43:$E$64,3,FALSE))</f>
        <v>0</v>
      </c>
      <c r="Z155" t="e" cm="1" vm="1">
        <f t="array" aca="1" ref="Z155" ca="1">IFERROR(IF(_xlfn._xlws.FILTER(game_rosters!$J:$J,(game_rosters!$G:$G=events!$AN155)*(game_rosters!$J:$J=events!$X155))&gt;0,1,""),"")</f>
        <v>#VALUE!</v>
      </c>
      <c r="AA155" t="e">
        <f t="shared" si="52"/>
        <v>#VALUE!</v>
      </c>
      <c r="AB155" t="str">
        <f t="shared" si="53"/>
        <v/>
      </c>
      <c r="AC155" t="e">
        <f t="shared" si="51"/>
        <v>#VALUE!</v>
      </c>
      <c r="AD155" s="6"/>
      <c r="BJ155" s="39"/>
      <c r="BM155" s="39"/>
      <c r="BO155" s="19"/>
      <c r="BQ155" s="17"/>
    </row>
    <row r="156" spans="1:69" x14ac:dyDescent="0.2">
      <c r="A156" t="str">
        <f t="shared" si="54"/>
        <v/>
      </c>
      <c r="E156" s="4"/>
      <c r="F156" s="44"/>
      <c r="G156" s="4"/>
      <c r="H156" s="47"/>
      <c r="J156" s="45" t="str">
        <f t="shared" si="55"/>
        <v/>
      </c>
      <c r="N156" t="str">
        <f t="shared" si="57"/>
        <v/>
      </c>
      <c r="Q156" t="str">
        <f t="shared" si="56"/>
        <v/>
      </c>
      <c r="S156" t="str">
        <f>IF(A156=1,MAX(S$2:S155)+1,IF(OR(I156&lt;&gt;"",A156="x"),S155,""))</f>
        <v/>
      </c>
      <c r="T156" t="str">
        <f>IF(D156=1,MAX($T$2:$T155)+1,IF(S156=$S155,$S155,IF($D156="x",T155,IF($D155="x","",""))))</f>
        <v/>
      </c>
      <c r="U156" t="str">
        <f>IF(B156=1,MAX($U$2:$U155)+1,IF(AND($T156&lt;&gt;"",$T156=$T155),$U155,IF(B156="x",U155,"")))</f>
        <v/>
      </c>
      <c r="V156" t="str">
        <f>IF(C156=1,MAX($V$2:$V155)+1,IF(AND($T156&lt;&gt;"",$T156=$T155),$U155,IF(C156="x",V155,"")))</f>
        <v/>
      </c>
      <c r="W156" t="str" cm="1">
        <f t="array" ref="W156">IFERROR(_xlfn._xlws.FILTER(game_rosters!AB:AB,(game_rosters!J:J=events!X156)*(K156&lt;&gt;"")),"")</f>
        <v/>
      </c>
      <c r="X156" t="str" cm="1">
        <f t="array" ref="X156">IF(S156="","",IF($I156&lt;&gt;"",$I156,INDEX($I$2:$I155,ROW()-COUNTIFS($T$2:$T155,"="&amp;$T156,$S$2:$S155,"&lt;&gt;"&amp;$S156)-1)))</f>
        <v/>
      </c>
      <c r="Y156" t="b">
        <f>IF(X156&lt;&gt;"",VLOOKUP(X156,game_rosters!$C$43:$E$64,3,FALSE))</f>
        <v>0</v>
      </c>
      <c r="Z156" t="e" cm="1" vm="1">
        <f t="array" aca="1" ref="Z156" ca="1">IFERROR(IF(_xlfn._xlws.FILTER(game_rosters!$J:$J,(game_rosters!$G:$G=events!$AN156)*(game_rosters!$J:$J=events!$X156))&gt;0,1,""),"")</f>
        <v>#VALUE!</v>
      </c>
      <c r="AA156" t="e">
        <f t="shared" si="52"/>
        <v>#VALUE!</v>
      </c>
      <c r="AB156" t="str">
        <f t="shared" si="53"/>
        <v/>
      </c>
      <c r="AC156" t="e">
        <f t="shared" si="51"/>
        <v>#VALUE!</v>
      </c>
      <c r="AD156" s="6"/>
      <c r="BJ156" s="39"/>
      <c r="BM156" s="39"/>
      <c r="BO156" s="19"/>
      <c r="BQ156" s="17"/>
    </row>
    <row r="157" spans="1:69" x14ac:dyDescent="0.2">
      <c r="A157" t="str">
        <f t="shared" si="54"/>
        <v/>
      </c>
      <c r="E157" s="4"/>
      <c r="F157" s="44"/>
      <c r="G157" s="4"/>
      <c r="H157" s="47"/>
      <c r="J157" s="45" t="str">
        <f t="shared" si="55"/>
        <v/>
      </c>
      <c r="N157" t="str">
        <f t="shared" si="57"/>
        <v/>
      </c>
      <c r="Q157" t="str">
        <f t="shared" si="56"/>
        <v/>
      </c>
      <c r="S157" t="str">
        <f>IF(A157=1,MAX(S$2:S156)+1,IF(OR(I157&lt;&gt;"",A157="x"),S156,""))</f>
        <v/>
      </c>
      <c r="T157" t="str">
        <f>IF(D157=1,MAX($T$2:$T156)+1,IF(S157=$S156,$S156,IF($D157="x",T156,IF($D156="x","",""))))</f>
        <v/>
      </c>
      <c r="U157" t="str">
        <f>IF(B157=1,MAX($U$2:$U156)+1,IF(AND($T157&lt;&gt;"",$T157=$T156),$U156,IF(B157="x",U156,"")))</f>
        <v/>
      </c>
      <c r="V157" t="str">
        <f>IF(C157=1,MAX($V$2:$V156)+1,IF(AND($T157&lt;&gt;"",$T157=$T156),$U156,IF(C157="x",V156,"")))</f>
        <v/>
      </c>
      <c r="W157" t="str" cm="1">
        <f t="array" ref="W157">IFERROR(_xlfn._xlws.FILTER(game_rosters!AB:AB,(game_rosters!J:J=events!X157)*(K157&lt;&gt;"")),"")</f>
        <v/>
      </c>
      <c r="X157" t="str" cm="1">
        <f t="array" ref="X157">IF(S157="","",IF($I157&lt;&gt;"",$I157,INDEX($I$2:$I156,ROW()-COUNTIFS($T$2:$T156,"="&amp;$T157,$S$2:$S156,"&lt;&gt;"&amp;$S157)-1)))</f>
        <v/>
      </c>
      <c r="Y157" t="b">
        <f>IF(X157&lt;&gt;"",VLOOKUP(X157,game_rosters!$C$43:$E$64,3,FALSE))</f>
        <v>0</v>
      </c>
      <c r="Z157" t="e" cm="1" vm="1">
        <f t="array" aca="1" ref="Z157" ca="1">IFERROR(IF(_xlfn._xlws.FILTER(game_rosters!$J:$J,(game_rosters!$G:$G=events!$AN157)*(game_rosters!$J:$J=events!$X157))&gt;0,1,""),"")</f>
        <v>#VALUE!</v>
      </c>
      <c r="AA157" t="e">
        <f t="shared" si="52"/>
        <v>#VALUE!</v>
      </c>
      <c r="AB157" t="str">
        <f t="shared" si="53"/>
        <v/>
      </c>
      <c r="AC157" t="e">
        <f t="shared" si="51"/>
        <v>#VALUE!</v>
      </c>
      <c r="AD157" s="6"/>
      <c r="BJ157" s="39"/>
      <c r="BM157" s="39"/>
      <c r="BO157" s="19"/>
      <c r="BQ157" s="17"/>
    </row>
    <row r="158" spans="1:69" x14ac:dyDescent="0.2">
      <c r="A158" t="str">
        <f t="shared" si="54"/>
        <v/>
      </c>
      <c r="E158" s="4"/>
      <c r="F158" s="44"/>
      <c r="G158" s="4"/>
      <c r="H158" s="47"/>
      <c r="J158" s="45" t="str">
        <f t="shared" si="55"/>
        <v/>
      </c>
      <c r="N158" t="str">
        <f t="shared" si="57"/>
        <v/>
      </c>
      <c r="Q158" t="str">
        <f t="shared" si="56"/>
        <v/>
      </c>
      <c r="S158" t="str">
        <f>IF(A158=1,MAX(S$2:S157)+1,IF(OR(I158&lt;&gt;"",A158="x"),S157,""))</f>
        <v/>
      </c>
      <c r="T158" t="str">
        <f>IF(D158=1,MAX($T$2:$T157)+1,IF(S158=$S157,$S157,IF($D158="x",T157,IF($D157="x","",""))))</f>
        <v/>
      </c>
      <c r="U158" t="str">
        <f>IF(B158=1,MAX($U$2:$U157)+1,IF(AND($T158&lt;&gt;"",$T158=$T157),$U157,IF(B158="x",U157,"")))</f>
        <v/>
      </c>
      <c r="V158" t="str">
        <f>IF(C158=1,MAX($V$2:$V157)+1,IF(AND($T158&lt;&gt;"",$T158=$T157),$U157,IF(C158="x",V157,"")))</f>
        <v/>
      </c>
      <c r="W158" t="str" cm="1">
        <f t="array" ref="W158">IFERROR(_xlfn._xlws.FILTER(game_rosters!AB:AB,(game_rosters!J:J=events!X158)*(K158&lt;&gt;"")),"")</f>
        <v/>
      </c>
      <c r="X158" t="str" cm="1">
        <f t="array" ref="X158">IF(S158="","",IF($I158&lt;&gt;"",$I158,INDEX($I$2:$I157,ROW()-COUNTIFS($T$2:$T157,"="&amp;$T158,$S$2:$S157,"&lt;&gt;"&amp;$S158)-1)))</f>
        <v/>
      </c>
      <c r="Y158" t="b">
        <f>IF(X158&lt;&gt;"",VLOOKUP(X158,game_rosters!$C$43:$E$64,3,FALSE))</f>
        <v>0</v>
      </c>
      <c r="Z158" t="e" cm="1" vm="1">
        <f t="array" aca="1" ref="Z158" ca="1">IFERROR(IF(_xlfn._xlws.FILTER(game_rosters!$J:$J,(game_rosters!$G:$G=events!$AN158)*(game_rosters!$J:$J=events!$X158))&gt;0,1,""),"")</f>
        <v>#VALUE!</v>
      </c>
      <c r="AA158" t="e">
        <f t="shared" si="52"/>
        <v>#VALUE!</v>
      </c>
      <c r="AB158" t="str">
        <f t="shared" si="53"/>
        <v/>
      </c>
      <c r="AC158" t="e">
        <f t="shared" si="51"/>
        <v>#VALUE!</v>
      </c>
      <c r="AD158" s="6"/>
      <c r="BJ158" s="39"/>
      <c r="BM158" s="39"/>
      <c r="BO158" s="19"/>
      <c r="BQ158" s="17"/>
    </row>
    <row r="159" spans="1:69" x14ac:dyDescent="0.2">
      <c r="A159" t="str">
        <f t="shared" si="54"/>
        <v/>
      </c>
      <c r="E159" s="4"/>
      <c r="F159" s="44"/>
      <c r="G159" s="4"/>
      <c r="H159" s="47"/>
      <c r="J159" s="45" t="str">
        <f t="shared" si="55"/>
        <v/>
      </c>
      <c r="N159" t="str">
        <f t="shared" si="57"/>
        <v/>
      </c>
      <c r="Q159" t="str">
        <f t="shared" si="56"/>
        <v/>
      </c>
      <c r="S159" t="str">
        <f>IF(A159=1,MAX(S$2:S158)+1,IF(OR(I159&lt;&gt;"",A159="x"),S158,""))</f>
        <v/>
      </c>
      <c r="T159" t="str">
        <f>IF(D159=1,MAX($T$2:$T158)+1,IF(S159=$S158,$S158,IF($D159="x",T158,IF($D158="x","",""))))</f>
        <v/>
      </c>
      <c r="U159" t="str">
        <f>IF(B159=1,MAX($U$2:$U158)+1,IF(AND($T159&lt;&gt;"",$T159=$T158),$U158,IF(B159="x",U158,"")))</f>
        <v/>
      </c>
      <c r="V159" t="str">
        <f>IF(C159=1,MAX($V$2:$V158)+1,IF(AND($T159&lt;&gt;"",$T159=$T158),$U158,IF(C159="x",V158,"")))</f>
        <v/>
      </c>
      <c r="W159" t="str" cm="1">
        <f t="array" ref="W159">IFERROR(_xlfn._xlws.FILTER(game_rosters!AB:AB,(game_rosters!J:J=events!X159)*(K159&lt;&gt;"")),"")</f>
        <v/>
      </c>
      <c r="X159" t="str" cm="1">
        <f t="array" ref="X159">IF(S159="","",IF($I159&lt;&gt;"",$I159,INDEX($I$2:$I158,ROW()-COUNTIFS($T$2:$T158,"="&amp;$T159,$S$2:$S158,"&lt;&gt;"&amp;$S159)-1)))</f>
        <v/>
      </c>
      <c r="Y159" t="b">
        <f>IF(X159&lt;&gt;"",VLOOKUP(X159,game_rosters!$C$43:$E$64,3,FALSE))</f>
        <v>0</v>
      </c>
      <c r="Z159" t="e" cm="1" vm="1">
        <f t="array" aca="1" ref="Z159" ca="1">IFERROR(IF(_xlfn._xlws.FILTER(game_rosters!$J:$J,(game_rosters!$G:$G=events!$AN159)*(game_rosters!$J:$J=events!$X159))&gt;0,1,""),"")</f>
        <v>#VALUE!</v>
      </c>
      <c r="AA159" t="e">
        <f t="shared" si="52"/>
        <v>#VALUE!</v>
      </c>
      <c r="AB159" t="str">
        <f t="shared" si="53"/>
        <v/>
      </c>
      <c r="AC159" t="e">
        <f t="shared" si="51"/>
        <v>#VALUE!</v>
      </c>
      <c r="AD159" s="6"/>
      <c r="BJ159" s="39"/>
      <c r="BM159" s="39"/>
      <c r="BO159" s="19"/>
      <c r="BQ159" s="17"/>
    </row>
    <row r="160" spans="1:69" x14ac:dyDescent="0.2">
      <c r="A160" t="str">
        <f t="shared" si="54"/>
        <v/>
      </c>
      <c r="E160" s="4"/>
      <c r="F160" s="44"/>
      <c r="G160" s="4"/>
      <c r="H160" s="47"/>
      <c r="J160" s="45" t="str">
        <f t="shared" si="55"/>
        <v/>
      </c>
      <c r="N160" t="str">
        <f t="shared" si="57"/>
        <v/>
      </c>
      <c r="Q160" t="str">
        <f t="shared" si="56"/>
        <v/>
      </c>
      <c r="S160" t="str">
        <f>IF(A160=1,MAX(S$2:S159)+1,IF(OR(I160&lt;&gt;"",A160="x"),S159,""))</f>
        <v/>
      </c>
      <c r="T160" t="str">
        <f>IF(D160=1,MAX($T$2:$T159)+1,IF(S160=$S159,$S159,IF($D160="x",T159,IF($D159="x","",""))))</f>
        <v/>
      </c>
      <c r="U160" t="str">
        <f>IF(B160=1,MAX($U$2:$U159)+1,IF(AND($T160&lt;&gt;"",$T160=$T159),$U159,IF(B160="x",U159,"")))</f>
        <v/>
      </c>
      <c r="V160" t="str">
        <f>IF(C160=1,MAX($V$2:$V159)+1,IF(AND($T160&lt;&gt;"",$T160=$T159),$U159,IF(C160="x",V159,"")))</f>
        <v/>
      </c>
      <c r="W160" t="str" cm="1">
        <f t="array" ref="W160">IFERROR(_xlfn._xlws.FILTER(game_rosters!AB:AB,(game_rosters!J:J=events!X160)*(K160&lt;&gt;"")),"")</f>
        <v/>
      </c>
      <c r="X160" t="str" cm="1">
        <f t="array" ref="X160">IF(S160="","",IF($I160&lt;&gt;"",$I160,INDEX($I$2:$I159,ROW()-COUNTIFS($T$2:$T159,"="&amp;$T160,$S$2:$S159,"&lt;&gt;"&amp;$S160)-1)))</f>
        <v/>
      </c>
      <c r="Y160" t="b">
        <f>IF(X160&lt;&gt;"",VLOOKUP(X160,game_rosters!$C$43:$E$64,3,FALSE))</f>
        <v>0</v>
      </c>
      <c r="Z160" t="e" cm="1" vm="1">
        <f t="array" aca="1" ref="Z160" ca="1">IFERROR(IF(_xlfn._xlws.FILTER(game_rosters!$J:$J,(game_rosters!$G:$G=events!$AN160)*(game_rosters!$J:$J=events!$X160))&gt;0,1,""),"")</f>
        <v>#VALUE!</v>
      </c>
      <c r="AA160" t="e">
        <f t="shared" si="52"/>
        <v>#VALUE!</v>
      </c>
      <c r="AB160" t="str">
        <f t="shared" si="53"/>
        <v/>
      </c>
      <c r="AC160" t="e">
        <f t="shared" si="51"/>
        <v>#VALUE!</v>
      </c>
      <c r="AD160" s="6"/>
      <c r="BJ160" s="39"/>
      <c r="BM160" s="39"/>
      <c r="BO160" s="19"/>
      <c r="BQ160" s="17"/>
    </row>
    <row r="161" spans="1:69" x14ac:dyDescent="0.2">
      <c r="A161" t="str">
        <f t="shared" si="54"/>
        <v/>
      </c>
      <c r="E161" s="4"/>
      <c r="F161" s="44"/>
      <c r="G161" s="4"/>
      <c r="H161" s="47"/>
      <c r="J161" s="45" t="str">
        <f t="shared" si="55"/>
        <v/>
      </c>
      <c r="N161" t="str">
        <f t="shared" si="57"/>
        <v/>
      </c>
      <c r="Q161" t="str">
        <f t="shared" si="56"/>
        <v/>
      </c>
      <c r="S161" t="str">
        <f>IF(A161=1,MAX(S$2:S160)+1,IF(OR(I161&lt;&gt;"",A161="x"),S160,""))</f>
        <v/>
      </c>
      <c r="T161" t="str">
        <f>IF(D161=1,MAX($T$2:$T160)+1,IF(S161=$S160,$S160,IF($D161="x",T160,IF($D160="x","",""))))</f>
        <v/>
      </c>
      <c r="U161" t="str">
        <f>IF(B161=1,MAX($U$2:$U160)+1,IF(AND($T161&lt;&gt;"",$T161=$T160),$U160,IF(B161="x",U160,"")))</f>
        <v/>
      </c>
      <c r="V161" t="str">
        <f>IF(C161=1,MAX($V$2:$V160)+1,IF(AND($T161&lt;&gt;"",$T161=$T160),$U160,IF(C161="x",V160,"")))</f>
        <v/>
      </c>
      <c r="W161" t="str" cm="1">
        <f t="array" ref="W161">IFERROR(_xlfn._xlws.FILTER(game_rosters!AB:AB,(game_rosters!J:J=events!X161)*(K161&lt;&gt;"")),"")</f>
        <v/>
      </c>
      <c r="X161" t="str" cm="1">
        <f t="array" ref="X161">IF(S161="","",IF($I161&lt;&gt;"",$I161,INDEX($I$2:$I160,ROW()-COUNTIFS($T$2:$T160,"="&amp;$T161,$S$2:$S160,"&lt;&gt;"&amp;$S161)-1)))</f>
        <v/>
      </c>
      <c r="Y161" t="b">
        <f>IF(X161&lt;&gt;"",VLOOKUP(X161,game_rosters!$C$43:$E$64,3,FALSE))</f>
        <v>0</v>
      </c>
      <c r="Z161" t="e" cm="1" vm="1">
        <f t="array" aca="1" ref="Z161" ca="1">IFERROR(IF(_xlfn._xlws.FILTER(game_rosters!$J:$J,(game_rosters!$G:$G=events!$AN161)*(game_rosters!$J:$J=events!$X161))&gt;0,1,""),"")</f>
        <v>#VALUE!</v>
      </c>
      <c r="AA161" t="e">
        <f t="shared" si="52"/>
        <v>#VALUE!</v>
      </c>
      <c r="AB161" t="str">
        <f t="shared" si="53"/>
        <v/>
      </c>
      <c r="AC161" t="e">
        <f t="shared" si="51"/>
        <v>#VALUE!</v>
      </c>
      <c r="AD161" s="6"/>
      <c r="BJ161" s="39"/>
      <c r="BM161" s="39"/>
      <c r="BO161" s="19"/>
      <c r="BQ161" s="17"/>
    </row>
    <row r="162" spans="1:69" x14ac:dyDescent="0.2">
      <c r="A162" t="str">
        <f t="shared" si="54"/>
        <v/>
      </c>
      <c r="E162" s="4"/>
      <c r="F162" s="44"/>
      <c r="G162" s="4"/>
      <c r="H162" s="47"/>
      <c r="J162" s="45" t="str">
        <f t="shared" si="55"/>
        <v/>
      </c>
      <c r="N162" t="str">
        <f t="shared" si="57"/>
        <v/>
      </c>
      <c r="Q162" t="str">
        <f t="shared" si="56"/>
        <v/>
      </c>
      <c r="S162" t="str">
        <f>IF(A162=1,MAX(S$2:S161)+1,IF(OR(I162&lt;&gt;"",A162="x"),S161,""))</f>
        <v/>
      </c>
      <c r="T162" t="str">
        <f>IF(D162=1,MAX($T$2:$T161)+1,IF(S162=$S161,$S161,IF($D162="x",T161,IF($D161="x","",""))))</f>
        <v/>
      </c>
      <c r="U162" t="str">
        <f>IF(B162=1,MAX($U$2:$U161)+1,IF(AND($T162&lt;&gt;"",$T162=$T161),$U161,IF(B162="x",U161,"")))</f>
        <v/>
      </c>
      <c r="V162" t="str">
        <f>IF(C162=1,MAX($V$2:$V161)+1,IF(AND($T162&lt;&gt;"",$T162=$T161),$U161,IF(C162="x",V161,"")))</f>
        <v/>
      </c>
      <c r="W162" t="str" cm="1">
        <f t="array" ref="W162">IFERROR(_xlfn._xlws.FILTER(game_rosters!AB:AB,(game_rosters!J:J=events!X162)*(K162&lt;&gt;"")),"")</f>
        <v/>
      </c>
      <c r="X162" t="str" cm="1">
        <f t="array" ref="X162">IF(S162="","",IF($I162&lt;&gt;"",$I162,INDEX($I$2:$I161,ROW()-COUNTIFS($T$2:$T161,"="&amp;$T162,$S$2:$S161,"&lt;&gt;"&amp;$S162)-1)))</f>
        <v/>
      </c>
      <c r="Y162" t="b">
        <f>IF(X162&lt;&gt;"",VLOOKUP(X162,game_rosters!$C$43:$E$64,3,FALSE))</f>
        <v>0</v>
      </c>
      <c r="Z162" t="e" cm="1" vm="1">
        <f t="array" aca="1" ref="Z162" ca="1">IFERROR(IF(_xlfn._xlws.FILTER(game_rosters!$J:$J,(game_rosters!$G:$G=events!$AN162)*(game_rosters!$J:$J=events!$X162))&gt;0,1,""),"")</f>
        <v>#VALUE!</v>
      </c>
      <c r="AA162" t="e">
        <f t="shared" si="52"/>
        <v>#VALUE!</v>
      </c>
      <c r="AB162" t="str">
        <f t="shared" si="53"/>
        <v/>
      </c>
      <c r="AC162" t="e">
        <f t="shared" si="51"/>
        <v>#VALUE!</v>
      </c>
      <c r="AD162" s="6"/>
      <c r="BJ162" s="39"/>
      <c r="BM162" s="39"/>
      <c r="BO162" s="19"/>
      <c r="BQ162" s="17"/>
    </row>
    <row r="163" spans="1:69" x14ac:dyDescent="0.2">
      <c r="A163" t="str">
        <f t="shared" si="54"/>
        <v/>
      </c>
      <c r="E163" s="4"/>
      <c r="F163" s="44"/>
      <c r="G163" s="4"/>
      <c r="H163" s="47"/>
      <c r="J163" s="45" t="str">
        <f t="shared" si="55"/>
        <v/>
      </c>
      <c r="N163" t="str">
        <f t="shared" si="57"/>
        <v/>
      </c>
      <c r="Q163" t="str">
        <f t="shared" si="56"/>
        <v/>
      </c>
      <c r="S163" t="str">
        <f>IF(A163=1,MAX(S$2:S162)+1,IF(OR(I163&lt;&gt;"",A163="x"),S162,""))</f>
        <v/>
      </c>
      <c r="T163" t="str">
        <f>IF(D163=1,MAX($T$2:$T162)+1,IF(S163=$S162,$S162,IF($D163="x",T162,IF($D162="x","",""))))</f>
        <v/>
      </c>
      <c r="U163" t="str">
        <f>IF(B163=1,MAX($U$2:$U162)+1,IF(AND($T163&lt;&gt;"",$T163=$T162),$U162,IF(B163="x",U162,"")))</f>
        <v/>
      </c>
      <c r="V163" t="str">
        <f>IF(C163=1,MAX($V$2:$V162)+1,IF(AND($T163&lt;&gt;"",$T163=$T162),$U162,IF(C163="x",V162,"")))</f>
        <v/>
      </c>
      <c r="W163" t="str" cm="1">
        <f t="array" ref="W163">IFERROR(_xlfn._xlws.FILTER(game_rosters!AB:AB,(game_rosters!J:J=events!X163)*(K163&lt;&gt;"")),"")</f>
        <v/>
      </c>
      <c r="X163" t="str" cm="1">
        <f t="array" ref="X163">IF(S163="","",IF($I163&lt;&gt;"",$I163,INDEX($I$2:$I162,ROW()-COUNTIFS($T$2:$T162,"="&amp;$T163,$S$2:$S162,"&lt;&gt;"&amp;$S163)-1)))</f>
        <v/>
      </c>
      <c r="Y163" t="b">
        <f>IF(X163&lt;&gt;"",VLOOKUP(X163,game_rosters!$C$43:$E$64,3,FALSE))</f>
        <v>0</v>
      </c>
      <c r="Z163" t="e" cm="1" vm="1">
        <f t="array" aca="1" ref="Z163" ca="1">IFERROR(IF(_xlfn._xlws.FILTER(game_rosters!$J:$J,(game_rosters!$G:$G=events!$AN163)*(game_rosters!$J:$J=events!$X163))&gt;0,1,""),"")</f>
        <v>#VALUE!</v>
      </c>
      <c r="AA163" t="e">
        <f t="shared" si="52"/>
        <v>#VALUE!</v>
      </c>
      <c r="AB163" t="str">
        <f t="shared" si="53"/>
        <v/>
      </c>
      <c r="AC163" t="e">
        <f t="shared" si="51"/>
        <v>#VALUE!</v>
      </c>
      <c r="AD163" s="6"/>
      <c r="BJ163" s="39"/>
      <c r="BM163" s="39"/>
      <c r="BO163" s="19"/>
      <c r="BQ163" s="17"/>
    </row>
    <row r="164" spans="1:69" x14ac:dyDescent="0.2">
      <c r="A164" t="str">
        <f t="shared" si="54"/>
        <v/>
      </c>
      <c r="E164" s="4"/>
      <c r="F164" s="44"/>
      <c r="G164" s="4"/>
      <c r="H164" s="47"/>
      <c r="J164" s="45" t="str">
        <f t="shared" si="55"/>
        <v/>
      </c>
      <c r="N164" t="str">
        <f t="shared" si="57"/>
        <v/>
      </c>
      <c r="Q164" t="str">
        <f t="shared" si="56"/>
        <v/>
      </c>
      <c r="S164" t="str">
        <f>IF(A164=1,MAX(S$2:S163)+1,IF(OR(I164&lt;&gt;"",A164="x"),S163,""))</f>
        <v/>
      </c>
      <c r="T164" t="str">
        <f>IF(D164=1,MAX($T$2:$T163)+1,IF(S164=$S163,$S163,IF($D164="x",T163,IF($D163="x","",""))))</f>
        <v/>
      </c>
      <c r="U164" t="str">
        <f>IF(B164=1,MAX($U$2:$U163)+1,IF(AND($T164&lt;&gt;"",$T164=$T163),$U163,IF(B164="x",U163,"")))</f>
        <v/>
      </c>
      <c r="V164" t="str">
        <f>IF(C164=1,MAX($V$2:$V163)+1,IF(AND($T164&lt;&gt;"",$T164=$T163),$U163,IF(C164="x",V163,"")))</f>
        <v/>
      </c>
      <c r="W164" t="str" cm="1">
        <f t="array" ref="W164">IFERROR(_xlfn._xlws.FILTER(game_rosters!AB:AB,(game_rosters!J:J=events!X164)*(K164&lt;&gt;"")),"")</f>
        <v/>
      </c>
      <c r="X164" t="str" cm="1">
        <f t="array" ref="X164">IF(S164="","",IF($I164&lt;&gt;"",$I164,INDEX($I$2:$I163,ROW()-COUNTIFS($T$2:$T163,"="&amp;$T164,$S$2:$S163,"&lt;&gt;"&amp;$S164)-1)))</f>
        <v/>
      </c>
      <c r="Y164" t="b">
        <f>IF(X164&lt;&gt;"",VLOOKUP(X164,game_rosters!$C$43:$E$64,3,FALSE))</f>
        <v>0</v>
      </c>
      <c r="Z164" t="e" cm="1" vm="1">
        <f t="array" aca="1" ref="Z164" ca="1">IFERROR(IF(_xlfn._xlws.FILTER(game_rosters!$J:$J,(game_rosters!$G:$G=events!$AN164)*(game_rosters!$J:$J=events!$X164))&gt;0,1,""),"")</f>
        <v>#VALUE!</v>
      </c>
      <c r="AA164" t="e">
        <f t="shared" si="52"/>
        <v>#VALUE!</v>
      </c>
      <c r="AB164" t="str">
        <f t="shared" si="53"/>
        <v/>
      </c>
      <c r="AC164" t="e">
        <f t="shared" si="51"/>
        <v>#VALUE!</v>
      </c>
      <c r="AD164" s="6"/>
      <c r="BJ164" s="39"/>
      <c r="BM164" s="39"/>
      <c r="BO164" s="19"/>
      <c r="BQ164" s="17"/>
    </row>
    <row r="165" spans="1:69" x14ac:dyDescent="0.2">
      <c r="A165" t="str">
        <f t="shared" si="54"/>
        <v/>
      </c>
      <c r="E165" s="4"/>
      <c r="F165" s="44"/>
      <c r="G165" s="4"/>
      <c r="H165" s="47"/>
      <c r="J165" s="45" t="str">
        <f t="shared" si="55"/>
        <v/>
      </c>
      <c r="N165" t="str">
        <f t="shared" si="57"/>
        <v/>
      </c>
      <c r="Q165" t="str">
        <f t="shared" si="56"/>
        <v/>
      </c>
      <c r="S165" t="str">
        <f>IF(A165=1,MAX(S$2:S164)+1,IF(OR(I165&lt;&gt;"",A165="x"),S164,""))</f>
        <v/>
      </c>
      <c r="T165" t="str">
        <f>IF(D165=1,MAX($T$2:$T164)+1,IF(S165=$S164,$S164,IF($D165="x",T164,IF($D164="x","",""))))</f>
        <v/>
      </c>
      <c r="U165" t="str">
        <f>IF(B165=1,MAX($U$2:$U164)+1,IF(AND($T165&lt;&gt;"",$T165=$T164),$U164,IF(B165="x",U164,"")))</f>
        <v/>
      </c>
      <c r="V165" t="str">
        <f>IF(C165=1,MAX($V$2:$V164)+1,IF(AND($T165&lt;&gt;"",$T165=$T164),$U164,IF(C165="x",V164,"")))</f>
        <v/>
      </c>
      <c r="W165" t="str" cm="1">
        <f t="array" ref="W165">IFERROR(_xlfn._xlws.FILTER(game_rosters!AB:AB,(game_rosters!J:J=events!X165)*(K165&lt;&gt;"")),"")</f>
        <v/>
      </c>
      <c r="X165" t="str" cm="1">
        <f t="array" ref="X165">IF(S165="","",IF($I165&lt;&gt;"",$I165,INDEX($I$2:$I164,ROW()-COUNTIFS($T$2:$T164,"="&amp;$T165,$S$2:$S164,"&lt;&gt;"&amp;$S165)-1)))</f>
        <v/>
      </c>
      <c r="Y165" t="b">
        <f>IF(X165&lt;&gt;"",VLOOKUP(X165,game_rosters!$C$43:$E$64,3,FALSE))</f>
        <v>0</v>
      </c>
      <c r="Z165" t="e" cm="1" vm="1">
        <f t="array" aca="1" ref="Z165" ca="1">IFERROR(IF(_xlfn._xlws.FILTER(game_rosters!$J:$J,(game_rosters!$G:$G=events!$AN165)*(game_rosters!$J:$J=events!$X165))&gt;0,1,""),"")</f>
        <v>#VALUE!</v>
      </c>
      <c r="AA165" t="e">
        <f t="shared" si="52"/>
        <v>#VALUE!</v>
      </c>
      <c r="AB165" t="str">
        <f t="shared" si="53"/>
        <v/>
      </c>
      <c r="AC165" t="e">
        <f t="shared" si="51"/>
        <v>#VALUE!</v>
      </c>
      <c r="AD165" s="6"/>
      <c r="BJ165" s="39"/>
      <c r="BM165" s="39"/>
      <c r="BO165" s="19"/>
      <c r="BQ165" s="17"/>
    </row>
    <row r="166" spans="1:69" x14ac:dyDescent="0.2">
      <c r="A166" t="str">
        <f t="shared" si="54"/>
        <v/>
      </c>
      <c r="E166" s="4"/>
      <c r="F166" s="44"/>
      <c r="G166" s="4"/>
      <c r="H166" s="47"/>
      <c r="J166" s="45" t="str">
        <f t="shared" si="55"/>
        <v/>
      </c>
      <c r="N166" t="str">
        <f t="shared" si="57"/>
        <v/>
      </c>
      <c r="Q166" t="str">
        <f t="shared" si="56"/>
        <v/>
      </c>
      <c r="S166" t="str">
        <f>IF(A166=1,MAX(S$2:S165)+1,IF(OR(I166&lt;&gt;"",A166="x"),S165,""))</f>
        <v/>
      </c>
      <c r="T166" t="str">
        <f>IF(D166=1,MAX($T$2:$T165)+1,IF(S166=$S165,$S165,IF($D166="x",T165,IF($D165="x","",""))))</f>
        <v/>
      </c>
      <c r="U166" t="str">
        <f>IF(B166=1,MAX($U$2:$U165)+1,IF(AND($T166&lt;&gt;"",$T166=$T165),$U165,IF(B166="x",U165,"")))</f>
        <v/>
      </c>
      <c r="V166" t="str">
        <f>IF(C166=1,MAX($V$2:$V165)+1,IF(AND($T166&lt;&gt;"",$T166=$T165),$U165,IF(C166="x",V165,"")))</f>
        <v/>
      </c>
      <c r="W166" t="str" cm="1">
        <f t="array" ref="W166">IFERROR(_xlfn._xlws.FILTER(game_rosters!AB:AB,(game_rosters!J:J=events!X166)*(K166&lt;&gt;"")),"")</f>
        <v/>
      </c>
      <c r="X166" t="str" cm="1">
        <f t="array" ref="X166">IF(S166="","",IF($I166&lt;&gt;"",$I166,INDEX($I$2:$I165,ROW()-COUNTIFS($T$2:$T165,"="&amp;$T166,$S$2:$S165,"&lt;&gt;"&amp;$S166)-1)))</f>
        <v/>
      </c>
      <c r="Y166" t="b">
        <f>IF(X166&lt;&gt;"",VLOOKUP(X166,game_rosters!$C$43:$E$64,3,FALSE))</f>
        <v>0</v>
      </c>
      <c r="Z166" t="e" cm="1" vm="1">
        <f t="array" aca="1" ref="Z166" ca="1">IFERROR(IF(_xlfn._xlws.FILTER(game_rosters!$J:$J,(game_rosters!$G:$G=events!$AN166)*(game_rosters!$J:$J=events!$X166))&gt;0,1,""),"")</f>
        <v>#VALUE!</v>
      </c>
      <c r="AA166" t="e">
        <f t="shared" si="52"/>
        <v>#VALUE!</v>
      </c>
      <c r="AB166" t="str">
        <f t="shared" si="53"/>
        <v/>
      </c>
      <c r="AC166" t="e">
        <f t="shared" si="51"/>
        <v>#VALUE!</v>
      </c>
      <c r="AD166" s="6"/>
      <c r="BJ166" s="39"/>
      <c r="BM166" s="39"/>
      <c r="BO166" s="19"/>
      <c r="BQ166" s="17"/>
    </row>
    <row r="167" spans="1:69" x14ac:dyDescent="0.2">
      <c r="A167" t="str">
        <f t="shared" si="54"/>
        <v/>
      </c>
      <c r="E167" s="4"/>
      <c r="F167" s="44"/>
      <c r="G167" s="4"/>
      <c r="H167" s="47"/>
      <c r="J167" s="45" t="str">
        <f t="shared" si="55"/>
        <v/>
      </c>
      <c r="N167" t="str">
        <f t="shared" si="57"/>
        <v/>
      </c>
      <c r="Q167" t="str">
        <f t="shared" si="56"/>
        <v/>
      </c>
      <c r="S167" t="str">
        <f>IF(A167=1,MAX(S$2:S166)+1,IF(OR(I167&lt;&gt;"",A167="x"),S166,""))</f>
        <v/>
      </c>
      <c r="T167" t="str">
        <f>IF(D167=1,MAX($T$2:$T166)+1,IF(S167=$S166,$S166,IF($D167="x",T166,IF($D166="x","",""))))</f>
        <v/>
      </c>
      <c r="U167" t="str">
        <f>IF(B167=1,MAX($U$2:$U166)+1,IF(AND($T167&lt;&gt;"",$T167=$T166),$U166,IF(B167="x",U166,"")))</f>
        <v/>
      </c>
      <c r="V167" t="str">
        <f>IF(C167=1,MAX($V$2:$V166)+1,IF(AND($T167&lt;&gt;"",$T167=$T166),$U166,IF(C167="x",V166,"")))</f>
        <v/>
      </c>
      <c r="W167" t="str" cm="1">
        <f t="array" ref="W167">IFERROR(_xlfn._xlws.FILTER(game_rosters!AB:AB,(game_rosters!J:J=events!X167)*(K167&lt;&gt;"")),"")</f>
        <v/>
      </c>
      <c r="X167" t="str" cm="1">
        <f t="array" ref="X167">IF(S167="","",IF($I167&lt;&gt;"",$I167,INDEX($I$2:$I166,ROW()-COUNTIFS($T$2:$T166,"="&amp;$T167,$S$2:$S166,"&lt;&gt;"&amp;$S167)-1)))</f>
        <v/>
      </c>
      <c r="Y167" t="b">
        <f>IF(X167&lt;&gt;"",VLOOKUP(X167,game_rosters!$C$43:$E$64,3,FALSE))</f>
        <v>0</v>
      </c>
      <c r="Z167" t="e" cm="1" vm="1">
        <f t="array" aca="1" ref="Z167" ca="1">IFERROR(IF(_xlfn._xlws.FILTER(game_rosters!$J:$J,(game_rosters!$G:$G=events!$AN167)*(game_rosters!$J:$J=events!$X167))&gt;0,1,""),"")</f>
        <v>#VALUE!</v>
      </c>
      <c r="AA167" t="e">
        <f t="shared" si="52"/>
        <v>#VALUE!</v>
      </c>
      <c r="AB167" t="str">
        <f t="shared" si="53"/>
        <v/>
      </c>
      <c r="AC167" t="e">
        <f t="shared" si="51"/>
        <v>#VALUE!</v>
      </c>
      <c r="AD167" s="6"/>
      <c r="BJ167" s="39"/>
      <c r="BM167" s="39"/>
      <c r="BO167" s="19"/>
      <c r="BQ167" s="17"/>
    </row>
    <row r="168" spans="1:69" x14ac:dyDescent="0.2">
      <c r="A168" t="str">
        <f t="shared" si="54"/>
        <v/>
      </c>
      <c r="E168" s="4"/>
      <c r="F168" s="44"/>
      <c r="G168" s="4"/>
      <c r="H168" s="47"/>
      <c r="J168" s="45" t="str">
        <f t="shared" si="55"/>
        <v/>
      </c>
      <c r="N168" t="str">
        <f t="shared" si="57"/>
        <v/>
      </c>
      <c r="Q168" t="str">
        <f t="shared" si="56"/>
        <v/>
      </c>
      <c r="S168" t="str">
        <f>IF(A168=1,MAX(S$2:S167)+1,IF(OR(I168&lt;&gt;"",A168="x"),S167,""))</f>
        <v/>
      </c>
      <c r="T168" t="str">
        <f>IF(D168=1,MAX($T$2:$T167)+1,IF(S168=$S167,$S167,IF($D168="x",T167,IF($D167="x","",""))))</f>
        <v/>
      </c>
      <c r="U168" t="str">
        <f>IF(B168=1,MAX($U$2:$U167)+1,IF(AND($T168&lt;&gt;"",$T168=$T167),$U167,IF(B168="x",U167,"")))</f>
        <v/>
      </c>
      <c r="V168" t="str">
        <f>IF(C168=1,MAX($V$2:$V167)+1,IF(AND($T168&lt;&gt;"",$T168=$T167),$U167,IF(C168="x",V167,"")))</f>
        <v/>
      </c>
      <c r="W168" t="str" cm="1">
        <f t="array" ref="W168">IFERROR(_xlfn._xlws.FILTER(game_rosters!AB:AB,(game_rosters!J:J=events!X168)*(K168&lt;&gt;"")),"")</f>
        <v/>
      </c>
      <c r="X168" t="str" cm="1">
        <f t="array" ref="X168">IF(S168="","",IF($I168&lt;&gt;"",$I168,INDEX($I$2:$I167,ROW()-COUNTIFS($T$2:$T167,"="&amp;$T168,$S$2:$S167,"&lt;&gt;"&amp;$S168)-1)))</f>
        <v/>
      </c>
      <c r="Y168" t="b">
        <f>IF(X168&lt;&gt;"",VLOOKUP(X168,game_rosters!$C$43:$E$64,3,FALSE))</f>
        <v>0</v>
      </c>
      <c r="Z168" t="e" cm="1" vm="1">
        <f t="array" aca="1" ref="Z168" ca="1">IFERROR(IF(_xlfn._xlws.FILTER(game_rosters!$J:$J,(game_rosters!$G:$G=events!$AN168)*(game_rosters!$J:$J=events!$X168))&gt;0,1,""),"")</f>
        <v>#VALUE!</v>
      </c>
      <c r="AA168" t="e">
        <f t="shared" si="52"/>
        <v>#VALUE!</v>
      </c>
      <c r="AB168" t="str">
        <f t="shared" si="53"/>
        <v/>
      </c>
      <c r="AC168" t="e">
        <f t="shared" si="51"/>
        <v>#VALUE!</v>
      </c>
      <c r="AD168" s="6"/>
      <c r="BJ168" s="39"/>
      <c r="BM168" s="39"/>
      <c r="BO168" s="19"/>
      <c r="BQ168" s="17"/>
    </row>
    <row r="169" spans="1:69" x14ac:dyDescent="0.2">
      <c r="A169" t="str">
        <f t="shared" si="54"/>
        <v/>
      </c>
      <c r="E169" s="4"/>
      <c r="F169" s="44"/>
      <c r="G169" s="4"/>
      <c r="H169" s="47"/>
      <c r="J169" s="45" t="str">
        <f t="shared" si="55"/>
        <v/>
      </c>
      <c r="N169" t="str">
        <f t="shared" si="57"/>
        <v/>
      </c>
      <c r="Q169" t="str">
        <f t="shared" si="56"/>
        <v/>
      </c>
      <c r="S169" t="str">
        <f>IF(A169=1,MAX(S$2:S168)+1,IF(OR(I169&lt;&gt;"",A169="x"),S168,""))</f>
        <v/>
      </c>
      <c r="T169" t="str">
        <f>IF(D169=1,MAX($T$2:$T168)+1,IF(S169=$S168,$S168,IF($D169="x",T168,IF($D168="x","",""))))</f>
        <v/>
      </c>
      <c r="U169" t="str">
        <f>IF(B169=1,MAX($U$2:$U168)+1,IF(AND($T169&lt;&gt;"",$T169=$T168),$U168,IF(B169="x",U168,"")))</f>
        <v/>
      </c>
      <c r="V169" t="str">
        <f>IF(C169=1,MAX($V$2:$V168)+1,IF(AND($T169&lt;&gt;"",$T169=$T168),$U168,IF(C169="x",V168,"")))</f>
        <v/>
      </c>
      <c r="W169" t="str" cm="1">
        <f t="array" ref="W169">IFERROR(_xlfn._xlws.FILTER(game_rosters!AB:AB,(game_rosters!J:J=events!X169)*(K169&lt;&gt;"")),"")</f>
        <v/>
      </c>
      <c r="X169" t="str" cm="1">
        <f t="array" ref="X169">IF(S169="","",IF($I169&lt;&gt;"",$I169,INDEX($I$2:$I168,ROW()-COUNTIFS($T$2:$T168,"="&amp;$T169,$S$2:$S168,"&lt;&gt;"&amp;$S169)-1)))</f>
        <v/>
      </c>
      <c r="Y169" t="b">
        <f>IF(X169&lt;&gt;"",VLOOKUP(X169,game_rosters!$C$43:$E$64,3,FALSE))</f>
        <v>0</v>
      </c>
      <c r="Z169" t="e" cm="1" vm="1">
        <f t="array" aca="1" ref="Z169" ca="1">IFERROR(IF(_xlfn._xlws.FILTER(game_rosters!$J:$J,(game_rosters!$G:$G=events!$AN169)*(game_rosters!$J:$J=events!$X169))&gt;0,1,""),"")</f>
        <v>#VALUE!</v>
      </c>
      <c r="AA169" t="e">
        <f t="shared" si="52"/>
        <v>#VALUE!</v>
      </c>
      <c r="AB169" t="str">
        <f t="shared" si="53"/>
        <v/>
      </c>
      <c r="AC169" t="e">
        <f t="shared" si="51"/>
        <v>#VALUE!</v>
      </c>
      <c r="AD169" s="6"/>
      <c r="BJ169" s="39"/>
      <c r="BM169" s="39"/>
      <c r="BO169" s="19"/>
      <c r="BQ169" s="17"/>
    </row>
    <row r="170" spans="1:69" x14ac:dyDescent="0.2">
      <c r="A170" t="str">
        <f t="shared" si="54"/>
        <v/>
      </c>
      <c r="E170" s="4"/>
      <c r="F170" s="44"/>
      <c r="G170" s="4"/>
      <c r="H170" s="47"/>
      <c r="J170" s="45" t="str">
        <f t="shared" si="55"/>
        <v/>
      </c>
      <c r="N170" t="str">
        <f t="shared" si="57"/>
        <v/>
      </c>
      <c r="Q170" t="str">
        <f t="shared" si="56"/>
        <v/>
      </c>
      <c r="S170" t="str">
        <f>IF(A170=1,MAX(S$2:S169)+1,IF(OR(I170&lt;&gt;"",A170="x"),S169,""))</f>
        <v/>
      </c>
      <c r="T170" t="str">
        <f>IF(D170=1,MAX($T$2:$T169)+1,IF(S170=$S169,$S169,IF($D170="x",T169,IF($D169="x","",""))))</f>
        <v/>
      </c>
      <c r="U170" t="str">
        <f>IF(B170=1,MAX($U$2:$U169)+1,IF(AND($T170&lt;&gt;"",$T170=$T169),$U169,IF(B170="x",U169,"")))</f>
        <v/>
      </c>
      <c r="V170" t="str">
        <f>IF(C170=1,MAX($V$2:$V169)+1,IF(AND($T170&lt;&gt;"",$T170=$T169),$U169,IF(C170="x",V169,"")))</f>
        <v/>
      </c>
      <c r="W170" t="str" cm="1">
        <f t="array" ref="W170">IFERROR(_xlfn._xlws.FILTER(game_rosters!AB:AB,(game_rosters!J:J=events!X170)*(K170&lt;&gt;"")),"")</f>
        <v/>
      </c>
      <c r="X170" t="str" cm="1">
        <f t="array" ref="X170">IF(S170="","",IF($I170&lt;&gt;"",$I170,INDEX($I$2:$I169,ROW()-COUNTIFS($T$2:$T169,"="&amp;$T170,$S$2:$S169,"&lt;&gt;"&amp;$S170)-1)))</f>
        <v/>
      </c>
      <c r="Y170" t="b">
        <f>IF(X170&lt;&gt;"",VLOOKUP(X170,game_rosters!$C$43:$E$64,3,FALSE))</f>
        <v>0</v>
      </c>
      <c r="Z170" t="e" cm="1" vm="1">
        <f t="array" aca="1" ref="Z170" ca="1">IFERROR(IF(_xlfn._xlws.FILTER(game_rosters!$J:$J,(game_rosters!$G:$G=events!$AN170)*(game_rosters!$J:$J=events!$X170))&gt;0,1,""),"")</f>
        <v>#VALUE!</v>
      </c>
      <c r="AA170" t="e">
        <f t="shared" si="52"/>
        <v>#VALUE!</v>
      </c>
      <c r="AB170" t="str">
        <f t="shared" si="53"/>
        <v/>
      </c>
      <c r="AC170" t="e">
        <f t="shared" si="51"/>
        <v>#VALUE!</v>
      </c>
      <c r="AD170" s="6"/>
      <c r="BJ170" s="39"/>
      <c r="BM170" s="39"/>
      <c r="BO170" s="19"/>
      <c r="BQ170" s="17"/>
    </row>
    <row r="171" spans="1:69" x14ac:dyDescent="0.2">
      <c r="A171" t="str">
        <f t="shared" si="54"/>
        <v/>
      </c>
      <c r="E171" s="4"/>
      <c r="F171" s="44"/>
      <c r="G171" s="4"/>
      <c r="H171" s="47"/>
      <c r="J171" s="45" t="str">
        <f t="shared" si="55"/>
        <v/>
      </c>
      <c r="N171" t="str">
        <f t="shared" si="57"/>
        <v/>
      </c>
      <c r="Q171" t="str">
        <f t="shared" si="56"/>
        <v/>
      </c>
      <c r="S171" t="str">
        <f>IF(A171=1,MAX(S$2:S170)+1,IF(OR(I171&lt;&gt;"",A171="x"),S170,""))</f>
        <v/>
      </c>
      <c r="T171" t="str">
        <f>IF(D171=1,MAX($T$2:$T170)+1,IF(S171=$S170,$S170,IF($D171="x",T170,IF($D170="x","",""))))</f>
        <v/>
      </c>
      <c r="U171" t="str">
        <f>IF(B171=1,MAX($U$2:$U170)+1,IF(AND($T171&lt;&gt;"",$T171=$T170),$U170,IF(B171="x",U170,"")))</f>
        <v/>
      </c>
      <c r="V171" t="str">
        <f>IF(C171=1,MAX($V$2:$V170)+1,IF(AND($T171&lt;&gt;"",$T171=$T170),$U170,IF(C171="x",V170,"")))</f>
        <v/>
      </c>
      <c r="W171" t="str" cm="1">
        <f t="array" ref="W171">IFERROR(_xlfn._xlws.FILTER(game_rosters!AB:AB,(game_rosters!J:J=events!X171)*(K171&lt;&gt;"")),"")</f>
        <v/>
      </c>
      <c r="X171" t="str" cm="1">
        <f t="array" ref="X171">IF(S171="","",IF($I171&lt;&gt;"",$I171,INDEX($I$2:$I170,ROW()-COUNTIFS($T$2:$T170,"="&amp;$T171,$S$2:$S170,"&lt;&gt;"&amp;$S171)-1)))</f>
        <v/>
      </c>
      <c r="Y171" t="b">
        <f>IF(X171&lt;&gt;"",VLOOKUP(X171,game_rosters!$C$43:$E$64,3,FALSE))</f>
        <v>0</v>
      </c>
      <c r="Z171" t="e" cm="1" vm="1">
        <f t="array" aca="1" ref="Z171" ca="1">IFERROR(IF(_xlfn._xlws.FILTER(game_rosters!$J:$J,(game_rosters!$G:$G=events!$AN171)*(game_rosters!$J:$J=events!$X171))&gt;0,1,""),"")</f>
        <v>#VALUE!</v>
      </c>
      <c r="AA171" t="e">
        <f t="shared" si="52"/>
        <v>#VALUE!</v>
      </c>
      <c r="AB171" t="str">
        <f t="shared" si="53"/>
        <v/>
      </c>
      <c r="AC171" t="e">
        <f t="shared" si="51"/>
        <v>#VALUE!</v>
      </c>
      <c r="AD171" s="6"/>
      <c r="BJ171" s="39"/>
      <c r="BM171" s="39"/>
      <c r="BO171" s="19"/>
      <c r="BQ171" s="17"/>
    </row>
    <row r="172" spans="1:69" x14ac:dyDescent="0.2">
      <c r="A172" t="str">
        <f t="shared" si="54"/>
        <v/>
      </c>
      <c r="E172" s="4"/>
      <c r="F172" s="44"/>
      <c r="G172" s="4"/>
      <c r="H172" s="47"/>
      <c r="J172" s="45" t="str">
        <f t="shared" si="55"/>
        <v/>
      </c>
      <c r="N172" t="str">
        <f t="shared" si="57"/>
        <v/>
      </c>
      <c r="Q172" t="str">
        <f t="shared" si="56"/>
        <v/>
      </c>
      <c r="S172" t="str">
        <f>IF(A172=1,MAX(S$2:S171)+1,IF(OR(I172&lt;&gt;"",A172="x"),S171,""))</f>
        <v/>
      </c>
      <c r="T172" t="str">
        <f>IF(D172=1,MAX($T$2:$T171)+1,IF(S172=$S171,$S171,IF($D172="x",T171,IF($D171="x","",""))))</f>
        <v/>
      </c>
      <c r="U172" t="str">
        <f>IF(B172=1,MAX($U$2:$U171)+1,IF(AND($T172&lt;&gt;"",$T172=$T171),$U171,IF(B172="x",U171,"")))</f>
        <v/>
      </c>
      <c r="V172" t="str">
        <f>IF(C172=1,MAX($V$2:$V171)+1,IF(AND($T172&lt;&gt;"",$T172=$T171),$U171,IF(C172="x",V171,"")))</f>
        <v/>
      </c>
      <c r="W172" t="str" cm="1">
        <f t="array" ref="W172">IFERROR(_xlfn._xlws.FILTER(game_rosters!AB:AB,(game_rosters!J:J=events!X172)*(K172&lt;&gt;"")),"")</f>
        <v/>
      </c>
      <c r="X172" t="str" cm="1">
        <f t="array" ref="X172">IF(S172="","",IF($I172&lt;&gt;"",$I172,INDEX($I$2:$I171,ROW()-COUNTIFS($T$2:$T171,"="&amp;$T172,$S$2:$S171,"&lt;&gt;"&amp;$S172)-1)))</f>
        <v/>
      </c>
      <c r="Y172" t="b">
        <f>IF(X172&lt;&gt;"",VLOOKUP(X172,game_rosters!$C$43:$E$64,3,FALSE))</f>
        <v>0</v>
      </c>
      <c r="Z172" t="e" cm="1" vm="1">
        <f t="array" aca="1" ref="Z172" ca="1">IFERROR(IF(_xlfn._xlws.FILTER(game_rosters!$J:$J,(game_rosters!$G:$G=events!$AN172)*(game_rosters!$J:$J=events!$X172))&gt;0,1,""),"")</f>
        <v>#VALUE!</v>
      </c>
      <c r="AA172" t="e">
        <f t="shared" si="52"/>
        <v>#VALUE!</v>
      </c>
      <c r="AB172" t="str">
        <f t="shared" si="53"/>
        <v/>
      </c>
      <c r="AC172" t="e">
        <f t="shared" si="51"/>
        <v>#VALUE!</v>
      </c>
      <c r="AD172" s="6"/>
      <c r="BJ172" s="39"/>
      <c r="BM172" s="39"/>
      <c r="BO172" s="19"/>
      <c r="BQ172" s="17"/>
    </row>
    <row r="173" spans="1:69" x14ac:dyDescent="0.2">
      <c r="A173" t="str">
        <f t="shared" si="54"/>
        <v/>
      </c>
      <c r="E173" s="4"/>
      <c r="F173" s="44"/>
      <c r="G173" s="4"/>
      <c r="H173" s="47"/>
      <c r="J173" s="45" t="str">
        <f t="shared" si="55"/>
        <v/>
      </c>
      <c r="N173" t="str">
        <f t="shared" si="57"/>
        <v/>
      </c>
      <c r="Q173" t="str">
        <f t="shared" si="56"/>
        <v/>
      </c>
      <c r="S173" t="str">
        <f>IF(A173=1,MAX(S$2:S172)+1,IF(OR(I173&lt;&gt;"",A173="x"),S172,""))</f>
        <v/>
      </c>
      <c r="T173" t="str">
        <f>IF(D173=1,MAX($T$2:$T172)+1,IF(S173=$S172,$S172,IF($D173="x",T172,IF($D172="x","",""))))</f>
        <v/>
      </c>
      <c r="U173" t="str">
        <f>IF(B173=1,MAX($U$2:$U172)+1,IF(AND($T173&lt;&gt;"",$T173=$T172),$U172,IF(B173="x",U172,"")))</f>
        <v/>
      </c>
      <c r="V173" t="str">
        <f>IF(C173=1,MAX($V$2:$V172)+1,IF(AND($T173&lt;&gt;"",$T173=$T172),$U172,IF(C173="x",V172,"")))</f>
        <v/>
      </c>
      <c r="W173" t="str" cm="1">
        <f t="array" ref="W173">IFERROR(_xlfn._xlws.FILTER(game_rosters!AB:AB,(game_rosters!J:J=events!X173)*(K173&lt;&gt;"")),"")</f>
        <v/>
      </c>
      <c r="X173" t="str" cm="1">
        <f t="array" ref="X173">IF(S173="","",IF($I173&lt;&gt;"",$I173,INDEX($I$2:$I172,ROW()-COUNTIFS($T$2:$T172,"="&amp;$T173,$S$2:$S172,"&lt;&gt;"&amp;$S173)-1)))</f>
        <v/>
      </c>
      <c r="Y173" t="b">
        <f>IF(X173&lt;&gt;"",VLOOKUP(X173,game_rosters!$C$43:$E$64,3,FALSE))</f>
        <v>0</v>
      </c>
      <c r="Z173" t="e" cm="1" vm="1">
        <f t="array" aca="1" ref="Z173" ca="1">IFERROR(IF(_xlfn._xlws.FILTER(game_rosters!$J:$J,(game_rosters!$G:$G=events!$AN173)*(game_rosters!$J:$J=events!$X173))&gt;0,1,""),"")</f>
        <v>#VALUE!</v>
      </c>
      <c r="AA173" t="e">
        <f t="shared" si="52"/>
        <v>#VALUE!</v>
      </c>
      <c r="AB173" t="str">
        <f t="shared" si="53"/>
        <v/>
      </c>
      <c r="AC173" t="e">
        <f t="shared" si="51"/>
        <v>#VALUE!</v>
      </c>
      <c r="AD173" s="6"/>
      <c r="BJ173" s="39"/>
      <c r="BM173" s="39"/>
      <c r="BO173" s="19"/>
      <c r="BQ173" s="17"/>
    </row>
    <row r="174" spans="1:69" x14ac:dyDescent="0.2">
      <c r="A174" t="str">
        <f t="shared" si="54"/>
        <v/>
      </c>
      <c r="E174" s="4"/>
      <c r="F174" s="44"/>
      <c r="G174" s="4"/>
      <c r="H174" s="47"/>
      <c r="J174" s="45" t="str">
        <f t="shared" si="55"/>
        <v/>
      </c>
      <c r="N174" t="str">
        <f t="shared" si="57"/>
        <v/>
      </c>
      <c r="Q174" t="str">
        <f t="shared" si="56"/>
        <v/>
      </c>
      <c r="S174" t="str">
        <f>IF(A174=1,MAX(S$2:S173)+1,IF(OR(I174&lt;&gt;"",A174="x"),S173,""))</f>
        <v/>
      </c>
      <c r="T174" t="str">
        <f>IF(D174=1,MAX($T$2:$T173)+1,IF(S174=$S173,$S173,IF($D174="x",T173,IF($D173="x","",""))))</f>
        <v/>
      </c>
      <c r="U174" t="str">
        <f>IF(B174=1,MAX($U$2:$U173)+1,IF(AND($T174&lt;&gt;"",$T174=$T173),$U173,IF(B174="x",U173,"")))</f>
        <v/>
      </c>
      <c r="V174" t="str">
        <f>IF(C174=1,MAX($V$2:$V173)+1,IF(AND($T174&lt;&gt;"",$T174=$T173),$U173,IF(C174="x",V173,"")))</f>
        <v/>
      </c>
      <c r="W174" t="str" cm="1">
        <f t="array" ref="W174">IFERROR(_xlfn._xlws.FILTER(game_rosters!AB:AB,(game_rosters!J:J=events!X174)*(K174&lt;&gt;"")),"")</f>
        <v/>
      </c>
      <c r="X174" t="str" cm="1">
        <f t="array" ref="X174">IF(S174="","",IF($I174&lt;&gt;"",$I174,INDEX($I$2:$I173,ROW()-COUNTIFS($T$2:$T173,"="&amp;$T174,$S$2:$S173,"&lt;&gt;"&amp;$S174)-1)))</f>
        <v/>
      </c>
      <c r="Y174" t="b">
        <f>IF(X174&lt;&gt;"",VLOOKUP(X174,game_rosters!$C$43:$E$64,3,FALSE))</f>
        <v>0</v>
      </c>
      <c r="Z174" t="e" cm="1" vm="1">
        <f t="array" aca="1" ref="Z174" ca="1">IFERROR(IF(_xlfn._xlws.FILTER(game_rosters!$J:$J,(game_rosters!$G:$G=events!$AN174)*(game_rosters!$J:$J=events!$X174))&gt;0,1,""),"")</f>
        <v>#VALUE!</v>
      </c>
      <c r="AA174" t="e">
        <f t="shared" si="52"/>
        <v>#VALUE!</v>
      </c>
      <c r="AB174" t="str">
        <f t="shared" si="53"/>
        <v/>
      </c>
      <c r="AC174" t="e">
        <f t="shared" si="51"/>
        <v>#VALUE!</v>
      </c>
      <c r="AD174" s="6"/>
      <c r="BJ174" s="39"/>
      <c r="BM174" s="39"/>
      <c r="BO174" s="19"/>
      <c r="BQ174" s="17"/>
    </row>
    <row r="175" spans="1:69" x14ac:dyDescent="0.2">
      <c r="A175" t="str">
        <f t="shared" si="54"/>
        <v/>
      </c>
      <c r="E175" s="4"/>
      <c r="F175" s="44"/>
      <c r="G175" s="4"/>
      <c r="H175" s="47"/>
      <c r="J175" s="45" t="str">
        <f t="shared" si="55"/>
        <v/>
      </c>
      <c r="N175" t="str">
        <f t="shared" si="57"/>
        <v/>
      </c>
      <c r="Q175" t="str">
        <f t="shared" si="56"/>
        <v/>
      </c>
      <c r="S175" t="str">
        <f>IF(A175=1,MAX(S$2:S174)+1,IF(OR(I175&lt;&gt;"",A175="x"),S174,""))</f>
        <v/>
      </c>
      <c r="T175" t="str">
        <f>IF(D175=1,MAX($T$2:$T174)+1,IF(S175=$S174,$S174,IF($D175="x",T174,IF($D174="x","",""))))</f>
        <v/>
      </c>
      <c r="U175" t="str">
        <f>IF(B175=1,MAX($U$2:$U174)+1,IF(AND($T175&lt;&gt;"",$T175=$T174),$U174,IF(B175="x",U174,"")))</f>
        <v/>
      </c>
      <c r="V175" t="str">
        <f>IF(C175=1,MAX($V$2:$V174)+1,IF(AND($T175&lt;&gt;"",$T175=$T174),$U174,IF(C175="x",V174,"")))</f>
        <v/>
      </c>
      <c r="W175" t="str" cm="1">
        <f t="array" ref="W175">IFERROR(_xlfn._xlws.FILTER(game_rosters!AB:AB,(game_rosters!J:J=events!X175)*(K175&lt;&gt;"")),"")</f>
        <v/>
      </c>
      <c r="X175" t="str" cm="1">
        <f t="array" ref="X175">IF(S175="","",IF($I175&lt;&gt;"",$I175,INDEX($I$2:$I174,ROW()-COUNTIFS($T$2:$T174,"="&amp;$T175,$S$2:$S174,"&lt;&gt;"&amp;$S175)-1)))</f>
        <v/>
      </c>
      <c r="Y175" t="b">
        <f>IF(X175&lt;&gt;"",VLOOKUP(X175,game_rosters!$C$43:$E$64,3,FALSE))</f>
        <v>0</v>
      </c>
      <c r="Z175" t="e" cm="1" vm="1">
        <f t="array" aca="1" ref="Z175" ca="1">IFERROR(IF(_xlfn._xlws.FILTER(game_rosters!$J:$J,(game_rosters!$G:$G=events!$AN175)*(game_rosters!$J:$J=events!$X175))&gt;0,1,""),"")</f>
        <v>#VALUE!</v>
      </c>
      <c r="AA175" t="e">
        <f t="shared" si="52"/>
        <v>#VALUE!</v>
      </c>
      <c r="AB175" t="str">
        <f t="shared" si="53"/>
        <v/>
      </c>
      <c r="AC175" t="e">
        <f t="shared" si="51"/>
        <v>#VALUE!</v>
      </c>
      <c r="AD175" s="6"/>
      <c r="BJ175" s="39"/>
      <c r="BM175" s="39"/>
      <c r="BO175" s="19"/>
      <c r="BQ175" s="17"/>
    </row>
    <row r="176" spans="1:69" x14ac:dyDescent="0.2">
      <c r="A176" t="str">
        <f t="shared" si="54"/>
        <v/>
      </c>
      <c r="E176" s="4"/>
      <c r="F176" s="44"/>
      <c r="G176" s="4"/>
      <c r="H176" s="47"/>
      <c r="J176" s="45" t="str">
        <f t="shared" si="55"/>
        <v/>
      </c>
      <c r="N176" t="str">
        <f t="shared" si="57"/>
        <v/>
      </c>
      <c r="Q176" t="str">
        <f t="shared" si="56"/>
        <v/>
      </c>
      <c r="S176" t="str">
        <f>IF(A176=1,MAX(S$2:S175)+1,IF(OR(I176&lt;&gt;"",A176="x"),S175,""))</f>
        <v/>
      </c>
      <c r="T176" t="str">
        <f>IF(D176=1,MAX($T$2:$T175)+1,IF(S176=$S175,$S175,IF($D176="x",T175,IF($D175="x","",""))))</f>
        <v/>
      </c>
      <c r="U176" t="str">
        <f>IF(B176=1,MAX($U$2:$U175)+1,IF(AND($T176&lt;&gt;"",$T176=$T175),$U175,IF(B176="x",U175,"")))</f>
        <v/>
      </c>
      <c r="V176" t="str">
        <f>IF(C176=1,MAX($V$2:$V175)+1,IF(AND($T176&lt;&gt;"",$T176=$T175),$U175,IF(C176="x",V175,"")))</f>
        <v/>
      </c>
      <c r="W176" t="str" cm="1">
        <f t="array" ref="W176">IFERROR(_xlfn._xlws.FILTER(game_rosters!AB:AB,(game_rosters!J:J=events!X176)*(K176&lt;&gt;"")),"")</f>
        <v/>
      </c>
      <c r="X176" t="str" cm="1">
        <f t="array" ref="X176">IF(S176="","",IF($I176&lt;&gt;"",$I176,INDEX($I$2:$I175,ROW()-COUNTIFS($T$2:$T175,"="&amp;$T176,$S$2:$S175,"&lt;&gt;"&amp;$S176)-1)))</f>
        <v/>
      </c>
      <c r="Y176" t="b">
        <f>IF(X176&lt;&gt;"",VLOOKUP(X176,game_rosters!$C$43:$E$64,3,FALSE))</f>
        <v>0</v>
      </c>
      <c r="Z176" t="e" cm="1" vm="1">
        <f t="array" aca="1" ref="Z176" ca="1">IFERROR(IF(_xlfn._xlws.FILTER(game_rosters!$J:$J,(game_rosters!$G:$G=events!$AN176)*(game_rosters!$J:$J=events!$X176))&gt;0,1,""),"")</f>
        <v>#VALUE!</v>
      </c>
      <c r="AA176" t="e">
        <f t="shared" si="52"/>
        <v>#VALUE!</v>
      </c>
      <c r="AB176" t="str">
        <f t="shared" si="53"/>
        <v/>
      </c>
      <c r="AC176" t="e">
        <f t="shared" si="51"/>
        <v>#VALUE!</v>
      </c>
      <c r="AD176" s="6"/>
      <c r="BJ176" s="39"/>
      <c r="BM176" s="39"/>
      <c r="BO176" s="19"/>
      <c r="BQ176" s="17"/>
    </row>
    <row r="177" spans="1:69" x14ac:dyDescent="0.2">
      <c r="A177" t="str">
        <f t="shared" si="54"/>
        <v/>
      </c>
      <c r="E177" s="4"/>
      <c r="F177" s="44"/>
      <c r="G177" s="4"/>
      <c r="H177" s="47"/>
      <c r="J177" s="45" t="str">
        <f t="shared" si="55"/>
        <v/>
      </c>
      <c r="N177" t="str">
        <f t="shared" si="57"/>
        <v/>
      </c>
      <c r="Q177" t="str">
        <f t="shared" si="56"/>
        <v/>
      </c>
      <c r="S177" t="str">
        <f>IF(A177=1,MAX(S$2:S176)+1,IF(OR(I177&lt;&gt;"",A177="x"),S176,""))</f>
        <v/>
      </c>
      <c r="T177" t="str">
        <f>IF(D177=1,MAX($T$2:$T176)+1,IF(S177=$S176,$S176,IF($D177="x",T176,IF($D176="x","",""))))</f>
        <v/>
      </c>
      <c r="U177" t="str">
        <f>IF(B177=1,MAX($U$2:$U176)+1,IF(AND($T177&lt;&gt;"",$T177=$T176),$U176,IF(B177="x",U176,"")))</f>
        <v/>
      </c>
      <c r="V177" t="str">
        <f>IF(C177=1,MAX($V$2:$V176)+1,IF(AND($T177&lt;&gt;"",$T177=$T176),$U176,IF(C177="x",V176,"")))</f>
        <v/>
      </c>
      <c r="W177" t="str" cm="1">
        <f t="array" ref="W177">IFERROR(_xlfn._xlws.FILTER(game_rosters!AB:AB,(game_rosters!J:J=events!X177)*(K177&lt;&gt;"")),"")</f>
        <v/>
      </c>
      <c r="X177" t="str" cm="1">
        <f t="array" ref="X177">IF(S177="","",IF($I177&lt;&gt;"",$I177,INDEX($I$2:$I176,ROW()-COUNTIFS($T$2:$T176,"="&amp;$T177,$S$2:$S176,"&lt;&gt;"&amp;$S177)-1)))</f>
        <v/>
      </c>
      <c r="Y177" t="b">
        <f>IF(X177&lt;&gt;"",VLOOKUP(X177,game_rosters!$C$43:$E$64,3,FALSE))</f>
        <v>0</v>
      </c>
      <c r="Z177" t="e" cm="1" vm="1">
        <f t="array" aca="1" ref="Z177" ca="1">IFERROR(IF(_xlfn._xlws.FILTER(game_rosters!$J:$J,(game_rosters!$G:$G=events!$AN177)*(game_rosters!$J:$J=events!$X177))&gt;0,1,""),"")</f>
        <v>#VALUE!</v>
      </c>
      <c r="AA177" t="e">
        <f t="shared" si="52"/>
        <v>#VALUE!</v>
      </c>
      <c r="AB177" t="str">
        <f t="shared" si="53"/>
        <v/>
      </c>
      <c r="AC177" t="e">
        <f t="shared" si="51"/>
        <v>#VALUE!</v>
      </c>
      <c r="AD177" s="6"/>
      <c r="BJ177" s="39"/>
      <c r="BM177" s="39"/>
      <c r="BO177" s="19"/>
      <c r="BQ177" s="17"/>
    </row>
    <row r="178" spans="1:69" x14ac:dyDescent="0.2">
      <c r="A178" t="str">
        <f t="shared" si="54"/>
        <v/>
      </c>
      <c r="E178" s="4"/>
      <c r="F178" s="44"/>
      <c r="G178" s="4"/>
      <c r="H178" s="47"/>
      <c r="J178" s="45" t="str">
        <f t="shared" si="55"/>
        <v/>
      </c>
      <c r="N178" t="str">
        <f t="shared" si="57"/>
        <v/>
      </c>
      <c r="Q178" t="str">
        <f t="shared" si="56"/>
        <v/>
      </c>
      <c r="S178" t="str">
        <f>IF(A178=1,MAX(S$2:S177)+1,IF(OR(I178&lt;&gt;"",A178="x"),S177,""))</f>
        <v/>
      </c>
      <c r="T178" t="str">
        <f>IF(D178=1,MAX($T$2:$T177)+1,IF(S178=$S177,$S177,IF($D178="x",T177,IF($D177="x","",""))))</f>
        <v/>
      </c>
      <c r="U178" t="str">
        <f>IF(B178=1,MAX($U$2:$U177)+1,IF(AND($T178&lt;&gt;"",$T178=$T177),$U177,IF(B178="x",U177,"")))</f>
        <v/>
      </c>
      <c r="V178" t="str">
        <f>IF(C178=1,MAX($V$2:$V177)+1,IF(AND($T178&lt;&gt;"",$T178=$T177),$U177,IF(C178="x",V177,"")))</f>
        <v/>
      </c>
      <c r="W178" t="str" cm="1">
        <f t="array" ref="W178">IFERROR(_xlfn._xlws.FILTER(game_rosters!AB:AB,(game_rosters!J:J=events!X178)*(K178&lt;&gt;"")),"")</f>
        <v/>
      </c>
      <c r="X178" t="str" cm="1">
        <f t="array" ref="X178">IF(S178="","",IF($I178&lt;&gt;"",$I178,INDEX($I$2:$I177,ROW()-COUNTIFS($T$2:$T177,"="&amp;$T178,$S$2:$S177,"&lt;&gt;"&amp;$S178)-1)))</f>
        <v/>
      </c>
      <c r="Y178" t="b">
        <f>IF(X178&lt;&gt;"",VLOOKUP(X178,game_rosters!$C$43:$E$64,3,FALSE))</f>
        <v>0</v>
      </c>
      <c r="Z178" t="e" cm="1" vm="1">
        <f t="array" aca="1" ref="Z178" ca="1">IFERROR(IF(_xlfn._xlws.FILTER(game_rosters!$J:$J,(game_rosters!$G:$G=events!$AN178)*(game_rosters!$J:$J=events!$X178))&gt;0,1,""),"")</f>
        <v>#VALUE!</v>
      </c>
      <c r="AA178" t="e">
        <f t="shared" si="52"/>
        <v>#VALUE!</v>
      </c>
      <c r="AB178" t="str">
        <f t="shared" si="53"/>
        <v/>
      </c>
      <c r="AC178" t="e">
        <f t="shared" si="51"/>
        <v>#VALUE!</v>
      </c>
      <c r="AD178" s="6"/>
      <c r="BJ178" s="39"/>
      <c r="BM178" s="39"/>
      <c r="BO178" s="19"/>
      <c r="BQ178" s="17"/>
    </row>
    <row r="179" spans="1:69" x14ac:dyDescent="0.2">
      <c r="A179" t="str">
        <f t="shared" si="54"/>
        <v/>
      </c>
      <c r="E179" s="4"/>
      <c r="F179" s="44"/>
      <c r="G179" s="4"/>
      <c r="H179" s="47"/>
      <c r="J179" s="45" t="str">
        <f t="shared" si="55"/>
        <v/>
      </c>
      <c r="N179" t="str">
        <f t="shared" si="57"/>
        <v/>
      </c>
      <c r="Q179" t="str">
        <f t="shared" si="56"/>
        <v/>
      </c>
      <c r="S179" t="str">
        <f>IF(A179=1,MAX(S$2:S178)+1,IF(OR(I179&lt;&gt;"",A179="x"),S178,""))</f>
        <v/>
      </c>
      <c r="T179" t="str">
        <f>IF(D179=1,MAX($T$2:$T178)+1,IF(S179=$S178,$S178,IF($D179="x",T178,IF($D178="x","",""))))</f>
        <v/>
      </c>
      <c r="U179" t="str">
        <f>IF(B179=1,MAX($U$2:$U178)+1,IF(AND($T179&lt;&gt;"",$T179=$T178),$U178,IF(B179="x",U178,"")))</f>
        <v/>
      </c>
      <c r="V179" t="str">
        <f>IF(C179=1,MAX($V$2:$V178)+1,IF(AND($T179&lt;&gt;"",$T179=$T178),$U178,IF(C179="x",V178,"")))</f>
        <v/>
      </c>
      <c r="W179" t="str" cm="1">
        <f t="array" ref="W179">IFERROR(_xlfn._xlws.FILTER(game_rosters!AB:AB,(game_rosters!J:J=events!X179)*(K179&lt;&gt;"")),"")</f>
        <v/>
      </c>
      <c r="X179" t="str" cm="1">
        <f t="array" ref="X179">IF(S179="","",IF($I179&lt;&gt;"",$I179,INDEX($I$2:$I178,ROW()-COUNTIFS($T$2:$T178,"="&amp;$T179,$S$2:$S178,"&lt;&gt;"&amp;$S179)-1)))</f>
        <v/>
      </c>
      <c r="Y179" t="b">
        <f>IF(X179&lt;&gt;"",VLOOKUP(X179,game_rosters!$C$43:$E$64,3,FALSE))</f>
        <v>0</v>
      </c>
      <c r="Z179" t="e" cm="1" vm="1">
        <f t="array" aca="1" ref="Z179" ca="1">IFERROR(IF(_xlfn._xlws.FILTER(game_rosters!$J:$J,(game_rosters!$G:$G=events!$AN179)*(game_rosters!$J:$J=events!$X179))&gt;0,1,""),"")</f>
        <v>#VALUE!</v>
      </c>
      <c r="AA179" t="e">
        <f t="shared" si="52"/>
        <v>#VALUE!</v>
      </c>
      <c r="AB179" t="str">
        <f t="shared" si="53"/>
        <v/>
      </c>
      <c r="AC179" t="e">
        <f t="shared" si="51"/>
        <v>#VALUE!</v>
      </c>
      <c r="AD179" s="6"/>
      <c r="BJ179" s="39"/>
      <c r="BM179" s="39"/>
      <c r="BO179" s="19"/>
      <c r="BQ179" s="17"/>
    </row>
    <row r="180" spans="1:69" x14ac:dyDescent="0.2">
      <c r="A180" t="str">
        <f t="shared" si="54"/>
        <v/>
      </c>
      <c r="E180" s="4"/>
      <c r="F180" s="44"/>
      <c r="G180" s="4"/>
      <c r="H180" s="47"/>
      <c r="J180" s="45" t="str">
        <f t="shared" si="55"/>
        <v/>
      </c>
      <c r="N180" t="str">
        <f t="shared" si="57"/>
        <v/>
      </c>
      <c r="Q180" t="str">
        <f t="shared" si="56"/>
        <v/>
      </c>
      <c r="S180" t="str">
        <f>IF(A180=1,MAX(S$2:S179)+1,IF(OR(I180&lt;&gt;"",A180="x"),S179,""))</f>
        <v/>
      </c>
      <c r="T180" t="str">
        <f>IF(D180=1,MAX($T$2:$T179)+1,IF(S180=$S179,$S179,IF($D180="x",T179,IF($D179="x","",""))))</f>
        <v/>
      </c>
      <c r="U180" t="str">
        <f>IF(B180=1,MAX($U$2:$U179)+1,IF(AND($T180&lt;&gt;"",$T180=$T179),$U179,IF(B180="x",U179,"")))</f>
        <v/>
      </c>
      <c r="V180" t="str">
        <f>IF(C180=1,MAX($V$2:$V179)+1,IF(AND($T180&lt;&gt;"",$T180=$T179),$U179,IF(C180="x",V179,"")))</f>
        <v/>
      </c>
      <c r="W180" t="str" cm="1">
        <f t="array" ref="W180">IFERROR(_xlfn._xlws.FILTER(game_rosters!AB:AB,(game_rosters!J:J=events!X180)*(K180&lt;&gt;"")),"")</f>
        <v/>
      </c>
      <c r="X180" t="str" cm="1">
        <f t="array" ref="X180">IF(S180="","",IF($I180&lt;&gt;"",$I180,INDEX($I$2:$I179,ROW()-COUNTIFS($T$2:$T179,"="&amp;$T180,$S$2:$S179,"&lt;&gt;"&amp;$S180)-1)))</f>
        <v/>
      </c>
      <c r="Y180" t="b">
        <f>IF(X180&lt;&gt;"",VLOOKUP(X180,game_rosters!$C$43:$E$64,3,FALSE))</f>
        <v>0</v>
      </c>
      <c r="Z180" t="e" cm="1" vm="1">
        <f t="array" aca="1" ref="Z180" ca="1">IFERROR(IF(_xlfn._xlws.FILTER(game_rosters!$J:$J,(game_rosters!$G:$G=events!$AN180)*(game_rosters!$J:$J=events!$X180))&gt;0,1,""),"")</f>
        <v>#VALUE!</v>
      </c>
      <c r="AA180" t="e">
        <f t="shared" si="52"/>
        <v>#VALUE!</v>
      </c>
      <c r="AB180" t="str">
        <f t="shared" si="53"/>
        <v/>
      </c>
      <c r="AC180" t="e">
        <f t="shared" si="51"/>
        <v>#VALUE!</v>
      </c>
      <c r="AD180" s="6"/>
      <c r="BJ180" s="39"/>
      <c r="BM180" s="39"/>
      <c r="BO180" s="19"/>
      <c r="BQ180" s="17"/>
    </row>
    <row r="181" spans="1:69" x14ac:dyDescent="0.2">
      <c r="A181" t="str">
        <f t="shared" si="54"/>
        <v/>
      </c>
      <c r="E181" s="4"/>
      <c r="F181" s="44"/>
      <c r="G181" s="4"/>
      <c r="H181" s="47"/>
      <c r="J181" s="45" t="str">
        <f t="shared" si="55"/>
        <v/>
      </c>
      <c r="N181" t="str">
        <f t="shared" si="57"/>
        <v/>
      </c>
      <c r="Q181" t="str">
        <f t="shared" si="56"/>
        <v/>
      </c>
      <c r="S181" t="str">
        <f>IF(A181=1,MAX(S$2:S180)+1,IF(OR(I181&lt;&gt;"",A181="x"),S180,""))</f>
        <v/>
      </c>
      <c r="T181" t="str">
        <f>IF(D181=1,MAX($T$2:$T180)+1,IF(S181=$S180,$S180,IF($D181="x",T180,IF($D180="x","",""))))</f>
        <v/>
      </c>
      <c r="U181" t="str">
        <f>IF(B181=1,MAX($U$2:$U180)+1,IF(AND($T181&lt;&gt;"",$T181=$T180),$U180,IF(B181="x",U180,"")))</f>
        <v/>
      </c>
      <c r="V181" t="str">
        <f>IF(C181=1,MAX($V$2:$V180)+1,IF(AND($T181&lt;&gt;"",$T181=$T180),$U180,IF(C181="x",V180,"")))</f>
        <v/>
      </c>
      <c r="W181" t="str" cm="1">
        <f t="array" ref="W181">IFERROR(_xlfn._xlws.FILTER(game_rosters!AB:AB,(game_rosters!J:J=events!X181)*(K181&lt;&gt;"")),"")</f>
        <v/>
      </c>
      <c r="X181" t="str" cm="1">
        <f t="array" ref="X181">IF(S181="","",IF($I181&lt;&gt;"",$I181,INDEX($I$2:$I180,ROW()-COUNTIFS($T$2:$T180,"="&amp;$T181,$S$2:$S180,"&lt;&gt;"&amp;$S181)-1)))</f>
        <v/>
      </c>
      <c r="Y181" t="b">
        <f>IF(X181&lt;&gt;"",VLOOKUP(X181,game_rosters!$C$43:$E$64,3,FALSE))</f>
        <v>0</v>
      </c>
      <c r="Z181" t="e" cm="1" vm="1">
        <f t="array" aca="1" ref="Z181" ca="1">IFERROR(IF(_xlfn._xlws.FILTER(game_rosters!$J:$J,(game_rosters!$G:$G=events!$AN181)*(game_rosters!$J:$J=events!$X181))&gt;0,1,""),"")</f>
        <v>#VALUE!</v>
      </c>
      <c r="AA181" t="e">
        <f t="shared" si="52"/>
        <v>#VALUE!</v>
      </c>
      <c r="AB181" t="str">
        <f t="shared" si="53"/>
        <v/>
      </c>
      <c r="AC181" t="e">
        <f t="shared" si="51"/>
        <v>#VALUE!</v>
      </c>
      <c r="AD181" s="6"/>
      <c r="BJ181" s="39"/>
      <c r="BM181" s="39"/>
      <c r="BO181" s="19"/>
      <c r="BQ181" s="17"/>
    </row>
    <row r="182" spans="1:69" x14ac:dyDescent="0.2">
      <c r="A182" t="str">
        <f t="shared" si="54"/>
        <v/>
      </c>
      <c r="E182" s="4"/>
      <c r="F182" s="44"/>
      <c r="G182" s="4"/>
      <c r="H182" s="47"/>
      <c r="J182" s="45" t="str">
        <f t="shared" si="55"/>
        <v/>
      </c>
      <c r="N182" t="str">
        <f t="shared" si="57"/>
        <v/>
      </c>
      <c r="Q182" t="str">
        <f t="shared" si="56"/>
        <v/>
      </c>
      <c r="S182" t="str">
        <f>IF(A182=1,MAX(S$2:S181)+1,IF(OR(I182&lt;&gt;"",A182="x"),S181,""))</f>
        <v/>
      </c>
      <c r="T182" t="str">
        <f>IF(D182=1,MAX($T$2:$T181)+1,IF(S182=$S181,$S181,IF($D182="x",T181,IF($D181="x","",""))))</f>
        <v/>
      </c>
      <c r="U182" t="str">
        <f>IF(B182=1,MAX($U$2:$U181)+1,IF(AND($T182&lt;&gt;"",$T182=$T181),$U181,IF(B182="x",U181,"")))</f>
        <v/>
      </c>
      <c r="V182" t="str">
        <f>IF(C182=1,MAX($V$2:$V181)+1,IF(AND($T182&lt;&gt;"",$T182=$T181),$U181,IF(C182="x",V181,"")))</f>
        <v/>
      </c>
      <c r="W182" t="str" cm="1">
        <f t="array" ref="W182">IFERROR(_xlfn._xlws.FILTER(game_rosters!AB:AB,(game_rosters!J:J=events!X182)*(K182&lt;&gt;"")),"")</f>
        <v/>
      </c>
      <c r="X182" t="str" cm="1">
        <f t="array" ref="X182">IF(S182="","",IF($I182&lt;&gt;"",$I182,INDEX($I$2:$I181,ROW()-COUNTIFS($T$2:$T181,"="&amp;$T182,$S$2:$S181,"&lt;&gt;"&amp;$S182)-1)))</f>
        <v/>
      </c>
      <c r="Y182" t="b">
        <f>IF(X182&lt;&gt;"",VLOOKUP(X182,game_rosters!$C$43:$E$64,3,FALSE))</f>
        <v>0</v>
      </c>
      <c r="Z182" t="e" cm="1" vm="1">
        <f t="array" aca="1" ref="Z182" ca="1">IFERROR(IF(_xlfn._xlws.FILTER(game_rosters!$J:$J,(game_rosters!$G:$G=events!$AN182)*(game_rosters!$J:$J=events!$X182))&gt;0,1,""),"")</f>
        <v>#VALUE!</v>
      </c>
      <c r="AA182" t="e">
        <f t="shared" si="52"/>
        <v>#VALUE!</v>
      </c>
      <c r="AB182" t="str">
        <f t="shared" si="53"/>
        <v/>
      </c>
      <c r="AC182" t="e">
        <f t="shared" si="51"/>
        <v>#VALUE!</v>
      </c>
      <c r="AD182" s="6"/>
      <c r="BJ182" s="39"/>
      <c r="BM182" s="39"/>
      <c r="BO182" s="19"/>
      <c r="BQ182" s="17"/>
    </row>
    <row r="183" spans="1:69" x14ac:dyDescent="0.2">
      <c r="A183" t="str">
        <f t="shared" si="54"/>
        <v/>
      </c>
      <c r="E183" s="4"/>
      <c r="F183" s="44"/>
      <c r="G183" s="4"/>
      <c r="H183" s="47"/>
      <c r="J183" s="45" t="str">
        <f t="shared" si="55"/>
        <v/>
      </c>
      <c r="N183" t="str">
        <f t="shared" si="57"/>
        <v/>
      </c>
      <c r="Q183" t="str">
        <f t="shared" si="56"/>
        <v/>
      </c>
      <c r="S183" t="str">
        <f>IF(A183=1,MAX(S$2:S182)+1,IF(OR(I183&lt;&gt;"",A183="x"),S182,""))</f>
        <v/>
      </c>
      <c r="T183" t="str">
        <f>IF(D183=1,MAX($T$2:$T182)+1,IF(S183=$S182,$S182,IF($D183="x",T182,IF($D182="x","",""))))</f>
        <v/>
      </c>
      <c r="U183" t="str">
        <f>IF(B183=1,MAX($U$2:$U182)+1,IF(AND($T183&lt;&gt;"",$T183=$T182),$U182,IF(B183="x",U182,"")))</f>
        <v/>
      </c>
      <c r="V183" t="str">
        <f>IF(C183=1,MAX($V$2:$V182)+1,IF(AND($T183&lt;&gt;"",$T183=$T182),$U182,IF(C183="x",V182,"")))</f>
        <v/>
      </c>
      <c r="W183" t="str" cm="1">
        <f t="array" ref="W183">IFERROR(_xlfn._xlws.FILTER(game_rosters!AB:AB,(game_rosters!J:J=events!X183)*(K183&lt;&gt;"")),"")</f>
        <v/>
      </c>
      <c r="X183" t="str" cm="1">
        <f t="array" ref="X183">IF(S183="","",IF($I183&lt;&gt;"",$I183,INDEX($I$2:$I182,ROW()-COUNTIFS($T$2:$T182,"="&amp;$T183,$S$2:$S182,"&lt;&gt;"&amp;$S183)-1)))</f>
        <v/>
      </c>
      <c r="Y183" t="b">
        <f>IF(X183&lt;&gt;"",VLOOKUP(X183,game_rosters!$C$43:$E$64,3,FALSE))</f>
        <v>0</v>
      </c>
      <c r="Z183" t="e" cm="1" vm="1">
        <f t="array" aca="1" ref="Z183" ca="1">IFERROR(IF(_xlfn._xlws.FILTER(game_rosters!$J:$J,(game_rosters!$G:$G=events!$AN183)*(game_rosters!$J:$J=events!$X183))&gt;0,1,""),"")</f>
        <v>#VALUE!</v>
      </c>
      <c r="AA183" t="e">
        <f t="shared" si="52"/>
        <v>#VALUE!</v>
      </c>
      <c r="AB183" t="str">
        <f t="shared" si="53"/>
        <v/>
      </c>
      <c r="AC183" t="e">
        <f t="shared" si="51"/>
        <v>#VALUE!</v>
      </c>
      <c r="AD183" s="6"/>
      <c r="BJ183" s="39"/>
      <c r="BM183" s="39"/>
      <c r="BO183" s="19"/>
      <c r="BQ183" s="17"/>
    </row>
    <row r="184" spans="1:69" x14ac:dyDescent="0.2">
      <c r="A184" t="str">
        <f t="shared" si="54"/>
        <v/>
      </c>
      <c r="E184" s="4"/>
      <c r="F184" s="44"/>
      <c r="G184" s="4"/>
      <c r="H184" s="47"/>
      <c r="J184" s="45" t="str">
        <f t="shared" si="55"/>
        <v/>
      </c>
      <c r="N184" t="str">
        <f t="shared" si="57"/>
        <v/>
      </c>
      <c r="Q184" t="str">
        <f t="shared" si="56"/>
        <v/>
      </c>
      <c r="S184" t="str">
        <f>IF(A184=1,MAX(S$2:S183)+1,IF(OR(I184&lt;&gt;"",A184="x"),S183,""))</f>
        <v/>
      </c>
      <c r="T184" t="str">
        <f>IF(D184=1,MAX($T$2:$T183)+1,IF(S184=$S183,$S183,IF($D184="x",T183,IF($D183="x","",""))))</f>
        <v/>
      </c>
      <c r="U184" t="str">
        <f>IF(B184=1,MAX($U$2:$U183)+1,IF(AND($T184&lt;&gt;"",$T184=$T183),$U183,IF(B184="x",U183,"")))</f>
        <v/>
      </c>
      <c r="V184" t="str">
        <f>IF(C184=1,MAX($V$2:$V183)+1,IF(AND($T184&lt;&gt;"",$T184=$T183),$U183,IF(C184="x",V183,"")))</f>
        <v/>
      </c>
      <c r="W184" t="str" cm="1">
        <f t="array" ref="W184">IFERROR(_xlfn._xlws.FILTER(game_rosters!AB:AB,(game_rosters!J:J=events!X184)*(K184&lt;&gt;"")),"")</f>
        <v/>
      </c>
      <c r="X184" t="str" cm="1">
        <f t="array" ref="X184">IF(S184="","",IF($I184&lt;&gt;"",$I184,INDEX($I$2:$I183,ROW()-COUNTIFS($T$2:$T183,"="&amp;$T184,$S$2:$S183,"&lt;&gt;"&amp;$S184)-1)))</f>
        <v/>
      </c>
      <c r="Y184" t="b">
        <f>IF(X184&lt;&gt;"",VLOOKUP(X184,game_rosters!$C$43:$E$64,3,FALSE))</f>
        <v>0</v>
      </c>
      <c r="Z184" t="e" cm="1" vm="1">
        <f t="array" aca="1" ref="Z184" ca="1">IFERROR(IF(_xlfn._xlws.FILTER(game_rosters!$J:$J,(game_rosters!$G:$G=events!$AN184)*(game_rosters!$J:$J=events!$X184))&gt;0,1,""),"")</f>
        <v>#VALUE!</v>
      </c>
      <c r="AA184" t="e">
        <f t="shared" si="52"/>
        <v>#VALUE!</v>
      </c>
      <c r="AB184" t="str">
        <f t="shared" si="53"/>
        <v/>
      </c>
      <c r="AC184" t="e">
        <f t="shared" si="51"/>
        <v>#VALUE!</v>
      </c>
      <c r="AD184" s="6"/>
      <c r="BJ184" s="39"/>
      <c r="BM184" s="39"/>
      <c r="BO184" s="19"/>
      <c r="BQ184" s="17"/>
    </row>
    <row r="185" spans="1:69" x14ac:dyDescent="0.2">
      <c r="A185" t="str">
        <f t="shared" si="54"/>
        <v/>
      </c>
      <c r="E185" s="4"/>
      <c r="F185" s="44"/>
      <c r="G185" s="4"/>
      <c r="H185" s="47"/>
      <c r="J185" s="45" t="str">
        <f t="shared" si="55"/>
        <v/>
      </c>
      <c r="N185" t="str">
        <f t="shared" si="57"/>
        <v/>
      </c>
      <c r="Q185" t="str">
        <f t="shared" si="56"/>
        <v/>
      </c>
      <c r="S185" t="str">
        <f>IF(A185=1,MAX(S$2:S184)+1,IF(OR(I185&lt;&gt;"",A185="x"),S184,""))</f>
        <v/>
      </c>
      <c r="T185" t="str">
        <f>IF(D185=1,MAX($T$2:$T184)+1,IF(S185=$S184,$S184,IF($D185="x",T184,IF($D184="x","",""))))</f>
        <v/>
      </c>
      <c r="U185" t="str">
        <f>IF(B185=1,MAX($U$2:$U184)+1,IF(AND($T185&lt;&gt;"",$T185=$T184),$U184,IF(B185="x",U184,"")))</f>
        <v/>
      </c>
      <c r="V185" t="str">
        <f>IF(C185=1,MAX($V$2:$V184)+1,IF(AND($T185&lt;&gt;"",$T185=$T184),$U184,IF(C185="x",V184,"")))</f>
        <v/>
      </c>
      <c r="W185" t="str" cm="1">
        <f t="array" ref="W185">IFERROR(_xlfn._xlws.FILTER(game_rosters!AB:AB,(game_rosters!J:J=events!X185)*(K185&lt;&gt;"")),"")</f>
        <v/>
      </c>
      <c r="X185" t="str" cm="1">
        <f t="array" ref="X185">IF(S185="","",IF($I185&lt;&gt;"",$I185,INDEX($I$2:$I184,ROW()-COUNTIFS($T$2:$T184,"="&amp;$T185,$S$2:$S184,"&lt;&gt;"&amp;$S185)-1)))</f>
        <v/>
      </c>
      <c r="Y185" t="b">
        <f>IF(X185&lt;&gt;"",VLOOKUP(X185,game_rosters!$C$43:$E$64,3,FALSE))</f>
        <v>0</v>
      </c>
      <c r="Z185" t="e" cm="1" vm="1">
        <f t="array" aca="1" ref="Z185" ca="1">IFERROR(IF(_xlfn._xlws.FILTER(game_rosters!$J:$J,(game_rosters!$G:$G=events!$AN185)*(game_rosters!$J:$J=events!$X185))&gt;0,1,""),"")</f>
        <v>#VALUE!</v>
      </c>
      <c r="AA185" t="e">
        <f t="shared" si="52"/>
        <v>#VALUE!</v>
      </c>
      <c r="AB185" t="str">
        <f t="shared" si="53"/>
        <v/>
      </c>
      <c r="AC185" t="e">
        <f t="shared" si="51"/>
        <v>#VALUE!</v>
      </c>
      <c r="AD185" s="6"/>
      <c r="BJ185" s="39"/>
      <c r="BM185" s="39"/>
      <c r="BO185" s="19"/>
      <c r="BQ185" s="17"/>
    </row>
    <row r="186" spans="1:69" x14ac:dyDescent="0.2">
      <c r="A186" t="str">
        <f t="shared" si="54"/>
        <v/>
      </c>
      <c r="E186" s="4"/>
      <c r="F186" s="44"/>
      <c r="G186" s="4"/>
      <c r="H186" s="47"/>
      <c r="J186" s="45" t="str">
        <f t="shared" si="55"/>
        <v/>
      </c>
      <c r="N186" t="str">
        <f t="shared" si="57"/>
        <v/>
      </c>
      <c r="Q186" t="str">
        <f t="shared" si="56"/>
        <v/>
      </c>
      <c r="S186" t="str">
        <f>IF(A186=1,MAX(S$2:S185)+1,IF(OR(I186&lt;&gt;"",A186="x"),S185,""))</f>
        <v/>
      </c>
      <c r="T186" t="str">
        <f>IF(D186=1,MAX($T$2:$T185)+1,IF(S186=$S185,$S185,IF($D186="x",T185,IF($D185="x","",""))))</f>
        <v/>
      </c>
      <c r="U186" t="str">
        <f>IF(B186=1,MAX($U$2:$U185)+1,IF(AND($T186&lt;&gt;"",$T186=$T185),$U185,IF(B186="x",U185,"")))</f>
        <v/>
      </c>
      <c r="V186" t="str">
        <f>IF(C186=1,MAX($V$2:$V185)+1,IF(AND($T186&lt;&gt;"",$T186=$T185),$U185,IF(C186="x",V185,"")))</f>
        <v/>
      </c>
      <c r="W186" t="str" cm="1">
        <f t="array" ref="W186">IFERROR(_xlfn._xlws.FILTER(game_rosters!AB:AB,(game_rosters!J:J=events!X186)*(K186&lt;&gt;"")),"")</f>
        <v/>
      </c>
      <c r="X186" t="str" cm="1">
        <f t="array" ref="X186">IF(S186="","",IF($I186&lt;&gt;"",$I186,INDEX($I$2:$I185,ROW()-COUNTIFS($T$2:$T185,"="&amp;$T186,$S$2:$S185,"&lt;&gt;"&amp;$S186)-1)))</f>
        <v/>
      </c>
      <c r="Y186" t="b">
        <f>IF(X186&lt;&gt;"",VLOOKUP(X186,game_rosters!$C$43:$E$64,3,FALSE))</f>
        <v>0</v>
      </c>
      <c r="Z186" t="e" cm="1" vm="1">
        <f t="array" aca="1" ref="Z186" ca="1">IFERROR(IF(_xlfn._xlws.FILTER(game_rosters!$J:$J,(game_rosters!$G:$G=events!$AN186)*(game_rosters!$J:$J=events!$X186))&gt;0,1,""),"")</f>
        <v>#VALUE!</v>
      </c>
      <c r="AA186" t="e">
        <f t="shared" si="52"/>
        <v>#VALUE!</v>
      </c>
      <c r="AB186" t="str">
        <f t="shared" si="53"/>
        <v/>
      </c>
      <c r="AC186" t="e">
        <f t="shared" si="51"/>
        <v>#VALUE!</v>
      </c>
      <c r="AD186" s="6"/>
      <c r="BJ186" s="39"/>
      <c r="BM186" s="39"/>
      <c r="BO186" s="19"/>
      <c r="BQ186" s="17"/>
    </row>
    <row r="187" spans="1:69" x14ac:dyDescent="0.2">
      <c r="A187" t="str">
        <f t="shared" si="54"/>
        <v/>
      </c>
      <c r="E187" s="4"/>
      <c r="F187" s="44"/>
      <c r="G187" s="4"/>
      <c r="H187" s="47"/>
      <c r="J187" s="45" t="str">
        <f t="shared" si="55"/>
        <v/>
      </c>
      <c r="N187" t="str">
        <f t="shared" si="57"/>
        <v/>
      </c>
      <c r="Q187" t="str">
        <f t="shared" si="56"/>
        <v/>
      </c>
      <c r="S187" t="str">
        <f>IF(A187=1,MAX(S$2:S186)+1,IF(OR(I187&lt;&gt;"",A187="x"),S186,""))</f>
        <v/>
      </c>
      <c r="T187" t="str">
        <f>IF(D187=1,MAX($T$2:$T186)+1,IF(S187=$S186,$S186,IF($D187="x",T186,IF($D186="x","",""))))</f>
        <v/>
      </c>
      <c r="U187" t="str">
        <f>IF(B187=1,MAX($U$2:$U186)+1,IF(AND($T187&lt;&gt;"",$T187=$T186),$U186,IF(B187="x",U186,"")))</f>
        <v/>
      </c>
      <c r="V187" t="str">
        <f>IF(C187=1,MAX($V$2:$V186)+1,IF(AND($T187&lt;&gt;"",$T187=$T186),$U186,IF(C187="x",V186,"")))</f>
        <v/>
      </c>
      <c r="W187" t="str" cm="1">
        <f t="array" ref="W187">IFERROR(_xlfn._xlws.FILTER(game_rosters!AB:AB,(game_rosters!J:J=events!X187)*(K187&lt;&gt;"")),"")</f>
        <v/>
      </c>
      <c r="X187" t="str" cm="1">
        <f t="array" ref="X187">IF(S187="","",IF($I187&lt;&gt;"",$I187,INDEX($I$2:$I186,ROW()-COUNTIFS($T$2:$T186,"="&amp;$T187,$S$2:$S186,"&lt;&gt;"&amp;$S187)-1)))</f>
        <v/>
      </c>
      <c r="Y187" t="b">
        <f>IF(X187&lt;&gt;"",VLOOKUP(X187,game_rosters!$C$43:$E$64,3,FALSE))</f>
        <v>0</v>
      </c>
      <c r="Z187" t="e" cm="1" vm="1">
        <f t="array" aca="1" ref="Z187" ca="1">IFERROR(IF(_xlfn._xlws.FILTER(game_rosters!$J:$J,(game_rosters!$G:$G=events!$AN187)*(game_rosters!$J:$J=events!$X187))&gt;0,1,""),"")</f>
        <v>#VALUE!</v>
      </c>
      <c r="AA187" t="e">
        <f t="shared" si="52"/>
        <v>#VALUE!</v>
      </c>
      <c r="AB187" t="str">
        <f t="shared" si="53"/>
        <v/>
      </c>
      <c r="AC187" t="e">
        <f t="shared" si="51"/>
        <v>#VALUE!</v>
      </c>
      <c r="AD187" s="6"/>
      <c r="BJ187" s="39"/>
      <c r="BM187" s="39"/>
      <c r="BO187" s="19"/>
      <c r="BQ187" s="17"/>
    </row>
    <row r="188" spans="1:69" x14ac:dyDescent="0.2">
      <c r="A188" t="str">
        <f t="shared" si="54"/>
        <v/>
      </c>
      <c r="E188" s="4"/>
      <c r="F188" s="44"/>
      <c r="G188" s="4"/>
      <c r="H188" s="47"/>
      <c r="J188" s="45" t="str">
        <f t="shared" si="55"/>
        <v/>
      </c>
      <c r="N188" t="str">
        <f t="shared" si="57"/>
        <v/>
      </c>
      <c r="Q188" t="str">
        <f t="shared" si="56"/>
        <v/>
      </c>
      <c r="S188" t="str">
        <f>IF(A188=1,MAX(S$2:S187)+1,IF(OR(I188&lt;&gt;"",A188="x"),S187,""))</f>
        <v/>
      </c>
      <c r="T188" t="str">
        <f>IF(D188=1,MAX($T$2:$T187)+1,IF(S188=$S187,$S187,IF($D188="x",T187,IF($D187="x","",""))))</f>
        <v/>
      </c>
      <c r="U188" t="str">
        <f>IF(B188=1,MAX($U$2:$U187)+1,IF(AND($T188&lt;&gt;"",$T188=$T187),$U187,IF(B188="x",U187,"")))</f>
        <v/>
      </c>
      <c r="V188" t="str">
        <f>IF(C188=1,MAX($V$2:$V187)+1,IF(AND($T188&lt;&gt;"",$T188=$T187),$U187,IF(C188="x",V187,"")))</f>
        <v/>
      </c>
      <c r="W188" t="str" cm="1">
        <f t="array" ref="W188">IFERROR(_xlfn._xlws.FILTER(game_rosters!AB:AB,(game_rosters!J:J=events!X188)*(K188&lt;&gt;"")),"")</f>
        <v/>
      </c>
      <c r="X188" t="str" cm="1">
        <f t="array" ref="X188">IF(S188="","",IF($I188&lt;&gt;"",$I188,INDEX($I$2:$I187,ROW()-COUNTIFS($T$2:$T187,"="&amp;$T188,$S$2:$S187,"&lt;&gt;"&amp;$S188)-1)))</f>
        <v/>
      </c>
      <c r="Y188" t="b">
        <f>IF(X188&lt;&gt;"",VLOOKUP(X188,game_rosters!$C$43:$E$64,3,FALSE))</f>
        <v>0</v>
      </c>
      <c r="Z188" t="e" cm="1" vm="1">
        <f t="array" aca="1" ref="Z188" ca="1">IFERROR(IF(_xlfn._xlws.FILTER(game_rosters!$J:$J,(game_rosters!$G:$G=events!$AN188)*(game_rosters!$J:$J=events!$X188))&gt;0,1,""),"")</f>
        <v>#VALUE!</v>
      </c>
      <c r="AA188" t="e">
        <f t="shared" si="52"/>
        <v>#VALUE!</v>
      </c>
      <c r="AB188" t="str">
        <f t="shared" si="53"/>
        <v/>
      </c>
      <c r="AC188" t="e">
        <f t="shared" si="51"/>
        <v>#VALUE!</v>
      </c>
      <c r="AD188" s="6"/>
      <c r="BJ188" s="39"/>
      <c r="BM188" s="39"/>
      <c r="BO188" s="19"/>
      <c r="BQ188" s="17"/>
    </row>
    <row r="189" spans="1:69" x14ac:dyDescent="0.2">
      <c r="A189" t="str">
        <f t="shared" si="54"/>
        <v/>
      </c>
      <c r="E189" s="4"/>
      <c r="F189" s="44"/>
      <c r="G189" s="4"/>
      <c r="H189" s="47"/>
      <c r="J189" s="45" t="str">
        <f t="shared" si="55"/>
        <v/>
      </c>
      <c r="N189" t="str">
        <f t="shared" si="57"/>
        <v/>
      </c>
      <c r="Q189" t="str">
        <f t="shared" si="56"/>
        <v/>
      </c>
      <c r="S189" t="str">
        <f>IF(A189=1,MAX(S$2:S188)+1,IF(OR(I189&lt;&gt;"",A189="x"),S188,""))</f>
        <v/>
      </c>
      <c r="T189" t="str">
        <f>IF(D189=1,MAX($T$2:$T188)+1,IF(S189=$S188,$S188,IF($D189="x",T188,IF($D188="x","",""))))</f>
        <v/>
      </c>
      <c r="U189" t="str">
        <f>IF(B189=1,MAX($U$2:$U188)+1,IF(AND($T189&lt;&gt;"",$T189=$T188),$U188,IF(B189="x",U188,"")))</f>
        <v/>
      </c>
      <c r="V189" t="str">
        <f>IF(C189=1,MAX($V$2:$V188)+1,IF(AND($T189&lt;&gt;"",$T189=$T188),$U188,IF(C189="x",V188,"")))</f>
        <v/>
      </c>
      <c r="W189" t="str" cm="1">
        <f t="array" ref="W189">IFERROR(_xlfn._xlws.FILTER(game_rosters!AB:AB,(game_rosters!J:J=events!X189)*(K189&lt;&gt;"")),"")</f>
        <v/>
      </c>
      <c r="X189" t="str" cm="1">
        <f t="array" ref="X189">IF(S189="","",IF($I189&lt;&gt;"",$I189,INDEX($I$2:$I188,ROW()-COUNTIFS($T$2:$T188,"="&amp;$T189,$S$2:$S188,"&lt;&gt;"&amp;$S189)-1)))</f>
        <v/>
      </c>
      <c r="Y189" t="b">
        <f>IF(X189&lt;&gt;"",VLOOKUP(X189,game_rosters!$C$43:$E$64,3,FALSE))</f>
        <v>0</v>
      </c>
      <c r="Z189" t="e" cm="1" vm="1">
        <f t="array" aca="1" ref="Z189" ca="1">IFERROR(IF(_xlfn._xlws.FILTER(game_rosters!$J:$J,(game_rosters!$G:$G=events!$AN189)*(game_rosters!$J:$J=events!$X189))&gt;0,1,""),"")</f>
        <v>#VALUE!</v>
      </c>
      <c r="AA189" t="e">
        <f t="shared" si="52"/>
        <v>#VALUE!</v>
      </c>
      <c r="AB189" t="str">
        <f t="shared" si="53"/>
        <v/>
      </c>
      <c r="AC189" t="e">
        <f t="shared" si="51"/>
        <v>#VALUE!</v>
      </c>
      <c r="AD189" s="6"/>
      <c r="BJ189" s="39"/>
      <c r="BM189" s="39"/>
      <c r="BO189" s="19"/>
      <c r="BQ189" s="17"/>
    </row>
    <row r="190" spans="1:69" x14ac:dyDescent="0.2">
      <c r="A190" t="str">
        <f t="shared" si="54"/>
        <v/>
      </c>
      <c r="E190" s="4"/>
      <c r="F190" s="44"/>
      <c r="G190" s="4"/>
      <c r="H190" s="47"/>
      <c r="J190" s="45" t="str">
        <f t="shared" si="55"/>
        <v/>
      </c>
      <c r="N190" t="str">
        <f t="shared" si="57"/>
        <v/>
      </c>
      <c r="Q190" t="str">
        <f t="shared" si="56"/>
        <v/>
      </c>
      <c r="S190" t="str">
        <f>IF(A190=1,MAX(S$2:S189)+1,IF(OR(I190&lt;&gt;"",A190="x"),S189,""))</f>
        <v/>
      </c>
      <c r="T190" t="str">
        <f>IF(D190=1,MAX($T$2:$T189)+1,IF(S190=$S189,$S189,IF($D190="x",T189,IF($D189="x","",""))))</f>
        <v/>
      </c>
      <c r="U190" t="str">
        <f>IF(B190=1,MAX($U$2:$U189)+1,IF(AND($T190&lt;&gt;"",$T190=$T189),$U189,IF(B190="x",U189,"")))</f>
        <v/>
      </c>
      <c r="V190" t="str">
        <f>IF(C190=1,MAX($V$2:$V189)+1,IF(AND($T190&lt;&gt;"",$T190=$T189),$U189,IF(C190="x",V189,"")))</f>
        <v/>
      </c>
      <c r="W190" t="str" cm="1">
        <f t="array" ref="W190">IFERROR(_xlfn._xlws.FILTER(game_rosters!AB:AB,(game_rosters!J:J=events!X190)*(K190&lt;&gt;"")),"")</f>
        <v/>
      </c>
      <c r="X190" t="str" cm="1">
        <f t="array" ref="X190">IF(S190="","",IF($I190&lt;&gt;"",$I190,INDEX($I$2:$I189,ROW()-COUNTIFS($T$2:$T189,"="&amp;$T190,$S$2:$S189,"&lt;&gt;"&amp;$S190)-1)))</f>
        <v/>
      </c>
      <c r="Y190" t="b">
        <f>IF(X190&lt;&gt;"",VLOOKUP(X190,game_rosters!$C$43:$E$64,3,FALSE))</f>
        <v>0</v>
      </c>
      <c r="Z190" t="e" cm="1" vm="1">
        <f t="array" aca="1" ref="Z190" ca="1">IFERROR(IF(_xlfn._xlws.FILTER(game_rosters!$J:$J,(game_rosters!$G:$G=events!$AN190)*(game_rosters!$J:$J=events!$X190))&gt;0,1,""),"")</f>
        <v>#VALUE!</v>
      </c>
      <c r="AA190" t="e">
        <f t="shared" si="52"/>
        <v>#VALUE!</v>
      </c>
      <c r="AB190" t="str">
        <f t="shared" si="53"/>
        <v/>
      </c>
      <c r="AC190" t="e">
        <f t="shared" si="51"/>
        <v>#VALUE!</v>
      </c>
      <c r="AD190" s="6"/>
      <c r="BJ190" s="39"/>
      <c r="BM190" s="39"/>
      <c r="BO190" s="19"/>
      <c r="BQ190" s="17"/>
    </row>
    <row r="191" spans="1:69" x14ac:dyDescent="0.2">
      <c r="A191" t="str">
        <f t="shared" si="54"/>
        <v/>
      </c>
      <c r="E191" s="4"/>
      <c r="F191" s="44"/>
      <c r="G191" s="4"/>
      <c r="H191" s="47"/>
      <c r="J191" s="45" t="str">
        <f t="shared" si="55"/>
        <v/>
      </c>
      <c r="N191" t="str">
        <f t="shared" si="57"/>
        <v/>
      </c>
      <c r="Q191" t="str">
        <f t="shared" si="56"/>
        <v/>
      </c>
      <c r="S191" t="str">
        <f>IF(A191=1,MAX(S$2:S190)+1,IF(OR(I191&lt;&gt;"",A191="x"),S190,""))</f>
        <v/>
      </c>
      <c r="T191" t="str">
        <f>IF(D191=1,MAX($T$2:$T190)+1,IF(S191=$S190,$S190,IF($D191="x",T190,IF($D190="x","",""))))</f>
        <v/>
      </c>
      <c r="U191" t="str">
        <f>IF(B191=1,MAX($U$2:$U190)+1,IF(AND($T191&lt;&gt;"",$T191=$T190),$U190,IF(B191="x",U190,"")))</f>
        <v/>
      </c>
      <c r="V191" t="str">
        <f>IF(C191=1,MAX($V$2:$V190)+1,IF(AND($T191&lt;&gt;"",$T191=$T190),$U190,IF(C191="x",V190,"")))</f>
        <v/>
      </c>
      <c r="W191" t="str" cm="1">
        <f t="array" ref="W191">IFERROR(_xlfn._xlws.FILTER(game_rosters!AB:AB,(game_rosters!J:J=events!X191)*(K191&lt;&gt;"")),"")</f>
        <v/>
      </c>
      <c r="X191" t="str" cm="1">
        <f t="array" ref="X191">IF(S191="","",IF($I191&lt;&gt;"",$I191,INDEX($I$2:$I190,ROW()-COUNTIFS($T$2:$T190,"="&amp;$T191,$S$2:$S190,"&lt;&gt;"&amp;$S191)-1)))</f>
        <v/>
      </c>
      <c r="Y191" t="b">
        <f>IF(X191&lt;&gt;"",VLOOKUP(X191,game_rosters!$C$43:$E$64,3,FALSE))</f>
        <v>0</v>
      </c>
      <c r="Z191" t="e" cm="1" vm="1">
        <f t="array" aca="1" ref="Z191" ca="1">IFERROR(IF(_xlfn._xlws.FILTER(game_rosters!$J:$J,(game_rosters!$G:$G=events!$AN191)*(game_rosters!$J:$J=events!$X191))&gt;0,1,""),"")</f>
        <v>#VALUE!</v>
      </c>
      <c r="AA191" t="e">
        <f t="shared" si="52"/>
        <v>#VALUE!</v>
      </c>
      <c r="AB191" t="str">
        <f t="shared" si="53"/>
        <v/>
      </c>
      <c r="AC191" t="e">
        <f t="shared" si="51"/>
        <v>#VALUE!</v>
      </c>
      <c r="AD191" s="6"/>
      <c r="BJ191" s="39"/>
      <c r="BM191" s="39"/>
      <c r="BO191" s="19"/>
      <c r="BQ191" s="17"/>
    </row>
    <row r="192" spans="1:69" x14ac:dyDescent="0.2">
      <c r="A192" t="str">
        <f t="shared" si="54"/>
        <v/>
      </c>
      <c r="E192" s="4"/>
      <c r="F192" s="44"/>
      <c r="G192" s="4"/>
      <c r="H192" s="47"/>
      <c r="J192" s="45" t="str">
        <f t="shared" si="55"/>
        <v/>
      </c>
      <c r="N192" t="str">
        <f t="shared" si="57"/>
        <v/>
      </c>
      <c r="Q192" t="str">
        <f t="shared" si="56"/>
        <v/>
      </c>
      <c r="S192" t="str">
        <f>IF(A192=1,MAX(S$2:S191)+1,IF(OR(I192&lt;&gt;"",A192="x"),S191,""))</f>
        <v/>
      </c>
      <c r="T192" t="str">
        <f>IF(D192=1,MAX($T$2:$T191)+1,IF(S192=$S191,$S191,IF($D192="x",T191,IF($D191="x","",""))))</f>
        <v/>
      </c>
      <c r="U192" t="str">
        <f>IF(B192=1,MAX($U$2:$U191)+1,IF(AND($T192&lt;&gt;"",$T192=$T191),$U191,IF(B192="x",U191,"")))</f>
        <v/>
      </c>
      <c r="V192" t="str">
        <f>IF(C192=1,MAX($V$2:$V191)+1,IF(AND($T192&lt;&gt;"",$T192=$T191),$U191,IF(C192="x",V191,"")))</f>
        <v/>
      </c>
      <c r="W192" t="str" cm="1">
        <f t="array" ref="W192">IFERROR(_xlfn._xlws.FILTER(game_rosters!AB:AB,(game_rosters!J:J=events!X192)*(K192&lt;&gt;"")),"")</f>
        <v/>
      </c>
      <c r="X192" t="str" cm="1">
        <f t="array" ref="X192">IF(S192="","",IF($I192&lt;&gt;"",$I192,INDEX($I$2:$I191,ROW()-COUNTIFS($T$2:$T191,"="&amp;$T192,$S$2:$S191,"&lt;&gt;"&amp;$S192)-1)))</f>
        <v/>
      </c>
      <c r="Y192" t="b">
        <f>IF(X192&lt;&gt;"",VLOOKUP(X192,game_rosters!$C$43:$E$64,3,FALSE))</f>
        <v>0</v>
      </c>
      <c r="Z192" t="e" cm="1" vm="1">
        <f t="array" aca="1" ref="Z192" ca="1">IFERROR(IF(_xlfn._xlws.FILTER(game_rosters!$J:$J,(game_rosters!$G:$G=events!$AN192)*(game_rosters!$J:$J=events!$X192))&gt;0,1,""),"")</f>
        <v>#VALUE!</v>
      </c>
      <c r="AA192" t="e">
        <f t="shared" si="52"/>
        <v>#VALUE!</v>
      </c>
      <c r="AB192" t="str">
        <f t="shared" si="53"/>
        <v/>
      </c>
      <c r="AC192" t="e">
        <f t="shared" si="51"/>
        <v>#VALUE!</v>
      </c>
      <c r="AD192" s="6"/>
      <c r="BJ192" s="39"/>
      <c r="BM192" s="39"/>
      <c r="BO192" s="19"/>
      <c r="BQ192" s="17"/>
    </row>
    <row r="193" spans="1:69" x14ac:dyDescent="0.2">
      <c r="A193" t="str">
        <f t="shared" si="54"/>
        <v/>
      </c>
      <c r="E193" s="4"/>
      <c r="F193" s="44"/>
      <c r="G193" s="4"/>
      <c r="H193" s="47"/>
      <c r="J193" s="45" t="str">
        <f t="shared" si="55"/>
        <v/>
      </c>
      <c r="N193" t="str">
        <f t="shared" si="57"/>
        <v/>
      </c>
      <c r="Q193" t="str">
        <f t="shared" si="56"/>
        <v/>
      </c>
      <c r="S193" t="str">
        <f>IF(A193=1,MAX(S$2:S192)+1,IF(OR(I193&lt;&gt;"",A193="x"),S192,""))</f>
        <v/>
      </c>
      <c r="T193" t="str">
        <f>IF(D193=1,MAX($T$2:$T192)+1,IF(S193=$S192,$S192,IF($D193="x",T192,IF($D192="x","",""))))</f>
        <v/>
      </c>
      <c r="U193" t="str">
        <f>IF(B193=1,MAX($U$2:$U192)+1,IF(AND($T193&lt;&gt;"",$T193=$T192),$U192,IF(B193="x",U192,"")))</f>
        <v/>
      </c>
      <c r="V193" t="str">
        <f>IF(C193=1,MAX($V$2:$V192)+1,IF(AND($T193&lt;&gt;"",$T193=$T192),$U192,IF(C193="x",V192,"")))</f>
        <v/>
      </c>
      <c r="W193" t="str" cm="1">
        <f t="array" ref="W193">IFERROR(_xlfn._xlws.FILTER(game_rosters!AB:AB,(game_rosters!J:J=events!X193)*(K193&lt;&gt;"")),"")</f>
        <v/>
      </c>
      <c r="X193" t="str" cm="1">
        <f t="array" ref="X193">IF(S193="","",IF($I193&lt;&gt;"",$I193,INDEX($I$2:$I192,ROW()-COUNTIFS($T$2:$T192,"="&amp;$T193,$S$2:$S192,"&lt;&gt;"&amp;$S193)-1)))</f>
        <v/>
      </c>
      <c r="Y193" t="b">
        <f>IF(X193&lt;&gt;"",VLOOKUP(X193,game_rosters!$C$43:$E$64,3,FALSE))</f>
        <v>0</v>
      </c>
      <c r="Z193" t="e" cm="1" vm="1">
        <f t="array" aca="1" ref="Z193" ca="1">IFERROR(IF(_xlfn._xlws.FILTER(game_rosters!$J:$J,(game_rosters!$G:$G=events!$AN193)*(game_rosters!$J:$J=events!$X193))&gt;0,1,""),"")</f>
        <v>#VALUE!</v>
      </c>
      <c r="AA193" t="e">
        <f t="shared" si="52"/>
        <v>#VALUE!</v>
      </c>
      <c r="AB193" t="str">
        <f t="shared" si="53"/>
        <v/>
      </c>
      <c r="AC193" t="e">
        <f t="shared" si="51"/>
        <v>#VALUE!</v>
      </c>
      <c r="AD193" s="6"/>
      <c r="BJ193" s="39"/>
      <c r="BM193" s="39"/>
      <c r="BO193" s="19"/>
      <c r="BQ193" s="17"/>
    </row>
    <row r="194" spans="1:69" x14ac:dyDescent="0.2">
      <c r="A194" t="str">
        <f t="shared" si="54"/>
        <v/>
      </c>
      <c r="E194" s="4"/>
      <c r="F194" s="44"/>
      <c r="G194" s="4"/>
      <c r="H194" s="47"/>
      <c r="J194" s="45" t="str">
        <f t="shared" si="55"/>
        <v/>
      </c>
      <c r="N194" t="str">
        <f t="shared" si="57"/>
        <v/>
      </c>
      <c r="Q194" t="str">
        <f t="shared" si="56"/>
        <v/>
      </c>
      <c r="S194" t="str">
        <f>IF(A194=1,MAX(S$2:S193)+1,IF(OR(I194&lt;&gt;"",A194="x"),S193,""))</f>
        <v/>
      </c>
      <c r="T194" t="str">
        <f>IF(D194=1,MAX($T$2:$T193)+1,IF(S194=$S193,$S193,IF($D194="x",T193,IF($D193="x","",""))))</f>
        <v/>
      </c>
      <c r="U194" t="str">
        <f>IF(B194=1,MAX($U$2:$U193)+1,IF(AND($T194&lt;&gt;"",$T194=$T193),$U193,IF(B194="x",U193,"")))</f>
        <v/>
      </c>
      <c r="V194" t="str">
        <f>IF(C194=1,MAX($V$2:$V193)+1,IF(AND($T194&lt;&gt;"",$T194=$T193),$U193,IF(C194="x",V193,"")))</f>
        <v/>
      </c>
      <c r="W194" t="str" cm="1">
        <f t="array" ref="W194">IFERROR(_xlfn._xlws.FILTER(game_rosters!AB:AB,(game_rosters!J:J=events!X194)*(K194&lt;&gt;"")),"")</f>
        <v/>
      </c>
      <c r="X194" t="str" cm="1">
        <f t="array" ref="X194">IF(S194="","",IF($I194&lt;&gt;"",$I194,INDEX($I$2:$I193,ROW()-COUNTIFS($T$2:$T193,"="&amp;$T194,$S$2:$S193,"&lt;&gt;"&amp;$S194)-1)))</f>
        <v/>
      </c>
      <c r="Y194" t="b">
        <f>IF(X194&lt;&gt;"",VLOOKUP(X194,game_rosters!$C$43:$E$64,3,FALSE))</f>
        <v>0</v>
      </c>
      <c r="Z194" t="e" cm="1" vm="1">
        <f t="array" aca="1" ref="Z194" ca="1">IFERROR(IF(_xlfn._xlws.FILTER(game_rosters!$J:$J,(game_rosters!$G:$G=events!$AN194)*(game_rosters!$J:$J=events!$X194))&gt;0,1,""),"")</f>
        <v>#VALUE!</v>
      </c>
      <c r="AA194" t="e">
        <f t="shared" si="52"/>
        <v>#VALUE!</v>
      </c>
      <c r="AB194" t="str">
        <f t="shared" si="53"/>
        <v/>
      </c>
      <c r="AC194" t="e">
        <f t="shared" ref="AC194:AC257" si="58">IF(AB194&lt;&gt;"",AB194,S194+1000)</f>
        <v>#VALUE!</v>
      </c>
      <c r="AD194" s="6"/>
      <c r="BJ194" s="39"/>
      <c r="BM194" s="39"/>
      <c r="BO194" s="19"/>
      <c r="BQ194" s="17"/>
    </row>
    <row r="195" spans="1:69" x14ac:dyDescent="0.2">
      <c r="A195" t="str">
        <f t="shared" si="54"/>
        <v/>
      </c>
      <c r="E195" s="4"/>
      <c r="F195" s="44"/>
      <c r="G195" s="4"/>
      <c r="H195" s="47"/>
      <c r="J195" s="45" t="str">
        <f t="shared" si="55"/>
        <v/>
      </c>
      <c r="N195" t="str">
        <f t="shared" si="57"/>
        <v/>
      </c>
      <c r="Q195" t="str">
        <f t="shared" si="56"/>
        <v/>
      </c>
      <c r="S195" t="str">
        <f>IF(A195=1,MAX(S$2:S194)+1,IF(OR(I195&lt;&gt;"",A195="x"),S194,""))</f>
        <v/>
      </c>
      <c r="T195" t="str">
        <f>IF(D195=1,MAX($T$2:$T194)+1,IF(S195=$S194,$S194,IF($D195="x",T194,IF($D194="x","",""))))</f>
        <v/>
      </c>
      <c r="U195" t="str">
        <f>IF(B195=1,MAX($U$2:$U194)+1,IF(AND($T195&lt;&gt;"",$T195=$T194),$U194,IF(B195="x",U194,"")))</f>
        <v/>
      </c>
      <c r="V195" t="str">
        <f>IF(C195=1,MAX($V$2:$V194)+1,IF(AND($T195&lt;&gt;"",$T195=$T194),$U194,IF(C195="x",V194,"")))</f>
        <v/>
      </c>
      <c r="W195" t="str" cm="1">
        <f t="array" ref="W195">IFERROR(_xlfn._xlws.FILTER(game_rosters!AB:AB,(game_rosters!J:J=events!X195)*(K195&lt;&gt;"")),"")</f>
        <v/>
      </c>
      <c r="X195" t="str" cm="1">
        <f t="array" ref="X195">IF(S195="","",IF($I195&lt;&gt;"",$I195,INDEX($I$2:$I194,ROW()-COUNTIFS($T$2:$T194,"="&amp;$T195,$S$2:$S194,"&lt;&gt;"&amp;$S195)-1)))</f>
        <v/>
      </c>
      <c r="Y195" t="b">
        <f>IF(X195&lt;&gt;"",VLOOKUP(X195,game_rosters!$C$43:$E$64,3,FALSE))</f>
        <v>0</v>
      </c>
      <c r="Z195" t="e" cm="1" vm="1">
        <f t="array" aca="1" ref="Z195" ca="1">IFERROR(IF(_xlfn._xlws.FILTER(game_rosters!$J:$J,(game_rosters!$G:$G=events!$AN195)*(game_rosters!$J:$J=events!$X195))&gt;0,1,""),"")</f>
        <v>#VALUE!</v>
      </c>
      <c r="AA195" t="e">
        <f t="shared" si="52"/>
        <v>#VALUE!</v>
      </c>
      <c r="AB195" t="str">
        <f t="shared" si="53"/>
        <v/>
      </c>
      <c r="AC195" t="e">
        <f t="shared" si="58"/>
        <v>#VALUE!</v>
      </c>
      <c r="AD195" s="6"/>
      <c r="BJ195" s="39"/>
      <c r="BM195" s="39"/>
      <c r="BO195" s="19"/>
      <c r="BQ195" s="17"/>
    </row>
    <row r="196" spans="1:69" x14ac:dyDescent="0.2">
      <c r="A196" t="str">
        <f t="shared" si="54"/>
        <v/>
      </c>
      <c r="E196" s="4"/>
      <c r="F196" s="44"/>
      <c r="G196" s="4"/>
      <c r="H196" s="47"/>
      <c r="J196" s="45" t="str">
        <f t="shared" si="55"/>
        <v/>
      </c>
      <c r="N196" t="str">
        <f t="shared" si="57"/>
        <v/>
      </c>
      <c r="Q196" t="str">
        <f t="shared" si="56"/>
        <v/>
      </c>
      <c r="S196" t="str">
        <f>IF(A196=1,MAX(S$2:S195)+1,IF(OR(I196&lt;&gt;"",A196="x"),S195,""))</f>
        <v/>
      </c>
      <c r="T196" t="str">
        <f>IF(D196=1,MAX($T$2:$T195)+1,IF(S196=$S195,$S195,IF($D196="x",T195,IF($D195="x","",""))))</f>
        <v/>
      </c>
      <c r="U196" t="str">
        <f>IF(B196=1,MAX($U$2:$U195)+1,IF(AND($T196&lt;&gt;"",$T196=$T195),$U195,IF(B196="x",U195,"")))</f>
        <v/>
      </c>
      <c r="V196" t="str">
        <f>IF(C196=1,MAX($V$2:$V195)+1,IF(AND($T196&lt;&gt;"",$T196=$T195),$U195,IF(C196="x",V195,"")))</f>
        <v/>
      </c>
      <c r="W196" t="str" cm="1">
        <f t="array" ref="W196">IFERROR(_xlfn._xlws.FILTER(game_rosters!AB:AB,(game_rosters!J:J=events!X196)*(K196&lt;&gt;"")),"")</f>
        <v/>
      </c>
      <c r="X196" t="str" cm="1">
        <f t="array" ref="X196">IF(S196="","",IF($I196&lt;&gt;"",$I196,INDEX($I$2:$I195,ROW()-COUNTIFS($T$2:$T195,"="&amp;$T196,$S$2:$S195,"&lt;&gt;"&amp;$S196)-1)))</f>
        <v/>
      </c>
      <c r="Y196" t="b">
        <f>IF(X196&lt;&gt;"",VLOOKUP(X196,game_rosters!$C$43:$E$64,3,FALSE))</f>
        <v>0</v>
      </c>
      <c r="Z196" t="e" cm="1" vm="1">
        <f t="array" aca="1" ref="Z196" ca="1">IFERROR(IF(_xlfn._xlws.FILTER(game_rosters!$J:$J,(game_rosters!$G:$G=events!$AN196)*(game_rosters!$J:$J=events!$X196))&gt;0,1,""),"")</f>
        <v>#VALUE!</v>
      </c>
      <c r="AA196" t="e">
        <f t="shared" ref="AA196:AA259" si="59">S196+1000</f>
        <v>#VALUE!</v>
      </c>
      <c r="AB196" t="str">
        <f t="shared" ref="AB196:AB259" si="60">IF(T196&lt;&gt;"",9000+T196,"")</f>
        <v/>
      </c>
      <c r="AC196" t="e">
        <f t="shared" si="58"/>
        <v>#VALUE!</v>
      </c>
      <c r="AD196" s="6"/>
      <c r="BJ196" s="39"/>
      <c r="BM196" s="39"/>
      <c r="BO196" s="19"/>
      <c r="BQ196" s="17"/>
    </row>
    <row r="197" spans="1:69" x14ac:dyDescent="0.2">
      <c r="A197" t="str">
        <f t="shared" ref="A197:A260" si="61">IF(K197&lt;&gt;"",1,IF(D197="x","x",""))</f>
        <v/>
      </c>
      <c r="E197" s="4"/>
      <c r="F197" s="44"/>
      <c r="G197" s="4"/>
      <c r="H197" s="47"/>
      <c r="J197" s="45" t="str">
        <f t="shared" si="55"/>
        <v/>
      </c>
      <c r="N197" t="str">
        <f t="shared" si="57"/>
        <v/>
      </c>
      <c r="Q197" t="str">
        <f t="shared" si="56"/>
        <v/>
      </c>
      <c r="S197" t="str">
        <f>IF(A197=1,MAX(S$2:S196)+1,IF(OR(I197&lt;&gt;"",A197="x"),S196,""))</f>
        <v/>
      </c>
      <c r="T197" t="str">
        <f>IF(D197=1,MAX($T$2:$T196)+1,IF(S197=$S196,$S196,IF($D197="x",T196,IF($D196="x","",""))))</f>
        <v/>
      </c>
      <c r="U197" t="str">
        <f>IF(B197=1,MAX($U$2:$U196)+1,IF(AND($T197&lt;&gt;"",$T197=$T196),$U196,IF(B197="x",U196,"")))</f>
        <v/>
      </c>
      <c r="V197" t="str">
        <f>IF(C197=1,MAX($V$2:$V196)+1,IF(AND($T197&lt;&gt;"",$T197=$T196),$U196,IF(C197="x",V196,"")))</f>
        <v/>
      </c>
      <c r="W197" t="str" cm="1">
        <f t="array" ref="W197">IFERROR(_xlfn._xlws.FILTER(game_rosters!AB:AB,(game_rosters!J:J=events!X197)*(K197&lt;&gt;"")),"")</f>
        <v/>
      </c>
      <c r="X197" t="str" cm="1">
        <f t="array" ref="X197">IF(S197="","",IF($I197&lt;&gt;"",$I197,INDEX($I$2:$I196,ROW()-COUNTIFS($T$2:$T196,"="&amp;$T197,$S$2:$S196,"&lt;&gt;"&amp;$S197)-1)))</f>
        <v/>
      </c>
      <c r="Y197" t="b">
        <f>IF(X197&lt;&gt;"",VLOOKUP(X197,game_rosters!$C$43:$E$64,3,FALSE))</f>
        <v>0</v>
      </c>
      <c r="Z197" t="e" cm="1" vm="1">
        <f t="array" aca="1" ref="Z197" ca="1">IFERROR(IF(_xlfn._xlws.FILTER(game_rosters!$J:$J,(game_rosters!$G:$G=events!$AN197)*(game_rosters!$J:$J=events!$X197))&gt;0,1,""),"")</f>
        <v>#VALUE!</v>
      </c>
      <c r="AA197" t="e">
        <f t="shared" si="59"/>
        <v>#VALUE!</v>
      </c>
      <c r="AB197" t="str">
        <f t="shared" si="60"/>
        <v/>
      </c>
      <c r="AC197" t="e">
        <f t="shared" si="58"/>
        <v>#VALUE!</v>
      </c>
      <c r="AD197" s="6"/>
      <c r="BJ197" s="39"/>
      <c r="BM197" s="39"/>
      <c r="BO197" s="19"/>
      <c r="BQ197" s="17"/>
    </row>
    <row r="198" spans="1:69" x14ac:dyDescent="0.2">
      <c r="A198" t="str">
        <f t="shared" si="61"/>
        <v/>
      </c>
      <c r="E198" s="4"/>
      <c r="F198" s="44"/>
      <c r="G198" s="4"/>
      <c r="H198" s="47"/>
      <c r="J198" s="45" t="str">
        <f t="shared" ref="J198:J261" si="62">IF(OR(K198="Goal",K198="Shot",L198="Zone_Entry",M198="Stoppage-Goal",M197="Stoppage-Goal"),"o",IF(OR(K198="Save",K198="Rebound",L198="Zone_Exit",M198="Stoppage-GoalieStoppage",M197="Stoppage-GoalieStoppage"),"d",IF(OR(L198="Faceoff_AfterGoal",L198="Faceoff_PeriodStart",698="Faceoff_GameStart",M197="Stoppage-Goal"),"n","")))</f>
        <v/>
      </c>
      <c r="N198" t="str">
        <f t="shared" si="57"/>
        <v/>
      </c>
      <c r="Q198" t="str">
        <f t="shared" si="56"/>
        <v/>
      </c>
      <c r="S198" t="str">
        <f>IF(A198=1,MAX(S$2:S197)+1,IF(OR(I198&lt;&gt;"",A198="x"),S197,""))</f>
        <v/>
      </c>
      <c r="T198" t="str">
        <f>IF(D198=1,MAX($T$2:$T197)+1,IF(S198=$S197,$S197,IF($D198="x",T197,IF($D197="x","",""))))</f>
        <v/>
      </c>
      <c r="U198" t="str">
        <f>IF(B198=1,MAX($U$2:$U197)+1,IF(AND($T198&lt;&gt;"",$T198=$T197),$U197,IF(B198="x",U197,"")))</f>
        <v/>
      </c>
      <c r="V198" t="str">
        <f>IF(C198=1,MAX($V$2:$V197)+1,IF(AND($T198&lt;&gt;"",$T198=$T197),$U197,IF(C198="x",V197,"")))</f>
        <v/>
      </c>
      <c r="W198" t="str" cm="1">
        <f t="array" ref="W198">IFERROR(_xlfn._xlws.FILTER(game_rosters!AB:AB,(game_rosters!J:J=events!X198)*(K198&lt;&gt;"")),"")</f>
        <v/>
      </c>
      <c r="X198" t="str" cm="1">
        <f t="array" ref="X198">IF(S198="","",IF($I198&lt;&gt;"",$I198,INDEX($I$2:$I197,ROW()-COUNTIFS($T$2:$T197,"="&amp;$T198,$S$2:$S197,"&lt;&gt;"&amp;$S198)-1)))</f>
        <v/>
      </c>
      <c r="Y198" t="b">
        <f>IF(X198&lt;&gt;"",VLOOKUP(X198,game_rosters!$C$43:$E$64,3,FALSE))</f>
        <v>0</v>
      </c>
      <c r="Z198" t="e" cm="1" vm="1">
        <f t="array" aca="1" ref="Z198" ca="1">IFERROR(IF(_xlfn._xlws.FILTER(game_rosters!$J:$J,(game_rosters!$G:$G=events!$AN198)*(game_rosters!$J:$J=events!$X198))&gt;0,1,""),"")</f>
        <v>#VALUE!</v>
      </c>
      <c r="AA198" t="e">
        <f t="shared" si="59"/>
        <v>#VALUE!</v>
      </c>
      <c r="AB198" t="str">
        <f t="shared" si="60"/>
        <v/>
      </c>
      <c r="AC198" t="e">
        <f t="shared" si="58"/>
        <v>#VALUE!</v>
      </c>
      <c r="AD198" s="6"/>
      <c r="BJ198" s="39"/>
      <c r="BM198" s="39"/>
      <c r="BO198" s="19"/>
      <c r="BQ198" s="17"/>
    </row>
    <row r="199" spans="1:69" x14ac:dyDescent="0.2">
      <c r="A199" t="str">
        <f t="shared" si="61"/>
        <v/>
      </c>
      <c r="E199" s="4"/>
      <c r="F199" s="44"/>
      <c r="G199" s="4"/>
      <c r="H199" s="47"/>
      <c r="J199" s="45" t="str">
        <f t="shared" si="62"/>
        <v/>
      </c>
      <c r="N199" t="str">
        <f t="shared" si="57"/>
        <v/>
      </c>
      <c r="Q199" t="str">
        <f t="shared" si="56"/>
        <v/>
      </c>
      <c r="S199" t="str">
        <f>IF(A199=1,MAX(S$2:S198)+1,IF(OR(I199&lt;&gt;"",A199="x"),S198,""))</f>
        <v/>
      </c>
      <c r="T199" t="str">
        <f>IF(D199=1,MAX($T$2:$T198)+1,IF(S199=$S198,$S198,IF($D199="x",T198,IF($D198="x","",""))))</f>
        <v/>
      </c>
      <c r="U199" t="str">
        <f>IF(B199=1,MAX($U$2:$U198)+1,IF(AND($T199&lt;&gt;"",$T199=$T198),$U198,IF(B199="x",U198,"")))</f>
        <v/>
      </c>
      <c r="V199" t="str">
        <f>IF(C199=1,MAX($V$2:$V198)+1,IF(AND($T199&lt;&gt;"",$T199=$T198),$U198,IF(C199="x",V198,"")))</f>
        <v/>
      </c>
      <c r="W199" t="str" cm="1">
        <f t="array" ref="W199">IFERROR(_xlfn._xlws.FILTER(game_rosters!AB:AB,(game_rosters!J:J=events!X199)*(K199&lt;&gt;"")),"")</f>
        <v/>
      </c>
      <c r="X199" t="str" cm="1">
        <f t="array" ref="X199">IF(S199="","",IF($I199&lt;&gt;"",$I199,INDEX($I$2:$I198,ROW()-COUNTIFS($T$2:$T198,"="&amp;$T199,$S$2:$S198,"&lt;&gt;"&amp;$S199)-1)))</f>
        <v/>
      </c>
      <c r="Y199" t="b">
        <f>IF(X199&lt;&gt;"",VLOOKUP(X199,game_rosters!$C$43:$E$64,3,FALSE))</f>
        <v>0</v>
      </c>
      <c r="Z199" t="e" cm="1" vm="1">
        <f t="array" aca="1" ref="Z199" ca="1">IFERROR(IF(_xlfn._xlws.FILTER(game_rosters!$J:$J,(game_rosters!$G:$G=events!$AN199)*(game_rosters!$J:$J=events!$X199))&gt;0,1,""),"")</f>
        <v>#VALUE!</v>
      </c>
      <c r="AA199" t="e">
        <f t="shared" si="59"/>
        <v>#VALUE!</v>
      </c>
      <c r="AB199" t="str">
        <f t="shared" si="60"/>
        <v/>
      </c>
      <c r="AC199" t="e">
        <f t="shared" si="58"/>
        <v>#VALUE!</v>
      </c>
      <c r="AD199" s="6"/>
      <c r="BJ199" s="39"/>
      <c r="BM199" s="39"/>
      <c r="BO199" s="19"/>
      <c r="BQ199" s="17"/>
    </row>
    <row r="200" spans="1:69" x14ac:dyDescent="0.2">
      <c r="A200" t="str">
        <f t="shared" si="61"/>
        <v/>
      </c>
      <c r="E200" s="4"/>
      <c r="F200" s="44"/>
      <c r="G200" s="4"/>
      <c r="H200" s="47"/>
      <c r="J200" s="45" t="str">
        <f t="shared" si="62"/>
        <v/>
      </c>
      <c r="N200" t="str">
        <f t="shared" si="57"/>
        <v/>
      </c>
      <c r="Q200" t="str">
        <f t="shared" si="56"/>
        <v/>
      </c>
      <c r="S200" t="str">
        <f>IF(A200=1,MAX(S$2:S199)+1,IF(OR(I200&lt;&gt;"",A200="x"),S199,""))</f>
        <v/>
      </c>
      <c r="T200" t="str">
        <f>IF(D200=1,MAX($T$2:$T199)+1,IF(S200=$S199,$S199,IF($D200="x",T199,IF($D199="x","",""))))</f>
        <v/>
      </c>
      <c r="U200" t="str">
        <f>IF(B200=1,MAX($U$2:$U199)+1,IF(AND($T200&lt;&gt;"",$T200=$T199),$U199,IF(B200="x",U199,"")))</f>
        <v/>
      </c>
      <c r="V200" t="str">
        <f>IF(C200=1,MAX($V$2:$V199)+1,IF(AND($T200&lt;&gt;"",$T200=$T199),$U199,IF(C200="x",V199,"")))</f>
        <v/>
      </c>
      <c r="W200" t="str" cm="1">
        <f t="array" ref="W200">IFERROR(_xlfn._xlws.FILTER(game_rosters!AB:AB,(game_rosters!J:J=events!X200)*(K200&lt;&gt;"")),"")</f>
        <v/>
      </c>
      <c r="X200" t="str" cm="1">
        <f t="array" ref="X200">IF(S200="","",IF($I200&lt;&gt;"",$I200,INDEX($I$2:$I199,ROW()-COUNTIFS($T$2:$T199,"="&amp;$T200,$S$2:$S199,"&lt;&gt;"&amp;$S200)-1)))</f>
        <v/>
      </c>
      <c r="Y200" t="b">
        <f>IF(X200&lt;&gt;"",VLOOKUP(X200,game_rosters!$C$43:$E$64,3,FALSE))</f>
        <v>0</v>
      </c>
      <c r="Z200" t="e" cm="1" vm="1">
        <f t="array" aca="1" ref="Z200" ca="1">IFERROR(IF(_xlfn._xlws.FILTER(game_rosters!$J:$J,(game_rosters!$G:$G=events!$AN200)*(game_rosters!$J:$J=events!$X200))&gt;0,1,""),"")</f>
        <v>#VALUE!</v>
      </c>
      <c r="AA200" t="e">
        <f t="shared" si="59"/>
        <v>#VALUE!</v>
      </c>
      <c r="AB200" t="str">
        <f t="shared" si="60"/>
        <v/>
      </c>
      <c r="AC200" t="e">
        <f t="shared" si="58"/>
        <v>#VALUE!</v>
      </c>
      <c r="AD200" s="6"/>
      <c r="BJ200" s="39"/>
      <c r="BM200" s="39"/>
      <c r="BO200" s="19"/>
      <c r="BQ200" s="17"/>
    </row>
    <row r="201" spans="1:69" x14ac:dyDescent="0.2">
      <c r="A201" t="str">
        <f t="shared" si="61"/>
        <v/>
      </c>
      <c r="E201" s="4"/>
      <c r="F201" s="44"/>
      <c r="G201" s="4"/>
      <c r="H201" s="47"/>
      <c r="J201" s="45" t="str">
        <f t="shared" si="62"/>
        <v/>
      </c>
      <c r="N201" t="str">
        <f t="shared" si="57"/>
        <v/>
      </c>
      <c r="Q201" t="str">
        <f t="shared" si="56"/>
        <v/>
      </c>
      <c r="S201" t="str">
        <f>IF(A201=1,MAX(S$2:S200)+1,IF(OR(I201&lt;&gt;"",A201="x"),S200,""))</f>
        <v/>
      </c>
      <c r="T201" t="str">
        <f>IF(D201=1,MAX($T$2:$T200)+1,IF(S201=$S200,$S200,IF($D201="x",T200,IF($D200="x","",""))))</f>
        <v/>
      </c>
      <c r="U201" t="str">
        <f>IF(B201=1,MAX($U$2:$U200)+1,IF(AND($T201&lt;&gt;"",$T201=$T200),$U200,IF(B201="x",U200,"")))</f>
        <v/>
      </c>
      <c r="V201" t="str">
        <f>IF(C201=1,MAX($V$2:$V200)+1,IF(AND($T201&lt;&gt;"",$T201=$T200),$U200,IF(C201="x",V200,"")))</f>
        <v/>
      </c>
      <c r="W201" t="str" cm="1">
        <f t="array" ref="W201">IFERROR(_xlfn._xlws.FILTER(game_rosters!AB:AB,(game_rosters!J:J=events!X201)*(K201&lt;&gt;"")),"")</f>
        <v/>
      </c>
      <c r="X201" t="str" cm="1">
        <f t="array" ref="X201">IF(S201="","",IF($I201&lt;&gt;"",$I201,INDEX($I$2:$I200,ROW()-COUNTIFS($T$2:$T200,"="&amp;$T201,$S$2:$S200,"&lt;&gt;"&amp;$S201)-1)))</f>
        <v/>
      </c>
      <c r="Y201" t="b">
        <f>IF(X201&lt;&gt;"",VLOOKUP(X201,game_rosters!$C$43:$E$64,3,FALSE))</f>
        <v>0</v>
      </c>
      <c r="Z201" t="e" cm="1" vm="1">
        <f t="array" aca="1" ref="Z201" ca="1">IFERROR(IF(_xlfn._xlws.FILTER(game_rosters!$J:$J,(game_rosters!$G:$G=events!$AN201)*(game_rosters!$J:$J=events!$X201))&gt;0,1,""),"")</f>
        <v>#VALUE!</v>
      </c>
      <c r="AA201" t="e">
        <f t="shared" si="59"/>
        <v>#VALUE!</v>
      </c>
      <c r="AB201" t="str">
        <f t="shared" si="60"/>
        <v/>
      </c>
      <c r="AC201" t="e">
        <f t="shared" si="58"/>
        <v>#VALUE!</v>
      </c>
      <c r="AD201" s="6"/>
      <c r="BJ201" s="39"/>
      <c r="BM201" s="39"/>
      <c r="BO201" s="19"/>
      <c r="BQ201" s="17"/>
    </row>
    <row r="202" spans="1:69" x14ac:dyDescent="0.2">
      <c r="A202" t="str">
        <f t="shared" si="61"/>
        <v/>
      </c>
      <c r="E202" s="4"/>
      <c r="F202" s="44"/>
      <c r="G202" s="4"/>
      <c r="H202" s="47"/>
      <c r="J202" s="45" t="str">
        <f t="shared" si="62"/>
        <v/>
      </c>
      <c r="N202" t="str">
        <f t="shared" si="57"/>
        <v/>
      </c>
      <c r="Q202" t="str">
        <f t="shared" si="56"/>
        <v/>
      </c>
      <c r="S202" t="str">
        <f>IF(A202=1,MAX(S$2:S201)+1,IF(OR(I202&lt;&gt;"",A202="x"),S201,""))</f>
        <v/>
      </c>
      <c r="T202" t="str">
        <f>IF(D202=1,MAX($T$2:$T201)+1,IF(S202=$S201,$S201,IF($D202="x",T201,IF($D201="x","",""))))</f>
        <v/>
      </c>
      <c r="U202" t="str">
        <f>IF(B202=1,MAX($U$2:$U201)+1,IF(AND($T202&lt;&gt;"",$T202=$T201),$U201,IF(B202="x",U201,"")))</f>
        <v/>
      </c>
      <c r="V202" t="str">
        <f>IF(C202=1,MAX($V$2:$V201)+1,IF(AND($T202&lt;&gt;"",$T202=$T201),$U201,IF(C202="x",V201,"")))</f>
        <v/>
      </c>
      <c r="W202" t="str" cm="1">
        <f t="array" ref="W202">IFERROR(_xlfn._xlws.FILTER(game_rosters!AB:AB,(game_rosters!J:J=events!X202)*(K202&lt;&gt;"")),"")</f>
        <v/>
      </c>
      <c r="X202" t="str" cm="1">
        <f t="array" ref="X202">IF(S202="","",IF($I202&lt;&gt;"",$I202,INDEX($I$2:$I201,ROW()-COUNTIFS($T$2:$T201,"="&amp;$T202,$S$2:$S201,"&lt;&gt;"&amp;$S202)-1)))</f>
        <v/>
      </c>
      <c r="Y202" t="b">
        <f>IF(X202&lt;&gt;"",VLOOKUP(X202,game_rosters!$C$43:$E$64,3,FALSE))</f>
        <v>0</v>
      </c>
      <c r="Z202" t="e" cm="1" vm="1">
        <f t="array" aca="1" ref="Z202" ca="1">IFERROR(IF(_xlfn._xlws.FILTER(game_rosters!$J:$J,(game_rosters!$G:$G=events!$AN202)*(game_rosters!$J:$J=events!$X202))&gt;0,1,""),"")</f>
        <v>#VALUE!</v>
      </c>
      <c r="AA202" t="e">
        <f t="shared" si="59"/>
        <v>#VALUE!</v>
      </c>
      <c r="AB202" t="str">
        <f t="shared" si="60"/>
        <v/>
      </c>
      <c r="AC202" t="e">
        <f t="shared" si="58"/>
        <v>#VALUE!</v>
      </c>
      <c r="AD202" s="6"/>
      <c r="BJ202" s="39"/>
      <c r="BM202" s="39"/>
      <c r="BO202" s="19"/>
      <c r="BQ202" s="17"/>
    </row>
    <row r="203" spans="1:69" x14ac:dyDescent="0.2">
      <c r="A203" t="str">
        <f t="shared" si="61"/>
        <v/>
      </c>
      <c r="E203" s="4"/>
      <c r="F203" s="44"/>
      <c r="G203" s="4"/>
      <c r="H203" s="47"/>
      <c r="J203" s="45" t="str">
        <f t="shared" si="62"/>
        <v/>
      </c>
      <c r="N203" t="str">
        <f t="shared" si="57"/>
        <v/>
      </c>
      <c r="Q203" t="str">
        <f t="shared" si="56"/>
        <v/>
      </c>
      <c r="S203" t="str">
        <f>IF(A203=1,MAX(S$2:S202)+1,IF(OR(I203&lt;&gt;"",A203="x"),S202,""))</f>
        <v/>
      </c>
      <c r="T203" t="str">
        <f>IF(D203=1,MAX($T$2:$T202)+1,IF(S203=$S202,$S202,IF($D203="x",T202,IF($D202="x","",""))))</f>
        <v/>
      </c>
      <c r="U203" t="str">
        <f>IF(B203=1,MAX($U$2:$U202)+1,IF(AND($T203&lt;&gt;"",$T203=$T202),$U202,IF(B203="x",U202,"")))</f>
        <v/>
      </c>
      <c r="V203" t="str">
        <f>IF(C203=1,MAX($V$2:$V202)+1,IF(AND($T203&lt;&gt;"",$T203=$T202),$U202,IF(C203="x",V202,"")))</f>
        <v/>
      </c>
      <c r="W203" t="str" cm="1">
        <f t="array" ref="W203">IFERROR(_xlfn._xlws.FILTER(game_rosters!AB:AB,(game_rosters!J:J=events!X203)*(K203&lt;&gt;"")),"")</f>
        <v/>
      </c>
      <c r="X203" t="str" cm="1">
        <f t="array" ref="X203">IF(S203="","",IF($I203&lt;&gt;"",$I203,INDEX($I$2:$I202,ROW()-COUNTIFS($T$2:$T202,"="&amp;$T203,$S$2:$S202,"&lt;&gt;"&amp;$S203)-1)))</f>
        <v/>
      </c>
      <c r="Y203" t="b">
        <f>IF(X203&lt;&gt;"",VLOOKUP(X203,game_rosters!$C$43:$E$64,3,FALSE))</f>
        <v>0</v>
      </c>
      <c r="Z203" t="e" cm="1" vm="1">
        <f t="array" aca="1" ref="Z203" ca="1">IFERROR(IF(_xlfn._xlws.FILTER(game_rosters!$J:$J,(game_rosters!$G:$G=events!$AN203)*(game_rosters!$J:$J=events!$X203))&gt;0,1,""),"")</f>
        <v>#VALUE!</v>
      </c>
      <c r="AA203" t="e">
        <f t="shared" si="59"/>
        <v>#VALUE!</v>
      </c>
      <c r="AB203" t="str">
        <f t="shared" si="60"/>
        <v/>
      </c>
      <c r="AC203" t="e">
        <f t="shared" si="58"/>
        <v>#VALUE!</v>
      </c>
      <c r="AD203" s="6"/>
      <c r="BJ203" s="39"/>
      <c r="BM203" s="39"/>
      <c r="BO203" s="19"/>
      <c r="BQ203" s="17"/>
    </row>
    <row r="204" spans="1:69" x14ac:dyDescent="0.2">
      <c r="A204" t="str">
        <f t="shared" si="61"/>
        <v/>
      </c>
      <c r="E204" s="4"/>
      <c r="F204" s="44"/>
      <c r="G204" s="4"/>
      <c r="H204" s="47"/>
      <c r="J204" s="45" t="str">
        <f t="shared" si="62"/>
        <v/>
      </c>
      <c r="N204" t="str">
        <f t="shared" si="57"/>
        <v/>
      </c>
      <c r="Q204" t="str">
        <f t="shared" si="56"/>
        <v/>
      </c>
      <c r="S204" t="str">
        <f>IF(A204=1,MAX(S$2:S203)+1,IF(OR(I204&lt;&gt;"",A204="x"),S203,""))</f>
        <v/>
      </c>
      <c r="T204" t="str">
        <f>IF(D204=1,MAX($T$2:$T203)+1,IF(S204=$S203,$S203,IF($D204="x",T203,IF($D203="x","",""))))</f>
        <v/>
      </c>
      <c r="U204" t="str">
        <f>IF(B204=1,MAX($U$2:$U203)+1,IF(AND($T204&lt;&gt;"",$T204=$T203),$U203,IF(B204="x",U203,"")))</f>
        <v/>
      </c>
      <c r="V204" t="str">
        <f>IF(C204=1,MAX($V$2:$V203)+1,IF(AND($T204&lt;&gt;"",$T204=$T203),$U203,IF(C204="x",V203,"")))</f>
        <v/>
      </c>
      <c r="W204" t="str" cm="1">
        <f t="array" ref="W204">IFERROR(_xlfn._xlws.FILTER(game_rosters!AB:AB,(game_rosters!J:J=events!X204)*(K204&lt;&gt;"")),"")</f>
        <v/>
      </c>
      <c r="X204" t="str" cm="1">
        <f t="array" ref="X204">IF(S204="","",IF($I204&lt;&gt;"",$I204,INDEX($I$2:$I203,ROW()-COUNTIFS($T$2:$T203,"="&amp;$T204,$S$2:$S203,"&lt;&gt;"&amp;$S204)-1)))</f>
        <v/>
      </c>
      <c r="Y204" t="b">
        <f>IF(X204&lt;&gt;"",VLOOKUP(X204,game_rosters!$C$43:$E$64,3,FALSE))</f>
        <v>0</v>
      </c>
      <c r="Z204" t="e" cm="1" vm="1">
        <f t="array" aca="1" ref="Z204" ca="1">IFERROR(IF(_xlfn._xlws.FILTER(game_rosters!$J:$J,(game_rosters!$G:$G=events!$AN204)*(game_rosters!$J:$J=events!$X204))&gt;0,1,""),"")</f>
        <v>#VALUE!</v>
      </c>
      <c r="AA204" t="e">
        <f t="shared" si="59"/>
        <v>#VALUE!</v>
      </c>
      <c r="AB204" t="str">
        <f t="shared" si="60"/>
        <v/>
      </c>
      <c r="AC204" t="e">
        <f t="shared" si="58"/>
        <v>#VALUE!</v>
      </c>
      <c r="AD204" s="6"/>
      <c r="BJ204" s="39"/>
      <c r="BM204" s="39"/>
      <c r="BO204" s="19"/>
      <c r="BQ204" s="17"/>
    </row>
    <row r="205" spans="1:69" x14ac:dyDescent="0.2">
      <c r="A205" t="str">
        <f t="shared" si="61"/>
        <v/>
      </c>
      <c r="E205" s="4"/>
      <c r="F205" s="44"/>
      <c r="G205" s="4"/>
      <c r="H205" s="47"/>
      <c r="J205" s="45" t="str">
        <f t="shared" si="62"/>
        <v/>
      </c>
      <c r="N205" t="str">
        <f t="shared" si="57"/>
        <v/>
      </c>
      <c r="Q205" t="str">
        <f t="shared" si="56"/>
        <v/>
      </c>
      <c r="S205" t="str">
        <f>IF(A205=1,MAX(S$2:S204)+1,IF(OR(I205&lt;&gt;"",A205="x"),S204,""))</f>
        <v/>
      </c>
      <c r="T205" t="str">
        <f>IF(D205=1,MAX($T$2:$T204)+1,IF(S205=$S204,$S204,IF($D205="x",T204,IF($D204="x","",""))))</f>
        <v/>
      </c>
      <c r="U205" t="str">
        <f>IF(B205=1,MAX($U$2:$U204)+1,IF(AND($T205&lt;&gt;"",$T205=$T204),$U204,IF(B205="x",U204,"")))</f>
        <v/>
      </c>
      <c r="V205" t="str">
        <f>IF(C205=1,MAX($V$2:$V204)+1,IF(AND($T205&lt;&gt;"",$T205=$T204),$U204,IF(C205="x",V204,"")))</f>
        <v/>
      </c>
      <c r="W205" t="str" cm="1">
        <f t="array" ref="W205">IFERROR(_xlfn._xlws.FILTER(game_rosters!AB:AB,(game_rosters!J:J=events!X205)*(K205&lt;&gt;"")),"")</f>
        <v/>
      </c>
      <c r="X205" t="str" cm="1">
        <f t="array" ref="X205">IF(S205="","",IF($I205&lt;&gt;"",$I205,INDEX($I$2:$I204,ROW()-COUNTIFS($T$2:$T204,"="&amp;$T205,$S$2:$S204,"&lt;&gt;"&amp;$S205)-1)))</f>
        <v/>
      </c>
      <c r="Y205" t="b">
        <f>IF(X205&lt;&gt;"",VLOOKUP(X205,game_rosters!$C$43:$E$64,3,FALSE))</f>
        <v>0</v>
      </c>
      <c r="Z205" t="e" cm="1" vm="1">
        <f t="array" aca="1" ref="Z205" ca="1">IFERROR(IF(_xlfn._xlws.FILTER(game_rosters!$J:$J,(game_rosters!$G:$G=events!$AN205)*(game_rosters!$J:$J=events!$X205))&gt;0,1,""),"")</f>
        <v>#VALUE!</v>
      </c>
      <c r="AA205" t="e">
        <f t="shared" si="59"/>
        <v>#VALUE!</v>
      </c>
      <c r="AB205" t="str">
        <f t="shared" si="60"/>
        <v/>
      </c>
      <c r="AC205" t="e">
        <f t="shared" si="58"/>
        <v>#VALUE!</v>
      </c>
      <c r="AD205" s="6"/>
      <c r="BJ205" s="39"/>
      <c r="BM205" s="39"/>
      <c r="BO205" s="19"/>
      <c r="BQ205" s="17"/>
    </row>
    <row r="206" spans="1:69" x14ac:dyDescent="0.2">
      <c r="A206" t="str">
        <f t="shared" si="61"/>
        <v/>
      </c>
      <c r="E206" s="4"/>
      <c r="F206" s="44"/>
      <c r="G206" s="4"/>
      <c r="H206" s="47"/>
      <c r="J206" s="45" t="str">
        <f t="shared" si="62"/>
        <v/>
      </c>
      <c r="N206" t="str">
        <f t="shared" si="57"/>
        <v/>
      </c>
      <c r="Q206" t="str">
        <f t="shared" si="56"/>
        <v/>
      </c>
      <c r="S206" t="str">
        <f>IF(A206=1,MAX(S$2:S205)+1,IF(OR(I206&lt;&gt;"",A206="x"),S205,""))</f>
        <v/>
      </c>
      <c r="T206" t="str">
        <f>IF(D206=1,MAX($T$2:$T205)+1,IF(S206=$S205,$S205,IF($D206="x",T205,IF($D205="x","",""))))</f>
        <v/>
      </c>
      <c r="U206" t="str">
        <f>IF(B206=1,MAX($U$2:$U205)+1,IF(AND($T206&lt;&gt;"",$T206=$T205),$U205,IF(B206="x",U205,"")))</f>
        <v/>
      </c>
      <c r="V206" t="str">
        <f>IF(C206=1,MAX($V$2:$V205)+1,IF(AND($T206&lt;&gt;"",$T206=$T205),$U205,IF(C206="x",V205,"")))</f>
        <v/>
      </c>
      <c r="W206" t="str" cm="1">
        <f t="array" ref="W206">IFERROR(_xlfn._xlws.FILTER(game_rosters!AB:AB,(game_rosters!J:J=events!X206)*(K206&lt;&gt;"")),"")</f>
        <v/>
      </c>
      <c r="X206" t="str" cm="1">
        <f t="array" ref="X206">IF(S206="","",IF($I206&lt;&gt;"",$I206,INDEX($I$2:$I205,ROW()-COUNTIFS($T$2:$T205,"="&amp;$T206,$S$2:$S205,"&lt;&gt;"&amp;$S206)-1)))</f>
        <v/>
      </c>
      <c r="Y206" t="b">
        <f>IF(X206&lt;&gt;"",VLOOKUP(X206,game_rosters!$C$43:$E$64,3,FALSE))</f>
        <v>0</v>
      </c>
      <c r="Z206" t="e" cm="1" vm="1">
        <f t="array" aca="1" ref="Z206" ca="1">IFERROR(IF(_xlfn._xlws.FILTER(game_rosters!$J:$J,(game_rosters!$G:$G=events!$AN206)*(game_rosters!$J:$J=events!$X206))&gt;0,1,""),"")</f>
        <v>#VALUE!</v>
      </c>
      <c r="AA206" t="e">
        <f t="shared" si="59"/>
        <v>#VALUE!</v>
      </c>
      <c r="AB206" t="str">
        <f t="shared" si="60"/>
        <v/>
      </c>
      <c r="AC206" t="e">
        <f t="shared" si="58"/>
        <v>#VALUE!</v>
      </c>
      <c r="AD206" s="6"/>
      <c r="BJ206" s="39"/>
      <c r="BM206" s="39"/>
      <c r="BO206" s="19"/>
      <c r="BQ206" s="17"/>
    </row>
    <row r="207" spans="1:69" x14ac:dyDescent="0.2">
      <c r="A207" t="str">
        <f t="shared" si="61"/>
        <v/>
      </c>
      <c r="E207" s="4"/>
      <c r="F207" s="44"/>
      <c r="G207" s="4"/>
      <c r="H207" s="47"/>
      <c r="J207" s="45" t="str">
        <f t="shared" si="62"/>
        <v/>
      </c>
      <c r="N207" t="str">
        <f t="shared" si="57"/>
        <v/>
      </c>
      <c r="Q207" t="str">
        <f t="shared" si="56"/>
        <v/>
      </c>
      <c r="S207" t="str">
        <f>IF(A207=1,MAX(S$2:S206)+1,IF(OR(I207&lt;&gt;"",A207="x"),S206,""))</f>
        <v/>
      </c>
      <c r="T207" t="str">
        <f>IF(D207=1,MAX($T$2:$T206)+1,IF(S207=$S206,$S206,IF($D207="x",T206,IF($D206="x","",""))))</f>
        <v/>
      </c>
      <c r="U207" t="str">
        <f>IF(B207=1,MAX($U$2:$U206)+1,IF(AND($T207&lt;&gt;"",$T207=$T206),$U206,IF(B207="x",U206,"")))</f>
        <v/>
      </c>
      <c r="V207" t="str">
        <f>IF(C207=1,MAX($V$2:$V206)+1,IF(AND($T207&lt;&gt;"",$T207=$T206),$U206,IF(C207="x",V206,"")))</f>
        <v/>
      </c>
      <c r="W207" t="str" cm="1">
        <f t="array" ref="W207">IFERROR(_xlfn._xlws.FILTER(game_rosters!AB:AB,(game_rosters!J:J=events!X207)*(K207&lt;&gt;"")),"")</f>
        <v/>
      </c>
      <c r="X207" t="str" cm="1">
        <f t="array" ref="X207">IF(S207="","",IF($I207&lt;&gt;"",$I207,INDEX($I$2:$I206,ROW()-COUNTIFS($T$2:$T206,"="&amp;$T207,$S$2:$S206,"&lt;&gt;"&amp;$S207)-1)))</f>
        <v/>
      </c>
      <c r="Y207" t="b">
        <f>IF(X207&lt;&gt;"",VLOOKUP(X207,game_rosters!$C$43:$E$64,3,FALSE))</f>
        <v>0</v>
      </c>
      <c r="Z207" t="e" cm="1" vm="1">
        <f t="array" aca="1" ref="Z207" ca="1">IFERROR(IF(_xlfn._xlws.FILTER(game_rosters!$J:$J,(game_rosters!$G:$G=events!$AN207)*(game_rosters!$J:$J=events!$X207))&gt;0,1,""),"")</f>
        <v>#VALUE!</v>
      </c>
      <c r="AA207" t="e">
        <f t="shared" si="59"/>
        <v>#VALUE!</v>
      </c>
      <c r="AB207" t="str">
        <f t="shared" si="60"/>
        <v/>
      </c>
      <c r="AC207" t="e">
        <f t="shared" si="58"/>
        <v>#VALUE!</v>
      </c>
      <c r="AD207" s="6"/>
      <c r="BJ207" s="39"/>
      <c r="BM207" s="39"/>
      <c r="BO207" s="19"/>
      <c r="BQ207" s="17"/>
    </row>
    <row r="208" spans="1:69" x14ac:dyDescent="0.2">
      <c r="A208" t="str">
        <f t="shared" si="61"/>
        <v/>
      </c>
      <c r="E208" s="4"/>
      <c r="F208" s="44"/>
      <c r="G208" s="4"/>
      <c r="H208" s="47"/>
      <c r="J208" s="45" t="str">
        <f t="shared" si="62"/>
        <v/>
      </c>
      <c r="N208" t="str">
        <f t="shared" si="57"/>
        <v/>
      </c>
      <c r="Q208" t="str">
        <f t="shared" ref="Q208:Q271" si="63">IF(O208="","",IF(AND(N208&lt;&gt;"",OR(O208&lt;&gt;"",P208&lt;&gt;"")),N208,IF(OR(ISNUMBER(SEARCH("attemp",O208)),ISNUMBER(SEARCH("beat",O208)),ISNUMBER(SEARCH("mis",O208)),ISNUMBER(SEARCH("fail",O208)),ISNUMBER(SEARCH("loss",O208)),ISNUMBER(SEARCH("lost",O208)),ISNUMBER(SEARCH("attemp",P208)),ISNUMBER(SEARCH("mis",P208)),ISNUMBER(SEARCH("fail",P208)),ISNUMBER(SEARCH("loss",P208)),ISNUMBER(SEARCH("beat",P208)),ISNUMBER(SEARCH("lost",P208))),"u","")))</f>
        <v/>
      </c>
      <c r="S208" t="str">
        <f>IF(A208=1,MAX(S$2:S207)+1,IF(OR(I208&lt;&gt;"",A208="x"),S207,""))</f>
        <v/>
      </c>
      <c r="T208" t="str">
        <f>IF(D208=1,MAX($T$2:$T207)+1,IF(S208=$S207,$S207,IF($D208="x",T207,IF($D207="x","",""))))</f>
        <v/>
      </c>
      <c r="U208" t="str">
        <f>IF(B208=1,MAX($U$2:$U207)+1,IF(AND($T208&lt;&gt;"",$T208=$T207),$U207,IF(B208="x",U207,"")))</f>
        <v/>
      </c>
      <c r="V208" t="str">
        <f>IF(C208=1,MAX($V$2:$V207)+1,IF(AND($T208&lt;&gt;"",$T208=$T207),$U207,IF(C208="x",V207,"")))</f>
        <v/>
      </c>
      <c r="W208" t="str" cm="1">
        <f t="array" ref="W208">IFERROR(_xlfn._xlws.FILTER(game_rosters!AB:AB,(game_rosters!J:J=events!X208)*(K208&lt;&gt;"")),"")</f>
        <v/>
      </c>
      <c r="X208" t="str" cm="1">
        <f t="array" ref="X208">IF(S208="","",IF($I208&lt;&gt;"",$I208,INDEX($I$2:$I207,ROW()-COUNTIFS($T$2:$T207,"="&amp;$T208,$S$2:$S207,"&lt;&gt;"&amp;$S208)-1)))</f>
        <v/>
      </c>
      <c r="Y208" t="b">
        <f>IF(X208&lt;&gt;"",VLOOKUP(X208,game_rosters!$C$43:$E$64,3,FALSE))</f>
        <v>0</v>
      </c>
      <c r="Z208" t="e" cm="1" vm="1">
        <f t="array" aca="1" ref="Z208" ca="1">IFERROR(IF(_xlfn._xlws.FILTER(game_rosters!$J:$J,(game_rosters!$G:$G=events!$AN208)*(game_rosters!$J:$J=events!$X208))&gt;0,1,""),"")</f>
        <v>#VALUE!</v>
      </c>
      <c r="AA208" t="e">
        <f t="shared" si="59"/>
        <v>#VALUE!</v>
      </c>
      <c r="AB208" t="str">
        <f t="shared" si="60"/>
        <v/>
      </c>
      <c r="AC208" t="e">
        <f t="shared" si="58"/>
        <v>#VALUE!</v>
      </c>
      <c r="AD208" s="6"/>
      <c r="BJ208" s="39"/>
      <c r="BM208" s="39"/>
      <c r="BO208" s="19"/>
      <c r="BQ208" s="17"/>
    </row>
    <row r="209" spans="1:69" x14ac:dyDescent="0.2">
      <c r="A209" t="str">
        <f t="shared" si="61"/>
        <v/>
      </c>
      <c r="E209" s="4"/>
      <c r="F209" s="44"/>
      <c r="G209" s="4"/>
      <c r="H209" s="47"/>
      <c r="J209" s="45" t="str">
        <f t="shared" si="62"/>
        <v/>
      </c>
      <c r="N209" t="str">
        <f t="shared" si="57"/>
        <v/>
      </c>
      <c r="Q209" t="str">
        <f t="shared" si="63"/>
        <v/>
      </c>
      <c r="S209" t="str">
        <f>IF(A209=1,MAX(S$2:S208)+1,IF(OR(I209&lt;&gt;"",A209="x"),S208,""))</f>
        <v/>
      </c>
      <c r="T209" t="str">
        <f>IF(D209=1,MAX($T$2:$T208)+1,IF(S209=$S208,$S208,IF($D209="x",T208,IF($D208="x","",""))))</f>
        <v/>
      </c>
      <c r="U209" t="str">
        <f>IF(B209=1,MAX($U$2:$U208)+1,IF(AND($T209&lt;&gt;"",$T209=$T208),$U208,IF(B209="x",U208,"")))</f>
        <v/>
      </c>
      <c r="V209" t="str">
        <f>IF(C209=1,MAX($V$2:$V208)+1,IF(AND($T209&lt;&gt;"",$T209=$T208),$U208,IF(C209="x",V208,"")))</f>
        <v/>
      </c>
      <c r="W209" t="str" cm="1">
        <f t="array" ref="W209">IFERROR(_xlfn._xlws.FILTER(game_rosters!AB:AB,(game_rosters!J:J=events!X209)*(K209&lt;&gt;"")),"")</f>
        <v/>
      </c>
      <c r="X209" t="str" cm="1">
        <f t="array" ref="X209">IF(S209="","",IF($I209&lt;&gt;"",$I209,INDEX($I$2:$I208,ROW()-COUNTIFS($T$2:$T208,"="&amp;$T209,$S$2:$S208,"&lt;&gt;"&amp;$S209)-1)))</f>
        <v/>
      </c>
      <c r="Y209" t="b">
        <f>IF(X209&lt;&gt;"",VLOOKUP(X209,game_rosters!$C$43:$E$64,3,FALSE))</f>
        <v>0</v>
      </c>
      <c r="Z209" t="e" cm="1" vm="1">
        <f t="array" aca="1" ref="Z209" ca="1">IFERROR(IF(_xlfn._xlws.FILTER(game_rosters!$J:$J,(game_rosters!$G:$G=events!$AN209)*(game_rosters!$J:$J=events!$X209))&gt;0,1,""),"")</f>
        <v>#VALUE!</v>
      </c>
      <c r="AA209" t="e">
        <f t="shared" si="59"/>
        <v>#VALUE!</v>
      </c>
      <c r="AB209" t="str">
        <f t="shared" si="60"/>
        <v/>
      </c>
      <c r="AC209" t="e">
        <f t="shared" si="58"/>
        <v>#VALUE!</v>
      </c>
      <c r="AD209" s="6"/>
      <c r="BJ209" s="39"/>
      <c r="BM209" s="39"/>
      <c r="BO209" s="19"/>
      <c r="BQ209" s="17"/>
    </row>
    <row r="210" spans="1:69" x14ac:dyDescent="0.2">
      <c r="A210" t="str">
        <f t="shared" si="61"/>
        <v/>
      </c>
      <c r="E210" s="4"/>
      <c r="F210" s="44"/>
      <c r="G210" s="4"/>
      <c r="H210" s="47"/>
      <c r="J210" s="45" t="str">
        <f t="shared" si="62"/>
        <v/>
      </c>
      <c r="N210" t="str">
        <f t="shared" si="57"/>
        <v/>
      </c>
      <c r="Q210" t="str">
        <f t="shared" si="63"/>
        <v/>
      </c>
      <c r="S210" t="str">
        <f>IF(A210=1,MAX(S$2:S209)+1,IF(OR(I210&lt;&gt;"",A210="x"),S209,""))</f>
        <v/>
      </c>
      <c r="T210" t="str">
        <f>IF(D210=1,MAX($T$2:$T209)+1,IF(S210=$S209,$S209,IF($D210="x",T209,IF($D209="x","",""))))</f>
        <v/>
      </c>
      <c r="U210" t="str">
        <f>IF(B210=1,MAX($U$2:$U209)+1,IF(AND($T210&lt;&gt;"",$T210=$T209),$U209,IF(B210="x",U209,"")))</f>
        <v/>
      </c>
      <c r="V210" t="str">
        <f>IF(C210=1,MAX($V$2:$V209)+1,IF(AND($T210&lt;&gt;"",$T210=$T209),$U209,IF(C210="x",V209,"")))</f>
        <v/>
      </c>
      <c r="W210" t="str" cm="1">
        <f t="array" ref="W210">IFERROR(_xlfn._xlws.FILTER(game_rosters!AB:AB,(game_rosters!J:J=events!X210)*(K210&lt;&gt;"")),"")</f>
        <v/>
      </c>
      <c r="X210" t="str" cm="1">
        <f t="array" ref="X210">IF(S210="","",IF($I210&lt;&gt;"",$I210,INDEX($I$2:$I209,ROW()-COUNTIFS($T$2:$T209,"="&amp;$T210,$S$2:$S209,"&lt;&gt;"&amp;$S210)-1)))</f>
        <v/>
      </c>
      <c r="Y210" t="b">
        <f>IF(X210&lt;&gt;"",VLOOKUP(X210,game_rosters!$C$43:$E$64,3,FALSE))</f>
        <v>0</v>
      </c>
      <c r="Z210" t="e" cm="1" vm="1">
        <f t="array" aca="1" ref="Z210" ca="1">IFERROR(IF(_xlfn._xlws.FILTER(game_rosters!$J:$J,(game_rosters!$G:$G=events!$AN210)*(game_rosters!$J:$J=events!$X210))&gt;0,1,""),"")</f>
        <v>#VALUE!</v>
      </c>
      <c r="AA210" t="e">
        <f t="shared" si="59"/>
        <v>#VALUE!</v>
      </c>
      <c r="AB210" t="str">
        <f t="shared" si="60"/>
        <v/>
      </c>
      <c r="AC210" t="e">
        <f t="shared" si="58"/>
        <v>#VALUE!</v>
      </c>
      <c r="AD210" s="6"/>
      <c r="BJ210" s="39"/>
      <c r="BM210" s="39"/>
      <c r="BO210" s="19"/>
      <c r="BQ210" s="17"/>
    </row>
    <row r="211" spans="1:69" x14ac:dyDescent="0.2">
      <c r="A211" t="str">
        <f t="shared" si="61"/>
        <v/>
      </c>
      <c r="E211" s="4"/>
      <c r="F211" s="44"/>
      <c r="G211" s="4"/>
      <c r="H211" s="47"/>
      <c r="J211" s="45" t="str">
        <f t="shared" si="62"/>
        <v/>
      </c>
      <c r="N211" t="str">
        <f t="shared" si="57"/>
        <v/>
      </c>
      <c r="Q211" t="str">
        <f t="shared" si="63"/>
        <v/>
      </c>
      <c r="S211" t="str">
        <f>IF(A211=1,MAX(S$2:S210)+1,IF(OR(I211&lt;&gt;"",A211="x"),S210,""))</f>
        <v/>
      </c>
      <c r="T211" t="str">
        <f>IF(D211=1,MAX($T$2:$T210)+1,IF(S211=$S210,$S210,IF($D211="x",T210,IF($D210="x","",""))))</f>
        <v/>
      </c>
      <c r="U211" t="str">
        <f>IF(B211=1,MAX($U$2:$U210)+1,IF(AND($T211&lt;&gt;"",$T211=$T210),$U210,IF(B211="x",U210,"")))</f>
        <v/>
      </c>
      <c r="V211" t="str">
        <f>IF(C211=1,MAX($V$2:$V210)+1,IF(AND($T211&lt;&gt;"",$T211=$T210),$U210,IF(C211="x",V210,"")))</f>
        <v/>
      </c>
      <c r="W211" t="str" cm="1">
        <f t="array" ref="W211">IFERROR(_xlfn._xlws.FILTER(game_rosters!AB:AB,(game_rosters!J:J=events!X211)*(K211&lt;&gt;"")),"")</f>
        <v/>
      </c>
      <c r="X211" t="str" cm="1">
        <f t="array" ref="X211">IF(S211="","",IF($I211&lt;&gt;"",$I211,INDEX($I$2:$I210,ROW()-COUNTIFS($T$2:$T210,"="&amp;$T211,$S$2:$S210,"&lt;&gt;"&amp;$S211)-1)))</f>
        <v/>
      </c>
      <c r="Y211" t="b">
        <f>IF(X211&lt;&gt;"",VLOOKUP(X211,game_rosters!$C$43:$E$64,3,FALSE))</f>
        <v>0</v>
      </c>
      <c r="Z211" t="e" cm="1" vm="1">
        <f t="array" aca="1" ref="Z211" ca="1">IFERROR(IF(_xlfn._xlws.FILTER(game_rosters!$J:$J,(game_rosters!$G:$G=events!$AN211)*(game_rosters!$J:$J=events!$X211))&gt;0,1,""),"")</f>
        <v>#VALUE!</v>
      </c>
      <c r="AA211" t="e">
        <f t="shared" si="59"/>
        <v>#VALUE!</v>
      </c>
      <c r="AB211" t="str">
        <f t="shared" si="60"/>
        <v/>
      </c>
      <c r="AC211" t="e">
        <f t="shared" si="58"/>
        <v>#VALUE!</v>
      </c>
      <c r="AD211" s="6"/>
      <c r="BJ211" s="39"/>
      <c r="BM211" s="39"/>
      <c r="BO211" s="19"/>
      <c r="BQ211" s="17"/>
    </row>
    <row r="212" spans="1:69" x14ac:dyDescent="0.2">
      <c r="A212" t="str">
        <f t="shared" si="61"/>
        <v/>
      </c>
      <c r="E212" s="4"/>
      <c r="F212" s="44"/>
      <c r="G212" s="4"/>
      <c r="H212" s="47"/>
      <c r="J212" s="45" t="str">
        <f t="shared" si="62"/>
        <v/>
      </c>
      <c r="N212" t="str">
        <f t="shared" si="57"/>
        <v/>
      </c>
      <c r="Q212" t="str">
        <f t="shared" si="63"/>
        <v/>
      </c>
      <c r="S212" t="str">
        <f>IF(A212=1,MAX(S$2:S211)+1,IF(OR(I212&lt;&gt;"",A212="x"),S211,""))</f>
        <v/>
      </c>
      <c r="T212" t="str">
        <f>IF(D212=1,MAX($T$2:$T211)+1,IF(S212=$S211,$S211,IF($D212="x",T211,IF($D211="x","",""))))</f>
        <v/>
      </c>
      <c r="U212" t="str">
        <f>IF(B212=1,MAX($U$2:$U211)+1,IF(AND($T212&lt;&gt;"",$T212=$T211),$U211,IF(B212="x",U211,"")))</f>
        <v/>
      </c>
      <c r="V212" t="str">
        <f>IF(C212=1,MAX($V$2:$V211)+1,IF(AND($T212&lt;&gt;"",$T212=$T211),$U211,IF(C212="x",V211,"")))</f>
        <v/>
      </c>
      <c r="W212" t="str" cm="1">
        <f t="array" ref="W212">IFERROR(_xlfn._xlws.FILTER(game_rosters!AB:AB,(game_rosters!J:J=events!X212)*(K212&lt;&gt;"")),"")</f>
        <v/>
      </c>
      <c r="X212" t="str" cm="1">
        <f t="array" ref="X212">IF(S212="","",IF($I212&lt;&gt;"",$I212,INDEX($I$2:$I211,ROW()-COUNTIFS($T$2:$T211,"="&amp;$T212,$S$2:$S211,"&lt;&gt;"&amp;$S212)-1)))</f>
        <v/>
      </c>
      <c r="Y212" t="b">
        <f>IF(X212&lt;&gt;"",VLOOKUP(X212,game_rosters!$C$43:$E$64,3,FALSE))</f>
        <v>0</v>
      </c>
      <c r="Z212" t="e" cm="1" vm="1">
        <f t="array" aca="1" ref="Z212" ca="1">IFERROR(IF(_xlfn._xlws.FILTER(game_rosters!$J:$J,(game_rosters!$G:$G=events!$AN212)*(game_rosters!$J:$J=events!$X212))&gt;0,1,""),"")</f>
        <v>#VALUE!</v>
      </c>
      <c r="AA212" t="e">
        <f t="shared" si="59"/>
        <v>#VALUE!</v>
      </c>
      <c r="AB212" t="str">
        <f t="shared" si="60"/>
        <v/>
      </c>
      <c r="AC212" t="e">
        <f t="shared" si="58"/>
        <v>#VALUE!</v>
      </c>
      <c r="AD212" s="6"/>
      <c r="BJ212" s="39"/>
      <c r="BM212" s="39"/>
      <c r="BO212" s="19"/>
      <c r="BQ212" s="17"/>
    </row>
    <row r="213" spans="1:69" x14ac:dyDescent="0.2">
      <c r="A213" t="str">
        <f t="shared" si="61"/>
        <v/>
      </c>
      <c r="E213" s="4"/>
      <c r="F213" s="44"/>
      <c r="G213" s="4"/>
      <c r="H213" s="47"/>
      <c r="J213" s="45" t="str">
        <f t="shared" si="62"/>
        <v/>
      </c>
      <c r="N213" t="str">
        <f t="shared" ref="N213:N276" si="64">IF(K213="","",IF(K213="Goal","s",IF(AND(K213="Zone_Entry_Exit",OR(ISNUMBER(SEARCH("fail",L213)),ISNUMBER(SEARCH("FromExitClear",M213)),ISNUMBER(SEARCH("miss",M213)))),"u",IF(AND(K213="Zone_Entry_Exit",OR(NOT(ISNUMBER(SEARCH("fail",L213))),NOT(ISNUMBER(SEARCH("FromExitClear",M213))),NOT(ISNUMBER(SEARCH("miss",M213))))),"s",IF(AND(OR(K213="Shot",K213="Pass"),OR(ISNUMBER(SEARCH("complete",L213)),ISNUMBER(SEARCH("goal",L213)),ISNUMBER(SEARCH("OnNet",L213)))),"s",IF(L213="Turnover_Giveaway","u",IF(AND(OR(K213="Shot",K213="Pass"),OR(ISNUMBER(SEARCH("fail",L213)),NOT(ISNUMBER(SEARCH("complete",L213))),NOT(ISNUMBER(SEARCH("OnNet",L213))))),"u","")))))))</f>
        <v/>
      </c>
      <c r="Q213" t="str">
        <f t="shared" si="63"/>
        <v/>
      </c>
      <c r="S213" t="str">
        <f>IF(A213=1,MAX(S$2:S212)+1,IF(OR(I213&lt;&gt;"",A213="x"),S212,""))</f>
        <v/>
      </c>
      <c r="T213" t="str">
        <f>IF(D213=1,MAX($T$2:$T212)+1,IF(S213=$S212,$S212,IF($D213="x",T212,IF($D212="x","",""))))</f>
        <v/>
      </c>
      <c r="U213" t="str">
        <f>IF(B213=1,MAX($U$2:$U212)+1,IF(AND($T213&lt;&gt;"",$T213=$T212),$U212,IF(B213="x",U212,"")))</f>
        <v/>
      </c>
      <c r="V213" t="str">
        <f>IF(C213=1,MAX($V$2:$V212)+1,IF(AND($T213&lt;&gt;"",$T213=$T212),$U212,IF(C213="x",V212,"")))</f>
        <v/>
      </c>
      <c r="W213" t="str" cm="1">
        <f t="array" ref="W213">IFERROR(_xlfn._xlws.FILTER(game_rosters!AB:AB,(game_rosters!J:J=events!X213)*(K213&lt;&gt;"")),"")</f>
        <v/>
      </c>
      <c r="X213" t="str" cm="1">
        <f t="array" ref="X213">IF(S213="","",IF($I213&lt;&gt;"",$I213,INDEX($I$2:$I212,ROW()-COUNTIFS($T$2:$T212,"="&amp;$T213,$S$2:$S212,"&lt;&gt;"&amp;$S213)-1)))</f>
        <v/>
      </c>
      <c r="Y213" t="b">
        <f>IF(X213&lt;&gt;"",VLOOKUP(X213,game_rosters!$C$43:$E$64,3,FALSE))</f>
        <v>0</v>
      </c>
      <c r="Z213" t="e" cm="1" vm="1">
        <f t="array" aca="1" ref="Z213" ca="1">IFERROR(IF(_xlfn._xlws.FILTER(game_rosters!$J:$J,(game_rosters!$G:$G=events!$AN213)*(game_rosters!$J:$J=events!$X213))&gt;0,1,""),"")</f>
        <v>#VALUE!</v>
      </c>
      <c r="AA213" t="e">
        <f t="shared" si="59"/>
        <v>#VALUE!</v>
      </c>
      <c r="AB213" t="str">
        <f t="shared" si="60"/>
        <v/>
      </c>
      <c r="AC213" t="e">
        <f t="shared" si="58"/>
        <v>#VALUE!</v>
      </c>
      <c r="AD213" s="6"/>
      <c r="BJ213" s="39"/>
      <c r="BM213" s="39"/>
      <c r="BO213" s="19"/>
      <c r="BQ213" s="17"/>
    </row>
    <row r="214" spans="1:69" x14ac:dyDescent="0.2">
      <c r="A214" t="str">
        <f t="shared" si="61"/>
        <v/>
      </c>
      <c r="E214" s="4"/>
      <c r="F214" s="44"/>
      <c r="G214" s="4"/>
      <c r="H214" s="47"/>
      <c r="J214" s="45" t="str">
        <f t="shared" si="62"/>
        <v/>
      </c>
      <c r="N214" t="str">
        <f t="shared" si="64"/>
        <v/>
      </c>
      <c r="Q214" t="str">
        <f t="shared" si="63"/>
        <v/>
      </c>
      <c r="S214" t="str">
        <f>IF(A214=1,MAX(S$2:S213)+1,IF(OR(I214&lt;&gt;"",A214="x"),S213,""))</f>
        <v/>
      </c>
      <c r="T214" t="str">
        <f>IF(D214=1,MAX($T$2:$T213)+1,IF(S214=$S213,$S213,IF($D214="x",T213,IF($D213="x","",""))))</f>
        <v/>
      </c>
      <c r="U214" t="str">
        <f>IF(B214=1,MAX($U$2:$U213)+1,IF(AND($T214&lt;&gt;"",$T214=$T213),$U213,IF(B214="x",U213,"")))</f>
        <v/>
      </c>
      <c r="V214" t="str">
        <f>IF(C214=1,MAX($V$2:$V213)+1,IF(AND($T214&lt;&gt;"",$T214=$T213),$U213,IF(C214="x",V213,"")))</f>
        <v/>
      </c>
      <c r="W214" t="str" cm="1">
        <f t="array" ref="W214">IFERROR(_xlfn._xlws.FILTER(game_rosters!AB:AB,(game_rosters!J:J=events!X214)*(K214&lt;&gt;"")),"")</f>
        <v/>
      </c>
      <c r="X214" t="str" cm="1">
        <f t="array" ref="X214">IF(S214="","",IF($I214&lt;&gt;"",$I214,INDEX($I$2:$I213,ROW()-COUNTIFS($T$2:$T213,"="&amp;$T214,$S$2:$S213,"&lt;&gt;"&amp;$S214)-1)))</f>
        <v/>
      </c>
      <c r="Y214" t="b">
        <f>IF(X214&lt;&gt;"",VLOOKUP(X214,game_rosters!$C$43:$E$64,3,FALSE))</f>
        <v>0</v>
      </c>
      <c r="Z214" t="e" cm="1" vm="1">
        <f t="array" aca="1" ref="Z214" ca="1">IFERROR(IF(_xlfn._xlws.FILTER(game_rosters!$J:$J,(game_rosters!$G:$G=events!$AN214)*(game_rosters!$J:$J=events!$X214))&gt;0,1,""),"")</f>
        <v>#VALUE!</v>
      </c>
      <c r="AA214" t="e">
        <f t="shared" si="59"/>
        <v>#VALUE!</v>
      </c>
      <c r="AB214" t="str">
        <f t="shared" si="60"/>
        <v/>
      </c>
      <c r="AC214" t="e">
        <f t="shared" si="58"/>
        <v>#VALUE!</v>
      </c>
      <c r="AD214" s="6"/>
      <c r="BJ214" s="39"/>
      <c r="BM214" s="39"/>
      <c r="BO214" s="19"/>
      <c r="BQ214" s="17"/>
    </row>
    <row r="215" spans="1:69" x14ac:dyDescent="0.2">
      <c r="A215" t="str">
        <f t="shared" si="61"/>
        <v/>
      </c>
      <c r="E215" s="4"/>
      <c r="F215" s="44"/>
      <c r="G215" s="4"/>
      <c r="H215" s="47"/>
      <c r="J215" s="45" t="str">
        <f t="shared" si="62"/>
        <v/>
      </c>
      <c r="N215" t="str">
        <f t="shared" si="64"/>
        <v/>
      </c>
      <c r="Q215" t="str">
        <f t="shared" si="63"/>
        <v/>
      </c>
      <c r="S215" t="str">
        <f>IF(A215=1,MAX(S$2:S214)+1,IF(OR(I215&lt;&gt;"",A215="x"),S214,""))</f>
        <v/>
      </c>
      <c r="T215" t="str">
        <f>IF(D215=1,MAX($T$2:$T214)+1,IF(S215=$S214,$S214,IF($D215="x",T214,IF($D214="x","",""))))</f>
        <v/>
      </c>
      <c r="U215" t="str">
        <f>IF(B215=1,MAX($U$2:$U214)+1,IF(AND($T215&lt;&gt;"",$T215=$T214),$U214,IF(B215="x",U214,"")))</f>
        <v/>
      </c>
      <c r="V215" t="str">
        <f>IF(C215=1,MAX($V$2:$V214)+1,IF(AND($T215&lt;&gt;"",$T215=$T214),$U214,IF(C215="x",V214,"")))</f>
        <v/>
      </c>
      <c r="W215" t="str" cm="1">
        <f t="array" ref="W215">IFERROR(_xlfn._xlws.FILTER(game_rosters!AB:AB,(game_rosters!J:J=events!X215)*(K215&lt;&gt;"")),"")</f>
        <v/>
      </c>
      <c r="X215" t="str" cm="1">
        <f t="array" ref="X215">IF(S215="","",IF($I215&lt;&gt;"",$I215,INDEX($I$2:$I214,ROW()-COUNTIFS($T$2:$T214,"="&amp;$T215,$S$2:$S214,"&lt;&gt;"&amp;$S215)-1)))</f>
        <v/>
      </c>
      <c r="Y215" t="b">
        <f>IF(X215&lt;&gt;"",VLOOKUP(X215,game_rosters!$C$43:$E$64,3,FALSE))</f>
        <v>0</v>
      </c>
      <c r="Z215" t="e" cm="1" vm="1">
        <f t="array" aca="1" ref="Z215" ca="1">IFERROR(IF(_xlfn._xlws.FILTER(game_rosters!$J:$J,(game_rosters!$G:$G=events!$AN215)*(game_rosters!$J:$J=events!$X215))&gt;0,1,""),"")</f>
        <v>#VALUE!</v>
      </c>
      <c r="AA215" t="e">
        <f t="shared" si="59"/>
        <v>#VALUE!</v>
      </c>
      <c r="AB215" t="str">
        <f t="shared" si="60"/>
        <v/>
      </c>
      <c r="AC215" t="e">
        <f t="shared" si="58"/>
        <v>#VALUE!</v>
      </c>
      <c r="AD215" s="6"/>
      <c r="BJ215" s="39"/>
      <c r="BM215" s="39"/>
      <c r="BO215" s="19"/>
      <c r="BQ215" s="17"/>
    </row>
    <row r="216" spans="1:69" x14ac:dyDescent="0.2">
      <c r="A216" t="str">
        <f t="shared" si="61"/>
        <v/>
      </c>
      <c r="E216" s="4"/>
      <c r="F216" s="44"/>
      <c r="G216" s="4"/>
      <c r="H216" s="47"/>
      <c r="J216" s="45" t="str">
        <f t="shared" si="62"/>
        <v/>
      </c>
      <c r="N216" t="str">
        <f t="shared" si="64"/>
        <v/>
      </c>
      <c r="Q216" t="str">
        <f t="shared" si="63"/>
        <v/>
      </c>
      <c r="S216" t="str">
        <f>IF(A216=1,MAX(S$2:S215)+1,IF(OR(I216&lt;&gt;"",A216="x"),S215,""))</f>
        <v/>
      </c>
      <c r="T216" t="str">
        <f>IF(D216=1,MAX($T$2:$T215)+1,IF(S216=$S215,$S215,IF($D216="x",T215,IF($D215="x","",""))))</f>
        <v/>
      </c>
      <c r="U216" t="str">
        <f>IF(B216=1,MAX($U$2:$U215)+1,IF(AND($T216&lt;&gt;"",$T216=$T215),$U215,IF(B216="x",U215,"")))</f>
        <v/>
      </c>
      <c r="V216" t="str">
        <f>IF(C216=1,MAX($V$2:$V215)+1,IF(AND($T216&lt;&gt;"",$T216=$T215),$U215,IF(C216="x",V215,"")))</f>
        <v/>
      </c>
      <c r="W216" t="str" cm="1">
        <f t="array" ref="W216">IFERROR(_xlfn._xlws.FILTER(game_rosters!AB:AB,(game_rosters!J:J=events!X216)*(K216&lt;&gt;"")),"")</f>
        <v/>
      </c>
      <c r="X216" t="str" cm="1">
        <f t="array" ref="X216">IF(S216="","",IF($I216&lt;&gt;"",$I216,INDEX($I$2:$I215,ROW()-COUNTIFS($T$2:$T215,"="&amp;$T216,$S$2:$S215,"&lt;&gt;"&amp;$S216)-1)))</f>
        <v/>
      </c>
      <c r="Y216" t="b">
        <f>IF(X216&lt;&gt;"",VLOOKUP(X216,game_rosters!$C$43:$E$64,3,FALSE))</f>
        <v>0</v>
      </c>
      <c r="Z216" t="e" cm="1" vm="1">
        <f t="array" aca="1" ref="Z216" ca="1">IFERROR(IF(_xlfn._xlws.FILTER(game_rosters!$J:$J,(game_rosters!$G:$G=events!$AN216)*(game_rosters!$J:$J=events!$X216))&gt;0,1,""),"")</f>
        <v>#VALUE!</v>
      </c>
      <c r="AA216" t="e">
        <f t="shared" si="59"/>
        <v>#VALUE!</v>
      </c>
      <c r="AB216" t="str">
        <f t="shared" si="60"/>
        <v/>
      </c>
      <c r="AC216" t="e">
        <f t="shared" si="58"/>
        <v>#VALUE!</v>
      </c>
      <c r="AD216" s="6"/>
      <c r="BJ216" s="39"/>
      <c r="BM216" s="39"/>
      <c r="BO216" s="19"/>
      <c r="BQ216" s="17"/>
    </row>
    <row r="217" spans="1:69" x14ac:dyDescent="0.2">
      <c r="A217" t="str">
        <f t="shared" si="61"/>
        <v/>
      </c>
      <c r="E217" s="4"/>
      <c r="F217" s="44"/>
      <c r="G217" s="4"/>
      <c r="H217" s="47"/>
      <c r="J217" s="45" t="str">
        <f t="shared" si="62"/>
        <v/>
      </c>
      <c r="N217" t="str">
        <f t="shared" si="64"/>
        <v/>
      </c>
      <c r="Q217" t="str">
        <f t="shared" si="63"/>
        <v/>
      </c>
      <c r="S217" t="str">
        <f>IF(A217=1,MAX(S$2:S216)+1,IF(OR(I217&lt;&gt;"",A217="x"),S216,""))</f>
        <v/>
      </c>
      <c r="T217" t="str">
        <f>IF(D217=1,MAX($T$2:$T216)+1,IF(S217=$S216,$S216,IF($D217="x",T216,IF($D216="x","",""))))</f>
        <v/>
      </c>
      <c r="U217" t="str">
        <f>IF(B217=1,MAX($U$2:$U216)+1,IF(AND($T217&lt;&gt;"",$T217=$T216),$U216,IF(B217="x",U216,"")))</f>
        <v/>
      </c>
      <c r="V217" t="str">
        <f>IF(C217=1,MAX($V$2:$V216)+1,IF(AND($T217&lt;&gt;"",$T217=$T216),$U216,IF(C217="x",V216,"")))</f>
        <v/>
      </c>
      <c r="W217" t="str" cm="1">
        <f t="array" ref="W217">IFERROR(_xlfn._xlws.FILTER(game_rosters!AB:AB,(game_rosters!J:J=events!X217)*(K217&lt;&gt;"")),"")</f>
        <v/>
      </c>
      <c r="X217" t="str" cm="1">
        <f t="array" ref="X217">IF(S217="","",IF($I217&lt;&gt;"",$I217,INDEX($I$2:$I216,ROW()-COUNTIFS($T$2:$T216,"="&amp;$T217,$S$2:$S216,"&lt;&gt;"&amp;$S217)-1)))</f>
        <v/>
      </c>
      <c r="Y217" t="b">
        <f>IF(X217&lt;&gt;"",VLOOKUP(X217,game_rosters!$C$43:$E$64,3,FALSE))</f>
        <v>0</v>
      </c>
      <c r="Z217" t="e" cm="1" vm="1">
        <f t="array" aca="1" ref="Z217" ca="1">IFERROR(IF(_xlfn._xlws.FILTER(game_rosters!$J:$J,(game_rosters!$G:$G=events!$AN217)*(game_rosters!$J:$J=events!$X217))&gt;0,1,""),"")</f>
        <v>#VALUE!</v>
      </c>
      <c r="AA217" t="e">
        <f t="shared" si="59"/>
        <v>#VALUE!</v>
      </c>
      <c r="AB217" t="str">
        <f t="shared" si="60"/>
        <v/>
      </c>
      <c r="AC217" t="e">
        <f t="shared" si="58"/>
        <v>#VALUE!</v>
      </c>
      <c r="AD217" s="6"/>
      <c r="BJ217" s="39"/>
      <c r="BM217" s="39"/>
      <c r="BO217" s="19"/>
      <c r="BQ217" s="17"/>
    </row>
    <row r="218" spans="1:69" x14ac:dyDescent="0.2">
      <c r="A218" t="str">
        <f t="shared" si="61"/>
        <v/>
      </c>
      <c r="E218" s="4"/>
      <c r="F218" s="44"/>
      <c r="G218" s="4"/>
      <c r="H218" s="47"/>
      <c r="J218" s="45" t="str">
        <f t="shared" si="62"/>
        <v/>
      </c>
      <c r="N218" t="str">
        <f t="shared" si="64"/>
        <v/>
      </c>
      <c r="Q218" t="str">
        <f t="shared" si="63"/>
        <v/>
      </c>
      <c r="S218" t="str">
        <f>IF(A218=1,MAX(S$2:S217)+1,IF(OR(I218&lt;&gt;"",A218="x"),S217,""))</f>
        <v/>
      </c>
      <c r="T218" t="str">
        <f>IF(D218=1,MAX($T$2:$T217)+1,IF(S218=$S217,$S217,IF($D218="x",T217,IF($D217="x","",""))))</f>
        <v/>
      </c>
      <c r="U218" t="str">
        <f>IF(B218=1,MAX($U$2:$U217)+1,IF(AND($T218&lt;&gt;"",$T218=$T217),$U217,IF(B218="x",U217,"")))</f>
        <v/>
      </c>
      <c r="V218" t="str">
        <f>IF(C218=1,MAX($V$2:$V217)+1,IF(AND($T218&lt;&gt;"",$T218=$T217),$U217,IF(C218="x",V217,"")))</f>
        <v/>
      </c>
      <c r="W218" t="str" cm="1">
        <f t="array" ref="W218">IFERROR(_xlfn._xlws.FILTER(game_rosters!AB:AB,(game_rosters!J:J=events!X218)*(K218&lt;&gt;"")),"")</f>
        <v/>
      </c>
      <c r="X218" t="str" cm="1">
        <f t="array" ref="X218">IF(S218="","",IF($I218&lt;&gt;"",$I218,INDEX($I$2:$I217,ROW()-COUNTIFS($T$2:$T217,"="&amp;$T218,$S$2:$S217,"&lt;&gt;"&amp;$S218)-1)))</f>
        <v/>
      </c>
      <c r="Y218" t="b">
        <f>IF(X218&lt;&gt;"",VLOOKUP(X218,game_rosters!$C$43:$E$64,3,FALSE))</f>
        <v>0</v>
      </c>
      <c r="Z218" t="e" cm="1" vm="1">
        <f t="array" aca="1" ref="Z218" ca="1">IFERROR(IF(_xlfn._xlws.FILTER(game_rosters!$J:$J,(game_rosters!$G:$G=events!$AN218)*(game_rosters!$J:$J=events!$X218))&gt;0,1,""),"")</f>
        <v>#VALUE!</v>
      </c>
      <c r="AA218" t="e">
        <f t="shared" si="59"/>
        <v>#VALUE!</v>
      </c>
      <c r="AB218" t="str">
        <f t="shared" si="60"/>
        <v/>
      </c>
      <c r="AC218" t="e">
        <f t="shared" si="58"/>
        <v>#VALUE!</v>
      </c>
      <c r="AD218" s="6"/>
      <c r="BJ218" s="39"/>
      <c r="BM218" s="39"/>
      <c r="BO218" s="19"/>
      <c r="BQ218" s="17"/>
    </row>
    <row r="219" spans="1:69" x14ac:dyDescent="0.2">
      <c r="A219" t="str">
        <f t="shared" si="61"/>
        <v/>
      </c>
      <c r="E219" s="4"/>
      <c r="F219" s="44"/>
      <c r="G219" s="4"/>
      <c r="H219" s="47"/>
      <c r="J219" s="45" t="str">
        <f t="shared" si="62"/>
        <v/>
      </c>
      <c r="N219" t="str">
        <f t="shared" si="64"/>
        <v/>
      </c>
      <c r="Q219" t="str">
        <f t="shared" si="63"/>
        <v/>
      </c>
      <c r="S219" t="str">
        <f>IF(A219=1,MAX(S$2:S218)+1,IF(OR(I219&lt;&gt;"",A219="x"),S218,""))</f>
        <v/>
      </c>
      <c r="T219" t="str">
        <f>IF(D219=1,MAX($T$2:$T218)+1,IF(S219=$S218,$S218,IF($D219="x",T218,IF($D218="x","",""))))</f>
        <v/>
      </c>
      <c r="U219" t="str">
        <f>IF(B219=1,MAX($U$2:$U218)+1,IF(AND($T219&lt;&gt;"",$T219=$T218),$U218,IF(B219="x",U218,"")))</f>
        <v/>
      </c>
      <c r="V219" t="str">
        <f>IF(C219=1,MAX($V$2:$V218)+1,IF(AND($T219&lt;&gt;"",$T219=$T218),$U218,IF(C219="x",V218,"")))</f>
        <v/>
      </c>
      <c r="W219" t="str" cm="1">
        <f t="array" ref="W219">IFERROR(_xlfn._xlws.FILTER(game_rosters!AB:AB,(game_rosters!J:J=events!X219)*(K219&lt;&gt;"")),"")</f>
        <v/>
      </c>
      <c r="X219" t="str" cm="1">
        <f t="array" ref="X219">IF(S219="","",IF($I219&lt;&gt;"",$I219,INDEX($I$2:$I218,ROW()-COUNTIFS($T$2:$T218,"="&amp;$T219,$S$2:$S218,"&lt;&gt;"&amp;$S219)-1)))</f>
        <v/>
      </c>
      <c r="Y219" t="b">
        <f>IF(X219&lt;&gt;"",VLOOKUP(X219,game_rosters!$C$43:$E$64,3,FALSE))</f>
        <v>0</v>
      </c>
      <c r="Z219" t="e" cm="1" vm="1">
        <f t="array" aca="1" ref="Z219" ca="1">IFERROR(IF(_xlfn._xlws.FILTER(game_rosters!$J:$J,(game_rosters!$G:$G=events!$AN219)*(game_rosters!$J:$J=events!$X219))&gt;0,1,""),"")</f>
        <v>#VALUE!</v>
      </c>
      <c r="AA219" t="e">
        <f t="shared" si="59"/>
        <v>#VALUE!</v>
      </c>
      <c r="AB219" t="str">
        <f t="shared" si="60"/>
        <v/>
      </c>
      <c r="AC219" t="e">
        <f t="shared" si="58"/>
        <v>#VALUE!</v>
      </c>
      <c r="AD219" s="6"/>
      <c r="BJ219" s="39"/>
      <c r="BM219" s="39"/>
      <c r="BO219" s="19"/>
      <c r="BQ219" s="17"/>
    </row>
    <row r="220" spans="1:69" x14ac:dyDescent="0.2">
      <c r="A220" t="str">
        <f t="shared" si="61"/>
        <v/>
      </c>
      <c r="E220" s="4"/>
      <c r="F220" s="44"/>
      <c r="G220" s="4"/>
      <c r="H220" s="47"/>
      <c r="J220" s="45" t="str">
        <f t="shared" si="62"/>
        <v/>
      </c>
      <c r="N220" t="str">
        <f t="shared" si="64"/>
        <v/>
      </c>
      <c r="Q220" t="str">
        <f t="shared" si="63"/>
        <v/>
      </c>
      <c r="S220" t="str">
        <f>IF(A220=1,MAX(S$2:S219)+1,IF(OR(I220&lt;&gt;"",A220="x"),S219,""))</f>
        <v/>
      </c>
      <c r="T220" t="str">
        <f>IF(D220=1,MAX($T$2:$T219)+1,IF(S220=$S219,$S219,IF($D220="x",T219,IF($D219="x","",""))))</f>
        <v/>
      </c>
      <c r="U220" t="str">
        <f>IF(B220=1,MAX($U$2:$U219)+1,IF(AND($T220&lt;&gt;"",$T220=$T219),$U219,IF(B220="x",U219,"")))</f>
        <v/>
      </c>
      <c r="V220" t="str">
        <f>IF(C220=1,MAX($V$2:$V219)+1,IF(AND($T220&lt;&gt;"",$T220=$T219),$U219,IF(C220="x",V219,"")))</f>
        <v/>
      </c>
      <c r="W220" t="str" cm="1">
        <f t="array" ref="W220">IFERROR(_xlfn._xlws.FILTER(game_rosters!AB:AB,(game_rosters!J:J=events!X220)*(K220&lt;&gt;"")),"")</f>
        <v/>
      </c>
      <c r="X220" t="str" cm="1">
        <f t="array" ref="X220">IF(S220="","",IF($I220&lt;&gt;"",$I220,INDEX($I$2:$I219,ROW()-COUNTIFS($T$2:$T219,"="&amp;$T220,$S$2:$S219,"&lt;&gt;"&amp;$S220)-1)))</f>
        <v/>
      </c>
      <c r="Y220" t="b">
        <f>IF(X220&lt;&gt;"",VLOOKUP(X220,game_rosters!$C$43:$E$64,3,FALSE))</f>
        <v>0</v>
      </c>
      <c r="Z220" t="e" cm="1" vm="1">
        <f t="array" aca="1" ref="Z220" ca="1">IFERROR(IF(_xlfn._xlws.FILTER(game_rosters!$J:$J,(game_rosters!$G:$G=events!$AN220)*(game_rosters!$J:$J=events!$X220))&gt;0,1,""),"")</f>
        <v>#VALUE!</v>
      </c>
      <c r="AA220" t="e">
        <f t="shared" si="59"/>
        <v>#VALUE!</v>
      </c>
      <c r="AB220" t="str">
        <f t="shared" si="60"/>
        <v/>
      </c>
      <c r="AC220" t="e">
        <f t="shared" si="58"/>
        <v>#VALUE!</v>
      </c>
      <c r="AD220" s="6"/>
      <c r="BJ220" s="39"/>
      <c r="BM220" s="39"/>
      <c r="BO220" s="19"/>
      <c r="BQ220" s="17"/>
    </row>
    <row r="221" spans="1:69" x14ac:dyDescent="0.2">
      <c r="A221" t="str">
        <f t="shared" si="61"/>
        <v/>
      </c>
      <c r="E221" s="4"/>
      <c r="F221" s="44"/>
      <c r="G221" s="4"/>
      <c r="H221" s="47"/>
      <c r="J221" s="45" t="str">
        <f t="shared" si="62"/>
        <v/>
      </c>
      <c r="N221" t="str">
        <f t="shared" si="64"/>
        <v/>
      </c>
      <c r="Q221" t="str">
        <f t="shared" si="63"/>
        <v/>
      </c>
      <c r="S221" t="str">
        <f>IF(A221=1,MAX(S$2:S220)+1,IF(OR(I221&lt;&gt;"",A221="x"),S220,""))</f>
        <v/>
      </c>
      <c r="T221" t="str">
        <f>IF(D221=1,MAX($T$2:$T220)+1,IF(S221=$S220,$S220,IF($D221="x",T220,IF($D220="x","",""))))</f>
        <v/>
      </c>
      <c r="U221" t="str">
        <f>IF(B221=1,MAX($U$2:$U220)+1,IF(AND($T221&lt;&gt;"",$T221=$T220),$U220,IF(B221="x",U220,"")))</f>
        <v/>
      </c>
      <c r="V221" t="str">
        <f>IF(C221=1,MAX($V$2:$V220)+1,IF(AND($T221&lt;&gt;"",$T221=$T220),$U220,IF(C221="x",V220,"")))</f>
        <v/>
      </c>
      <c r="W221" t="str" cm="1">
        <f t="array" ref="W221">IFERROR(_xlfn._xlws.FILTER(game_rosters!AB:AB,(game_rosters!J:J=events!X221)*(K221&lt;&gt;"")),"")</f>
        <v/>
      </c>
      <c r="X221" t="str" cm="1">
        <f t="array" ref="X221">IF(S221="","",IF($I221&lt;&gt;"",$I221,INDEX($I$2:$I220,ROW()-COUNTIFS($T$2:$T220,"="&amp;$T221,$S$2:$S220,"&lt;&gt;"&amp;$S221)-1)))</f>
        <v/>
      </c>
      <c r="Y221" t="b">
        <f>IF(X221&lt;&gt;"",VLOOKUP(X221,game_rosters!$C$43:$E$64,3,FALSE))</f>
        <v>0</v>
      </c>
      <c r="Z221" t="e" cm="1" vm="1">
        <f t="array" aca="1" ref="Z221" ca="1">IFERROR(IF(_xlfn._xlws.FILTER(game_rosters!$J:$J,(game_rosters!$G:$G=events!$AN221)*(game_rosters!$J:$J=events!$X221))&gt;0,1,""),"")</f>
        <v>#VALUE!</v>
      </c>
      <c r="AA221" t="e">
        <f t="shared" si="59"/>
        <v>#VALUE!</v>
      </c>
      <c r="AB221" t="str">
        <f t="shared" si="60"/>
        <v/>
      </c>
      <c r="AC221" t="e">
        <f t="shared" si="58"/>
        <v>#VALUE!</v>
      </c>
      <c r="AD221" s="6"/>
      <c r="BJ221" s="39"/>
      <c r="BM221" s="39"/>
      <c r="BO221" s="19"/>
      <c r="BQ221" s="17"/>
    </row>
    <row r="222" spans="1:69" x14ac:dyDescent="0.2">
      <c r="A222" t="str">
        <f t="shared" si="61"/>
        <v/>
      </c>
      <c r="E222" s="4"/>
      <c r="F222" s="44"/>
      <c r="G222" s="4"/>
      <c r="H222" s="47"/>
      <c r="J222" s="45" t="str">
        <f t="shared" si="62"/>
        <v/>
      </c>
      <c r="N222" t="str">
        <f t="shared" si="64"/>
        <v/>
      </c>
      <c r="Q222" t="str">
        <f t="shared" si="63"/>
        <v/>
      </c>
      <c r="S222" t="str">
        <f>IF(A222=1,MAX(S$2:S221)+1,IF(OR(I222&lt;&gt;"",A222="x"),S221,""))</f>
        <v/>
      </c>
      <c r="T222" t="str">
        <f>IF(D222=1,MAX($T$2:$T221)+1,IF(S222=$S221,$S221,IF($D222="x",T221,IF($D221="x","",""))))</f>
        <v/>
      </c>
      <c r="U222" t="str">
        <f>IF(B222=1,MAX($U$2:$U221)+1,IF(AND($T222&lt;&gt;"",$T222=$T221),$U221,IF(B222="x",U221,"")))</f>
        <v/>
      </c>
      <c r="V222" t="str">
        <f>IF(C222=1,MAX($V$2:$V221)+1,IF(AND($T222&lt;&gt;"",$T222=$T221),$U221,IF(C222="x",V221,"")))</f>
        <v/>
      </c>
      <c r="W222" t="str" cm="1">
        <f t="array" ref="W222">IFERROR(_xlfn._xlws.FILTER(game_rosters!AB:AB,(game_rosters!J:J=events!X222)*(K222&lt;&gt;"")),"")</f>
        <v/>
      </c>
      <c r="X222" t="str" cm="1">
        <f t="array" ref="X222">IF(S222="","",IF($I222&lt;&gt;"",$I222,INDEX($I$2:$I221,ROW()-COUNTIFS($T$2:$T221,"="&amp;$T222,$S$2:$S221,"&lt;&gt;"&amp;$S222)-1)))</f>
        <v/>
      </c>
      <c r="Y222" t="b">
        <f>IF(X222&lt;&gt;"",VLOOKUP(X222,game_rosters!$C$43:$E$64,3,FALSE))</f>
        <v>0</v>
      </c>
      <c r="Z222" t="e" cm="1" vm="1">
        <f t="array" aca="1" ref="Z222" ca="1">IFERROR(IF(_xlfn._xlws.FILTER(game_rosters!$J:$J,(game_rosters!$G:$G=events!$AN222)*(game_rosters!$J:$J=events!$X222))&gt;0,1,""),"")</f>
        <v>#VALUE!</v>
      </c>
      <c r="AA222" t="e">
        <f t="shared" si="59"/>
        <v>#VALUE!</v>
      </c>
      <c r="AB222" t="str">
        <f t="shared" si="60"/>
        <v/>
      </c>
      <c r="AC222" t="e">
        <f t="shared" si="58"/>
        <v>#VALUE!</v>
      </c>
      <c r="AD222" s="6"/>
      <c r="BJ222" s="39"/>
      <c r="BM222" s="39"/>
      <c r="BO222" s="19"/>
      <c r="BQ222" s="17"/>
    </row>
    <row r="223" spans="1:69" x14ac:dyDescent="0.2">
      <c r="A223" t="str">
        <f t="shared" si="61"/>
        <v/>
      </c>
      <c r="E223" s="4"/>
      <c r="F223" s="44"/>
      <c r="G223" s="4"/>
      <c r="H223" s="47"/>
      <c r="J223" s="45" t="str">
        <f t="shared" si="62"/>
        <v/>
      </c>
      <c r="N223" t="str">
        <f t="shared" si="64"/>
        <v/>
      </c>
      <c r="Q223" t="str">
        <f t="shared" si="63"/>
        <v/>
      </c>
      <c r="S223" t="str">
        <f>IF(A223=1,MAX(S$2:S222)+1,IF(OR(I223&lt;&gt;"",A223="x"),S222,""))</f>
        <v/>
      </c>
      <c r="T223" t="str">
        <f>IF(D223=1,MAX($T$2:$T222)+1,IF(S223=$S222,$S222,IF($D223="x",T222,IF($D222="x","",""))))</f>
        <v/>
      </c>
      <c r="U223" t="str">
        <f>IF(B223=1,MAX($U$2:$U222)+1,IF(AND($T223&lt;&gt;"",$T223=$T222),$U222,IF(B223="x",U222,"")))</f>
        <v/>
      </c>
      <c r="V223" t="str">
        <f>IF(C223=1,MAX($V$2:$V222)+1,IF(AND($T223&lt;&gt;"",$T223=$T222),$U222,IF(C223="x",V222,"")))</f>
        <v/>
      </c>
      <c r="W223" t="str" cm="1">
        <f t="array" ref="W223">IFERROR(_xlfn._xlws.FILTER(game_rosters!AB:AB,(game_rosters!J:J=events!X223)*(K223&lt;&gt;"")),"")</f>
        <v/>
      </c>
      <c r="X223" t="str" cm="1">
        <f t="array" ref="X223">IF(S223="","",IF($I223&lt;&gt;"",$I223,INDEX($I$2:$I222,ROW()-COUNTIFS($T$2:$T222,"="&amp;$T223,$S$2:$S222,"&lt;&gt;"&amp;$S223)-1)))</f>
        <v/>
      </c>
      <c r="Y223" t="b">
        <f>IF(X223&lt;&gt;"",VLOOKUP(X223,game_rosters!$C$43:$E$64,3,FALSE))</f>
        <v>0</v>
      </c>
      <c r="Z223" t="e" cm="1" vm="1">
        <f t="array" aca="1" ref="Z223" ca="1">IFERROR(IF(_xlfn._xlws.FILTER(game_rosters!$J:$J,(game_rosters!$G:$G=events!$AN223)*(game_rosters!$J:$J=events!$X223))&gt;0,1,""),"")</f>
        <v>#VALUE!</v>
      </c>
      <c r="AA223" t="e">
        <f t="shared" si="59"/>
        <v>#VALUE!</v>
      </c>
      <c r="AB223" t="str">
        <f t="shared" si="60"/>
        <v/>
      </c>
      <c r="AC223" t="e">
        <f t="shared" si="58"/>
        <v>#VALUE!</v>
      </c>
      <c r="AD223" s="6"/>
      <c r="BJ223" s="39"/>
      <c r="BM223" s="39"/>
      <c r="BO223" s="19"/>
      <c r="BQ223" s="17"/>
    </row>
    <row r="224" spans="1:69" x14ac:dyDescent="0.2">
      <c r="A224" t="str">
        <f t="shared" si="61"/>
        <v/>
      </c>
      <c r="E224" s="4"/>
      <c r="F224" s="44"/>
      <c r="G224" s="4"/>
      <c r="H224" s="47"/>
      <c r="J224" s="45" t="str">
        <f t="shared" si="62"/>
        <v/>
      </c>
      <c r="N224" t="str">
        <f t="shared" si="64"/>
        <v/>
      </c>
      <c r="Q224" t="str">
        <f t="shared" si="63"/>
        <v/>
      </c>
      <c r="S224" t="str">
        <f>IF(A224=1,MAX(S$2:S223)+1,IF(OR(I224&lt;&gt;"",A224="x"),S223,""))</f>
        <v/>
      </c>
      <c r="T224" t="str">
        <f>IF(D224=1,MAX($T$2:$T223)+1,IF(S224=$S223,$S223,IF($D224="x",T223,IF($D223="x","",""))))</f>
        <v/>
      </c>
      <c r="U224" t="str">
        <f>IF(B224=1,MAX($U$2:$U223)+1,IF(AND($T224&lt;&gt;"",$T224=$T223),$U223,IF(B224="x",U223,"")))</f>
        <v/>
      </c>
      <c r="V224" t="str">
        <f>IF(C224=1,MAX($V$2:$V223)+1,IF(AND($T224&lt;&gt;"",$T224=$T223),$U223,IF(C224="x",V223,"")))</f>
        <v/>
      </c>
      <c r="W224" t="str" cm="1">
        <f t="array" ref="W224">IFERROR(_xlfn._xlws.FILTER(game_rosters!AB:AB,(game_rosters!J:J=events!X224)*(K224&lt;&gt;"")),"")</f>
        <v/>
      </c>
      <c r="X224" t="str" cm="1">
        <f t="array" ref="X224">IF(S224="","",IF($I224&lt;&gt;"",$I224,INDEX($I$2:$I223,ROW()-COUNTIFS($T$2:$T223,"="&amp;$T224,$S$2:$S223,"&lt;&gt;"&amp;$S224)-1)))</f>
        <v/>
      </c>
      <c r="Y224" t="b">
        <f>IF(X224&lt;&gt;"",VLOOKUP(X224,game_rosters!$C$43:$E$64,3,FALSE))</f>
        <v>0</v>
      </c>
      <c r="Z224" t="e" cm="1" vm="1">
        <f t="array" aca="1" ref="Z224" ca="1">IFERROR(IF(_xlfn._xlws.FILTER(game_rosters!$J:$J,(game_rosters!$G:$G=events!$AN224)*(game_rosters!$J:$J=events!$X224))&gt;0,1,""),"")</f>
        <v>#VALUE!</v>
      </c>
      <c r="AA224" t="e">
        <f t="shared" si="59"/>
        <v>#VALUE!</v>
      </c>
      <c r="AB224" t="str">
        <f t="shared" si="60"/>
        <v/>
      </c>
      <c r="AC224" t="e">
        <f t="shared" si="58"/>
        <v>#VALUE!</v>
      </c>
      <c r="AD224" s="6"/>
      <c r="BJ224" s="39"/>
      <c r="BM224" s="39"/>
      <c r="BO224" s="19"/>
      <c r="BQ224" s="17"/>
    </row>
    <row r="225" spans="1:69" x14ac:dyDescent="0.2">
      <c r="A225" t="str">
        <f t="shared" si="61"/>
        <v/>
      </c>
      <c r="E225" s="4"/>
      <c r="F225" s="44"/>
      <c r="G225" s="4"/>
      <c r="H225" s="47"/>
      <c r="J225" s="45" t="str">
        <f t="shared" si="62"/>
        <v/>
      </c>
      <c r="N225" t="str">
        <f t="shared" si="64"/>
        <v/>
      </c>
      <c r="Q225" t="str">
        <f t="shared" si="63"/>
        <v/>
      </c>
      <c r="S225" t="str">
        <f>IF(A225=1,MAX(S$2:S224)+1,IF(OR(I225&lt;&gt;"",A225="x"),S224,""))</f>
        <v/>
      </c>
      <c r="T225" t="str">
        <f>IF(D225=1,MAX($T$2:$T224)+1,IF(S225=$S224,$S224,IF($D225="x",T224,IF($D224="x","",""))))</f>
        <v/>
      </c>
      <c r="U225" t="str">
        <f>IF(B225=1,MAX($U$2:$U224)+1,IF(AND($T225&lt;&gt;"",$T225=$T224),$U224,IF(B225="x",U224,"")))</f>
        <v/>
      </c>
      <c r="V225" t="str">
        <f>IF(C225=1,MAX($V$2:$V224)+1,IF(AND($T225&lt;&gt;"",$T225=$T224),$U224,IF(C225="x",V224,"")))</f>
        <v/>
      </c>
      <c r="W225" t="str" cm="1">
        <f t="array" ref="W225">IFERROR(_xlfn._xlws.FILTER(game_rosters!AB:AB,(game_rosters!J:J=events!X225)*(K225&lt;&gt;"")),"")</f>
        <v/>
      </c>
      <c r="X225" t="str" cm="1">
        <f t="array" ref="X225">IF(S225="","",IF($I225&lt;&gt;"",$I225,INDEX($I$2:$I224,ROW()-COUNTIFS($T$2:$T224,"="&amp;$T225,$S$2:$S224,"&lt;&gt;"&amp;$S225)-1)))</f>
        <v/>
      </c>
      <c r="Y225" t="b">
        <f>IF(X225&lt;&gt;"",VLOOKUP(X225,game_rosters!$C$43:$E$64,3,FALSE))</f>
        <v>0</v>
      </c>
      <c r="Z225" t="e" cm="1" vm="1">
        <f t="array" aca="1" ref="Z225" ca="1">IFERROR(IF(_xlfn._xlws.FILTER(game_rosters!$J:$J,(game_rosters!$G:$G=events!$AN225)*(game_rosters!$J:$J=events!$X225))&gt;0,1,""),"")</f>
        <v>#VALUE!</v>
      </c>
      <c r="AA225" t="e">
        <f t="shared" si="59"/>
        <v>#VALUE!</v>
      </c>
      <c r="AB225" t="str">
        <f t="shared" si="60"/>
        <v/>
      </c>
      <c r="AC225" t="e">
        <f t="shared" si="58"/>
        <v>#VALUE!</v>
      </c>
      <c r="AD225" s="6"/>
      <c r="BJ225" s="39"/>
      <c r="BM225" s="39"/>
      <c r="BO225" s="19"/>
      <c r="BQ225" s="17"/>
    </row>
    <row r="226" spans="1:69" x14ac:dyDescent="0.2">
      <c r="A226" t="str">
        <f t="shared" si="61"/>
        <v/>
      </c>
      <c r="E226" s="4"/>
      <c r="F226" s="44"/>
      <c r="G226" s="4"/>
      <c r="H226" s="47"/>
      <c r="J226" s="45" t="str">
        <f t="shared" si="62"/>
        <v/>
      </c>
      <c r="N226" t="str">
        <f t="shared" si="64"/>
        <v/>
      </c>
      <c r="Q226" t="str">
        <f t="shared" si="63"/>
        <v/>
      </c>
      <c r="S226" t="str">
        <f>IF(A226=1,MAX(S$2:S225)+1,IF(OR(I226&lt;&gt;"",A226="x"),S225,""))</f>
        <v/>
      </c>
      <c r="T226" t="str">
        <f>IF(D226=1,MAX($T$2:$T225)+1,IF(S226=$S225,$S225,IF($D226="x",T225,IF($D225="x","",""))))</f>
        <v/>
      </c>
      <c r="U226" t="str">
        <f>IF(B226=1,MAX($U$2:$U225)+1,IF(AND($T226&lt;&gt;"",$T226=$T225),$U225,IF(B226="x",U225,"")))</f>
        <v/>
      </c>
      <c r="V226" t="str">
        <f>IF(C226=1,MAX($V$2:$V225)+1,IF(AND($T226&lt;&gt;"",$T226=$T225),$U225,IF(C226="x",V225,"")))</f>
        <v/>
      </c>
      <c r="W226" t="str" cm="1">
        <f t="array" ref="W226">IFERROR(_xlfn._xlws.FILTER(game_rosters!AB:AB,(game_rosters!J:J=events!X226)*(K226&lt;&gt;"")),"")</f>
        <v/>
      </c>
      <c r="X226" t="str" cm="1">
        <f t="array" ref="X226">IF(S226="","",IF($I226&lt;&gt;"",$I226,INDEX($I$2:$I225,ROW()-COUNTIFS($T$2:$T225,"="&amp;$T226,$S$2:$S225,"&lt;&gt;"&amp;$S226)-1)))</f>
        <v/>
      </c>
      <c r="Y226" t="b">
        <f>IF(X226&lt;&gt;"",VLOOKUP(X226,game_rosters!$C$43:$E$64,3,FALSE))</f>
        <v>0</v>
      </c>
      <c r="Z226" t="e" cm="1" vm="1">
        <f t="array" aca="1" ref="Z226" ca="1">IFERROR(IF(_xlfn._xlws.FILTER(game_rosters!$J:$J,(game_rosters!$G:$G=events!$AN226)*(game_rosters!$J:$J=events!$X226))&gt;0,1,""),"")</f>
        <v>#VALUE!</v>
      </c>
      <c r="AA226" t="e">
        <f t="shared" si="59"/>
        <v>#VALUE!</v>
      </c>
      <c r="AB226" t="str">
        <f t="shared" si="60"/>
        <v/>
      </c>
      <c r="AC226" t="e">
        <f t="shared" si="58"/>
        <v>#VALUE!</v>
      </c>
      <c r="AD226" s="6"/>
      <c r="BJ226" s="39"/>
      <c r="BM226" s="39"/>
      <c r="BO226" s="19"/>
      <c r="BQ226" s="17"/>
    </row>
    <row r="227" spans="1:69" x14ac:dyDescent="0.2">
      <c r="A227" t="str">
        <f t="shared" si="61"/>
        <v/>
      </c>
      <c r="E227" s="4"/>
      <c r="F227" s="44"/>
      <c r="G227" s="4"/>
      <c r="H227" s="47"/>
      <c r="J227" s="45" t="str">
        <f t="shared" si="62"/>
        <v/>
      </c>
      <c r="N227" t="str">
        <f t="shared" si="64"/>
        <v/>
      </c>
      <c r="Q227" t="str">
        <f t="shared" si="63"/>
        <v/>
      </c>
      <c r="S227" t="str">
        <f>IF(A227=1,MAX(S$2:S226)+1,IF(OR(I227&lt;&gt;"",A227="x"),S226,""))</f>
        <v/>
      </c>
      <c r="T227" t="str">
        <f>IF(D227=1,MAX($T$2:$T226)+1,IF(S227=$S226,$S226,IF($D227="x",T226,IF($D226="x","",""))))</f>
        <v/>
      </c>
      <c r="U227" t="str">
        <f>IF(B227=1,MAX($U$2:$U226)+1,IF(AND($T227&lt;&gt;"",$T227=$T226),$U226,IF(B227="x",U226,"")))</f>
        <v/>
      </c>
      <c r="V227" t="str">
        <f>IF(C227=1,MAX($V$2:$V226)+1,IF(AND($T227&lt;&gt;"",$T227=$T226),$U226,IF(C227="x",V226,"")))</f>
        <v/>
      </c>
      <c r="W227" t="str" cm="1">
        <f t="array" ref="W227">IFERROR(_xlfn._xlws.FILTER(game_rosters!AB:AB,(game_rosters!J:J=events!X227)*(K227&lt;&gt;"")),"")</f>
        <v/>
      </c>
      <c r="X227" t="str" cm="1">
        <f t="array" ref="X227">IF(S227="","",IF($I227&lt;&gt;"",$I227,INDEX($I$2:$I226,ROW()-COUNTIFS($T$2:$T226,"="&amp;$T227,$S$2:$S226,"&lt;&gt;"&amp;$S227)-1)))</f>
        <v/>
      </c>
      <c r="Y227" t="b">
        <f>IF(X227&lt;&gt;"",VLOOKUP(X227,game_rosters!$C$43:$E$64,3,FALSE))</f>
        <v>0</v>
      </c>
      <c r="Z227" t="e" cm="1" vm="1">
        <f t="array" aca="1" ref="Z227" ca="1">IFERROR(IF(_xlfn._xlws.FILTER(game_rosters!$J:$J,(game_rosters!$G:$G=events!$AN227)*(game_rosters!$J:$J=events!$X227))&gt;0,1,""),"")</f>
        <v>#VALUE!</v>
      </c>
      <c r="AA227" t="e">
        <f t="shared" si="59"/>
        <v>#VALUE!</v>
      </c>
      <c r="AB227" t="str">
        <f t="shared" si="60"/>
        <v/>
      </c>
      <c r="AC227" t="e">
        <f t="shared" si="58"/>
        <v>#VALUE!</v>
      </c>
      <c r="AD227" s="6"/>
      <c r="BJ227" s="39"/>
      <c r="BM227" s="39"/>
      <c r="BO227" s="19"/>
      <c r="BQ227" s="17"/>
    </row>
    <row r="228" spans="1:69" x14ac:dyDescent="0.2">
      <c r="A228" t="str">
        <f t="shared" si="61"/>
        <v/>
      </c>
      <c r="E228" s="4"/>
      <c r="F228" s="44"/>
      <c r="G228" s="4"/>
      <c r="H228" s="47"/>
      <c r="J228" s="45" t="str">
        <f t="shared" si="62"/>
        <v/>
      </c>
      <c r="N228" t="str">
        <f t="shared" si="64"/>
        <v/>
      </c>
      <c r="Q228" t="str">
        <f t="shared" si="63"/>
        <v/>
      </c>
      <c r="S228" t="str">
        <f>IF(A228=1,MAX(S$2:S227)+1,IF(OR(I228&lt;&gt;"",A228="x"),S227,""))</f>
        <v/>
      </c>
      <c r="T228" t="str">
        <f>IF(D228=1,MAX($T$2:$T227)+1,IF(S228=$S227,$S227,IF($D228="x",T227,IF($D227="x","",""))))</f>
        <v/>
      </c>
      <c r="U228" t="str">
        <f>IF(B228=1,MAX($U$2:$U227)+1,IF(AND($T228&lt;&gt;"",$T228=$T227),$U227,IF(B228="x",U227,"")))</f>
        <v/>
      </c>
      <c r="V228" t="str">
        <f>IF(C228=1,MAX($V$2:$V227)+1,IF(AND($T228&lt;&gt;"",$T228=$T227),$U227,IF(C228="x",V227,"")))</f>
        <v/>
      </c>
      <c r="W228" t="str" cm="1">
        <f t="array" ref="W228">IFERROR(_xlfn._xlws.FILTER(game_rosters!AB:AB,(game_rosters!J:J=events!X228)*(K228&lt;&gt;"")),"")</f>
        <v/>
      </c>
      <c r="X228" t="str" cm="1">
        <f t="array" ref="X228">IF(S228="","",IF($I228&lt;&gt;"",$I228,INDEX($I$2:$I227,ROW()-COUNTIFS($T$2:$T227,"="&amp;$T228,$S$2:$S227,"&lt;&gt;"&amp;$S228)-1)))</f>
        <v/>
      </c>
      <c r="Y228" t="b">
        <f>IF(X228&lt;&gt;"",VLOOKUP(X228,game_rosters!$C$43:$E$64,3,FALSE))</f>
        <v>0</v>
      </c>
      <c r="Z228" t="e" cm="1" vm="1">
        <f t="array" aca="1" ref="Z228" ca="1">IFERROR(IF(_xlfn._xlws.FILTER(game_rosters!$J:$J,(game_rosters!$G:$G=events!$AN228)*(game_rosters!$J:$J=events!$X228))&gt;0,1,""),"")</f>
        <v>#VALUE!</v>
      </c>
      <c r="AA228" t="e">
        <f t="shared" si="59"/>
        <v>#VALUE!</v>
      </c>
      <c r="AB228" t="str">
        <f t="shared" si="60"/>
        <v/>
      </c>
      <c r="AC228" t="e">
        <f t="shared" si="58"/>
        <v>#VALUE!</v>
      </c>
      <c r="AD228" s="6"/>
      <c r="BJ228" s="39"/>
      <c r="BM228" s="39"/>
      <c r="BO228" s="19"/>
      <c r="BQ228" s="17"/>
    </row>
    <row r="229" spans="1:69" x14ac:dyDescent="0.2">
      <c r="A229" t="str">
        <f t="shared" si="61"/>
        <v/>
      </c>
      <c r="E229" s="4"/>
      <c r="F229" s="44"/>
      <c r="G229" s="4"/>
      <c r="H229" s="47"/>
      <c r="J229" s="45" t="str">
        <f t="shared" si="62"/>
        <v/>
      </c>
      <c r="N229" t="str">
        <f t="shared" si="64"/>
        <v/>
      </c>
      <c r="Q229" t="str">
        <f t="shared" si="63"/>
        <v/>
      </c>
      <c r="S229" t="str">
        <f>IF(A229=1,MAX(S$2:S228)+1,IF(OR(I229&lt;&gt;"",A229="x"),S228,""))</f>
        <v/>
      </c>
      <c r="T229" t="str">
        <f>IF(D229=1,MAX($T$2:$T228)+1,IF(S229=$S228,$S228,IF($D229="x",T228,IF($D228="x","",""))))</f>
        <v/>
      </c>
      <c r="U229" t="str">
        <f>IF(B229=1,MAX($U$2:$U228)+1,IF(AND($T229&lt;&gt;"",$T229=$T228),$U228,IF(B229="x",U228,"")))</f>
        <v/>
      </c>
      <c r="V229" t="str">
        <f>IF(C229=1,MAX($V$2:$V228)+1,IF(AND($T229&lt;&gt;"",$T229=$T228),$U228,IF(C229="x",V228,"")))</f>
        <v/>
      </c>
      <c r="W229" t="str" cm="1">
        <f t="array" ref="W229">IFERROR(_xlfn._xlws.FILTER(game_rosters!AB:AB,(game_rosters!J:J=events!X229)*(K229&lt;&gt;"")),"")</f>
        <v/>
      </c>
      <c r="X229" t="str" cm="1">
        <f t="array" ref="X229">IF(S229="","",IF($I229&lt;&gt;"",$I229,INDEX($I$2:$I228,ROW()-COUNTIFS($T$2:$T228,"="&amp;$T229,$S$2:$S228,"&lt;&gt;"&amp;$S229)-1)))</f>
        <v/>
      </c>
      <c r="Y229" t="b">
        <f>IF(X229&lt;&gt;"",VLOOKUP(X229,game_rosters!$C$43:$E$64,3,FALSE))</f>
        <v>0</v>
      </c>
      <c r="Z229" t="e" cm="1" vm="1">
        <f t="array" aca="1" ref="Z229" ca="1">IFERROR(IF(_xlfn._xlws.FILTER(game_rosters!$J:$J,(game_rosters!$G:$G=events!$AN229)*(game_rosters!$J:$J=events!$X229))&gt;0,1,""),"")</f>
        <v>#VALUE!</v>
      </c>
      <c r="AA229" t="e">
        <f t="shared" si="59"/>
        <v>#VALUE!</v>
      </c>
      <c r="AB229" t="str">
        <f t="shared" si="60"/>
        <v/>
      </c>
      <c r="AC229" t="e">
        <f t="shared" si="58"/>
        <v>#VALUE!</v>
      </c>
      <c r="AD229" s="6"/>
      <c r="BJ229" s="39"/>
      <c r="BM229" s="39"/>
      <c r="BO229" s="19"/>
      <c r="BQ229" s="17"/>
    </row>
    <row r="230" spans="1:69" x14ac:dyDescent="0.2">
      <c r="A230" t="str">
        <f t="shared" si="61"/>
        <v/>
      </c>
      <c r="E230" s="4"/>
      <c r="F230" s="44"/>
      <c r="G230" s="4"/>
      <c r="H230" s="47"/>
      <c r="J230" s="45" t="str">
        <f t="shared" si="62"/>
        <v/>
      </c>
      <c r="N230" t="str">
        <f t="shared" si="64"/>
        <v/>
      </c>
      <c r="Q230" t="str">
        <f t="shared" si="63"/>
        <v/>
      </c>
      <c r="S230" t="str">
        <f>IF(A230=1,MAX(S$2:S229)+1,IF(OR(I230&lt;&gt;"",A230="x"),S229,""))</f>
        <v/>
      </c>
      <c r="T230" t="str">
        <f>IF(D230=1,MAX($T$2:$T229)+1,IF(S230=$S229,$S229,IF($D230="x",T229,IF($D229="x","",""))))</f>
        <v/>
      </c>
      <c r="U230" t="str">
        <f>IF(B230=1,MAX($U$2:$U229)+1,IF(AND($T230&lt;&gt;"",$T230=$T229),$U229,IF(B230="x",U229,"")))</f>
        <v/>
      </c>
      <c r="V230" t="str">
        <f>IF(C230=1,MAX($V$2:$V229)+1,IF(AND($T230&lt;&gt;"",$T230=$T229),$U229,IF(C230="x",V229,"")))</f>
        <v/>
      </c>
      <c r="W230" t="str" cm="1">
        <f t="array" ref="W230">IFERROR(_xlfn._xlws.FILTER(game_rosters!AB:AB,(game_rosters!J:J=events!X230)*(K230&lt;&gt;"")),"")</f>
        <v/>
      </c>
      <c r="X230" t="str" cm="1">
        <f t="array" ref="X230">IF(S230="","",IF($I230&lt;&gt;"",$I230,INDEX($I$2:$I229,ROW()-COUNTIFS($T$2:$T229,"="&amp;$T230,$S$2:$S229,"&lt;&gt;"&amp;$S230)-1)))</f>
        <v/>
      </c>
      <c r="Y230" t="b">
        <f>IF(X230&lt;&gt;"",VLOOKUP(X230,game_rosters!$C$43:$E$64,3,FALSE))</f>
        <v>0</v>
      </c>
      <c r="Z230" t="e" cm="1" vm="1">
        <f t="array" aca="1" ref="Z230" ca="1">IFERROR(IF(_xlfn._xlws.FILTER(game_rosters!$J:$J,(game_rosters!$G:$G=events!$AN230)*(game_rosters!$J:$J=events!$X230))&gt;0,1,""),"")</f>
        <v>#VALUE!</v>
      </c>
      <c r="AA230" t="e">
        <f t="shared" si="59"/>
        <v>#VALUE!</v>
      </c>
      <c r="AB230" t="str">
        <f t="shared" si="60"/>
        <v/>
      </c>
      <c r="AC230" t="e">
        <f t="shared" si="58"/>
        <v>#VALUE!</v>
      </c>
      <c r="AD230" s="6"/>
      <c r="BJ230" s="39"/>
      <c r="BM230" s="39"/>
      <c r="BO230" s="19"/>
      <c r="BQ230" s="17"/>
    </row>
    <row r="231" spans="1:69" x14ac:dyDescent="0.2">
      <c r="A231" t="str">
        <f t="shared" si="61"/>
        <v/>
      </c>
      <c r="E231" s="4"/>
      <c r="F231" s="44"/>
      <c r="G231" s="4"/>
      <c r="H231" s="47"/>
      <c r="J231" s="45" t="str">
        <f t="shared" si="62"/>
        <v/>
      </c>
      <c r="N231" t="str">
        <f t="shared" si="64"/>
        <v/>
      </c>
      <c r="Q231" t="str">
        <f t="shared" si="63"/>
        <v/>
      </c>
      <c r="S231" t="str">
        <f>IF(A231=1,MAX(S$2:S230)+1,IF(OR(I231&lt;&gt;"",A231="x"),S230,""))</f>
        <v/>
      </c>
      <c r="T231" t="str">
        <f>IF(D231=1,MAX($T$2:$T230)+1,IF(S231=$S230,$S230,IF($D231="x",T230,IF($D230="x","",""))))</f>
        <v/>
      </c>
      <c r="U231" t="str">
        <f>IF(B231=1,MAX($U$2:$U230)+1,IF(AND($T231&lt;&gt;"",$T231=$T230),$U230,IF(B231="x",U230,"")))</f>
        <v/>
      </c>
      <c r="V231" t="str">
        <f>IF(C231=1,MAX($V$2:$V230)+1,IF(AND($T231&lt;&gt;"",$T231=$T230),$U230,IF(C231="x",V230,"")))</f>
        <v/>
      </c>
      <c r="W231" t="str" cm="1">
        <f t="array" ref="W231">IFERROR(_xlfn._xlws.FILTER(game_rosters!AB:AB,(game_rosters!J:J=events!X231)*(K231&lt;&gt;"")),"")</f>
        <v/>
      </c>
      <c r="X231" t="str" cm="1">
        <f t="array" ref="X231">IF(S231="","",IF($I231&lt;&gt;"",$I231,INDEX($I$2:$I230,ROW()-COUNTIFS($T$2:$T230,"="&amp;$T231,$S$2:$S230,"&lt;&gt;"&amp;$S231)-1)))</f>
        <v/>
      </c>
      <c r="Y231" t="b">
        <f>IF(X231&lt;&gt;"",VLOOKUP(X231,game_rosters!$C$43:$E$64,3,FALSE))</f>
        <v>0</v>
      </c>
      <c r="Z231" t="e" cm="1" vm="1">
        <f t="array" aca="1" ref="Z231" ca="1">IFERROR(IF(_xlfn._xlws.FILTER(game_rosters!$J:$J,(game_rosters!$G:$G=events!$AN231)*(game_rosters!$J:$J=events!$X231))&gt;0,1,""),"")</f>
        <v>#VALUE!</v>
      </c>
      <c r="AA231" t="e">
        <f t="shared" si="59"/>
        <v>#VALUE!</v>
      </c>
      <c r="AB231" t="str">
        <f t="shared" si="60"/>
        <v/>
      </c>
      <c r="AC231" t="e">
        <f t="shared" si="58"/>
        <v>#VALUE!</v>
      </c>
      <c r="AD231" s="6"/>
      <c r="BJ231" s="39"/>
      <c r="BM231" s="39"/>
      <c r="BO231" s="19"/>
      <c r="BQ231" s="17"/>
    </row>
    <row r="232" spans="1:69" x14ac:dyDescent="0.2">
      <c r="A232" t="str">
        <f t="shared" si="61"/>
        <v/>
      </c>
      <c r="E232" s="4"/>
      <c r="F232" s="44"/>
      <c r="G232" s="4"/>
      <c r="H232" s="47"/>
      <c r="J232" s="45" t="str">
        <f t="shared" si="62"/>
        <v/>
      </c>
      <c r="N232" t="str">
        <f t="shared" si="64"/>
        <v/>
      </c>
      <c r="Q232" t="str">
        <f t="shared" si="63"/>
        <v/>
      </c>
      <c r="S232" t="str">
        <f>IF(A232=1,MAX(S$2:S231)+1,IF(OR(I232&lt;&gt;"",A232="x"),S231,""))</f>
        <v/>
      </c>
      <c r="T232" t="str">
        <f>IF(D232=1,MAX($T$2:$T231)+1,IF(S232=$S231,$S231,IF($D232="x",T231,IF($D231="x","",""))))</f>
        <v/>
      </c>
      <c r="U232" t="str">
        <f>IF(B232=1,MAX($U$2:$U231)+1,IF(AND($T232&lt;&gt;"",$T232=$T231),$U231,IF(B232="x",U231,"")))</f>
        <v/>
      </c>
      <c r="V232" t="str">
        <f>IF(C232=1,MAX($V$2:$V231)+1,IF(AND($T232&lt;&gt;"",$T232=$T231),$U231,IF(C232="x",V231,"")))</f>
        <v/>
      </c>
      <c r="W232" t="str" cm="1">
        <f t="array" ref="W232">IFERROR(_xlfn._xlws.FILTER(game_rosters!AB:AB,(game_rosters!J:J=events!X232)*(K232&lt;&gt;"")),"")</f>
        <v/>
      </c>
      <c r="X232" t="str" cm="1">
        <f t="array" ref="X232">IF(S232="","",IF($I232&lt;&gt;"",$I232,INDEX($I$2:$I231,ROW()-COUNTIFS($T$2:$T231,"="&amp;$T232,$S$2:$S231,"&lt;&gt;"&amp;$S232)-1)))</f>
        <v/>
      </c>
      <c r="Y232" t="b">
        <f>IF(X232&lt;&gt;"",VLOOKUP(X232,game_rosters!$C$43:$E$64,3,FALSE))</f>
        <v>0</v>
      </c>
      <c r="Z232" t="e" cm="1" vm="1">
        <f t="array" aca="1" ref="Z232" ca="1">IFERROR(IF(_xlfn._xlws.FILTER(game_rosters!$J:$J,(game_rosters!$G:$G=events!$AN232)*(game_rosters!$J:$J=events!$X232))&gt;0,1,""),"")</f>
        <v>#VALUE!</v>
      </c>
      <c r="AA232" t="e">
        <f t="shared" si="59"/>
        <v>#VALUE!</v>
      </c>
      <c r="AB232" t="str">
        <f t="shared" si="60"/>
        <v/>
      </c>
      <c r="AC232" t="e">
        <f t="shared" si="58"/>
        <v>#VALUE!</v>
      </c>
      <c r="AD232" s="6"/>
      <c r="BJ232" s="39"/>
      <c r="BM232" s="39"/>
      <c r="BO232" s="19"/>
      <c r="BQ232" s="17"/>
    </row>
    <row r="233" spans="1:69" x14ac:dyDescent="0.2">
      <c r="A233" t="str">
        <f t="shared" si="61"/>
        <v/>
      </c>
      <c r="E233" s="4"/>
      <c r="F233" s="44"/>
      <c r="G233" s="4"/>
      <c r="H233" s="47"/>
      <c r="J233" s="45" t="str">
        <f t="shared" si="62"/>
        <v/>
      </c>
      <c r="N233" t="str">
        <f t="shared" si="64"/>
        <v/>
      </c>
      <c r="Q233" t="str">
        <f t="shared" si="63"/>
        <v/>
      </c>
      <c r="S233" t="str">
        <f>IF(A233=1,MAX(S$2:S232)+1,IF(OR(I233&lt;&gt;"",A233="x"),S232,""))</f>
        <v/>
      </c>
      <c r="T233" t="str">
        <f>IF(D233=1,MAX($T$2:$T232)+1,IF(S233=$S232,$S232,IF($D233="x",T232,IF($D232="x","",""))))</f>
        <v/>
      </c>
      <c r="U233" t="str">
        <f>IF(B233=1,MAX($U$2:$U232)+1,IF(AND($T233&lt;&gt;"",$T233=$T232),$U232,IF(B233="x",U232,"")))</f>
        <v/>
      </c>
      <c r="V233" t="str">
        <f>IF(C233=1,MAX($V$2:$V232)+1,IF(AND($T233&lt;&gt;"",$T233=$T232),$U232,IF(C233="x",V232,"")))</f>
        <v/>
      </c>
      <c r="W233" t="str" cm="1">
        <f t="array" ref="W233">IFERROR(_xlfn._xlws.FILTER(game_rosters!AB:AB,(game_rosters!J:J=events!X233)*(K233&lt;&gt;"")),"")</f>
        <v/>
      </c>
      <c r="X233" t="str" cm="1">
        <f t="array" ref="X233">IF(S233="","",IF($I233&lt;&gt;"",$I233,INDEX($I$2:$I232,ROW()-COUNTIFS($T$2:$T232,"="&amp;$T233,$S$2:$S232,"&lt;&gt;"&amp;$S233)-1)))</f>
        <v/>
      </c>
      <c r="Y233" t="b">
        <f>IF(X233&lt;&gt;"",VLOOKUP(X233,game_rosters!$C$43:$E$64,3,FALSE))</f>
        <v>0</v>
      </c>
      <c r="Z233" t="e" cm="1" vm="1">
        <f t="array" aca="1" ref="Z233" ca="1">IFERROR(IF(_xlfn._xlws.FILTER(game_rosters!$J:$J,(game_rosters!$G:$G=events!$AN233)*(game_rosters!$J:$J=events!$X233))&gt;0,1,""),"")</f>
        <v>#VALUE!</v>
      </c>
      <c r="AA233" t="e">
        <f t="shared" si="59"/>
        <v>#VALUE!</v>
      </c>
      <c r="AB233" t="str">
        <f t="shared" si="60"/>
        <v/>
      </c>
      <c r="AC233" t="e">
        <f t="shared" si="58"/>
        <v>#VALUE!</v>
      </c>
      <c r="AD233" s="6"/>
      <c r="BJ233" s="39"/>
      <c r="BM233" s="39"/>
      <c r="BO233" s="19"/>
      <c r="BQ233" s="17"/>
    </row>
    <row r="234" spans="1:69" x14ac:dyDescent="0.2">
      <c r="A234" t="str">
        <f t="shared" si="61"/>
        <v/>
      </c>
      <c r="E234" s="4"/>
      <c r="F234" s="44"/>
      <c r="G234" s="4"/>
      <c r="H234" s="47"/>
      <c r="J234" s="45" t="str">
        <f t="shared" si="62"/>
        <v/>
      </c>
      <c r="N234" t="str">
        <f t="shared" si="64"/>
        <v/>
      </c>
      <c r="Q234" t="str">
        <f t="shared" si="63"/>
        <v/>
      </c>
      <c r="S234" t="str">
        <f>IF(A234=1,MAX(S$2:S233)+1,IF(OR(I234&lt;&gt;"",A234="x"),S233,""))</f>
        <v/>
      </c>
      <c r="T234" t="str">
        <f>IF(D234=1,MAX($T$2:$T233)+1,IF(S234=$S233,$S233,IF($D234="x",T233,IF($D233="x","",""))))</f>
        <v/>
      </c>
      <c r="U234" t="str">
        <f>IF(B234=1,MAX($U$2:$U233)+1,IF(AND($T234&lt;&gt;"",$T234=$T233),$U233,IF(B234="x",U233,"")))</f>
        <v/>
      </c>
      <c r="V234" t="str">
        <f>IF(C234=1,MAX($V$2:$V233)+1,IF(AND($T234&lt;&gt;"",$T234=$T233),$U233,IF(C234="x",V233,"")))</f>
        <v/>
      </c>
      <c r="W234" t="str" cm="1">
        <f t="array" ref="W234">IFERROR(_xlfn._xlws.FILTER(game_rosters!AB:AB,(game_rosters!J:J=events!X234)*(K234&lt;&gt;"")),"")</f>
        <v/>
      </c>
      <c r="X234" t="str" cm="1">
        <f t="array" ref="X234">IF(S234="","",IF($I234&lt;&gt;"",$I234,INDEX($I$2:$I233,ROW()-COUNTIFS($T$2:$T233,"="&amp;$T234,$S$2:$S233,"&lt;&gt;"&amp;$S234)-1)))</f>
        <v/>
      </c>
      <c r="Y234" t="b">
        <f>IF(X234&lt;&gt;"",VLOOKUP(X234,game_rosters!$C$43:$E$64,3,FALSE))</f>
        <v>0</v>
      </c>
      <c r="Z234" t="e" cm="1" vm="1">
        <f t="array" aca="1" ref="Z234" ca="1">IFERROR(IF(_xlfn._xlws.FILTER(game_rosters!$J:$J,(game_rosters!$G:$G=events!$AN234)*(game_rosters!$J:$J=events!$X234))&gt;0,1,""),"")</f>
        <v>#VALUE!</v>
      </c>
      <c r="AA234" t="e">
        <f t="shared" si="59"/>
        <v>#VALUE!</v>
      </c>
      <c r="AB234" t="str">
        <f t="shared" si="60"/>
        <v/>
      </c>
      <c r="AC234" t="e">
        <f t="shared" si="58"/>
        <v>#VALUE!</v>
      </c>
      <c r="AD234" s="6"/>
      <c r="BJ234" s="39"/>
      <c r="BM234" s="39"/>
      <c r="BO234" s="19"/>
      <c r="BQ234" s="17"/>
    </row>
    <row r="235" spans="1:69" x14ac:dyDescent="0.2">
      <c r="A235" t="str">
        <f t="shared" si="61"/>
        <v/>
      </c>
      <c r="E235" s="4"/>
      <c r="F235" s="44"/>
      <c r="G235" s="4"/>
      <c r="H235" s="47"/>
      <c r="J235" s="45" t="str">
        <f t="shared" si="62"/>
        <v/>
      </c>
      <c r="N235" t="str">
        <f t="shared" si="64"/>
        <v/>
      </c>
      <c r="Q235" t="str">
        <f t="shared" si="63"/>
        <v/>
      </c>
      <c r="S235" t="str">
        <f>IF(A235=1,MAX(S$2:S234)+1,IF(OR(I235&lt;&gt;"",A235="x"),S234,""))</f>
        <v/>
      </c>
      <c r="T235" t="str">
        <f>IF(D235=1,MAX($T$2:$T234)+1,IF(S235=$S234,$S234,IF($D235="x",T234,IF($D234="x","",""))))</f>
        <v/>
      </c>
      <c r="U235" t="str">
        <f>IF(B235=1,MAX($U$2:$U234)+1,IF(AND($T235&lt;&gt;"",$T235=$T234),$U234,IF(B235="x",U234,"")))</f>
        <v/>
      </c>
      <c r="V235" t="str">
        <f>IF(C235=1,MAX($V$2:$V234)+1,IF(AND($T235&lt;&gt;"",$T235=$T234),$U234,IF(C235="x",V234,"")))</f>
        <v/>
      </c>
      <c r="W235" t="str" cm="1">
        <f t="array" ref="W235">IFERROR(_xlfn._xlws.FILTER(game_rosters!AB:AB,(game_rosters!J:J=events!X235)*(K235&lt;&gt;"")),"")</f>
        <v/>
      </c>
      <c r="X235" t="str" cm="1">
        <f t="array" ref="X235">IF(S235="","",IF($I235&lt;&gt;"",$I235,INDEX($I$2:$I234,ROW()-COUNTIFS($T$2:$T234,"="&amp;$T235,$S$2:$S234,"&lt;&gt;"&amp;$S235)-1)))</f>
        <v/>
      </c>
      <c r="Y235" t="b">
        <f>IF(X235&lt;&gt;"",VLOOKUP(X235,game_rosters!$C$43:$E$64,3,FALSE))</f>
        <v>0</v>
      </c>
      <c r="Z235" t="e" cm="1" vm="1">
        <f t="array" aca="1" ref="Z235" ca="1">IFERROR(IF(_xlfn._xlws.FILTER(game_rosters!$J:$J,(game_rosters!$G:$G=events!$AN235)*(game_rosters!$J:$J=events!$X235))&gt;0,1,""),"")</f>
        <v>#VALUE!</v>
      </c>
      <c r="AA235" t="e">
        <f t="shared" si="59"/>
        <v>#VALUE!</v>
      </c>
      <c r="AB235" t="str">
        <f t="shared" si="60"/>
        <v/>
      </c>
      <c r="AC235" t="e">
        <f t="shared" si="58"/>
        <v>#VALUE!</v>
      </c>
      <c r="AD235" s="6"/>
      <c r="BJ235" s="39"/>
      <c r="BM235" s="39"/>
      <c r="BO235" s="19"/>
      <c r="BQ235" s="17"/>
    </row>
    <row r="236" spans="1:69" x14ac:dyDescent="0.2">
      <c r="A236" t="str">
        <f t="shared" si="61"/>
        <v/>
      </c>
      <c r="E236" s="4"/>
      <c r="F236" s="44"/>
      <c r="G236" s="4"/>
      <c r="H236" s="47"/>
      <c r="J236" s="45" t="str">
        <f t="shared" si="62"/>
        <v/>
      </c>
      <c r="N236" t="str">
        <f t="shared" si="64"/>
        <v/>
      </c>
      <c r="Q236" t="str">
        <f t="shared" si="63"/>
        <v/>
      </c>
      <c r="S236" t="str">
        <f>IF(A236=1,MAX(S$2:S235)+1,IF(OR(I236&lt;&gt;"",A236="x"),S235,""))</f>
        <v/>
      </c>
      <c r="T236" t="str">
        <f>IF(D236=1,MAX($T$2:$T235)+1,IF(S236=$S235,$S235,IF($D236="x",T235,IF($D235="x","",""))))</f>
        <v/>
      </c>
      <c r="U236" t="str">
        <f>IF(B236=1,MAX($U$2:$U235)+1,IF(AND($T236&lt;&gt;"",$T236=$T235),$U235,IF(B236="x",U235,"")))</f>
        <v/>
      </c>
      <c r="V236" t="str">
        <f>IF(C236=1,MAX($V$2:$V235)+1,IF(AND($T236&lt;&gt;"",$T236=$T235),$U235,IF(C236="x",V235,"")))</f>
        <v/>
      </c>
      <c r="W236" t="str" cm="1">
        <f t="array" ref="W236">IFERROR(_xlfn._xlws.FILTER(game_rosters!AB:AB,(game_rosters!J:J=events!X236)*(K236&lt;&gt;"")),"")</f>
        <v/>
      </c>
      <c r="X236" t="str" cm="1">
        <f t="array" ref="X236">IF(S236="","",IF($I236&lt;&gt;"",$I236,INDEX($I$2:$I235,ROW()-COUNTIFS($T$2:$T235,"="&amp;$T236,$S$2:$S235,"&lt;&gt;"&amp;$S236)-1)))</f>
        <v/>
      </c>
      <c r="Y236" t="b">
        <f>IF(X236&lt;&gt;"",VLOOKUP(X236,game_rosters!$C$43:$E$64,3,FALSE))</f>
        <v>0</v>
      </c>
      <c r="Z236" t="e" cm="1" vm="1">
        <f t="array" aca="1" ref="Z236" ca="1">IFERROR(IF(_xlfn._xlws.FILTER(game_rosters!$J:$J,(game_rosters!$G:$G=events!$AN236)*(game_rosters!$J:$J=events!$X236))&gt;0,1,""),"")</f>
        <v>#VALUE!</v>
      </c>
      <c r="AA236" t="e">
        <f t="shared" si="59"/>
        <v>#VALUE!</v>
      </c>
      <c r="AB236" t="str">
        <f t="shared" si="60"/>
        <v/>
      </c>
      <c r="AC236" t="e">
        <f t="shared" si="58"/>
        <v>#VALUE!</v>
      </c>
      <c r="AD236" s="6"/>
      <c r="BJ236" s="39"/>
      <c r="BM236" s="39"/>
      <c r="BO236" s="19"/>
      <c r="BQ236" s="17"/>
    </row>
    <row r="237" spans="1:69" x14ac:dyDescent="0.2">
      <c r="A237" t="str">
        <f t="shared" si="61"/>
        <v/>
      </c>
      <c r="E237" s="4"/>
      <c r="F237" s="44"/>
      <c r="G237" s="4"/>
      <c r="H237" s="47"/>
      <c r="J237" s="45" t="str">
        <f t="shared" si="62"/>
        <v/>
      </c>
      <c r="N237" t="str">
        <f t="shared" si="64"/>
        <v/>
      </c>
      <c r="Q237" t="str">
        <f t="shared" si="63"/>
        <v/>
      </c>
      <c r="S237" t="str">
        <f>IF(A237=1,MAX(S$2:S236)+1,IF(OR(I237&lt;&gt;"",A237="x"),S236,""))</f>
        <v/>
      </c>
      <c r="T237" t="str">
        <f>IF(D237=1,MAX($T$2:$T236)+1,IF(S237=$S236,$S236,IF($D237="x",T236,IF($D236="x","",""))))</f>
        <v/>
      </c>
      <c r="U237" t="str">
        <f>IF(B237=1,MAX($U$2:$U236)+1,IF(AND($T237&lt;&gt;"",$T237=$T236),$U236,IF(B237="x",U236,"")))</f>
        <v/>
      </c>
      <c r="V237" t="str">
        <f>IF(C237=1,MAX($V$2:$V236)+1,IF(AND($T237&lt;&gt;"",$T237=$T236),$U236,IF(C237="x",V236,"")))</f>
        <v/>
      </c>
      <c r="W237" t="str" cm="1">
        <f t="array" ref="W237">IFERROR(_xlfn._xlws.FILTER(game_rosters!AB:AB,(game_rosters!J:J=events!X237)*(K237&lt;&gt;"")),"")</f>
        <v/>
      </c>
      <c r="X237" t="str" cm="1">
        <f t="array" ref="X237">IF(S237="","",IF($I237&lt;&gt;"",$I237,INDEX($I$2:$I236,ROW()-COUNTIFS($T$2:$T236,"="&amp;$T237,$S$2:$S236,"&lt;&gt;"&amp;$S237)-1)))</f>
        <v/>
      </c>
      <c r="Y237" t="b">
        <f>IF(X237&lt;&gt;"",VLOOKUP(X237,game_rosters!$C$43:$E$64,3,FALSE))</f>
        <v>0</v>
      </c>
      <c r="Z237" t="e" cm="1" vm="1">
        <f t="array" aca="1" ref="Z237" ca="1">IFERROR(IF(_xlfn._xlws.FILTER(game_rosters!$J:$J,(game_rosters!$G:$G=events!$AN237)*(game_rosters!$J:$J=events!$X237))&gt;0,1,""),"")</f>
        <v>#VALUE!</v>
      </c>
      <c r="AA237" t="e">
        <f t="shared" si="59"/>
        <v>#VALUE!</v>
      </c>
      <c r="AB237" t="str">
        <f t="shared" si="60"/>
        <v/>
      </c>
      <c r="AC237" t="e">
        <f t="shared" si="58"/>
        <v>#VALUE!</v>
      </c>
      <c r="AD237" s="6"/>
      <c r="BJ237" s="39"/>
      <c r="BM237" s="39"/>
      <c r="BO237" s="19"/>
      <c r="BQ237" s="17"/>
    </row>
    <row r="238" spans="1:69" x14ac:dyDescent="0.2">
      <c r="A238" t="str">
        <f t="shared" si="61"/>
        <v/>
      </c>
      <c r="E238" s="4"/>
      <c r="F238" s="44"/>
      <c r="G238" s="4"/>
      <c r="H238" s="47"/>
      <c r="J238" s="45" t="str">
        <f t="shared" si="62"/>
        <v/>
      </c>
      <c r="N238" t="str">
        <f t="shared" si="64"/>
        <v/>
      </c>
      <c r="Q238" t="str">
        <f t="shared" si="63"/>
        <v/>
      </c>
      <c r="S238" t="str">
        <f>IF(A238=1,MAX(S$2:S237)+1,IF(OR(I238&lt;&gt;"",A238="x"),S237,""))</f>
        <v/>
      </c>
      <c r="T238" t="str">
        <f>IF(D238=1,MAX($T$2:$T237)+1,IF(S238=$S237,$S237,IF($D238="x",T237,IF($D237="x","",""))))</f>
        <v/>
      </c>
      <c r="U238" t="str">
        <f>IF(B238=1,MAX($U$2:$U237)+1,IF(AND($T238&lt;&gt;"",$T238=$T237),$U237,IF(B238="x",U237,"")))</f>
        <v/>
      </c>
      <c r="V238" t="str">
        <f>IF(C238=1,MAX($V$2:$V237)+1,IF(AND($T238&lt;&gt;"",$T238=$T237),$U237,IF(C238="x",V237,"")))</f>
        <v/>
      </c>
      <c r="W238" t="str" cm="1">
        <f t="array" ref="W238">IFERROR(_xlfn._xlws.FILTER(game_rosters!AB:AB,(game_rosters!J:J=events!X238)*(K238&lt;&gt;"")),"")</f>
        <v/>
      </c>
      <c r="X238" t="str" cm="1">
        <f t="array" ref="X238">IF(S238="","",IF($I238&lt;&gt;"",$I238,INDEX($I$2:$I237,ROW()-COUNTIFS($T$2:$T237,"="&amp;$T238,$S$2:$S237,"&lt;&gt;"&amp;$S238)-1)))</f>
        <v/>
      </c>
      <c r="Y238" t="b">
        <f>IF(X238&lt;&gt;"",VLOOKUP(X238,game_rosters!$C$43:$E$64,3,FALSE))</f>
        <v>0</v>
      </c>
      <c r="Z238" t="e" cm="1" vm="1">
        <f t="array" aca="1" ref="Z238" ca="1">IFERROR(IF(_xlfn._xlws.FILTER(game_rosters!$J:$J,(game_rosters!$G:$G=events!$AN238)*(game_rosters!$J:$J=events!$X238))&gt;0,1,""),"")</f>
        <v>#VALUE!</v>
      </c>
      <c r="AA238" t="e">
        <f t="shared" si="59"/>
        <v>#VALUE!</v>
      </c>
      <c r="AB238" t="str">
        <f t="shared" si="60"/>
        <v/>
      </c>
      <c r="AC238" t="e">
        <f t="shared" si="58"/>
        <v>#VALUE!</v>
      </c>
      <c r="AD238" s="6"/>
      <c r="BJ238" s="39"/>
      <c r="BM238" s="39"/>
      <c r="BO238" s="19"/>
      <c r="BQ238" s="17"/>
    </row>
    <row r="239" spans="1:69" x14ac:dyDescent="0.2">
      <c r="A239" t="str">
        <f t="shared" si="61"/>
        <v/>
      </c>
      <c r="E239" s="4"/>
      <c r="F239" s="44"/>
      <c r="G239" s="4"/>
      <c r="H239" s="47"/>
      <c r="J239" s="45" t="str">
        <f t="shared" si="62"/>
        <v/>
      </c>
      <c r="N239" t="str">
        <f t="shared" si="64"/>
        <v/>
      </c>
      <c r="Q239" t="str">
        <f t="shared" si="63"/>
        <v/>
      </c>
      <c r="S239" t="str">
        <f>IF(A239=1,MAX(S$2:S238)+1,IF(OR(I239&lt;&gt;"",A239="x"),S238,""))</f>
        <v/>
      </c>
      <c r="T239" t="str">
        <f>IF(D239=1,MAX($T$2:$T238)+1,IF(S239=$S238,$S238,IF($D239="x",T238,IF($D238="x","",""))))</f>
        <v/>
      </c>
      <c r="U239" t="str">
        <f>IF(B239=1,MAX($U$2:$U238)+1,IF(AND($T239&lt;&gt;"",$T239=$T238),$U238,IF(B239="x",U238,"")))</f>
        <v/>
      </c>
      <c r="V239" t="str">
        <f>IF(C239=1,MAX($V$2:$V238)+1,IF(AND($T239&lt;&gt;"",$T239=$T238),$U238,IF(C239="x",V238,"")))</f>
        <v/>
      </c>
      <c r="W239" t="str" cm="1">
        <f t="array" ref="W239">IFERROR(_xlfn._xlws.FILTER(game_rosters!AB:AB,(game_rosters!J:J=events!X239)*(K239&lt;&gt;"")),"")</f>
        <v/>
      </c>
      <c r="X239" t="str" cm="1">
        <f t="array" ref="X239">IF(S239="","",IF($I239&lt;&gt;"",$I239,INDEX($I$2:$I238,ROW()-COUNTIFS($T$2:$T238,"="&amp;$T239,$S$2:$S238,"&lt;&gt;"&amp;$S239)-1)))</f>
        <v/>
      </c>
      <c r="Y239" t="b">
        <f>IF(X239&lt;&gt;"",VLOOKUP(X239,game_rosters!$C$43:$E$64,3,FALSE))</f>
        <v>0</v>
      </c>
      <c r="Z239" t="e" cm="1" vm="1">
        <f t="array" aca="1" ref="Z239" ca="1">IFERROR(IF(_xlfn._xlws.FILTER(game_rosters!$J:$J,(game_rosters!$G:$G=events!$AN239)*(game_rosters!$J:$J=events!$X239))&gt;0,1,""),"")</f>
        <v>#VALUE!</v>
      </c>
      <c r="AA239" t="e">
        <f t="shared" si="59"/>
        <v>#VALUE!</v>
      </c>
      <c r="AB239" t="str">
        <f t="shared" si="60"/>
        <v/>
      </c>
      <c r="AC239" t="e">
        <f t="shared" si="58"/>
        <v>#VALUE!</v>
      </c>
      <c r="AD239" s="6"/>
      <c r="BJ239" s="39"/>
      <c r="BM239" s="39"/>
      <c r="BO239" s="19"/>
      <c r="BQ239" s="17"/>
    </row>
    <row r="240" spans="1:69" x14ac:dyDescent="0.2">
      <c r="A240" t="str">
        <f t="shared" si="61"/>
        <v/>
      </c>
      <c r="E240" s="4"/>
      <c r="F240" s="44"/>
      <c r="G240" s="4"/>
      <c r="H240" s="47"/>
      <c r="J240" s="45" t="str">
        <f t="shared" si="62"/>
        <v/>
      </c>
      <c r="N240" t="str">
        <f t="shared" si="64"/>
        <v/>
      </c>
      <c r="Q240" t="str">
        <f t="shared" si="63"/>
        <v/>
      </c>
      <c r="S240" t="str">
        <f>IF(A240=1,MAX(S$2:S239)+1,IF(OR(I240&lt;&gt;"",A240="x"),S239,""))</f>
        <v/>
      </c>
      <c r="T240" t="str">
        <f>IF(D240=1,MAX($T$2:$T239)+1,IF(S240=$S239,$S239,IF($D240="x",T239,IF($D239="x","",""))))</f>
        <v/>
      </c>
      <c r="U240" t="str">
        <f>IF(B240=1,MAX($U$2:$U239)+1,IF(AND($T240&lt;&gt;"",$T240=$T239),$U239,IF(B240="x",U239,"")))</f>
        <v/>
      </c>
      <c r="V240" t="str">
        <f>IF(C240=1,MAX($V$2:$V239)+1,IF(AND($T240&lt;&gt;"",$T240=$T239),$U239,IF(C240="x",V239,"")))</f>
        <v/>
      </c>
      <c r="W240" t="str" cm="1">
        <f t="array" ref="W240">IFERROR(_xlfn._xlws.FILTER(game_rosters!AB:AB,(game_rosters!J:J=events!X240)*(K240&lt;&gt;"")),"")</f>
        <v/>
      </c>
      <c r="X240" t="str" cm="1">
        <f t="array" ref="X240">IF(S240="","",IF($I240&lt;&gt;"",$I240,INDEX($I$2:$I239,ROW()-COUNTIFS($T$2:$T239,"="&amp;$T240,$S$2:$S239,"&lt;&gt;"&amp;$S240)-1)))</f>
        <v/>
      </c>
      <c r="Y240" t="b">
        <f>IF(X240&lt;&gt;"",VLOOKUP(X240,game_rosters!$C$43:$E$64,3,FALSE))</f>
        <v>0</v>
      </c>
      <c r="Z240" t="e" cm="1" vm="1">
        <f t="array" aca="1" ref="Z240" ca="1">IFERROR(IF(_xlfn._xlws.FILTER(game_rosters!$J:$J,(game_rosters!$G:$G=events!$AN240)*(game_rosters!$J:$J=events!$X240))&gt;0,1,""),"")</f>
        <v>#VALUE!</v>
      </c>
      <c r="AA240" t="e">
        <f t="shared" si="59"/>
        <v>#VALUE!</v>
      </c>
      <c r="AB240" t="str">
        <f t="shared" si="60"/>
        <v/>
      </c>
      <c r="AC240" t="e">
        <f t="shared" si="58"/>
        <v>#VALUE!</v>
      </c>
      <c r="AD240" s="6"/>
      <c r="BJ240" s="39"/>
      <c r="BM240" s="39"/>
      <c r="BO240" s="19"/>
      <c r="BQ240" s="17"/>
    </row>
    <row r="241" spans="1:69" x14ac:dyDescent="0.2">
      <c r="A241" t="str">
        <f t="shared" si="61"/>
        <v/>
      </c>
      <c r="E241" s="4"/>
      <c r="F241" s="44"/>
      <c r="G241" s="4"/>
      <c r="H241" s="47"/>
      <c r="J241" s="45" t="str">
        <f t="shared" si="62"/>
        <v/>
      </c>
      <c r="N241" t="str">
        <f t="shared" si="64"/>
        <v/>
      </c>
      <c r="Q241" t="str">
        <f t="shared" si="63"/>
        <v/>
      </c>
      <c r="S241" t="str">
        <f>IF(A241=1,MAX(S$2:S240)+1,IF(OR(I241&lt;&gt;"",A241="x"),S240,""))</f>
        <v/>
      </c>
      <c r="T241" t="str">
        <f>IF(D241=1,MAX($T$2:$T240)+1,IF(S241=$S240,$S240,IF($D241="x",T240,IF($D240="x","",""))))</f>
        <v/>
      </c>
      <c r="U241" t="str">
        <f>IF(B241=1,MAX($U$2:$U240)+1,IF(AND($T241&lt;&gt;"",$T241=$T240),$U240,IF(B241="x",U240,"")))</f>
        <v/>
      </c>
      <c r="V241" t="str">
        <f>IF(C241=1,MAX($V$2:$V240)+1,IF(AND($T241&lt;&gt;"",$T241=$T240),$U240,IF(C241="x",V240,"")))</f>
        <v/>
      </c>
      <c r="W241" t="str" cm="1">
        <f t="array" ref="W241">IFERROR(_xlfn._xlws.FILTER(game_rosters!AB:AB,(game_rosters!J:J=events!X241)*(K241&lt;&gt;"")),"")</f>
        <v/>
      </c>
      <c r="X241" t="str" cm="1">
        <f t="array" ref="X241">IF(S241="","",IF($I241&lt;&gt;"",$I241,INDEX($I$2:$I240,ROW()-COUNTIFS($T$2:$T240,"="&amp;$T241,$S$2:$S240,"&lt;&gt;"&amp;$S241)-1)))</f>
        <v/>
      </c>
      <c r="Y241" t="b">
        <f>IF(X241&lt;&gt;"",VLOOKUP(X241,game_rosters!$C$43:$E$64,3,FALSE))</f>
        <v>0</v>
      </c>
      <c r="Z241" t="e" cm="1" vm="1">
        <f t="array" aca="1" ref="Z241" ca="1">IFERROR(IF(_xlfn._xlws.FILTER(game_rosters!$J:$J,(game_rosters!$G:$G=events!$AN241)*(game_rosters!$J:$J=events!$X241))&gt;0,1,""),"")</f>
        <v>#VALUE!</v>
      </c>
      <c r="AA241" t="e">
        <f t="shared" si="59"/>
        <v>#VALUE!</v>
      </c>
      <c r="AB241" t="str">
        <f t="shared" si="60"/>
        <v/>
      </c>
      <c r="AC241" t="e">
        <f t="shared" si="58"/>
        <v>#VALUE!</v>
      </c>
      <c r="AD241" s="6"/>
      <c r="BJ241" s="39"/>
      <c r="BM241" s="39"/>
      <c r="BO241" s="19"/>
      <c r="BQ241" s="17"/>
    </row>
    <row r="242" spans="1:69" x14ac:dyDescent="0.2">
      <c r="A242" t="str">
        <f t="shared" si="61"/>
        <v/>
      </c>
      <c r="E242" s="4"/>
      <c r="F242" s="44"/>
      <c r="G242" s="4"/>
      <c r="H242" s="47"/>
      <c r="J242" s="45" t="str">
        <f t="shared" si="62"/>
        <v/>
      </c>
      <c r="N242" t="str">
        <f t="shared" si="64"/>
        <v/>
      </c>
      <c r="Q242" t="str">
        <f t="shared" si="63"/>
        <v/>
      </c>
      <c r="S242" t="str">
        <f>IF(A242=1,MAX(S$2:S241)+1,IF(OR(I242&lt;&gt;"",A242="x"),S241,""))</f>
        <v/>
      </c>
      <c r="T242" t="str">
        <f>IF(D242=1,MAX($T$2:$T241)+1,IF(S242=$S241,$S241,IF($D242="x",T241,IF($D241="x","",""))))</f>
        <v/>
      </c>
      <c r="U242" t="str">
        <f>IF(B242=1,MAX($U$2:$U241)+1,IF(AND($T242&lt;&gt;"",$T242=$T241),$U241,IF(B242="x",U241,"")))</f>
        <v/>
      </c>
      <c r="V242" t="str">
        <f>IF(C242=1,MAX($V$2:$V241)+1,IF(AND($T242&lt;&gt;"",$T242=$T241),$U241,IF(C242="x",V241,"")))</f>
        <v/>
      </c>
      <c r="W242" t="str" cm="1">
        <f t="array" ref="W242">IFERROR(_xlfn._xlws.FILTER(game_rosters!AB:AB,(game_rosters!J:J=events!X242)*(K242&lt;&gt;"")),"")</f>
        <v/>
      </c>
      <c r="X242" t="str" cm="1">
        <f t="array" ref="X242">IF(S242="","",IF($I242&lt;&gt;"",$I242,INDEX($I$2:$I241,ROW()-COUNTIFS($T$2:$T241,"="&amp;$T242,$S$2:$S241,"&lt;&gt;"&amp;$S242)-1)))</f>
        <v/>
      </c>
      <c r="Y242" t="b">
        <f>IF(X242&lt;&gt;"",VLOOKUP(X242,game_rosters!$C$43:$E$64,3,FALSE))</f>
        <v>0</v>
      </c>
      <c r="Z242" t="e" cm="1" vm="1">
        <f t="array" aca="1" ref="Z242" ca="1">IFERROR(IF(_xlfn._xlws.FILTER(game_rosters!$J:$J,(game_rosters!$G:$G=events!$AN242)*(game_rosters!$J:$J=events!$X242))&gt;0,1,""),"")</f>
        <v>#VALUE!</v>
      </c>
      <c r="AA242" t="e">
        <f t="shared" si="59"/>
        <v>#VALUE!</v>
      </c>
      <c r="AB242" t="str">
        <f t="shared" si="60"/>
        <v/>
      </c>
      <c r="AC242" t="e">
        <f t="shared" si="58"/>
        <v>#VALUE!</v>
      </c>
      <c r="AD242" s="6"/>
      <c r="BJ242" s="39"/>
      <c r="BM242" s="39"/>
      <c r="BO242" s="19"/>
      <c r="BQ242" s="17"/>
    </row>
    <row r="243" spans="1:69" x14ac:dyDescent="0.2">
      <c r="A243" t="str">
        <f t="shared" si="61"/>
        <v/>
      </c>
      <c r="E243" s="4"/>
      <c r="F243" s="44"/>
      <c r="G243" s="4"/>
      <c r="H243" s="47"/>
      <c r="J243" s="45" t="str">
        <f t="shared" si="62"/>
        <v/>
      </c>
      <c r="N243" t="str">
        <f t="shared" si="64"/>
        <v/>
      </c>
      <c r="Q243" t="str">
        <f t="shared" si="63"/>
        <v/>
      </c>
      <c r="S243" t="str">
        <f>IF(A243=1,MAX(S$2:S242)+1,IF(OR(I243&lt;&gt;"",A243="x"),S242,""))</f>
        <v/>
      </c>
      <c r="T243" t="str">
        <f>IF(D243=1,MAX($T$2:$T242)+1,IF(S243=$S242,$S242,IF($D243="x",T242,IF($D242="x","",""))))</f>
        <v/>
      </c>
      <c r="U243" t="str">
        <f>IF(B243=1,MAX($U$2:$U242)+1,IF(AND($T243&lt;&gt;"",$T243=$T242),$U242,IF(B243="x",U242,"")))</f>
        <v/>
      </c>
      <c r="V243" t="str">
        <f>IF(C243=1,MAX($V$2:$V242)+1,IF(AND($T243&lt;&gt;"",$T243=$T242),$U242,IF(C243="x",V242,"")))</f>
        <v/>
      </c>
      <c r="W243" t="str" cm="1">
        <f t="array" ref="W243">IFERROR(_xlfn._xlws.FILTER(game_rosters!AB:AB,(game_rosters!J:J=events!X243)*(K243&lt;&gt;"")),"")</f>
        <v/>
      </c>
      <c r="X243" t="str" cm="1">
        <f t="array" ref="X243">IF(S243="","",IF($I243&lt;&gt;"",$I243,INDEX($I$2:$I242,ROW()-COUNTIFS($T$2:$T242,"="&amp;$T243,$S$2:$S242,"&lt;&gt;"&amp;$S243)-1)))</f>
        <v/>
      </c>
      <c r="Y243" t="b">
        <f>IF(X243&lt;&gt;"",VLOOKUP(X243,game_rosters!$C$43:$E$64,3,FALSE))</f>
        <v>0</v>
      </c>
      <c r="Z243" t="e" cm="1" vm="1">
        <f t="array" aca="1" ref="Z243" ca="1">IFERROR(IF(_xlfn._xlws.FILTER(game_rosters!$J:$J,(game_rosters!$G:$G=events!$AN243)*(game_rosters!$J:$J=events!$X243))&gt;0,1,""),"")</f>
        <v>#VALUE!</v>
      </c>
      <c r="AA243" t="e">
        <f t="shared" si="59"/>
        <v>#VALUE!</v>
      </c>
      <c r="AB243" t="str">
        <f t="shared" si="60"/>
        <v/>
      </c>
      <c r="AC243" t="e">
        <f t="shared" si="58"/>
        <v>#VALUE!</v>
      </c>
      <c r="AD243" s="6"/>
      <c r="BJ243" s="39"/>
      <c r="BM243" s="39"/>
      <c r="BO243" s="19"/>
      <c r="BQ243" s="17"/>
    </row>
    <row r="244" spans="1:69" x14ac:dyDescent="0.2">
      <c r="A244" t="str">
        <f t="shared" si="61"/>
        <v/>
      </c>
      <c r="E244" s="4"/>
      <c r="F244" s="44"/>
      <c r="G244" s="4"/>
      <c r="H244" s="47"/>
      <c r="J244" s="45" t="str">
        <f t="shared" si="62"/>
        <v/>
      </c>
      <c r="N244" t="str">
        <f t="shared" si="64"/>
        <v/>
      </c>
      <c r="Q244" t="str">
        <f t="shared" si="63"/>
        <v/>
      </c>
      <c r="S244" t="str">
        <f>IF(A244=1,MAX(S$2:S243)+1,IF(OR(I244&lt;&gt;"",A244="x"),S243,""))</f>
        <v/>
      </c>
      <c r="T244" t="str">
        <f>IF(D244=1,MAX($T$2:$T243)+1,IF(S244=$S243,$S243,IF($D244="x",T243,IF($D243="x","",""))))</f>
        <v/>
      </c>
      <c r="U244" t="str">
        <f>IF(B244=1,MAX($U$2:$U243)+1,IF(AND($T244&lt;&gt;"",$T244=$T243),$U243,IF(B244="x",U243,"")))</f>
        <v/>
      </c>
      <c r="V244" t="str">
        <f>IF(C244=1,MAX($V$2:$V243)+1,IF(AND($T244&lt;&gt;"",$T244=$T243),$U243,IF(C244="x",V243,"")))</f>
        <v/>
      </c>
      <c r="W244" t="str" cm="1">
        <f t="array" ref="W244">IFERROR(_xlfn._xlws.FILTER(game_rosters!AB:AB,(game_rosters!J:J=events!X244)*(K244&lt;&gt;"")),"")</f>
        <v/>
      </c>
      <c r="X244" t="str" cm="1">
        <f t="array" ref="X244">IF(S244="","",IF($I244&lt;&gt;"",$I244,INDEX($I$2:$I243,ROW()-COUNTIFS($T$2:$T243,"="&amp;$T244,$S$2:$S243,"&lt;&gt;"&amp;$S244)-1)))</f>
        <v/>
      </c>
      <c r="Y244" t="b">
        <f>IF(X244&lt;&gt;"",VLOOKUP(X244,game_rosters!$C$43:$E$64,3,FALSE))</f>
        <v>0</v>
      </c>
      <c r="Z244" t="e" cm="1" vm="1">
        <f t="array" aca="1" ref="Z244" ca="1">IFERROR(IF(_xlfn._xlws.FILTER(game_rosters!$J:$J,(game_rosters!$G:$G=events!$AN244)*(game_rosters!$J:$J=events!$X244))&gt;0,1,""),"")</f>
        <v>#VALUE!</v>
      </c>
      <c r="AA244" t="e">
        <f t="shared" si="59"/>
        <v>#VALUE!</v>
      </c>
      <c r="AB244" t="str">
        <f t="shared" si="60"/>
        <v/>
      </c>
      <c r="AC244" t="e">
        <f t="shared" si="58"/>
        <v>#VALUE!</v>
      </c>
      <c r="AD244" s="6"/>
      <c r="BJ244" s="39"/>
      <c r="BM244" s="39"/>
      <c r="BO244" s="19"/>
      <c r="BQ244" s="17"/>
    </row>
    <row r="245" spans="1:69" x14ac:dyDescent="0.2">
      <c r="A245" t="str">
        <f t="shared" si="61"/>
        <v/>
      </c>
      <c r="E245" s="4"/>
      <c r="F245" s="44"/>
      <c r="G245" s="4"/>
      <c r="H245" s="47"/>
      <c r="J245" s="45" t="str">
        <f t="shared" si="62"/>
        <v/>
      </c>
      <c r="N245" t="str">
        <f t="shared" si="64"/>
        <v/>
      </c>
      <c r="Q245" t="str">
        <f t="shared" si="63"/>
        <v/>
      </c>
      <c r="S245" t="str">
        <f>IF(A245=1,MAX(S$2:S244)+1,IF(OR(I245&lt;&gt;"",A245="x"),S244,""))</f>
        <v/>
      </c>
      <c r="T245" t="str">
        <f>IF(D245=1,MAX($T$2:$T244)+1,IF(S245=$S244,$S244,IF($D245="x",T244,IF($D244="x","",""))))</f>
        <v/>
      </c>
      <c r="U245" t="str">
        <f>IF(B245=1,MAX($U$2:$U244)+1,IF(AND($T245&lt;&gt;"",$T245=$T244),$U244,IF(B245="x",U244,"")))</f>
        <v/>
      </c>
      <c r="V245" t="str">
        <f>IF(C245=1,MAX($V$2:$V244)+1,IF(AND($T245&lt;&gt;"",$T245=$T244),$U244,IF(C245="x",V244,"")))</f>
        <v/>
      </c>
      <c r="W245" t="str" cm="1">
        <f t="array" ref="W245">IFERROR(_xlfn._xlws.FILTER(game_rosters!AB:AB,(game_rosters!J:J=events!X245)*(K245&lt;&gt;"")),"")</f>
        <v/>
      </c>
      <c r="X245" t="str" cm="1">
        <f t="array" ref="X245">IF(S245="","",IF($I245&lt;&gt;"",$I245,INDEX($I$2:$I244,ROW()-COUNTIFS($T$2:$T244,"="&amp;$T245,$S$2:$S244,"&lt;&gt;"&amp;$S245)-1)))</f>
        <v/>
      </c>
      <c r="Y245" t="b">
        <f>IF(X245&lt;&gt;"",VLOOKUP(X245,game_rosters!$C$43:$E$64,3,FALSE))</f>
        <v>0</v>
      </c>
      <c r="Z245" t="e" cm="1" vm="1">
        <f t="array" aca="1" ref="Z245" ca="1">IFERROR(IF(_xlfn._xlws.FILTER(game_rosters!$J:$J,(game_rosters!$G:$G=events!$AN245)*(game_rosters!$J:$J=events!$X245))&gt;0,1,""),"")</f>
        <v>#VALUE!</v>
      </c>
      <c r="AA245" t="e">
        <f t="shared" si="59"/>
        <v>#VALUE!</v>
      </c>
      <c r="AB245" t="str">
        <f t="shared" si="60"/>
        <v/>
      </c>
      <c r="AC245" t="e">
        <f t="shared" si="58"/>
        <v>#VALUE!</v>
      </c>
      <c r="AD245" s="6"/>
      <c r="BJ245" s="39"/>
      <c r="BM245" s="39"/>
      <c r="BO245" s="19"/>
      <c r="BQ245" s="17"/>
    </row>
    <row r="246" spans="1:69" x14ac:dyDescent="0.2">
      <c r="A246" t="str">
        <f t="shared" si="61"/>
        <v/>
      </c>
      <c r="E246" s="4"/>
      <c r="F246" s="44"/>
      <c r="G246" s="4"/>
      <c r="H246" s="47"/>
      <c r="J246" s="45" t="str">
        <f t="shared" si="62"/>
        <v/>
      </c>
      <c r="N246" t="str">
        <f t="shared" si="64"/>
        <v/>
      </c>
      <c r="Q246" t="str">
        <f t="shared" si="63"/>
        <v/>
      </c>
      <c r="S246" t="str">
        <f>IF(A246=1,MAX(S$2:S245)+1,IF(OR(I246&lt;&gt;"",A246="x"),S245,""))</f>
        <v/>
      </c>
      <c r="T246" t="str">
        <f>IF(D246=1,MAX($T$2:$T245)+1,IF(S246=$S245,$S245,IF($D246="x",T245,IF($D245="x","",""))))</f>
        <v/>
      </c>
      <c r="U246" t="str">
        <f>IF(B246=1,MAX($U$2:$U245)+1,IF(AND($T246&lt;&gt;"",$T246=$T245),$U245,IF(B246="x",U245,"")))</f>
        <v/>
      </c>
      <c r="V246" t="str">
        <f>IF(C246=1,MAX($V$2:$V245)+1,IF(AND($T246&lt;&gt;"",$T246=$T245),$U245,IF(C246="x",V245,"")))</f>
        <v/>
      </c>
      <c r="W246" t="str" cm="1">
        <f t="array" ref="W246">IFERROR(_xlfn._xlws.FILTER(game_rosters!AB:AB,(game_rosters!J:J=events!X246)*(K246&lt;&gt;"")),"")</f>
        <v/>
      </c>
      <c r="X246" t="str" cm="1">
        <f t="array" ref="X246">IF(S246="","",IF($I246&lt;&gt;"",$I246,INDEX($I$2:$I245,ROW()-COUNTIFS($T$2:$T245,"="&amp;$T246,$S$2:$S245,"&lt;&gt;"&amp;$S246)-1)))</f>
        <v/>
      </c>
      <c r="Y246" t="b">
        <f>IF(X246&lt;&gt;"",VLOOKUP(X246,game_rosters!$C$43:$E$64,3,FALSE))</f>
        <v>0</v>
      </c>
      <c r="Z246" t="e" cm="1" vm="1">
        <f t="array" aca="1" ref="Z246" ca="1">IFERROR(IF(_xlfn._xlws.FILTER(game_rosters!$J:$J,(game_rosters!$G:$G=events!$AN246)*(game_rosters!$J:$J=events!$X246))&gt;0,1,""),"")</f>
        <v>#VALUE!</v>
      </c>
      <c r="AA246" t="e">
        <f t="shared" si="59"/>
        <v>#VALUE!</v>
      </c>
      <c r="AB246" t="str">
        <f t="shared" si="60"/>
        <v/>
      </c>
      <c r="AC246" t="e">
        <f t="shared" si="58"/>
        <v>#VALUE!</v>
      </c>
      <c r="AD246" s="6"/>
      <c r="BJ246" s="39"/>
      <c r="BM246" s="39"/>
      <c r="BO246" s="19"/>
      <c r="BQ246" s="17"/>
    </row>
    <row r="247" spans="1:69" x14ac:dyDescent="0.2">
      <c r="A247" t="str">
        <f t="shared" si="61"/>
        <v/>
      </c>
      <c r="E247" s="4"/>
      <c r="F247" s="44"/>
      <c r="G247" s="4"/>
      <c r="H247" s="47"/>
      <c r="J247" s="45" t="str">
        <f t="shared" si="62"/>
        <v/>
      </c>
      <c r="N247" t="str">
        <f t="shared" si="64"/>
        <v/>
      </c>
      <c r="Q247" t="str">
        <f t="shared" si="63"/>
        <v/>
      </c>
      <c r="S247" t="str">
        <f>IF(A247=1,MAX(S$2:S246)+1,IF(OR(I247&lt;&gt;"",A247="x"),S246,""))</f>
        <v/>
      </c>
      <c r="T247" t="str">
        <f>IF(D247=1,MAX($T$2:$T246)+1,IF(S247=$S246,$S246,IF($D247="x",T246,IF($D246="x","",""))))</f>
        <v/>
      </c>
      <c r="U247" t="str">
        <f>IF(B247=1,MAX($U$2:$U246)+1,IF(AND($T247&lt;&gt;"",$T247=$T246),$U246,IF(B247="x",U246,"")))</f>
        <v/>
      </c>
      <c r="V247" t="str">
        <f>IF(C247=1,MAX($V$2:$V246)+1,IF(AND($T247&lt;&gt;"",$T247=$T246),$U246,IF(C247="x",V246,"")))</f>
        <v/>
      </c>
      <c r="W247" t="str" cm="1">
        <f t="array" ref="W247">IFERROR(_xlfn._xlws.FILTER(game_rosters!AB:AB,(game_rosters!J:J=events!X247)*(K247&lt;&gt;"")),"")</f>
        <v/>
      </c>
      <c r="X247" t="str" cm="1">
        <f t="array" ref="X247">IF(S247="","",IF($I247&lt;&gt;"",$I247,INDEX($I$2:$I246,ROW()-COUNTIFS($T$2:$T246,"="&amp;$T247,$S$2:$S246,"&lt;&gt;"&amp;$S247)-1)))</f>
        <v/>
      </c>
      <c r="Y247" t="b">
        <f>IF(X247&lt;&gt;"",VLOOKUP(X247,game_rosters!$C$43:$E$64,3,FALSE))</f>
        <v>0</v>
      </c>
      <c r="Z247" t="e" cm="1" vm="1">
        <f t="array" aca="1" ref="Z247" ca="1">IFERROR(IF(_xlfn._xlws.FILTER(game_rosters!$J:$J,(game_rosters!$G:$G=events!$AN247)*(game_rosters!$J:$J=events!$X247))&gt;0,1,""),"")</f>
        <v>#VALUE!</v>
      </c>
      <c r="AA247" t="e">
        <f t="shared" si="59"/>
        <v>#VALUE!</v>
      </c>
      <c r="AB247" t="str">
        <f t="shared" si="60"/>
        <v/>
      </c>
      <c r="AC247" t="e">
        <f t="shared" si="58"/>
        <v>#VALUE!</v>
      </c>
      <c r="AD247" s="6"/>
      <c r="BJ247" s="39"/>
      <c r="BM247" s="39"/>
      <c r="BO247" s="19"/>
      <c r="BQ247" s="17"/>
    </row>
    <row r="248" spans="1:69" x14ac:dyDescent="0.2">
      <c r="A248" t="str">
        <f t="shared" si="61"/>
        <v/>
      </c>
      <c r="E248" s="4"/>
      <c r="F248" s="44"/>
      <c r="G248" s="4"/>
      <c r="H248" s="47"/>
      <c r="J248" s="45" t="str">
        <f t="shared" si="62"/>
        <v/>
      </c>
      <c r="N248" t="str">
        <f t="shared" si="64"/>
        <v/>
      </c>
      <c r="Q248" t="str">
        <f t="shared" si="63"/>
        <v/>
      </c>
      <c r="S248" t="str">
        <f>IF(A248=1,MAX(S$2:S247)+1,IF(OR(I248&lt;&gt;"",A248="x"),S247,""))</f>
        <v/>
      </c>
      <c r="T248" t="str">
        <f>IF(D248=1,MAX($T$2:$T247)+1,IF(S248=$S247,$S247,IF($D248="x",T247,IF($D247="x","",""))))</f>
        <v/>
      </c>
      <c r="U248" t="str">
        <f>IF(B248=1,MAX($U$2:$U247)+1,IF(AND($T248&lt;&gt;"",$T248=$T247),$U247,IF(B248="x",U247,"")))</f>
        <v/>
      </c>
      <c r="V248" t="str">
        <f>IF(C248=1,MAX($V$2:$V247)+1,IF(AND($T248&lt;&gt;"",$T248=$T247),$U247,IF(C248="x",V247,"")))</f>
        <v/>
      </c>
      <c r="W248" t="str" cm="1">
        <f t="array" ref="W248">IFERROR(_xlfn._xlws.FILTER(game_rosters!AB:AB,(game_rosters!J:J=events!X248)*(K248&lt;&gt;"")),"")</f>
        <v/>
      </c>
      <c r="X248" t="str" cm="1">
        <f t="array" ref="X248">IF(S248="","",IF($I248&lt;&gt;"",$I248,INDEX($I$2:$I247,ROW()-COUNTIFS($T$2:$T247,"="&amp;$T248,$S$2:$S247,"&lt;&gt;"&amp;$S248)-1)))</f>
        <v/>
      </c>
      <c r="Y248" t="b">
        <f>IF(X248&lt;&gt;"",VLOOKUP(X248,game_rosters!$C$43:$E$64,3,FALSE))</f>
        <v>0</v>
      </c>
      <c r="Z248" t="e" cm="1" vm="1">
        <f t="array" aca="1" ref="Z248" ca="1">IFERROR(IF(_xlfn._xlws.FILTER(game_rosters!$J:$J,(game_rosters!$G:$G=events!$AN248)*(game_rosters!$J:$J=events!$X248))&gt;0,1,""),"")</f>
        <v>#VALUE!</v>
      </c>
      <c r="AA248" t="e">
        <f t="shared" si="59"/>
        <v>#VALUE!</v>
      </c>
      <c r="AB248" t="str">
        <f t="shared" si="60"/>
        <v/>
      </c>
      <c r="AC248" t="e">
        <f t="shared" si="58"/>
        <v>#VALUE!</v>
      </c>
      <c r="AD248" s="6"/>
      <c r="BJ248" s="39"/>
      <c r="BM248" s="39"/>
      <c r="BO248" s="19"/>
      <c r="BQ248" s="17"/>
    </row>
    <row r="249" spans="1:69" x14ac:dyDescent="0.2">
      <c r="A249" t="str">
        <f t="shared" si="61"/>
        <v/>
      </c>
      <c r="E249" s="4"/>
      <c r="F249" s="44"/>
      <c r="G249" s="4"/>
      <c r="H249" s="47"/>
      <c r="J249" s="45" t="str">
        <f t="shared" si="62"/>
        <v/>
      </c>
      <c r="N249" t="str">
        <f t="shared" si="64"/>
        <v/>
      </c>
      <c r="Q249" t="str">
        <f t="shared" si="63"/>
        <v/>
      </c>
      <c r="S249" t="str">
        <f>IF(A249=1,MAX(S$2:S248)+1,IF(OR(I249&lt;&gt;"",A249="x"),S248,""))</f>
        <v/>
      </c>
      <c r="T249" t="str">
        <f>IF(D249=1,MAX($T$2:$T248)+1,IF(S249=$S248,$S248,IF($D249="x",T248,IF($D248="x","",""))))</f>
        <v/>
      </c>
      <c r="U249" t="str">
        <f>IF(B249=1,MAX($U$2:$U248)+1,IF(AND($T249&lt;&gt;"",$T249=$T248),$U248,IF(B249="x",U248,"")))</f>
        <v/>
      </c>
      <c r="V249" t="str">
        <f>IF(C249=1,MAX($V$2:$V248)+1,IF(AND($T249&lt;&gt;"",$T249=$T248),$U248,IF(C249="x",V248,"")))</f>
        <v/>
      </c>
      <c r="W249" t="str" cm="1">
        <f t="array" ref="W249">IFERROR(_xlfn._xlws.FILTER(game_rosters!AB:AB,(game_rosters!J:J=events!X249)*(K249&lt;&gt;"")),"")</f>
        <v/>
      </c>
      <c r="X249" t="str" cm="1">
        <f t="array" ref="X249">IF(S249="","",IF($I249&lt;&gt;"",$I249,INDEX($I$2:$I248,ROW()-COUNTIFS($T$2:$T248,"="&amp;$T249,$S$2:$S248,"&lt;&gt;"&amp;$S249)-1)))</f>
        <v/>
      </c>
      <c r="Y249" t="b">
        <f>IF(X249&lt;&gt;"",VLOOKUP(X249,game_rosters!$C$43:$E$64,3,FALSE))</f>
        <v>0</v>
      </c>
      <c r="Z249" t="e" cm="1" vm="1">
        <f t="array" aca="1" ref="Z249" ca="1">IFERROR(IF(_xlfn._xlws.FILTER(game_rosters!$J:$J,(game_rosters!$G:$G=events!$AN249)*(game_rosters!$J:$J=events!$X249))&gt;0,1,""),"")</f>
        <v>#VALUE!</v>
      </c>
      <c r="AA249" t="e">
        <f t="shared" si="59"/>
        <v>#VALUE!</v>
      </c>
      <c r="AB249" t="str">
        <f t="shared" si="60"/>
        <v/>
      </c>
      <c r="AC249" t="e">
        <f t="shared" si="58"/>
        <v>#VALUE!</v>
      </c>
      <c r="AD249" s="6"/>
      <c r="BJ249" s="39"/>
      <c r="BM249" s="39"/>
      <c r="BO249" s="19"/>
      <c r="BQ249" s="17"/>
    </row>
    <row r="250" spans="1:69" x14ac:dyDescent="0.2">
      <c r="A250" t="str">
        <f t="shared" si="61"/>
        <v/>
      </c>
      <c r="E250" s="4"/>
      <c r="F250" s="44"/>
      <c r="G250" s="4"/>
      <c r="H250" s="47"/>
      <c r="J250" s="45" t="str">
        <f t="shared" si="62"/>
        <v/>
      </c>
      <c r="N250" t="str">
        <f t="shared" si="64"/>
        <v/>
      </c>
      <c r="Q250" t="str">
        <f t="shared" si="63"/>
        <v/>
      </c>
      <c r="S250" t="str">
        <f>IF(A250=1,MAX(S$2:S249)+1,IF(OR(I250&lt;&gt;"",A250="x"),S249,""))</f>
        <v/>
      </c>
      <c r="T250" t="str">
        <f>IF(D250=1,MAX($T$2:$T249)+1,IF(S250=$S249,$S249,IF($D250="x",T249,IF($D249="x","",""))))</f>
        <v/>
      </c>
      <c r="U250" t="str">
        <f>IF(B250=1,MAX($U$2:$U249)+1,IF(AND($T250&lt;&gt;"",$T250=$T249),$U249,IF(B250="x",U249,"")))</f>
        <v/>
      </c>
      <c r="V250" t="str">
        <f>IF(C250=1,MAX($V$2:$V249)+1,IF(AND($T250&lt;&gt;"",$T250=$T249),$U249,IF(C250="x",V249,"")))</f>
        <v/>
      </c>
      <c r="W250" t="str" cm="1">
        <f t="array" ref="W250">IFERROR(_xlfn._xlws.FILTER(game_rosters!AB:AB,(game_rosters!J:J=events!X250)*(K250&lt;&gt;"")),"")</f>
        <v/>
      </c>
      <c r="X250" t="str" cm="1">
        <f t="array" ref="X250">IF(S250="","",IF($I250&lt;&gt;"",$I250,INDEX($I$2:$I249,ROW()-COUNTIFS($T$2:$T249,"="&amp;$T250,$S$2:$S249,"&lt;&gt;"&amp;$S250)-1)))</f>
        <v/>
      </c>
      <c r="Y250" t="b">
        <f>IF(X250&lt;&gt;"",VLOOKUP(X250,game_rosters!$C$43:$E$64,3,FALSE))</f>
        <v>0</v>
      </c>
      <c r="Z250" t="e" cm="1" vm="1">
        <f t="array" aca="1" ref="Z250" ca="1">IFERROR(IF(_xlfn._xlws.FILTER(game_rosters!$J:$J,(game_rosters!$G:$G=events!$AN250)*(game_rosters!$J:$J=events!$X250))&gt;0,1,""),"")</f>
        <v>#VALUE!</v>
      </c>
      <c r="AA250" t="e">
        <f t="shared" si="59"/>
        <v>#VALUE!</v>
      </c>
      <c r="AB250" t="str">
        <f t="shared" si="60"/>
        <v/>
      </c>
      <c r="AC250" t="e">
        <f t="shared" si="58"/>
        <v>#VALUE!</v>
      </c>
      <c r="AD250" s="6"/>
      <c r="BJ250" s="39"/>
      <c r="BM250" s="39"/>
      <c r="BO250" s="19"/>
      <c r="BQ250" s="17"/>
    </row>
    <row r="251" spans="1:69" x14ac:dyDescent="0.2">
      <c r="A251" t="str">
        <f t="shared" si="61"/>
        <v/>
      </c>
      <c r="E251" s="4"/>
      <c r="F251" s="44"/>
      <c r="G251" s="4"/>
      <c r="H251" s="47"/>
      <c r="J251" s="45" t="str">
        <f t="shared" si="62"/>
        <v/>
      </c>
      <c r="N251" t="str">
        <f t="shared" si="64"/>
        <v/>
      </c>
      <c r="Q251" t="str">
        <f t="shared" si="63"/>
        <v/>
      </c>
      <c r="S251" t="str">
        <f>IF(A251=1,MAX(S$2:S250)+1,IF(OR(I251&lt;&gt;"",A251="x"),S250,""))</f>
        <v/>
      </c>
      <c r="T251" t="str">
        <f>IF(D251=1,MAX($T$2:$T250)+1,IF(S251=$S250,$S250,IF($D251="x",T250,IF($D250="x","",""))))</f>
        <v/>
      </c>
      <c r="U251" t="str">
        <f>IF(B251=1,MAX($U$2:$U250)+1,IF(AND($T251&lt;&gt;"",$T251=$T250),$U250,IF(B251="x",U250,"")))</f>
        <v/>
      </c>
      <c r="V251" t="str">
        <f>IF(C251=1,MAX($V$2:$V250)+1,IF(AND($T251&lt;&gt;"",$T251=$T250),$U250,IF(C251="x",V250,"")))</f>
        <v/>
      </c>
      <c r="W251" t="str" cm="1">
        <f t="array" ref="W251">IFERROR(_xlfn._xlws.FILTER(game_rosters!AB:AB,(game_rosters!J:J=events!X251)*(K251&lt;&gt;"")),"")</f>
        <v/>
      </c>
      <c r="X251" t="str" cm="1">
        <f t="array" ref="X251">IF(S251="","",IF($I251&lt;&gt;"",$I251,INDEX($I$2:$I250,ROW()-COUNTIFS($T$2:$T250,"="&amp;$T251,$S$2:$S250,"&lt;&gt;"&amp;$S251)-1)))</f>
        <v/>
      </c>
      <c r="Y251" t="b">
        <f>IF(X251&lt;&gt;"",VLOOKUP(X251,game_rosters!$C$43:$E$64,3,FALSE))</f>
        <v>0</v>
      </c>
      <c r="Z251" t="e" cm="1" vm="1">
        <f t="array" aca="1" ref="Z251" ca="1">IFERROR(IF(_xlfn._xlws.FILTER(game_rosters!$J:$J,(game_rosters!$G:$G=events!$AN251)*(game_rosters!$J:$J=events!$X251))&gt;0,1,""),"")</f>
        <v>#VALUE!</v>
      </c>
      <c r="AA251" t="e">
        <f t="shared" si="59"/>
        <v>#VALUE!</v>
      </c>
      <c r="AB251" t="str">
        <f t="shared" si="60"/>
        <v/>
      </c>
      <c r="AC251" t="e">
        <f t="shared" si="58"/>
        <v>#VALUE!</v>
      </c>
      <c r="AD251" s="6"/>
      <c r="BJ251" s="39"/>
      <c r="BM251" s="39"/>
      <c r="BO251" s="19"/>
      <c r="BQ251" s="17"/>
    </row>
    <row r="252" spans="1:69" x14ac:dyDescent="0.2">
      <c r="A252" t="str">
        <f t="shared" si="61"/>
        <v/>
      </c>
      <c r="E252" s="4"/>
      <c r="F252" s="44"/>
      <c r="G252" s="4"/>
      <c r="H252" s="47"/>
      <c r="J252" s="45" t="str">
        <f t="shared" si="62"/>
        <v/>
      </c>
      <c r="N252" t="str">
        <f t="shared" si="64"/>
        <v/>
      </c>
      <c r="Q252" t="str">
        <f t="shared" si="63"/>
        <v/>
      </c>
      <c r="S252" t="str">
        <f>IF(A252=1,MAX(S$2:S251)+1,IF(OR(I252&lt;&gt;"",A252="x"),S251,""))</f>
        <v/>
      </c>
      <c r="T252" t="str">
        <f>IF(D252=1,MAX($T$2:$T251)+1,IF(S252=$S251,$S251,IF($D252="x",T251,IF($D251="x","",""))))</f>
        <v/>
      </c>
      <c r="U252" t="str">
        <f>IF(B252=1,MAX($U$2:$U251)+1,IF(AND($T252&lt;&gt;"",$T252=$T251),$U251,IF(B252="x",U251,"")))</f>
        <v/>
      </c>
      <c r="V252" t="str">
        <f>IF(C252=1,MAX($V$2:$V251)+1,IF(AND($T252&lt;&gt;"",$T252=$T251),$U251,IF(C252="x",V251,"")))</f>
        <v/>
      </c>
      <c r="W252" t="str" cm="1">
        <f t="array" ref="W252">IFERROR(_xlfn._xlws.FILTER(game_rosters!AB:AB,(game_rosters!J:J=events!X252)*(K252&lt;&gt;"")),"")</f>
        <v/>
      </c>
      <c r="X252" t="str" cm="1">
        <f t="array" ref="X252">IF(S252="","",IF($I252&lt;&gt;"",$I252,INDEX($I$2:$I251,ROW()-COUNTIFS($T$2:$T251,"="&amp;$T252,$S$2:$S251,"&lt;&gt;"&amp;$S252)-1)))</f>
        <v/>
      </c>
      <c r="Y252" t="b">
        <f>IF(X252&lt;&gt;"",VLOOKUP(X252,game_rosters!$C$43:$E$64,3,FALSE))</f>
        <v>0</v>
      </c>
      <c r="Z252" t="e" cm="1" vm="1">
        <f t="array" aca="1" ref="Z252" ca="1">IFERROR(IF(_xlfn._xlws.FILTER(game_rosters!$J:$J,(game_rosters!$G:$G=events!$AN252)*(game_rosters!$J:$J=events!$X252))&gt;0,1,""),"")</f>
        <v>#VALUE!</v>
      </c>
      <c r="AA252" t="e">
        <f t="shared" si="59"/>
        <v>#VALUE!</v>
      </c>
      <c r="AB252" t="str">
        <f t="shared" si="60"/>
        <v/>
      </c>
      <c r="AC252" t="e">
        <f t="shared" si="58"/>
        <v>#VALUE!</v>
      </c>
      <c r="AD252" s="6"/>
      <c r="BJ252" s="39"/>
      <c r="BM252" s="39"/>
      <c r="BO252" s="19"/>
      <c r="BQ252" s="17"/>
    </row>
    <row r="253" spans="1:69" x14ac:dyDescent="0.2">
      <c r="A253" t="str">
        <f t="shared" si="61"/>
        <v/>
      </c>
      <c r="E253" s="4"/>
      <c r="F253" s="44"/>
      <c r="G253" s="4"/>
      <c r="H253" s="47"/>
      <c r="J253" s="45" t="str">
        <f t="shared" si="62"/>
        <v/>
      </c>
      <c r="N253" t="str">
        <f t="shared" si="64"/>
        <v/>
      </c>
      <c r="Q253" t="str">
        <f t="shared" si="63"/>
        <v/>
      </c>
      <c r="S253" t="str">
        <f>IF(A253=1,MAX(S$2:S252)+1,IF(OR(I253&lt;&gt;"",A253="x"),S252,""))</f>
        <v/>
      </c>
      <c r="T253" t="str">
        <f>IF(D253=1,MAX($T$2:$T252)+1,IF(S253=$S252,$S252,IF($D253="x",T252,IF($D252="x","",""))))</f>
        <v/>
      </c>
      <c r="U253" t="str">
        <f>IF(B253=1,MAX($U$2:$U252)+1,IF(AND($T253&lt;&gt;"",$T253=$T252),$U252,IF(B253="x",U252,"")))</f>
        <v/>
      </c>
      <c r="V253" t="str">
        <f>IF(C253=1,MAX($V$2:$V252)+1,IF(AND($T253&lt;&gt;"",$T253=$T252),$U252,IF(C253="x",V252,"")))</f>
        <v/>
      </c>
      <c r="W253" t="str" cm="1">
        <f t="array" ref="W253">IFERROR(_xlfn._xlws.FILTER(game_rosters!AB:AB,(game_rosters!J:J=events!X253)*(K253&lt;&gt;"")),"")</f>
        <v/>
      </c>
      <c r="X253" t="str" cm="1">
        <f t="array" ref="X253">IF(S253="","",IF($I253&lt;&gt;"",$I253,INDEX($I$2:$I252,ROW()-COUNTIFS($T$2:$T252,"="&amp;$T253,$S$2:$S252,"&lt;&gt;"&amp;$S253)-1)))</f>
        <v/>
      </c>
      <c r="Y253" t="b">
        <f>IF(X253&lt;&gt;"",VLOOKUP(X253,game_rosters!$C$43:$E$64,3,FALSE))</f>
        <v>0</v>
      </c>
      <c r="Z253" t="e" cm="1" vm="1">
        <f t="array" aca="1" ref="Z253" ca="1">IFERROR(IF(_xlfn._xlws.FILTER(game_rosters!$J:$J,(game_rosters!$G:$G=events!$AN253)*(game_rosters!$J:$J=events!$X253))&gt;0,1,""),"")</f>
        <v>#VALUE!</v>
      </c>
      <c r="AA253" t="e">
        <f t="shared" si="59"/>
        <v>#VALUE!</v>
      </c>
      <c r="AB253" t="str">
        <f t="shared" si="60"/>
        <v/>
      </c>
      <c r="AC253" t="e">
        <f t="shared" si="58"/>
        <v>#VALUE!</v>
      </c>
      <c r="AD253" s="6"/>
      <c r="BJ253" s="39"/>
      <c r="BM253" s="39"/>
      <c r="BO253" s="19"/>
      <c r="BQ253" s="17"/>
    </row>
    <row r="254" spans="1:69" x14ac:dyDescent="0.2">
      <c r="A254" t="str">
        <f t="shared" si="61"/>
        <v/>
      </c>
      <c r="E254" s="4"/>
      <c r="F254" s="44"/>
      <c r="G254" s="4"/>
      <c r="H254" s="47"/>
      <c r="J254" s="45" t="str">
        <f t="shared" si="62"/>
        <v/>
      </c>
      <c r="N254" t="str">
        <f t="shared" si="64"/>
        <v/>
      </c>
      <c r="Q254" t="str">
        <f t="shared" si="63"/>
        <v/>
      </c>
      <c r="S254" t="str">
        <f>IF(A254=1,MAX(S$2:S253)+1,IF(OR(I254&lt;&gt;"",A254="x"),S253,""))</f>
        <v/>
      </c>
      <c r="T254" t="str">
        <f>IF(D254=1,MAX($T$2:$T253)+1,IF(S254=$S253,$S253,IF($D254="x",T253,IF($D253="x","",""))))</f>
        <v/>
      </c>
      <c r="U254" t="str">
        <f>IF(B254=1,MAX($U$2:$U253)+1,IF(AND($T254&lt;&gt;"",$T254=$T253),$U253,IF(B254="x",U253,"")))</f>
        <v/>
      </c>
      <c r="V254" t="str">
        <f>IF(C254=1,MAX($V$2:$V253)+1,IF(AND($T254&lt;&gt;"",$T254=$T253),$U253,IF(C254="x",V253,"")))</f>
        <v/>
      </c>
      <c r="W254" t="str" cm="1">
        <f t="array" ref="W254">IFERROR(_xlfn._xlws.FILTER(game_rosters!AB:AB,(game_rosters!J:J=events!X254)*(K254&lt;&gt;"")),"")</f>
        <v/>
      </c>
      <c r="X254" t="str" cm="1">
        <f t="array" ref="X254">IF(S254="","",IF($I254&lt;&gt;"",$I254,INDEX($I$2:$I253,ROW()-COUNTIFS($T$2:$T253,"="&amp;$T254,$S$2:$S253,"&lt;&gt;"&amp;$S254)-1)))</f>
        <v/>
      </c>
      <c r="Y254" t="b">
        <f>IF(X254&lt;&gt;"",VLOOKUP(X254,game_rosters!$C$43:$E$64,3,FALSE))</f>
        <v>0</v>
      </c>
      <c r="Z254" t="e" cm="1" vm="1">
        <f t="array" aca="1" ref="Z254" ca="1">IFERROR(IF(_xlfn._xlws.FILTER(game_rosters!$J:$J,(game_rosters!$G:$G=events!$AN254)*(game_rosters!$J:$J=events!$X254))&gt;0,1,""),"")</f>
        <v>#VALUE!</v>
      </c>
      <c r="AA254" t="e">
        <f t="shared" si="59"/>
        <v>#VALUE!</v>
      </c>
      <c r="AB254" t="str">
        <f t="shared" si="60"/>
        <v/>
      </c>
      <c r="AC254" t="e">
        <f t="shared" si="58"/>
        <v>#VALUE!</v>
      </c>
      <c r="AD254" s="6"/>
      <c r="BJ254" s="39"/>
      <c r="BM254" s="39"/>
      <c r="BO254" s="19"/>
      <c r="BQ254" s="17"/>
    </row>
    <row r="255" spans="1:69" x14ac:dyDescent="0.2">
      <c r="A255" t="str">
        <f t="shared" si="61"/>
        <v/>
      </c>
      <c r="E255" s="4"/>
      <c r="F255" s="44"/>
      <c r="G255" s="4"/>
      <c r="H255" s="47"/>
      <c r="J255" s="45" t="str">
        <f t="shared" si="62"/>
        <v/>
      </c>
      <c r="N255" t="str">
        <f t="shared" si="64"/>
        <v/>
      </c>
      <c r="Q255" t="str">
        <f t="shared" si="63"/>
        <v/>
      </c>
      <c r="S255" t="str">
        <f>IF(A255=1,MAX(S$2:S254)+1,IF(OR(I255&lt;&gt;"",A255="x"),S254,""))</f>
        <v/>
      </c>
      <c r="T255" t="str">
        <f>IF(D255=1,MAX($T$2:$T254)+1,IF(S255=$S254,$S254,IF($D255="x",T254,IF($D254="x","",""))))</f>
        <v/>
      </c>
      <c r="U255" t="str">
        <f>IF(B255=1,MAX($U$2:$U254)+1,IF(AND($T255&lt;&gt;"",$T255=$T254),$U254,IF(B255="x",U254,"")))</f>
        <v/>
      </c>
      <c r="V255" t="str">
        <f>IF(C255=1,MAX($V$2:$V254)+1,IF(AND($T255&lt;&gt;"",$T255=$T254),$U254,IF(C255="x",V254,"")))</f>
        <v/>
      </c>
      <c r="W255" t="str" cm="1">
        <f t="array" ref="W255">IFERROR(_xlfn._xlws.FILTER(game_rosters!AB:AB,(game_rosters!J:J=events!X255)*(K255&lt;&gt;"")),"")</f>
        <v/>
      </c>
      <c r="X255" t="str" cm="1">
        <f t="array" ref="X255">IF(S255="","",IF($I255&lt;&gt;"",$I255,INDEX($I$2:$I254,ROW()-COUNTIFS($T$2:$T254,"="&amp;$T255,$S$2:$S254,"&lt;&gt;"&amp;$S255)-1)))</f>
        <v/>
      </c>
      <c r="Y255" t="b">
        <f>IF(X255&lt;&gt;"",VLOOKUP(X255,game_rosters!$C$43:$E$64,3,FALSE))</f>
        <v>0</v>
      </c>
      <c r="Z255" t="e" cm="1" vm="1">
        <f t="array" aca="1" ref="Z255" ca="1">IFERROR(IF(_xlfn._xlws.FILTER(game_rosters!$J:$J,(game_rosters!$G:$G=events!$AN255)*(game_rosters!$J:$J=events!$X255))&gt;0,1,""),"")</f>
        <v>#VALUE!</v>
      </c>
      <c r="AA255" t="e">
        <f t="shared" si="59"/>
        <v>#VALUE!</v>
      </c>
      <c r="AB255" t="str">
        <f t="shared" si="60"/>
        <v/>
      </c>
      <c r="AC255" t="e">
        <f t="shared" si="58"/>
        <v>#VALUE!</v>
      </c>
      <c r="AD255" s="6"/>
      <c r="BJ255" s="39"/>
      <c r="BM255" s="39"/>
      <c r="BO255" s="19"/>
      <c r="BQ255" s="17"/>
    </row>
    <row r="256" spans="1:69" x14ac:dyDescent="0.2">
      <c r="A256" t="str">
        <f t="shared" si="61"/>
        <v/>
      </c>
      <c r="E256" s="4"/>
      <c r="F256" s="44"/>
      <c r="G256" s="4"/>
      <c r="H256" s="47"/>
      <c r="J256" s="45" t="str">
        <f t="shared" si="62"/>
        <v/>
      </c>
      <c r="N256" t="str">
        <f t="shared" si="64"/>
        <v/>
      </c>
      <c r="Q256" t="str">
        <f t="shared" si="63"/>
        <v/>
      </c>
      <c r="S256" t="str">
        <f>IF(A256=1,MAX(S$2:S255)+1,IF(OR(I256&lt;&gt;"",A256="x"),S255,""))</f>
        <v/>
      </c>
      <c r="T256" t="str">
        <f>IF(D256=1,MAX($T$2:$T255)+1,IF(S256=$S255,$S255,IF($D256="x",T255,IF($D255="x","",""))))</f>
        <v/>
      </c>
      <c r="U256" t="str">
        <f>IF(B256=1,MAX($U$2:$U255)+1,IF(AND($T256&lt;&gt;"",$T256=$T255),$U255,IF(B256="x",U255,"")))</f>
        <v/>
      </c>
      <c r="V256" t="str">
        <f>IF(C256=1,MAX($V$2:$V255)+1,IF(AND($T256&lt;&gt;"",$T256=$T255),$U255,IF(C256="x",V255,"")))</f>
        <v/>
      </c>
      <c r="W256" t="str" cm="1">
        <f t="array" ref="W256">IFERROR(_xlfn._xlws.FILTER(game_rosters!AB:AB,(game_rosters!J:J=events!X256)*(K256&lt;&gt;"")),"")</f>
        <v/>
      </c>
      <c r="X256" t="str" cm="1">
        <f t="array" ref="X256">IF(S256="","",IF($I256&lt;&gt;"",$I256,INDEX($I$2:$I255,ROW()-COUNTIFS($T$2:$T255,"="&amp;$T256,$S$2:$S255,"&lt;&gt;"&amp;$S256)-1)))</f>
        <v/>
      </c>
      <c r="Y256" t="b">
        <f>IF(X256&lt;&gt;"",VLOOKUP(X256,game_rosters!$C$43:$E$64,3,FALSE))</f>
        <v>0</v>
      </c>
      <c r="Z256" t="e" cm="1" vm="1">
        <f t="array" aca="1" ref="Z256" ca="1">IFERROR(IF(_xlfn._xlws.FILTER(game_rosters!$J:$J,(game_rosters!$G:$G=events!$AN256)*(game_rosters!$J:$J=events!$X256))&gt;0,1,""),"")</f>
        <v>#VALUE!</v>
      </c>
      <c r="AA256" t="e">
        <f t="shared" si="59"/>
        <v>#VALUE!</v>
      </c>
      <c r="AB256" t="str">
        <f t="shared" si="60"/>
        <v/>
      </c>
      <c r="AC256" t="e">
        <f t="shared" si="58"/>
        <v>#VALUE!</v>
      </c>
      <c r="AD256" s="6"/>
      <c r="BJ256" s="39"/>
      <c r="BM256" s="39"/>
      <c r="BO256" s="19"/>
      <c r="BQ256" s="17"/>
    </row>
    <row r="257" spans="1:69" x14ac:dyDescent="0.2">
      <c r="A257" t="str">
        <f t="shared" si="61"/>
        <v/>
      </c>
      <c r="E257" s="4"/>
      <c r="F257" s="44"/>
      <c r="G257" s="4"/>
      <c r="H257" s="47"/>
      <c r="J257" s="45" t="str">
        <f t="shared" si="62"/>
        <v/>
      </c>
      <c r="N257" t="str">
        <f t="shared" si="64"/>
        <v/>
      </c>
      <c r="Q257" t="str">
        <f t="shared" si="63"/>
        <v/>
      </c>
      <c r="S257" t="str">
        <f>IF(A257=1,MAX(S$2:S256)+1,IF(OR(I257&lt;&gt;"",A257="x"),S256,""))</f>
        <v/>
      </c>
      <c r="T257" t="str">
        <f>IF(D257=1,MAX($T$2:$T256)+1,IF(S257=$S256,$S256,IF($D257="x",T256,IF($D256="x","",""))))</f>
        <v/>
      </c>
      <c r="U257" t="str">
        <f>IF(B257=1,MAX($U$2:$U256)+1,IF(AND($T257&lt;&gt;"",$T257=$T256),$U256,IF(B257="x",U256,"")))</f>
        <v/>
      </c>
      <c r="V257" t="str">
        <f>IF(C257=1,MAX($V$2:$V256)+1,IF(AND($T257&lt;&gt;"",$T257=$T256),$U256,IF(C257="x",V256,"")))</f>
        <v/>
      </c>
      <c r="W257" t="str" cm="1">
        <f t="array" ref="W257">IFERROR(_xlfn._xlws.FILTER(game_rosters!AB:AB,(game_rosters!J:J=events!X257)*(K257&lt;&gt;"")),"")</f>
        <v/>
      </c>
      <c r="X257" t="str" cm="1">
        <f t="array" ref="X257">IF(S257="","",IF($I257&lt;&gt;"",$I257,INDEX($I$2:$I256,ROW()-COUNTIFS($T$2:$T256,"="&amp;$T257,$S$2:$S256,"&lt;&gt;"&amp;$S257)-1)))</f>
        <v/>
      </c>
      <c r="Y257" t="b">
        <f>IF(X257&lt;&gt;"",VLOOKUP(X257,game_rosters!$C$43:$E$64,3,FALSE))</f>
        <v>0</v>
      </c>
      <c r="Z257" t="e" cm="1" vm="1">
        <f t="array" aca="1" ref="Z257" ca="1">IFERROR(IF(_xlfn._xlws.FILTER(game_rosters!$J:$J,(game_rosters!$G:$G=events!$AN257)*(game_rosters!$J:$J=events!$X257))&gt;0,1,""),"")</f>
        <v>#VALUE!</v>
      </c>
      <c r="AA257" t="e">
        <f t="shared" si="59"/>
        <v>#VALUE!</v>
      </c>
      <c r="AB257" t="str">
        <f t="shared" si="60"/>
        <v/>
      </c>
      <c r="AC257" t="e">
        <f t="shared" si="58"/>
        <v>#VALUE!</v>
      </c>
      <c r="AD257" s="6"/>
      <c r="BJ257" s="39"/>
      <c r="BM257" s="39"/>
      <c r="BO257" s="19"/>
      <c r="BQ257" s="17"/>
    </row>
    <row r="258" spans="1:69" x14ac:dyDescent="0.2">
      <c r="A258" t="str">
        <f t="shared" si="61"/>
        <v/>
      </c>
      <c r="E258" s="4"/>
      <c r="F258" s="44"/>
      <c r="G258" s="4"/>
      <c r="H258" s="47"/>
      <c r="J258" s="45" t="str">
        <f t="shared" si="62"/>
        <v/>
      </c>
      <c r="N258" t="str">
        <f t="shared" si="64"/>
        <v/>
      </c>
      <c r="Q258" t="str">
        <f t="shared" si="63"/>
        <v/>
      </c>
      <c r="S258" t="str">
        <f>IF(A258=1,MAX(S$2:S257)+1,IF(OR(I258&lt;&gt;"",A258="x"),S257,""))</f>
        <v/>
      </c>
      <c r="T258" t="str">
        <f>IF(D258=1,MAX($T$2:$T257)+1,IF(S258=$S257,$S257,IF($D258="x",T257,IF($D257="x","",""))))</f>
        <v/>
      </c>
      <c r="U258" t="str">
        <f>IF(B258=1,MAX($U$2:$U257)+1,IF(AND($T258&lt;&gt;"",$T258=$T257),$U257,IF(B258="x",U257,"")))</f>
        <v/>
      </c>
      <c r="V258" t="str">
        <f>IF(C258=1,MAX($V$2:$V257)+1,IF(AND($T258&lt;&gt;"",$T258=$T257),$U257,IF(C258="x",V257,"")))</f>
        <v/>
      </c>
      <c r="W258" t="str" cm="1">
        <f t="array" ref="W258">IFERROR(_xlfn._xlws.FILTER(game_rosters!AB:AB,(game_rosters!J:J=events!X258)*(K258&lt;&gt;"")),"")</f>
        <v/>
      </c>
      <c r="X258" t="str" cm="1">
        <f t="array" ref="X258">IF(S258="","",IF($I258&lt;&gt;"",$I258,INDEX($I$2:$I257,ROW()-COUNTIFS($T$2:$T257,"="&amp;$T258,$S$2:$S257,"&lt;&gt;"&amp;$S258)-1)))</f>
        <v/>
      </c>
      <c r="Y258" t="b">
        <f>IF(X258&lt;&gt;"",VLOOKUP(X258,game_rosters!$C$43:$E$64,3,FALSE))</f>
        <v>0</v>
      </c>
      <c r="Z258" t="e" cm="1" vm="1">
        <f t="array" aca="1" ref="Z258" ca="1">IFERROR(IF(_xlfn._xlws.FILTER(game_rosters!$J:$J,(game_rosters!$G:$G=events!$AN258)*(game_rosters!$J:$J=events!$X258))&gt;0,1,""),"")</f>
        <v>#VALUE!</v>
      </c>
      <c r="AA258" t="e">
        <f t="shared" si="59"/>
        <v>#VALUE!</v>
      </c>
      <c r="AB258" t="str">
        <f t="shared" si="60"/>
        <v/>
      </c>
      <c r="AC258" t="e">
        <f t="shared" ref="AC258:AC321" si="65">IF(AB258&lt;&gt;"",AB258,S258+1000)</f>
        <v>#VALUE!</v>
      </c>
      <c r="AD258" s="6"/>
      <c r="BJ258" s="39"/>
      <c r="BM258" s="39"/>
      <c r="BO258" s="19"/>
      <c r="BQ258" s="17"/>
    </row>
    <row r="259" spans="1:69" x14ac:dyDescent="0.2">
      <c r="A259" t="str">
        <f t="shared" si="61"/>
        <v/>
      </c>
      <c r="E259" s="4"/>
      <c r="F259" s="44"/>
      <c r="G259" s="4"/>
      <c r="H259" s="47"/>
      <c r="J259" s="45" t="str">
        <f t="shared" si="62"/>
        <v/>
      </c>
      <c r="N259" t="str">
        <f t="shared" si="64"/>
        <v/>
      </c>
      <c r="Q259" t="str">
        <f t="shared" si="63"/>
        <v/>
      </c>
      <c r="S259" t="str">
        <f>IF(A259=1,MAX(S$2:S258)+1,IF(OR(I259&lt;&gt;"",A259="x"),S258,""))</f>
        <v/>
      </c>
      <c r="T259" t="str">
        <f>IF(D259=1,MAX($T$2:$T258)+1,IF(S259=$S258,$S258,IF($D259="x",T258,IF($D258="x","",""))))</f>
        <v/>
      </c>
      <c r="U259" t="str">
        <f>IF(B259=1,MAX($U$2:$U258)+1,IF(AND($T259&lt;&gt;"",$T259=$T258),$U258,IF(B259="x",U258,"")))</f>
        <v/>
      </c>
      <c r="V259" t="str">
        <f>IF(C259=1,MAX($V$2:$V258)+1,IF(AND($T259&lt;&gt;"",$T259=$T258),$U258,IF(C259="x",V258,"")))</f>
        <v/>
      </c>
      <c r="W259" t="str" cm="1">
        <f t="array" ref="W259">IFERROR(_xlfn._xlws.FILTER(game_rosters!AB:AB,(game_rosters!J:J=events!X259)*(K259&lt;&gt;"")),"")</f>
        <v/>
      </c>
      <c r="X259" t="str" cm="1">
        <f t="array" ref="X259">IF(S259="","",IF($I259&lt;&gt;"",$I259,INDEX($I$2:$I258,ROW()-COUNTIFS($T$2:$T258,"="&amp;$T259,$S$2:$S258,"&lt;&gt;"&amp;$S259)-1)))</f>
        <v/>
      </c>
      <c r="Y259" t="b">
        <f>IF(X259&lt;&gt;"",VLOOKUP(X259,game_rosters!$C$43:$E$64,3,FALSE))</f>
        <v>0</v>
      </c>
      <c r="Z259" t="e" cm="1" vm="1">
        <f t="array" aca="1" ref="Z259" ca="1">IFERROR(IF(_xlfn._xlws.FILTER(game_rosters!$J:$J,(game_rosters!$G:$G=events!$AN259)*(game_rosters!$J:$J=events!$X259))&gt;0,1,""),"")</f>
        <v>#VALUE!</v>
      </c>
      <c r="AA259" t="e">
        <f t="shared" si="59"/>
        <v>#VALUE!</v>
      </c>
      <c r="AB259" t="str">
        <f t="shared" si="60"/>
        <v/>
      </c>
      <c r="AC259" t="e">
        <f t="shared" si="65"/>
        <v>#VALUE!</v>
      </c>
      <c r="AD259" s="6"/>
      <c r="BJ259" s="39"/>
      <c r="BM259" s="39"/>
      <c r="BO259" s="19"/>
      <c r="BQ259" s="17"/>
    </row>
    <row r="260" spans="1:69" x14ac:dyDescent="0.2">
      <c r="A260" t="str">
        <f t="shared" si="61"/>
        <v/>
      </c>
      <c r="E260" s="4"/>
      <c r="F260" s="44"/>
      <c r="G260" s="4"/>
      <c r="H260" s="47"/>
      <c r="J260" s="45" t="str">
        <f t="shared" si="62"/>
        <v/>
      </c>
      <c r="N260" t="str">
        <f t="shared" si="64"/>
        <v/>
      </c>
      <c r="Q260" t="str">
        <f t="shared" si="63"/>
        <v/>
      </c>
      <c r="S260" t="str">
        <f>IF(A260=1,MAX(S$2:S259)+1,IF(OR(I260&lt;&gt;"",A260="x"),S259,""))</f>
        <v/>
      </c>
      <c r="T260" t="str">
        <f>IF(D260=1,MAX($T$2:$T259)+1,IF(S260=$S259,$S259,IF($D260="x",T259,IF($D259="x","",""))))</f>
        <v/>
      </c>
      <c r="U260" t="str">
        <f>IF(B260=1,MAX($U$2:$U259)+1,IF(AND($T260&lt;&gt;"",$T260=$T259),$U259,IF(B260="x",U259,"")))</f>
        <v/>
      </c>
      <c r="V260" t="str">
        <f>IF(C260=1,MAX($V$2:$V259)+1,IF(AND($T260&lt;&gt;"",$T260=$T259),$U259,IF(C260="x",V259,"")))</f>
        <v/>
      </c>
      <c r="W260" t="str" cm="1">
        <f t="array" ref="W260">IFERROR(_xlfn._xlws.FILTER(game_rosters!AB:AB,(game_rosters!J:J=events!X260)*(K260&lt;&gt;"")),"")</f>
        <v/>
      </c>
      <c r="X260" t="str" cm="1">
        <f t="array" ref="X260">IF(S260="","",IF($I260&lt;&gt;"",$I260,INDEX($I$2:$I259,ROW()-COUNTIFS($T$2:$T259,"="&amp;$T260,$S$2:$S259,"&lt;&gt;"&amp;$S260)-1)))</f>
        <v/>
      </c>
      <c r="Y260" t="b">
        <f>IF(X260&lt;&gt;"",VLOOKUP(X260,game_rosters!$C$43:$E$64,3,FALSE))</f>
        <v>0</v>
      </c>
      <c r="Z260" t="e" cm="1" vm="1">
        <f t="array" aca="1" ref="Z260" ca="1">IFERROR(IF(_xlfn._xlws.FILTER(game_rosters!$J:$J,(game_rosters!$G:$G=events!$AN260)*(game_rosters!$J:$J=events!$X260))&gt;0,1,""),"")</f>
        <v>#VALUE!</v>
      </c>
      <c r="AA260" t="e">
        <f t="shared" ref="AA260:AA323" si="66">S260+1000</f>
        <v>#VALUE!</v>
      </c>
      <c r="AB260" t="str">
        <f t="shared" ref="AB260:AB323" si="67">IF(T260&lt;&gt;"",9000+T260,"")</f>
        <v/>
      </c>
      <c r="AC260" t="e">
        <f t="shared" si="65"/>
        <v>#VALUE!</v>
      </c>
      <c r="AD260" s="6"/>
      <c r="BJ260" s="39"/>
      <c r="BM260" s="39"/>
      <c r="BO260" s="19"/>
      <c r="BQ260" s="17"/>
    </row>
    <row r="261" spans="1:69" x14ac:dyDescent="0.2">
      <c r="A261" t="str">
        <f t="shared" ref="A261:A324" si="68">IF(K261&lt;&gt;"",1,IF(D261="x","x",""))</f>
        <v/>
      </c>
      <c r="E261" s="4"/>
      <c r="F261" s="44"/>
      <c r="G261" s="4"/>
      <c r="H261" s="47"/>
      <c r="J261" s="45" t="str">
        <f t="shared" si="62"/>
        <v/>
      </c>
      <c r="N261" t="str">
        <f t="shared" si="64"/>
        <v/>
      </c>
      <c r="Q261" t="str">
        <f t="shared" si="63"/>
        <v/>
      </c>
      <c r="S261" t="str">
        <f>IF(A261=1,MAX(S$2:S260)+1,IF(OR(I261&lt;&gt;"",A261="x"),S260,""))</f>
        <v/>
      </c>
      <c r="T261" t="str">
        <f>IF(D261=1,MAX($T$2:$T260)+1,IF(S261=$S260,$S260,IF($D261="x",T260,IF($D260="x","",""))))</f>
        <v/>
      </c>
      <c r="U261" t="str">
        <f>IF(B261=1,MAX($U$2:$U260)+1,IF(AND($T261&lt;&gt;"",$T261=$T260),$U260,IF(B261="x",U260,"")))</f>
        <v/>
      </c>
      <c r="V261" t="str">
        <f>IF(C261=1,MAX($V$2:$V260)+1,IF(AND($T261&lt;&gt;"",$T261=$T260),$U260,IF(C261="x",V260,"")))</f>
        <v/>
      </c>
      <c r="W261" t="str" cm="1">
        <f t="array" ref="W261">IFERROR(_xlfn._xlws.FILTER(game_rosters!AB:AB,(game_rosters!J:J=events!X261)*(K261&lt;&gt;"")),"")</f>
        <v/>
      </c>
      <c r="X261" t="str" cm="1">
        <f t="array" ref="X261">IF(S261="","",IF($I261&lt;&gt;"",$I261,INDEX($I$2:$I260,ROW()-COUNTIFS($T$2:$T260,"="&amp;$T261,$S$2:$S260,"&lt;&gt;"&amp;$S261)-1)))</f>
        <v/>
      </c>
      <c r="Y261" t="b">
        <f>IF(X261&lt;&gt;"",VLOOKUP(X261,game_rosters!$C$43:$E$64,3,FALSE))</f>
        <v>0</v>
      </c>
      <c r="Z261" t="e" cm="1" vm="1">
        <f t="array" aca="1" ref="Z261" ca="1">IFERROR(IF(_xlfn._xlws.FILTER(game_rosters!$J:$J,(game_rosters!$G:$G=events!$AN261)*(game_rosters!$J:$J=events!$X261))&gt;0,1,""),"")</f>
        <v>#VALUE!</v>
      </c>
      <c r="AA261" t="e">
        <f t="shared" si="66"/>
        <v>#VALUE!</v>
      </c>
      <c r="AB261" t="str">
        <f t="shared" si="67"/>
        <v/>
      </c>
      <c r="AC261" t="e">
        <f t="shared" si="65"/>
        <v>#VALUE!</v>
      </c>
      <c r="AD261" s="6"/>
      <c r="BJ261" s="39"/>
      <c r="BM261" s="39"/>
      <c r="BO261" s="19"/>
      <c r="BQ261" s="17"/>
    </row>
    <row r="262" spans="1:69" x14ac:dyDescent="0.2">
      <c r="A262" t="str">
        <f t="shared" si="68"/>
        <v/>
      </c>
      <c r="E262" s="4"/>
      <c r="F262" s="44"/>
      <c r="G262" s="4"/>
      <c r="H262" s="47"/>
      <c r="J262" s="45" t="str">
        <f t="shared" ref="J262:J325" si="69">IF(OR(K262="Goal",K262="Shot",L262="Zone_Entry",M262="Stoppage-Goal",M261="Stoppage-Goal"),"o",IF(OR(K262="Save",K262="Rebound",L262="Zone_Exit",M262="Stoppage-GoalieStoppage",M261="Stoppage-GoalieStoppage"),"d",IF(OR(L262="Faceoff_AfterGoal",L262="Faceoff_PeriodStart",698="Faceoff_GameStart",M261="Stoppage-Goal"),"n","")))</f>
        <v/>
      </c>
      <c r="N262" t="str">
        <f t="shared" si="64"/>
        <v/>
      </c>
      <c r="Q262" t="str">
        <f t="shared" si="63"/>
        <v/>
      </c>
      <c r="S262" t="str">
        <f>IF(A262=1,MAX(S$2:S261)+1,IF(OR(I262&lt;&gt;"",A262="x"),S261,""))</f>
        <v/>
      </c>
      <c r="T262" t="str">
        <f>IF(D262=1,MAX($T$2:$T261)+1,IF(S262=$S261,$S261,IF($D262="x",T261,IF($D261="x","",""))))</f>
        <v/>
      </c>
      <c r="U262" t="str">
        <f>IF(B262=1,MAX($U$2:$U261)+1,IF(AND($T262&lt;&gt;"",$T262=$T261),$U261,IF(B262="x",U261,"")))</f>
        <v/>
      </c>
      <c r="V262" t="str">
        <f>IF(C262=1,MAX($V$2:$V261)+1,IF(AND($T262&lt;&gt;"",$T262=$T261),$U261,IF(C262="x",V261,"")))</f>
        <v/>
      </c>
      <c r="W262" t="str" cm="1">
        <f t="array" ref="W262">IFERROR(_xlfn._xlws.FILTER(game_rosters!AB:AB,(game_rosters!J:J=events!X262)*(K262&lt;&gt;"")),"")</f>
        <v/>
      </c>
      <c r="X262" t="str" cm="1">
        <f t="array" ref="X262">IF(S262="","",IF($I262&lt;&gt;"",$I262,INDEX($I$2:$I261,ROW()-COUNTIFS($T$2:$T261,"="&amp;$T262,$S$2:$S261,"&lt;&gt;"&amp;$S262)-1)))</f>
        <v/>
      </c>
      <c r="Y262" t="b">
        <f>IF(X262&lt;&gt;"",VLOOKUP(X262,game_rosters!$C$43:$E$64,3,FALSE))</f>
        <v>0</v>
      </c>
      <c r="Z262" t="e" cm="1" vm="1">
        <f t="array" aca="1" ref="Z262" ca="1">IFERROR(IF(_xlfn._xlws.FILTER(game_rosters!$J:$J,(game_rosters!$G:$G=events!$AN262)*(game_rosters!$J:$J=events!$X262))&gt;0,1,""),"")</f>
        <v>#VALUE!</v>
      </c>
      <c r="AA262" t="e">
        <f t="shared" si="66"/>
        <v>#VALUE!</v>
      </c>
      <c r="AB262" t="str">
        <f t="shared" si="67"/>
        <v/>
      </c>
      <c r="AC262" t="e">
        <f t="shared" si="65"/>
        <v>#VALUE!</v>
      </c>
      <c r="AD262" s="6"/>
      <c r="BJ262" s="39"/>
      <c r="BM262" s="39"/>
      <c r="BO262" s="19"/>
      <c r="BQ262" s="17"/>
    </row>
    <row r="263" spans="1:69" x14ac:dyDescent="0.2">
      <c r="A263" t="str">
        <f t="shared" si="68"/>
        <v/>
      </c>
      <c r="E263" s="4"/>
      <c r="F263" s="44"/>
      <c r="G263" s="4"/>
      <c r="H263" s="47"/>
      <c r="J263" s="45" t="str">
        <f t="shared" si="69"/>
        <v/>
      </c>
      <c r="N263" t="str">
        <f t="shared" si="64"/>
        <v/>
      </c>
      <c r="Q263" t="str">
        <f t="shared" si="63"/>
        <v/>
      </c>
      <c r="S263" t="str">
        <f>IF(A263=1,MAX(S$2:S262)+1,IF(OR(I263&lt;&gt;"",A263="x"),S262,""))</f>
        <v/>
      </c>
      <c r="T263" t="str">
        <f>IF(D263=1,MAX($T$2:$T262)+1,IF(S263=$S262,$S262,IF($D263="x",T262,IF($D262="x","",""))))</f>
        <v/>
      </c>
      <c r="U263" t="str">
        <f>IF(B263=1,MAX($U$2:$U262)+1,IF(AND($T263&lt;&gt;"",$T263=$T262),$U262,IF(B263="x",U262,"")))</f>
        <v/>
      </c>
      <c r="V263" t="str">
        <f>IF(C263=1,MAX($V$2:$V262)+1,IF(AND($T263&lt;&gt;"",$T263=$T262),$U262,IF(C263="x",V262,"")))</f>
        <v/>
      </c>
      <c r="W263" t="str" cm="1">
        <f t="array" ref="W263">IFERROR(_xlfn._xlws.FILTER(game_rosters!AB:AB,(game_rosters!J:J=events!X263)*(K263&lt;&gt;"")),"")</f>
        <v/>
      </c>
      <c r="X263" t="str" cm="1">
        <f t="array" ref="X263">IF(S263="","",IF($I263&lt;&gt;"",$I263,INDEX($I$2:$I262,ROW()-COUNTIFS($T$2:$T262,"="&amp;$T263,$S$2:$S262,"&lt;&gt;"&amp;$S263)-1)))</f>
        <v/>
      </c>
      <c r="Y263" t="b">
        <f>IF(X263&lt;&gt;"",VLOOKUP(X263,game_rosters!$C$43:$E$64,3,FALSE))</f>
        <v>0</v>
      </c>
      <c r="Z263" t="e" cm="1" vm="1">
        <f t="array" aca="1" ref="Z263" ca="1">IFERROR(IF(_xlfn._xlws.FILTER(game_rosters!$J:$J,(game_rosters!$G:$G=events!$AN263)*(game_rosters!$J:$J=events!$X263))&gt;0,1,""),"")</f>
        <v>#VALUE!</v>
      </c>
      <c r="AA263" t="e">
        <f t="shared" si="66"/>
        <v>#VALUE!</v>
      </c>
      <c r="AB263" t="str">
        <f t="shared" si="67"/>
        <v/>
      </c>
      <c r="AC263" t="e">
        <f t="shared" si="65"/>
        <v>#VALUE!</v>
      </c>
      <c r="AD263" s="6"/>
      <c r="BJ263" s="39"/>
      <c r="BM263" s="39"/>
      <c r="BO263" s="19"/>
      <c r="BQ263" s="17"/>
    </row>
    <row r="264" spans="1:69" x14ac:dyDescent="0.2">
      <c r="A264" t="str">
        <f t="shared" si="68"/>
        <v/>
      </c>
      <c r="E264" s="4"/>
      <c r="F264" s="44"/>
      <c r="G264" s="4"/>
      <c r="H264" s="47"/>
      <c r="J264" s="45" t="str">
        <f t="shared" si="69"/>
        <v/>
      </c>
      <c r="N264" t="str">
        <f t="shared" si="64"/>
        <v/>
      </c>
      <c r="Q264" t="str">
        <f t="shared" si="63"/>
        <v/>
      </c>
      <c r="S264" t="str">
        <f>IF(A264=1,MAX(S$2:S263)+1,IF(OR(I264&lt;&gt;"",A264="x"),S263,""))</f>
        <v/>
      </c>
      <c r="T264" t="str">
        <f>IF(D264=1,MAX($T$2:$T263)+1,IF(S264=$S263,$S263,IF($D264="x",T263,IF($D263="x","",""))))</f>
        <v/>
      </c>
      <c r="U264" t="str">
        <f>IF(B264=1,MAX($U$2:$U263)+1,IF(AND($T264&lt;&gt;"",$T264=$T263),$U263,IF(B264="x",U263,"")))</f>
        <v/>
      </c>
      <c r="V264" t="str">
        <f>IF(C264=1,MAX($V$2:$V263)+1,IF(AND($T264&lt;&gt;"",$T264=$T263),$U263,IF(C264="x",V263,"")))</f>
        <v/>
      </c>
      <c r="W264" t="str" cm="1">
        <f t="array" ref="W264">IFERROR(_xlfn._xlws.FILTER(game_rosters!AB:AB,(game_rosters!J:J=events!X264)*(K264&lt;&gt;"")),"")</f>
        <v/>
      </c>
      <c r="X264" t="str" cm="1">
        <f t="array" ref="X264">IF(S264="","",IF($I264&lt;&gt;"",$I264,INDEX($I$2:$I263,ROW()-COUNTIFS($T$2:$T263,"="&amp;$T264,$S$2:$S263,"&lt;&gt;"&amp;$S264)-1)))</f>
        <v/>
      </c>
      <c r="Y264" t="b">
        <f>IF(X264&lt;&gt;"",VLOOKUP(X264,game_rosters!$C$43:$E$64,3,FALSE))</f>
        <v>0</v>
      </c>
      <c r="Z264" t="e" cm="1" vm="1">
        <f t="array" aca="1" ref="Z264" ca="1">IFERROR(IF(_xlfn._xlws.FILTER(game_rosters!$J:$J,(game_rosters!$G:$G=events!$AN264)*(game_rosters!$J:$J=events!$X264))&gt;0,1,""),"")</f>
        <v>#VALUE!</v>
      </c>
      <c r="AA264" t="e">
        <f t="shared" si="66"/>
        <v>#VALUE!</v>
      </c>
      <c r="AB264" t="str">
        <f t="shared" si="67"/>
        <v/>
      </c>
      <c r="AC264" t="e">
        <f t="shared" si="65"/>
        <v>#VALUE!</v>
      </c>
      <c r="AD264" s="6"/>
      <c r="BJ264" s="39"/>
      <c r="BM264" s="39"/>
      <c r="BO264" s="19"/>
      <c r="BQ264" s="17"/>
    </row>
    <row r="265" spans="1:69" x14ac:dyDescent="0.2">
      <c r="A265" t="str">
        <f t="shared" si="68"/>
        <v/>
      </c>
      <c r="E265" s="4"/>
      <c r="F265" s="44"/>
      <c r="G265" s="4"/>
      <c r="H265" s="47"/>
      <c r="J265" s="45" t="str">
        <f t="shared" si="69"/>
        <v/>
      </c>
      <c r="N265" t="str">
        <f t="shared" si="64"/>
        <v/>
      </c>
      <c r="Q265" t="str">
        <f t="shared" si="63"/>
        <v/>
      </c>
      <c r="S265" t="str">
        <f>IF(A265=1,MAX(S$2:S264)+1,IF(OR(I265&lt;&gt;"",A265="x"),S264,""))</f>
        <v/>
      </c>
      <c r="T265" t="str">
        <f>IF(D265=1,MAX($T$2:$T264)+1,IF(S265=$S264,$S264,IF($D265="x",T264,IF($D264="x","",""))))</f>
        <v/>
      </c>
      <c r="U265" t="str">
        <f>IF(B265=1,MAX($U$2:$U264)+1,IF(AND($T265&lt;&gt;"",$T265=$T264),$U264,IF(B265="x",U264,"")))</f>
        <v/>
      </c>
      <c r="V265" t="str">
        <f>IF(C265=1,MAX($V$2:$V264)+1,IF(AND($T265&lt;&gt;"",$T265=$T264),$U264,IF(C265="x",V264,"")))</f>
        <v/>
      </c>
      <c r="W265" t="str" cm="1">
        <f t="array" ref="W265">IFERROR(_xlfn._xlws.FILTER(game_rosters!AB:AB,(game_rosters!J:J=events!X265)*(K265&lt;&gt;"")),"")</f>
        <v/>
      </c>
      <c r="X265" t="str" cm="1">
        <f t="array" ref="X265">IF(S265="","",IF($I265&lt;&gt;"",$I265,INDEX($I$2:$I264,ROW()-COUNTIFS($T$2:$T264,"="&amp;$T265,$S$2:$S264,"&lt;&gt;"&amp;$S265)-1)))</f>
        <v/>
      </c>
      <c r="Y265" t="b">
        <f>IF(X265&lt;&gt;"",VLOOKUP(X265,game_rosters!$C$43:$E$64,3,FALSE))</f>
        <v>0</v>
      </c>
      <c r="Z265" t="e" cm="1" vm="1">
        <f t="array" aca="1" ref="Z265" ca="1">IFERROR(IF(_xlfn._xlws.FILTER(game_rosters!$J:$J,(game_rosters!$G:$G=events!$AN265)*(game_rosters!$J:$J=events!$X265))&gt;0,1,""),"")</f>
        <v>#VALUE!</v>
      </c>
      <c r="AA265" t="e">
        <f t="shared" si="66"/>
        <v>#VALUE!</v>
      </c>
      <c r="AB265" t="str">
        <f t="shared" si="67"/>
        <v/>
      </c>
      <c r="AC265" t="e">
        <f t="shared" si="65"/>
        <v>#VALUE!</v>
      </c>
      <c r="AD265" s="6"/>
      <c r="BJ265" s="39"/>
      <c r="BM265" s="39"/>
      <c r="BO265" s="19"/>
      <c r="BQ265" s="17"/>
    </row>
    <row r="266" spans="1:69" x14ac:dyDescent="0.2">
      <c r="A266" t="str">
        <f t="shared" si="68"/>
        <v/>
      </c>
      <c r="E266" s="4"/>
      <c r="F266" s="44"/>
      <c r="G266" s="4"/>
      <c r="H266" s="47"/>
      <c r="J266" s="45" t="str">
        <f t="shared" si="69"/>
        <v/>
      </c>
      <c r="N266" t="str">
        <f t="shared" si="64"/>
        <v/>
      </c>
      <c r="Q266" t="str">
        <f t="shared" si="63"/>
        <v/>
      </c>
      <c r="S266" t="str">
        <f>IF(A266=1,MAX(S$2:S265)+1,IF(OR(I266&lt;&gt;"",A266="x"),S265,""))</f>
        <v/>
      </c>
      <c r="T266" t="str">
        <f>IF(D266=1,MAX($T$2:$T265)+1,IF(S266=$S265,$S265,IF($D266="x",T265,IF($D265="x","",""))))</f>
        <v/>
      </c>
      <c r="U266" t="str">
        <f>IF(B266=1,MAX($U$2:$U265)+1,IF(AND($T266&lt;&gt;"",$T266=$T265),$U265,IF(B266="x",U265,"")))</f>
        <v/>
      </c>
      <c r="V266" t="str">
        <f>IF(C266=1,MAX($V$2:$V265)+1,IF(AND($T266&lt;&gt;"",$T266=$T265),$U265,IF(C266="x",V265,"")))</f>
        <v/>
      </c>
      <c r="W266" t="str" cm="1">
        <f t="array" ref="W266">IFERROR(_xlfn._xlws.FILTER(game_rosters!AB:AB,(game_rosters!J:J=events!X266)*(K266&lt;&gt;"")),"")</f>
        <v/>
      </c>
      <c r="X266" t="str" cm="1">
        <f t="array" ref="X266">IF(S266="","",IF($I266&lt;&gt;"",$I266,INDEX($I$2:$I265,ROW()-COUNTIFS($T$2:$T265,"="&amp;$T266,$S$2:$S265,"&lt;&gt;"&amp;$S266)-1)))</f>
        <v/>
      </c>
      <c r="Y266" t="b">
        <f>IF(X266&lt;&gt;"",VLOOKUP(X266,game_rosters!$C$43:$E$64,3,FALSE))</f>
        <v>0</v>
      </c>
      <c r="Z266" t="e" cm="1" vm="1">
        <f t="array" aca="1" ref="Z266" ca="1">IFERROR(IF(_xlfn._xlws.FILTER(game_rosters!$J:$J,(game_rosters!$G:$G=events!$AN266)*(game_rosters!$J:$J=events!$X266))&gt;0,1,""),"")</f>
        <v>#VALUE!</v>
      </c>
      <c r="AA266" t="e">
        <f t="shared" si="66"/>
        <v>#VALUE!</v>
      </c>
      <c r="AB266" t="str">
        <f t="shared" si="67"/>
        <v/>
      </c>
      <c r="AC266" t="e">
        <f t="shared" si="65"/>
        <v>#VALUE!</v>
      </c>
      <c r="AD266" s="6"/>
      <c r="BJ266" s="39"/>
      <c r="BM266" s="39"/>
      <c r="BO266" s="19"/>
      <c r="BQ266" s="17"/>
    </row>
    <row r="267" spans="1:69" x14ac:dyDescent="0.2">
      <c r="A267" t="str">
        <f t="shared" si="68"/>
        <v/>
      </c>
      <c r="E267" s="4"/>
      <c r="F267" s="44"/>
      <c r="G267" s="4"/>
      <c r="H267" s="47"/>
      <c r="J267" s="45" t="str">
        <f t="shared" si="69"/>
        <v/>
      </c>
      <c r="N267" t="str">
        <f t="shared" si="64"/>
        <v/>
      </c>
      <c r="Q267" t="str">
        <f t="shared" si="63"/>
        <v/>
      </c>
      <c r="S267" t="str">
        <f>IF(A267=1,MAX(S$2:S266)+1,IF(OR(I267&lt;&gt;"",A267="x"),S266,""))</f>
        <v/>
      </c>
      <c r="T267" t="str">
        <f>IF(D267=1,MAX($T$2:$T266)+1,IF(S267=$S266,$S266,IF($D267="x",T266,IF($D266="x","",""))))</f>
        <v/>
      </c>
      <c r="U267" t="str">
        <f>IF(B267=1,MAX($U$2:$U266)+1,IF(AND($T267&lt;&gt;"",$T267=$T266),$U266,IF(B267="x",U266,"")))</f>
        <v/>
      </c>
      <c r="V267" t="str">
        <f>IF(C267=1,MAX($V$2:$V266)+1,IF(AND($T267&lt;&gt;"",$T267=$T266),$U266,IF(C267="x",V266,"")))</f>
        <v/>
      </c>
      <c r="W267" t="str" cm="1">
        <f t="array" ref="W267">IFERROR(_xlfn._xlws.FILTER(game_rosters!AB:AB,(game_rosters!J:J=events!X267)*(K267&lt;&gt;"")),"")</f>
        <v/>
      </c>
      <c r="X267" t="str" cm="1">
        <f t="array" ref="X267">IF(S267="","",IF($I267&lt;&gt;"",$I267,INDEX($I$2:$I266,ROW()-COUNTIFS($T$2:$T266,"="&amp;$T267,$S$2:$S266,"&lt;&gt;"&amp;$S267)-1)))</f>
        <v/>
      </c>
      <c r="Y267" t="b">
        <f>IF(X267&lt;&gt;"",VLOOKUP(X267,game_rosters!$C$43:$E$64,3,FALSE))</f>
        <v>0</v>
      </c>
      <c r="Z267" t="e" cm="1" vm="1">
        <f t="array" aca="1" ref="Z267" ca="1">IFERROR(IF(_xlfn._xlws.FILTER(game_rosters!$J:$J,(game_rosters!$G:$G=events!$AN267)*(game_rosters!$J:$J=events!$X267))&gt;0,1,""),"")</f>
        <v>#VALUE!</v>
      </c>
      <c r="AA267" t="e">
        <f t="shared" si="66"/>
        <v>#VALUE!</v>
      </c>
      <c r="AB267" t="str">
        <f t="shared" si="67"/>
        <v/>
      </c>
      <c r="AC267" t="e">
        <f t="shared" si="65"/>
        <v>#VALUE!</v>
      </c>
      <c r="AD267" s="6"/>
      <c r="BJ267" s="39"/>
      <c r="BM267" s="39"/>
      <c r="BO267" s="19"/>
      <c r="BQ267" s="17"/>
    </row>
    <row r="268" spans="1:69" x14ac:dyDescent="0.2">
      <c r="A268" t="str">
        <f t="shared" si="68"/>
        <v/>
      </c>
      <c r="E268" s="4"/>
      <c r="F268" s="44"/>
      <c r="G268" s="4"/>
      <c r="H268" s="47"/>
      <c r="J268" s="45" t="str">
        <f t="shared" si="69"/>
        <v/>
      </c>
      <c r="N268" t="str">
        <f t="shared" si="64"/>
        <v/>
      </c>
      <c r="Q268" t="str">
        <f t="shared" si="63"/>
        <v/>
      </c>
      <c r="S268" t="str">
        <f>IF(A268=1,MAX(S$2:S267)+1,IF(OR(I268&lt;&gt;"",A268="x"),S267,""))</f>
        <v/>
      </c>
      <c r="T268" t="str">
        <f>IF(D268=1,MAX($T$2:$T267)+1,IF(S268=$S267,$S267,IF($D268="x",T267,IF($D267="x","",""))))</f>
        <v/>
      </c>
      <c r="U268" t="str">
        <f>IF(B268=1,MAX($U$2:$U267)+1,IF(AND($T268&lt;&gt;"",$T268=$T267),$U267,IF(B268="x",U267,"")))</f>
        <v/>
      </c>
      <c r="V268" t="str">
        <f>IF(C268=1,MAX($V$2:$V267)+1,IF(AND($T268&lt;&gt;"",$T268=$T267),$U267,IF(C268="x",V267,"")))</f>
        <v/>
      </c>
      <c r="W268" t="str" cm="1">
        <f t="array" ref="W268">IFERROR(_xlfn._xlws.FILTER(game_rosters!AB:AB,(game_rosters!J:J=events!X268)*(K268&lt;&gt;"")),"")</f>
        <v/>
      </c>
      <c r="X268" t="str" cm="1">
        <f t="array" ref="X268">IF(S268="","",IF($I268&lt;&gt;"",$I268,INDEX($I$2:$I267,ROW()-COUNTIFS($T$2:$T267,"="&amp;$T268,$S$2:$S267,"&lt;&gt;"&amp;$S268)-1)))</f>
        <v/>
      </c>
      <c r="Y268" t="b">
        <f>IF(X268&lt;&gt;"",VLOOKUP(X268,game_rosters!$C$43:$E$64,3,FALSE))</f>
        <v>0</v>
      </c>
      <c r="Z268" t="e" cm="1" vm="1">
        <f t="array" aca="1" ref="Z268" ca="1">IFERROR(IF(_xlfn._xlws.FILTER(game_rosters!$J:$J,(game_rosters!$G:$G=events!$AN268)*(game_rosters!$J:$J=events!$X268))&gt;0,1,""),"")</f>
        <v>#VALUE!</v>
      </c>
      <c r="AA268" t="e">
        <f t="shared" si="66"/>
        <v>#VALUE!</v>
      </c>
      <c r="AB268" t="str">
        <f t="shared" si="67"/>
        <v/>
      </c>
      <c r="AC268" t="e">
        <f t="shared" si="65"/>
        <v>#VALUE!</v>
      </c>
      <c r="AD268" s="6"/>
      <c r="BJ268" s="39"/>
      <c r="BM268" s="39"/>
      <c r="BO268" s="19"/>
      <c r="BQ268" s="17"/>
    </row>
    <row r="269" spans="1:69" x14ac:dyDescent="0.2">
      <c r="A269" t="str">
        <f t="shared" si="68"/>
        <v/>
      </c>
      <c r="E269" s="4"/>
      <c r="F269" s="44"/>
      <c r="G269" s="4"/>
      <c r="H269" s="47"/>
      <c r="J269" s="45" t="str">
        <f t="shared" si="69"/>
        <v/>
      </c>
      <c r="N269" t="str">
        <f t="shared" si="64"/>
        <v/>
      </c>
      <c r="Q269" t="str">
        <f t="shared" si="63"/>
        <v/>
      </c>
      <c r="S269" t="str">
        <f>IF(A269=1,MAX(S$2:S268)+1,IF(OR(I269&lt;&gt;"",A269="x"),S268,""))</f>
        <v/>
      </c>
      <c r="T269" t="str">
        <f>IF(D269=1,MAX($T$2:$T268)+1,IF(S269=$S268,$S268,IF($D269="x",T268,IF($D268="x","",""))))</f>
        <v/>
      </c>
      <c r="U269" t="str">
        <f>IF(B269=1,MAX($U$2:$U268)+1,IF(AND($T269&lt;&gt;"",$T269=$T268),$U268,IF(B269="x",U268,"")))</f>
        <v/>
      </c>
      <c r="V269" t="str">
        <f>IF(C269=1,MAX($V$2:$V268)+1,IF(AND($T269&lt;&gt;"",$T269=$T268),$U268,IF(C269="x",V268,"")))</f>
        <v/>
      </c>
      <c r="W269" t="str" cm="1">
        <f t="array" ref="W269">IFERROR(_xlfn._xlws.FILTER(game_rosters!AB:AB,(game_rosters!J:J=events!X269)*(K269&lt;&gt;"")),"")</f>
        <v/>
      </c>
      <c r="X269" t="str" cm="1">
        <f t="array" ref="X269">IF(S269="","",IF($I269&lt;&gt;"",$I269,INDEX($I$2:$I268,ROW()-COUNTIFS($T$2:$T268,"="&amp;$T269,$S$2:$S268,"&lt;&gt;"&amp;$S269)-1)))</f>
        <v/>
      </c>
      <c r="Y269" t="b">
        <f>IF(X269&lt;&gt;"",VLOOKUP(X269,game_rosters!$C$43:$E$64,3,FALSE))</f>
        <v>0</v>
      </c>
      <c r="Z269" t="e" cm="1" vm="1">
        <f t="array" aca="1" ref="Z269" ca="1">IFERROR(IF(_xlfn._xlws.FILTER(game_rosters!$J:$J,(game_rosters!$G:$G=events!$AN269)*(game_rosters!$J:$J=events!$X269))&gt;0,1,""),"")</f>
        <v>#VALUE!</v>
      </c>
      <c r="AA269" t="e">
        <f t="shared" si="66"/>
        <v>#VALUE!</v>
      </c>
      <c r="AB269" t="str">
        <f t="shared" si="67"/>
        <v/>
      </c>
      <c r="AC269" t="e">
        <f t="shared" si="65"/>
        <v>#VALUE!</v>
      </c>
      <c r="AD269" s="6"/>
      <c r="BJ269" s="39"/>
      <c r="BM269" s="39"/>
      <c r="BO269" s="19"/>
      <c r="BQ269" s="17"/>
    </row>
    <row r="270" spans="1:69" x14ac:dyDescent="0.2">
      <c r="A270" t="str">
        <f t="shared" si="68"/>
        <v/>
      </c>
      <c r="E270" s="4"/>
      <c r="F270" s="44"/>
      <c r="G270" s="4"/>
      <c r="H270" s="47"/>
      <c r="J270" s="45" t="str">
        <f t="shared" si="69"/>
        <v/>
      </c>
      <c r="N270" t="str">
        <f t="shared" si="64"/>
        <v/>
      </c>
      <c r="Q270" t="str">
        <f t="shared" si="63"/>
        <v/>
      </c>
      <c r="S270" t="str">
        <f>IF(A270=1,MAX(S$2:S269)+1,IF(OR(I270&lt;&gt;"",A270="x"),S269,""))</f>
        <v/>
      </c>
      <c r="T270" t="str">
        <f>IF(D270=1,MAX($T$2:$T269)+1,IF(S270=$S269,$S269,IF($D270="x",T269,IF($D269="x","",""))))</f>
        <v/>
      </c>
      <c r="U270" t="str">
        <f>IF(B270=1,MAX($U$2:$U269)+1,IF(AND($T270&lt;&gt;"",$T270=$T269),$U269,IF(B270="x",U269,"")))</f>
        <v/>
      </c>
      <c r="V270" t="str">
        <f>IF(C270=1,MAX($V$2:$V269)+1,IF(AND($T270&lt;&gt;"",$T270=$T269),$U269,IF(C270="x",V269,"")))</f>
        <v/>
      </c>
      <c r="W270" t="str" cm="1">
        <f t="array" ref="W270">IFERROR(_xlfn._xlws.FILTER(game_rosters!AB:AB,(game_rosters!J:J=events!X270)*(K270&lt;&gt;"")),"")</f>
        <v/>
      </c>
      <c r="X270" t="str" cm="1">
        <f t="array" ref="X270">IF(S270="","",IF($I270&lt;&gt;"",$I270,INDEX($I$2:$I269,ROW()-COUNTIFS($T$2:$T269,"="&amp;$T270,$S$2:$S269,"&lt;&gt;"&amp;$S270)-1)))</f>
        <v/>
      </c>
      <c r="Y270" t="b">
        <f>IF(X270&lt;&gt;"",VLOOKUP(X270,game_rosters!$C$43:$E$64,3,FALSE))</f>
        <v>0</v>
      </c>
      <c r="Z270" t="e" cm="1" vm="1">
        <f t="array" aca="1" ref="Z270" ca="1">IFERROR(IF(_xlfn._xlws.FILTER(game_rosters!$J:$J,(game_rosters!$G:$G=events!$AN270)*(game_rosters!$J:$J=events!$X270))&gt;0,1,""),"")</f>
        <v>#VALUE!</v>
      </c>
      <c r="AA270" t="e">
        <f t="shared" si="66"/>
        <v>#VALUE!</v>
      </c>
      <c r="AB270" t="str">
        <f t="shared" si="67"/>
        <v/>
      </c>
      <c r="AC270" t="e">
        <f t="shared" si="65"/>
        <v>#VALUE!</v>
      </c>
      <c r="AD270" s="6"/>
      <c r="BJ270" s="39"/>
      <c r="BM270" s="39"/>
      <c r="BO270" s="19"/>
      <c r="BQ270" s="17"/>
    </row>
    <row r="271" spans="1:69" x14ac:dyDescent="0.2">
      <c r="A271" t="str">
        <f t="shared" si="68"/>
        <v/>
      </c>
      <c r="E271" s="4"/>
      <c r="F271" s="44"/>
      <c r="G271" s="4"/>
      <c r="H271" s="47"/>
      <c r="J271" s="45" t="str">
        <f t="shared" si="69"/>
        <v/>
      </c>
      <c r="N271" t="str">
        <f t="shared" si="64"/>
        <v/>
      </c>
      <c r="Q271" t="str">
        <f t="shared" si="63"/>
        <v/>
      </c>
      <c r="S271" t="str">
        <f>IF(A271=1,MAX(S$2:S270)+1,IF(OR(I271&lt;&gt;"",A271="x"),S270,""))</f>
        <v/>
      </c>
      <c r="T271" t="str">
        <f>IF(D271=1,MAX($T$2:$T270)+1,IF(S271=$S270,$S270,IF($D271="x",T270,IF($D270="x","",""))))</f>
        <v/>
      </c>
      <c r="U271" t="str">
        <f>IF(B271=1,MAX($U$2:$U270)+1,IF(AND($T271&lt;&gt;"",$T271=$T270),$U270,IF(B271="x",U270,"")))</f>
        <v/>
      </c>
      <c r="V271" t="str">
        <f>IF(C271=1,MAX($V$2:$V270)+1,IF(AND($T271&lt;&gt;"",$T271=$T270),$U270,IF(C271="x",V270,"")))</f>
        <v/>
      </c>
      <c r="W271" t="str" cm="1">
        <f t="array" ref="W271">IFERROR(_xlfn._xlws.FILTER(game_rosters!AB:AB,(game_rosters!J:J=events!X271)*(K271&lt;&gt;"")),"")</f>
        <v/>
      </c>
      <c r="X271" t="str" cm="1">
        <f t="array" ref="X271">IF(S271="","",IF($I271&lt;&gt;"",$I271,INDEX($I$2:$I270,ROW()-COUNTIFS($T$2:$T270,"="&amp;$T271,$S$2:$S270,"&lt;&gt;"&amp;$S271)-1)))</f>
        <v/>
      </c>
      <c r="Y271" t="b">
        <f>IF(X271&lt;&gt;"",VLOOKUP(X271,game_rosters!$C$43:$E$64,3,FALSE))</f>
        <v>0</v>
      </c>
      <c r="Z271" t="e" cm="1" vm="1">
        <f t="array" aca="1" ref="Z271" ca="1">IFERROR(IF(_xlfn._xlws.FILTER(game_rosters!$J:$J,(game_rosters!$G:$G=events!$AN271)*(game_rosters!$J:$J=events!$X271))&gt;0,1,""),"")</f>
        <v>#VALUE!</v>
      </c>
      <c r="AA271" t="e">
        <f t="shared" si="66"/>
        <v>#VALUE!</v>
      </c>
      <c r="AB271" t="str">
        <f t="shared" si="67"/>
        <v/>
      </c>
      <c r="AC271" t="e">
        <f t="shared" si="65"/>
        <v>#VALUE!</v>
      </c>
      <c r="AD271" s="6"/>
      <c r="BJ271" s="39"/>
      <c r="BM271" s="39"/>
      <c r="BO271" s="19"/>
      <c r="BQ271" s="17"/>
    </row>
    <row r="272" spans="1:69" x14ac:dyDescent="0.2">
      <c r="A272" t="str">
        <f t="shared" si="68"/>
        <v/>
      </c>
      <c r="E272" s="4"/>
      <c r="F272" s="44"/>
      <c r="G272" s="4"/>
      <c r="H272" s="47"/>
      <c r="J272" s="45" t="str">
        <f t="shared" si="69"/>
        <v/>
      </c>
      <c r="N272" t="str">
        <f t="shared" si="64"/>
        <v/>
      </c>
      <c r="Q272" t="str">
        <f t="shared" ref="Q272:Q335" si="70">IF(O272="","",IF(AND(N272&lt;&gt;"",OR(O272&lt;&gt;"",P272&lt;&gt;"")),N272,IF(OR(ISNUMBER(SEARCH("attemp",O272)),ISNUMBER(SEARCH("beat",O272)),ISNUMBER(SEARCH("mis",O272)),ISNUMBER(SEARCH("fail",O272)),ISNUMBER(SEARCH("loss",O272)),ISNUMBER(SEARCH("lost",O272)),ISNUMBER(SEARCH("attemp",P272)),ISNUMBER(SEARCH("mis",P272)),ISNUMBER(SEARCH("fail",P272)),ISNUMBER(SEARCH("loss",P272)),ISNUMBER(SEARCH("beat",P272)),ISNUMBER(SEARCH("lost",P272))),"u","")))</f>
        <v/>
      </c>
      <c r="S272" t="str">
        <f>IF(A272=1,MAX(S$2:S271)+1,IF(OR(I272&lt;&gt;"",A272="x"),S271,""))</f>
        <v/>
      </c>
      <c r="T272" t="str">
        <f>IF(D272=1,MAX($T$2:$T271)+1,IF(S272=$S271,$S271,IF($D272="x",T271,IF($D271="x","",""))))</f>
        <v/>
      </c>
      <c r="U272" t="str">
        <f>IF(B272=1,MAX($U$2:$U271)+1,IF(AND($T272&lt;&gt;"",$T272=$T271),$U271,IF(B272="x",U271,"")))</f>
        <v/>
      </c>
      <c r="V272" t="str">
        <f>IF(C272=1,MAX($V$2:$V271)+1,IF(AND($T272&lt;&gt;"",$T272=$T271),$U271,IF(C272="x",V271,"")))</f>
        <v/>
      </c>
      <c r="W272" t="str" cm="1">
        <f t="array" ref="W272">IFERROR(_xlfn._xlws.FILTER(game_rosters!AB:AB,(game_rosters!J:J=events!X272)*(K272&lt;&gt;"")),"")</f>
        <v/>
      </c>
      <c r="X272" t="str" cm="1">
        <f t="array" ref="X272">IF(S272="","",IF($I272&lt;&gt;"",$I272,INDEX($I$2:$I271,ROW()-COUNTIFS($T$2:$T271,"="&amp;$T272,$S$2:$S271,"&lt;&gt;"&amp;$S272)-1)))</f>
        <v/>
      </c>
      <c r="Y272" t="b">
        <f>IF(X272&lt;&gt;"",VLOOKUP(X272,game_rosters!$C$43:$E$64,3,FALSE))</f>
        <v>0</v>
      </c>
      <c r="Z272" t="e" cm="1" vm="1">
        <f t="array" aca="1" ref="Z272" ca="1">IFERROR(IF(_xlfn._xlws.FILTER(game_rosters!$J:$J,(game_rosters!$G:$G=events!$AN272)*(game_rosters!$J:$J=events!$X272))&gt;0,1,""),"")</f>
        <v>#VALUE!</v>
      </c>
      <c r="AA272" t="e">
        <f t="shared" si="66"/>
        <v>#VALUE!</v>
      </c>
      <c r="AB272" t="str">
        <f t="shared" si="67"/>
        <v/>
      </c>
      <c r="AC272" t="e">
        <f t="shared" si="65"/>
        <v>#VALUE!</v>
      </c>
      <c r="AD272" s="6"/>
      <c r="BJ272" s="39"/>
      <c r="BM272" s="39"/>
      <c r="BO272" s="19"/>
      <c r="BQ272" s="17"/>
    </row>
    <row r="273" spans="1:69" x14ac:dyDescent="0.2">
      <c r="A273" t="str">
        <f t="shared" si="68"/>
        <v/>
      </c>
      <c r="E273" s="4"/>
      <c r="F273" s="44"/>
      <c r="G273" s="4"/>
      <c r="H273" s="47"/>
      <c r="J273" s="45" t="str">
        <f t="shared" si="69"/>
        <v/>
      </c>
      <c r="N273" t="str">
        <f t="shared" si="64"/>
        <v/>
      </c>
      <c r="Q273" t="str">
        <f t="shared" si="70"/>
        <v/>
      </c>
      <c r="S273" t="str">
        <f>IF(A273=1,MAX(S$2:S272)+1,IF(OR(I273&lt;&gt;"",A273="x"),S272,""))</f>
        <v/>
      </c>
      <c r="T273" t="str">
        <f>IF(D273=1,MAX($T$2:$T272)+1,IF(S273=$S272,$S272,IF($D273="x",T272,IF($D272="x","",""))))</f>
        <v/>
      </c>
      <c r="U273" t="str">
        <f>IF(B273=1,MAX($U$2:$U272)+1,IF(AND($T273&lt;&gt;"",$T273=$T272),$U272,IF(B273="x",U272,"")))</f>
        <v/>
      </c>
      <c r="V273" t="str">
        <f>IF(C273=1,MAX($V$2:$V272)+1,IF(AND($T273&lt;&gt;"",$T273=$T272),$U272,IF(C273="x",V272,"")))</f>
        <v/>
      </c>
      <c r="W273" t="str" cm="1">
        <f t="array" ref="W273">IFERROR(_xlfn._xlws.FILTER(game_rosters!AB:AB,(game_rosters!J:J=events!X273)*(K273&lt;&gt;"")),"")</f>
        <v/>
      </c>
      <c r="X273" t="str" cm="1">
        <f t="array" ref="X273">IF(S273="","",IF($I273&lt;&gt;"",$I273,INDEX($I$2:$I272,ROW()-COUNTIFS($T$2:$T272,"="&amp;$T273,$S$2:$S272,"&lt;&gt;"&amp;$S273)-1)))</f>
        <v/>
      </c>
      <c r="Y273" t="b">
        <f>IF(X273&lt;&gt;"",VLOOKUP(X273,game_rosters!$C$43:$E$64,3,FALSE))</f>
        <v>0</v>
      </c>
      <c r="Z273" t="e" cm="1" vm="1">
        <f t="array" aca="1" ref="Z273" ca="1">IFERROR(IF(_xlfn._xlws.FILTER(game_rosters!$J:$J,(game_rosters!$G:$G=events!$AN273)*(game_rosters!$J:$J=events!$X273))&gt;0,1,""),"")</f>
        <v>#VALUE!</v>
      </c>
      <c r="AA273" t="e">
        <f t="shared" si="66"/>
        <v>#VALUE!</v>
      </c>
      <c r="AB273" t="str">
        <f t="shared" si="67"/>
        <v/>
      </c>
      <c r="AC273" t="e">
        <f t="shared" si="65"/>
        <v>#VALUE!</v>
      </c>
      <c r="AD273" s="6"/>
      <c r="BJ273" s="39"/>
      <c r="BM273" s="39"/>
      <c r="BO273" s="19"/>
      <c r="BQ273" s="17"/>
    </row>
    <row r="274" spans="1:69" x14ac:dyDescent="0.2">
      <c r="A274" t="str">
        <f t="shared" si="68"/>
        <v/>
      </c>
      <c r="E274" s="4"/>
      <c r="F274" s="44"/>
      <c r="G274" s="4"/>
      <c r="H274" s="47"/>
      <c r="J274" s="45" t="str">
        <f t="shared" si="69"/>
        <v/>
      </c>
      <c r="N274" t="str">
        <f t="shared" si="64"/>
        <v/>
      </c>
      <c r="Q274" t="str">
        <f t="shared" si="70"/>
        <v/>
      </c>
      <c r="S274" t="str">
        <f>IF(A274=1,MAX(S$2:S273)+1,IF(OR(I274&lt;&gt;"",A274="x"),S273,""))</f>
        <v/>
      </c>
      <c r="T274" t="str">
        <f>IF(D274=1,MAX($T$2:$T273)+1,IF(S274=$S273,$S273,IF($D274="x",T273,IF($D273="x","",""))))</f>
        <v/>
      </c>
      <c r="U274" t="str">
        <f>IF(B274=1,MAX($U$2:$U273)+1,IF(AND($T274&lt;&gt;"",$T274=$T273),$U273,IF(B274="x",U273,"")))</f>
        <v/>
      </c>
      <c r="V274" t="str">
        <f>IF(C274=1,MAX($V$2:$V273)+1,IF(AND($T274&lt;&gt;"",$T274=$T273),$U273,IF(C274="x",V273,"")))</f>
        <v/>
      </c>
      <c r="W274" t="str" cm="1">
        <f t="array" ref="W274">IFERROR(_xlfn._xlws.FILTER(game_rosters!AB:AB,(game_rosters!J:J=events!X274)*(K274&lt;&gt;"")),"")</f>
        <v/>
      </c>
      <c r="X274" t="str" cm="1">
        <f t="array" ref="X274">IF(S274="","",IF($I274&lt;&gt;"",$I274,INDEX($I$2:$I273,ROW()-COUNTIFS($T$2:$T273,"="&amp;$T274,$S$2:$S273,"&lt;&gt;"&amp;$S274)-1)))</f>
        <v/>
      </c>
      <c r="Y274" t="b">
        <f>IF(X274&lt;&gt;"",VLOOKUP(X274,game_rosters!$C$43:$E$64,3,FALSE))</f>
        <v>0</v>
      </c>
      <c r="Z274" t="e" cm="1" vm="1">
        <f t="array" aca="1" ref="Z274" ca="1">IFERROR(IF(_xlfn._xlws.FILTER(game_rosters!$J:$J,(game_rosters!$G:$G=events!$AN274)*(game_rosters!$J:$J=events!$X274))&gt;0,1,""),"")</f>
        <v>#VALUE!</v>
      </c>
      <c r="AA274" t="e">
        <f t="shared" si="66"/>
        <v>#VALUE!</v>
      </c>
      <c r="AB274" t="str">
        <f t="shared" si="67"/>
        <v/>
      </c>
      <c r="AC274" t="e">
        <f t="shared" si="65"/>
        <v>#VALUE!</v>
      </c>
      <c r="AD274" s="6"/>
      <c r="BJ274" s="39"/>
      <c r="BM274" s="39"/>
      <c r="BO274" s="19"/>
      <c r="BQ274" s="17"/>
    </row>
    <row r="275" spans="1:69" x14ac:dyDescent="0.2">
      <c r="A275" t="str">
        <f t="shared" si="68"/>
        <v/>
      </c>
      <c r="E275" s="4"/>
      <c r="F275" s="44"/>
      <c r="G275" s="4"/>
      <c r="H275" s="47"/>
      <c r="J275" s="45" t="str">
        <f t="shared" si="69"/>
        <v/>
      </c>
      <c r="N275" t="str">
        <f t="shared" si="64"/>
        <v/>
      </c>
      <c r="Q275" t="str">
        <f t="shared" si="70"/>
        <v/>
      </c>
      <c r="S275" t="str">
        <f>IF(A275=1,MAX(S$2:S274)+1,IF(OR(I275&lt;&gt;"",A275="x"),S274,""))</f>
        <v/>
      </c>
      <c r="T275" t="str">
        <f>IF(D275=1,MAX($T$2:$T274)+1,IF(S275=$S274,$S274,IF($D275="x",T274,IF($D274="x","",""))))</f>
        <v/>
      </c>
      <c r="U275" t="str">
        <f>IF(B275=1,MAX($U$2:$U274)+1,IF(AND($T275&lt;&gt;"",$T275=$T274),$U274,IF(B275="x",U274,"")))</f>
        <v/>
      </c>
      <c r="V275" t="str">
        <f>IF(C275=1,MAX($V$2:$V274)+1,IF(AND($T275&lt;&gt;"",$T275=$T274),$U274,IF(C275="x",V274,"")))</f>
        <v/>
      </c>
      <c r="W275" t="str" cm="1">
        <f t="array" ref="W275">IFERROR(_xlfn._xlws.FILTER(game_rosters!AB:AB,(game_rosters!J:J=events!X275)*(K275&lt;&gt;"")),"")</f>
        <v/>
      </c>
      <c r="X275" t="str" cm="1">
        <f t="array" ref="X275">IF(S275="","",IF($I275&lt;&gt;"",$I275,INDEX($I$2:$I274,ROW()-COUNTIFS($T$2:$T274,"="&amp;$T275,$S$2:$S274,"&lt;&gt;"&amp;$S275)-1)))</f>
        <v/>
      </c>
      <c r="Y275" t="b">
        <f>IF(X275&lt;&gt;"",VLOOKUP(X275,game_rosters!$C$43:$E$64,3,FALSE))</f>
        <v>0</v>
      </c>
      <c r="Z275" t="e" cm="1" vm="1">
        <f t="array" aca="1" ref="Z275" ca="1">IFERROR(IF(_xlfn._xlws.FILTER(game_rosters!$J:$J,(game_rosters!$G:$G=events!$AN275)*(game_rosters!$J:$J=events!$X275))&gt;0,1,""),"")</f>
        <v>#VALUE!</v>
      </c>
      <c r="AA275" t="e">
        <f t="shared" si="66"/>
        <v>#VALUE!</v>
      </c>
      <c r="AB275" t="str">
        <f t="shared" si="67"/>
        <v/>
      </c>
      <c r="AC275" t="e">
        <f t="shared" si="65"/>
        <v>#VALUE!</v>
      </c>
      <c r="AD275" s="6"/>
      <c r="BJ275" s="39"/>
      <c r="BM275" s="39"/>
      <c r="BO275" s="19"/>
      <c r="BQ275" s="17"/>
    </row>
    <row r="276" spans="1:69" x14ac:dyDescent="0.2">
      <c r="A276" t="str">
        <f t="shared" si="68"/>
        <v/>
      </c>
      <c r="E276" s="4"/>
      <c r="F276" s="44"/>
      <c r="G276" s="4"/>
      <c r="H276" s="47"/>
      <c r="J276" s="45" t="str">
        <f t="shared" si="69"/>
        <v/>
      </c>
      <c r="N276" t="str">
        <f t="shared" si="64"/>
        <v/>
      </c>
      <c r="Q276" t="str">
        <f t="shared" si="70"/>
        <v/>
      </c>
      <c r="S276" t="str">
        <f>IF(A276=1,MAX(S$2:S275)+1,IF(OR(I276&lt;&gt;"",A276="x"),S275,""))</f>
        <v/>
      </c>
      <c r="T276" t="str">
        <f>IF(D276=1,MAX($T$2:$T275)+1,IF(S276=$S275,$S275,IF($D276="x",T275,IF($D275="x","",""))))</f>
        <v/>
      </c>
      <c r="U276" t="str">
        <f>IF(B276=1,MAX($U$2:$U275)+1,IF(AND($T276&lt;&gt;"",$T276=$T275),$U275,IF(B276="x",U275,"")))</f>
        <v/>
      </c>
      <c r="V276" t="str">
        <f>IF(C276=1,MAX($V$2:$V275)+1,IF(AND($T276&lt;&gt;"",$T276=$T275),$U275,IF(C276="x",V275,"")))</f>
        <v/>
      </c>
      <c r="W276" t="str" cm="1">
        <f t="array" ref="W276">IFERROR(_xlfn._xlws.FILTER(game_rosters!AB:AB,(game_rosters!J:J=events!X276)*(K276&lt;&gt;"")),"")</f>
        <v/>
      </c>
      <c r="X276" t="str" cm="1">
        <f t="array" ref="X276">IF(S276="","",IF($I276&lt;&gt;"",$I276,INDEX($I$2:$I275,ROW()-COUNTIFS($T$2:$T275,"="&amp;$T276,$S$2:$S275,"&lt;&gt;"&amp;$S276)-1)))</f>
        <v/>
      </c>
      <c r="Y276" t="b">
        <f>IF(X276&lt;&gt;"",VLOOKUP(X276,game_rosters!$C$43:$E$64,3,FALSE))</f>
        <v>0</v>
      </c>
      <c r="Z276" t="e" cm="1" vm="1">
        <f t="array" aca="1" ref="Z276" ca="1">IFERROR(IF(_xlfn._xlws.FILTER(game_rosters!$J:$J,(game_rosters!$G:$G=events!$AN276)*(game_rosters!$J:$J=events!$X276))&gt;0,1,""),"")</f>
        <v>#VALUE!</v>
      </c>
      <c r="AA276" t="e">
        <f t="shared" si="66"/>
        <v>#VALUE!</v>
      </c>
      <c r="AB276" t="str">
        <f t="shared" si="67"/>
        <v/>
      </c>
      <c r="AC276" t="e">
        <f t="shared" si="65"/>
        <v>#VALUE!</v>
      </c>
      <c r="AD276" s="6"/>
      <c r="BJ276" s="39"/>
      <c r="BM276" s="39"/>
      <c r="BO276" s="19"/>
      <c r="BQ276" s="17"/>
    </row>
    <row r="277" spans="1:69" x14ac:dyDescent="0.2">
      <c r="A277" t="str">
        <f t="shared" si="68"/>
        <v/>
      </c>
      <c r="E277" s="4"/>
      <c r="F277" s="44"/>
      <c r="G277" s="4"/>
      <c r="H277" s="47"/>
      <c r="J277" s="45" t="str">
        <f t="shared" si="69"/>
        <v/>
      </c>
      <c r="N277" t="str">
        <f t="shared" ref="N277:N340" si="71">IF(K277="","",IF(K277="Goal","s",IF(AND(K277="Zone_Entry_Exit",OR(ISNUMBER(SEARCH("fail",L277)),ISNUMBER(SEARCH("FromExitClear",M277)),ISNUMBER(SEARCH("miss",M277)))),"u",IF(AND(K277="Zone_Entry_Exit",OR(NOT(ISNUMBER(SEARCH("fail",L277))),NOT(ISNUMBER(SEARCH("FromExitClear",M277))),NOT(ISNUMBER(SEARCH("miss",M277))))),"s",IF(AND(OR(K277="Shot",K277="Pass"),OR(ISNUMBER(SEARCH("complete",L277)),ISNUMBER(SEARCH("goal",L277)),ISNUMBER(SEARCH("OnNet",L277)))),"s",IF(L277="Turnover_Giveaway","u",IF(AND(OR(K277="Shot",K277="Pass"),OR(ISNUMBER(SEARCH("fail",L277)),NOT(ISNUMBER(SEARCH("complete",L277))),NOT(ISNUMBER(SEARCH("OnNet",L277))))),"u","")))))))</f>
        <v/>
      </c>
      <c r="Q277" t="str">
        <f t="shared" si="70"/>
        <v/>
      </c>
      <c r="S277" t="str">
        <f>IF(A277=1,MAX(S$2:S276)+1,IF(OR(I277&lt;&gt;"",A277="x"),S276,""))</f>
        <v/>
      </c>
      <c r="T277" t="str">
        <f>IF(D277=1,MAX($T$2:$T276)+1,IF(S277=$S276,$S276,IF($D277="x",T276,IF($D276="x","",""))))</f>
        <v/>
      </c>
      <c r="U277" t="str">
        <f>IF(B277=1,MAX($U$2:$U276)+1,IF(AND($T277&lt;&gt;"",$T277=$T276),$U276,IF(B277="x",U276,"")))</f>
        <v/>
      </c>
      <c r="V277" t="str">
        <f>IF(C277=1,MAX($V$2:$V276)+1,IF(AND($T277&lt;&gt;"",$T277=$T276),$U276,IF(C277="x",V276,"")))</f>
        <v/>
      </c>
      <c r="W277" t="str" cm="1">
        <f t="array" ref="W277">IFERROR(_xlfn._xlws.FILTER(game_rosters!AB:AB,(game_rosters!J:J=events!X277)*(K277&lt;&gt;"")),"")</f>
        <v/>
      </c>
      <c r="X277" t="str" cm="1">
        <f t="array" ref="X277">IF(S277="","",IF($I277&lt;&gt;"",$I277,INDEX($I$2:$I276,ROW()-COUNTIFS($T$2:$T276,"="&amp;$T277,$S$2:$S276,"&lt;&gt;"&amp;$S277)-1)))</f>
        <v/>
      </c>
      <c r="Y277" t="b">
        <f>IF(X277&lt;&gt;"",VLOOKUP(X277,game_rosters!$C$43:$E$64,3,FALSE))</f>
        <v>0</v>
      </c>
      <c r="Z277" t="e" cm="1" vm="1">
        <f t="array" aca="1" ref="Z277" ca="1">IFERROR(IF(_xlfn._xlws.FILTER(game_rosters!$J:$J,(game_rosters!$G:$G=events!$AN277)*(game_rosters!$J:$J=events!$X277))&gt;0,1,""),"")</f>
        <v>#VALUE!</v>
      </c>
      <c r="AA277" t="e">
        <f t="shared" si="66"/>
        <v>#VALUE!</v>
      </c>
      <c r="AB277" t="str">
        <f t="shared" si="67"/>
        <v/>
      </c>
      <c r="AC277" t="e">
        <f t="shared" si="65"/>
        <v>#VALUE!</v>
      </c>
      <c r="AD277" s="6"/>
      <c r="BJ277" s="39"/>
      <c r="BM277" s="39"/>
      <c r="BO277" s="19"/>
      <c r="BQ277" s="17"/>
    </row>
    <row r="278" spans="1:69" x14ac:dyDescent="0.2">
      <c r="A278" t="str">
        <f t="shared" si="68"/>
        <v/>
      </c>
      <c r="E278" s="4"/>
      <c r="F278" s="44"/>
      <c r="G278" s="4"/>
      <c r="H278" s="47"/>
      <c r="J278" s="45" t="str">
        <f t="shared" si="69"/>
        <v/>
      </c>
      <c r="N278" t="str">
        <f t="shared" si="71"/>
        <v/>
      </c>
      <c r="Q278" t="str">
        <f t="shared" si="70"/>
        <v/>
      </c>
      <c r="S278" t="str">
        <f>IF(A278=1,MAX(S$2:S277)+1,IF(OR(I278&lt;&gt;"",A278="x"),S277,""))</f>
        <v/>
      </c>
      <c r="T278" t="str">
        <f>IF(D278=1,MAX($T$2:$T277)+1,IF(S278=$S277,$S277,IF($D278="x",T277,IF($D277="x","",""))))</f>
        <v/>
      </c>
      <c r="U278" t="str">
        <f>IF(B278=1,MAX($U$2:$U277)+1,IF(AND($T278&lt;&gt;"",$T278=$T277),$U277,IF(B278="x",U277,"")))</f>
        <v/>
      </c>
      <c r="V278" t="str">
        <f>IF(C278=1,MAX($V$2:$V277)+1,IF(AND($T278&lt;&gt;"",$T278=$T277),$U277,IF(C278="x",V277,"")))</f>
        <v/>
      </c>
      <c r="W278" t="str" cm="1">
        <f t="array" ref="W278">IFERROR(_xlfn._xlws.FILTER(game_rosters!AB:AB,(game_rosters!J:J=events!X278)*(K278&lt;&gt;"")),"")</f>
        <v/>
      </c>
      <c r="X278" t="str" cm="1">
        <f t="array" ref="X278">IF(S278="","",IF($I278&lt;&gt;"",$I278,INDEX($I$2:$I277,ROW()-COUNTIFS($T$2:$T277,"="&amp;$T278,$S$2:$S277,"&lt;&gt;"&amp;$S278)-1)))</f>
        <v/>
      </c>
      <c r="Y278" t="b">
        <f>IF(X278&lt;&gt;"",VLOOKUP(X278,game_rosters!$C$43:$E$64,3,FALSE))</f>
        <v>0</v>
      </c>
      <c r="Z278" t="e" cm="1" vm="1">
        <f t="array" aca="1" ref="Z278" ca="1">IFERROR(IF(_xlfn._xlws.FILTER(game_rosters!$J:$J,(game_rosters!$G:$G=events!$AN278)*(game_rosters!$J:$J=events!$X278))&gt;0,1,""),"")</f>
        <v>#VALUE!</v>
      </c>
      <c r="AA278" t="e">
        <f t="shared" si="66"/>
        <v>#VALUE!</v>
      </c>
      <c r="AB278" t="str">
        <f t="shared" si="67"/>
        <v/>
      </c>
      <c r="AC278" t="e">
        <f t="shared" si="65"/>
        <v>#VALUE!</v>
      </c>
      <c r="AD278" s="6"/>
      <c r="BJ278" s="39"/>
      <c r="BM278" s="39"/>
      <c r="BO278" s="19"/>
      <c r="BQ278" s="17"/>
    </row>
    <row r="279" spans="1:69" x14ac:dyDescent="0.2">
      <c r="A279" t="str">
        <f t="shared" si="68"/>
        <v/>
      </c>
      <c r="E279" s="4"/>
      <c r="F279" s="44"/>
      <c r="G279" s="4"/>
      <c r="H279" s="47"/>
      <c r="J279" s="45" t="str">
        <f t="shared" si="69"/>
        <v/>
      </c>
      <c r="N279" t="str">
        <f t="shared" si="71"/>
        <v/>
      </c>
      <c r="Q279" t="str">
        <f t="shared" si="70"/>
        <v/>
      </c>
      <c r="S279" t="str">
        <f>IF(A279=1,MAX(S$2:S278)+1,IF(OR(I279&lt;&gt;"",A279="x"),S278,""))</f>
        <v/>
      </c>
      <c r="T279" t="str">
        <f>IF(D279=1,MAX($T$2:$T278)+1,IF(S279=$S278,$S278,IF($D279="x",T278,IF($D278="x","",""))))</f>
        <v/>
      </c>
      <c r="U279" t="str">
        <f>IF(B279=1,MAX($U$2:$U278)+1,IF(AND($T279&lt;&gt;"",$T279=$T278),$U278,IF(B279="x",U278,"")))</f>
        <v/>
      </c>
      <c r="V279" t="str">
        <f>IF(C279=1,MAX($V$2:$V278)+1,IF(AND($T279&lt;&gt;"",$T279=$T278),$U278,IF(C279="x",V278,"")))</f>
        <v/>
      </c>
      <c r="W279" t="str" cm="1">
        <f t="array" ref="W279">IFERROR(_xlfn._xlws.FILTER(game_rosters!AB:AB,(game_rosters!J:J=events!X279)*(K279&lt;&gt;"")),"")</f>
        <v/>
      </c>
      <c r="X279" t="str" cm="1">
        <f t="array" ref="X279">IF(S279="","",IF($I279&lt;&gt;"",$I279,INDEX($I$2:$I278,ROW()-COUNTIFS($T$2:$T278,"="&amp;$T279,$S$2:$S278,"&lt;&gt;"&amp;$S279)-1)))</f>
        <v/>
      </c>
      <c r="Y279" t="b">
        <f>IF(X279&lt;&gt;"",VLOOKUP(X279,game_rosters!$C$43:$E$64,3,FALSE))</f>
        <v>0</v>
      </c>
      <c r="Z279" t="e" cm="1" vm="1">
        <f t="array" aca="1" ref="Z279" ca="1">IFERROR(IF(_xlfn._xlws.FILTER(game_rosters!$J:$J,(game_rosters!$G:$G=events!$AN279)*(game_rosters!$J:$J=events!$X279))&gt;0,1,""),"")</f>
        <v>#VALUE!</v>
      </c>
      <c r="AA279" t="e">
        <f t="shared" si="66"/>
        <v>#VALUE!</v>
      </c>
      <c r="AB279" t="str">
        <f t="shared" si="67"/>
        <v/>
      </c>
      <c r="AC279" t="e">
        <f t="shared" si="65"/>
        <v>#VALUE!</v>
      </c>
      <c r="AD279" s="6"/>
      <c r="BJ279" s="39"/>
      <c r="BM279" s="39"/>
      <c r="BO279" s="19"/>
      <c r="BQ279" s="17"/>
    </row>
    <row r="280" spans="1:69" x14ac:dyDescent="0.2">
      <c r="A280" t="str">
        <f t="shared" si="68"/>
        <v/>
      </c>
      <c r="E280" s="4"/>
      <c r="F280" s="44"/>
      <c r="G280" s="4"/>
      <c r="H280" s="47"/>
      <c r="J280" s="45" t="str">
        <f t="shared" si="69"/>
        <v/>
      </c>
      <c r="N280" t="str">
        <f t="shared" si="71"/>
        <v/>
      </c>
      <c r="Q280" t="str">
        <f t="shared" si="70"/>
        <v/>
      </c>
      <c r="S280" t="str">
        <f>IF(A280=1,MAX(S$2:S279)+1,IF(OR(I280&lt;&gt;"",A280="x"),S279,""))</f>
        <v/>
      </c>
      <c r="T280" t="str">
        <f>IF(D280=1,MAX($T$2:$T279)+1,IF(S280=$S279,$S279,IF($D280="x",T279,IF($D279="x","",""))))</f>
        <v/>
      </c>
      <c r="U280" t="str">
        <f>IF(B280=1,MAX($U$2:$U279)+1,IF(AND($T280&lt;&gt;"",$T280=$T279),$U279,IF(B280="x",U279,"")))</f>
        <v/>
      </c>
      <c r="V280" t="str">
        <f>IF(C280=1,MAX($V$2:$V279)+1,IF(AND($T280&lt;&gt;"",$T280=$T279),$U279,IF(C280="x",V279,"")))</f>
        <v/>
      </c>
      <c r="W280" t="str" cm="1">
        <f t="array" ref="W280">IFERROR(_xlfn._xlws.FILTER(game_rosters!AB:AB,(game_rosters!J:J=events!X280)*(K280&lt;&gt;"")),"")</f>
        <v/>
      </c>
      <c r="X280" t="str" cm="1">
        <f t="array" ref="X280">IF(S280="","",IF($I280&lt;&gt;"",$I280,INDEX($I$2:$I279,ROW()-COUNTIFS($T$2:$T279,"="&amp;$T280,$S$2:$S279,"&lt;&gt;"&amp;$S280)-1)))</f>
        <v/>
      </c>
      <c r="Y280" t="b">
        <f>IF(X280&lt;&gt;"",VLOOKUP(X280,game_rosters!$C$43:$E$64,3,FALSE))</f>
        <v>0</v>
      </c>
      <c r="Z280" t="e" cm="1" vm="1">
        <f t="array" aca="1" ref="Z280" ca="1">IFERROR(IF(_xlfn._xlws.FILTER(game_rosters!$J:$J,(game_rosters!$G:$G=events!$AN280)*(game_rosters!$J:$J=events!$X280))&gt;0,1,""),"")</f>
        <v>#VALUE!</v>
      </c>
      <c r="AA280" t="e">
        <f t="shared" si="66"/>
        <v>#VALUE!</v>
      </c>
      <c r="AB280" t="str">
        <f t="shared" si="67"/>
        <v/>
      </c>
      <c r="AC280" t="e">
        <f t="shared" si="65"/>
        <v>#VALUE!</v>
      </c>
      <c r="AD280" s="6"/>
      <c r="BJ280" s="39"/>
      <c r="BM280" s="39"/>
      <c r="BO280" s="19"/>
      <c r="BQ280" s="17"/>
    </row>
    <row r="281" spans="1:69" x14ac:dyDescent="0.2">
      <c r="A281" t="str">
        <f t="shared" si="68"/>
        <v/>
      </c>
      <c r="E281" s="4"/>
      <c r="F281" s="44"/>
      <c r="G281" s="4"/>
      <c r="H281" s="47"/>
      <c r="J281" s="45" t="str">
        <f t="shared" si="69"/>
        <v/>
      </c>
      <c r="N281" t="str">
        <f t="shared" si="71"/>
        <v/>
      </c>
      <c r="Q281" t="str">
        <f t="shared" si="70"/>
        <v/>
      </c>
      <c r="S281" t="str">
        <f>IF(A281=1,MAX(S$2:S280)+1,IF(OR(I281&lt;&gt;"",A281="x"),S280,""))</f>
        <v/>
      </c>
      <c r="T281" t="str">
        <f>IF(D281=1,MAX($T$2:$T280)+1,IF(S281=$S280,$S280,IF($D281="x",T280,IF($D280="x","",""))))</f>
        <v/>
      </c>
      <c r="U281" t="str">
        <f>IF(B281=1,MAX($U$2:$U280)+1,IF(AND($T281&lt;&gt;"",$T281=$T280),$U280,IF(B281="x",U280,"")))</f>
        <v/>
      </c>
      <c r="V281" t="str">
        <f>IF(C281=1,MAX($V$2:$V280)+1,IF(AND($T281&lt;&gt;"",$T281=$T280),$U280,IF(C281="x",V280,"")))</f>
        <v/>
      </c>
      <c r="W281" t="str" cm="1">
        <f t="array" ref="W281">IFERROR(_xlfn._xlws.FILTER(game_rosters!AB:AB,(game_rosters!J:J=events!X281)*(K281&lt;&gt;"")),"")</f>
        <v/>
      </c>
      <c r="X281" t="str" cm="1">
        <f t="array" ref="X281">IF(S281="","",IF($I281&lt;&gt;"",$I281,INDEX($I$2:$I280,ROW()-COUNTIFS($T$2:$T280,"="&amp;$T281,$S$2:$S280,"&lt;&gt;"&amp;$S281)-1)))</f>
        <v/>
      </c>
      <c r="Y281" t="b">
        <f>IF(X281&lt;&gt;"",VLOOKUP(X281,game_rosters!$C$43:$E$64,3,FALSE))</f>
        <v>0</v>
      </c>
      <c r="Z281" t="e" cm="1" vm="1">
        <f t="array" aca="1" ref="Z281" ca="1">IFERROR(IF(_xlfn._xlws.FILTER(game_rosters!$J:$J,(game_rosters!$G:$G=events!$AN281)*(game_rosters!$J:$J=events!$X281))&gt;0,1,""),"")</f>
        <v>#VALUE!</v>
      </c>
      <c r="AA281" t="e">
        <f t="shared" si="66"/>
        <v>#VALUE!</v>
      </c>
      <c r="AB281" t="str">
        <f t="shared" si="67"/>
        <v/>
      </c>
      <c r="AC281" t="e">
        <f t="shared" si="65"/>
        <v>#VALUE!</v>
      </c>
      <c r="AD281" s="6"/>
      <c r="BJ281" s="39"/>
      <c r="BM281" s="39"/>
      <c r="BO281" s="19"/>
      <c r="BQ281" s="17"/>
    </row>
    <row r="282" spans="1:69" x14ac:dyDescent="0.2">
      <c r="A282" t="str">
        <f t="shared" si="68"/>
        <v/>
      </c>
      <c r="E282" s="4"/>
      <c r="F282" s="44"/>
      <c r="G282" s="4"/>
      <c r="H282" s="47"/>
      <c r="J282" s="45" t="str">
        <f t="shared" si="69"/>
        <v/>
      </c>
      <c r="N282" t="str">
        <f t="shared" si="71"/>
        <v/>
      </c>
      <c r="Q282" t="str">
        <f t="shared" si="70"/>
        <v/>
      </c>
      <c r="S282" t="str">
        <f>IF(A282=1,MAX(S$2:S281)+1,IF(OR(I282&lt;&gt;"",A282="x"),S281,""))</f>
        <v/>
      </c>
      <c r="T282" t="str">
        <f>IF(D282=1,MAX($T$2:$T281)+1,IF(S282=$S281,$S281,IF($D282="x",T281,IF($D281="x","",""))))</f>
        <v/>
      </c>
      <c r="U282" t="str">
        <f>IF(B282=1,MAX($U$2:$U281)+1,IF(AND($T282&lt;&gt;"",$T282=$T281),$U281,IF(B282="x",U281,"")))</f>
        <v/>
      </c>
      <c r="V282" t="str">
        <f>IF(C282=1,MAX($V$2:$V281)+1,IF(AND($T282&lt;&gt;"",$T282=$T281),$U281,IF(C282="x",V281,"")))</f>
        <v/>
      </c>
      <c r="W282" t="str" cm="1">
        <f t="array" ref="W282">IFERROR(_xlfn._xlws.FILTER(game_rosters!AB:AB,(game_rosters!J:J=events!X282)*(K282&lt;&gt;"")),"")</f>
        <v/>
      </c>
      <c r="X282" t="str" cm="1">
        <f t="array" ref="X282">IF(S282="","",IF($I282&lt;&gt;"",$I282,INDEX($I$2:$I281,ROW()-COUNTIFS($T$2:$T281,"="&amp;$T282,$S$2:$S281,"&lt;&gt;"&amp;$S282)-1)))</f>
        <v/>
      </c>
      <c r="Y282" t="b">
        <f>IF(X282&lt;&gt;"",VLOOKUP(X282,game_rosters!$C$43:$E$64,3,FALSE))</f>
        <v>0</v>
      </c>
      <c r="Z282" t="e" cm="1" vm="1">
        <f t="array" aca="1" ref="Z282" ca="1">IFERROR(IF(_xlfn._xlws.FILTER(game_rosters!$J:$J,(game_rosters!$G:$G=events!$AN282)*(game_rosters!$J:$J=events!$X282))&gt;0,1,""),"")</f>
        <v>#VALUE!</v>
      </c>
      <c r="AA282" t="e">
        <f t="shared" si="66"/>
        <v>#VALUE!</v>
      </c>
      <c r="AB282" t="str">
        <f t="shared" si="67"/>
        <v/>
      </c>
      <c r="AC282" t="e">
        <f t="shared" si="65"/>
        <v>#VALUE!</v>
      </c>
      <c r="AD282" s="6"/>
      <c r="BJ282" s="39"/>
      <c r="BM282" s="39"/>
      <c r="BO282" s="19"/>
      <c r="BQ282" s="17"/>
    </row>
    <row r="283" spans="1:69" x14ac:dyDescent="0.2">
      <c r="A283" t="str">
        <f t="shared" si="68"/>
        <v/>
      </c>
      <c r="E283" s="4"/>
      <c r="F283" s="44"/>
      <c r="G283" s="4"/>
      <c r="H283" s="47"/>
      <c r="J283" s="45" t="str">
        <f t="shared" si="69"/>
        <v/>
      </c>
      <c r="N283" t="str">
        <f t="shared" si="71"/>
        <v/>
      </c>
      <c r="Q283" t="str">
        <f t="shared" si="70"/>
        <v/>
      </c>
      <c r="S283" t="str">
        <f>IF(A283=1,MAX(S$2:S282)+1,IF(OR(I283&lt;&gt;"",A283="x"),S282,""))</f>
        <v/>
      </c>
      <c r="T283" t="str">
        <f>IF(D283=1,MAX($T$2:$T282)+1,IF(S283=$S282,$S282,IF($D283="x",T282,IF($D282="x","",""))))</f>
        <v/>
      </c>
      <c r="U283" t="str">
        <f>IF(B283=1,MAX($U$2:$U282)+1,IF(AND($T283&lt;&gt;"",$T283=$T282),$U282,IF(B283="x",U282,"")))</f>
        <v/>
      </c>
      <c r="V283" t="str">
        <f>IF(C283=1,MAX($V$2:$V282)+1,IF(AND($T283&lt;&gt;"",$T283=$T282),$U282,IF(C283="x",V282,"")))</f>
        <v/>
      </c>
      <c r="W283" t="str" cm="1">
        <f t="array" ref="W283">IFERROR(_xlfn._xlws.FILTER(game_rosters!AB:AB,(game_rosters!J:J=events!X283)*(K283&lt;&gt;"")),"")</f>
        <v/>
      </c>
      <c r="X283" t="str" cm="1">
        <f t="array" ref="X283">IF(S283="","",IF($I283&lt;&gt;"",$I283,INDEX($I$2:$I282,ROW()-COUNTIFS($T$2:$T282,"="&amp;$T283,$S$2:$S282,"&lt;&gt;"&amp;$S283)-1)))</f>
        <v/>
      </c>
      <c r="Y283" t="b">
        <f>IF(X283&lt;&gt;"",VLOOKUP(X283,game_rosters!$C$43:$E$64,3,FALSE))</f>
        <v>0</v>
      </c>
      <c r="Z283" t="e" cm="1" vm="1">
        <f t="array" aca="1" ref="Z283" ca="1">IFERROR(IF(_xlfn._xlws.FILTER(game_rosters!$J:$J,(game_rosters!$G:$G=events!$AN283)*(game_rosters!$J:$J=events!$X283))&gt;0,1,""),"")</f>
        <v>#VALUE!</v>
      </c>
      <c r="AA283" t="e">
        <f t="shared" si="66"/>
        <v>#VALUE!</v>
      </c>
      <c r="AB283" t="str">
        <f t="shared" si="67"/>
        <v/>
      </c>
      <c r="AC283" t="e">
        <f t="shared" si="65"/>
        <v>#VALUE!</v>
      </c>
      <c r="AD283" s="6"/>
      <c r="BJ283" s="39"/>
      <c r="BM283" s="39"/>
      <c r="BO283" s="19"/>
      <c r="BQ283" s="17"/>
    </row>
    <row r="284" spans="1:69" x14ac:dyDescent="0.2">
      <c r="A284" t="str">
        <f t="shared" si="68"/>
        <v/>
      </c>
      <c r="E284" s="4"/>
      <c r="F284" s="44"/>
      <c r="G284" s="4"/>
      <c r="H284" s="47"/>
      <c r="J284" s="45" t="str">
        <f t="shared" si="69"/>
        <v/>
      </c>
      <c r="N284" t="str">
        <f t="shared" si="71"/>
        <v/>
      </c>
      <c r="Q284" t="str">
        <f t="shared" si="70"/>
        <v/>
      </c>
      <c r="S284" t="str">
        <f>IF(A284=1,MAX(S$2:S283)+1,IF(OR(I284&lt;&gt;"",A284="x"),S283,""))</f>
        <v/>
      </c>
      <c r="T284" t="str">
        <f>IF(D284=1,MAX($T$2:$T283)+1,IF(S284=$S283,$S283,IF($D284="x",T283,IF($D283="x","",""))))</f>
        <v/>
      </c>
      <c r="U284" t="str">
        <f>IF(B284=1,MAX($U$2:$U283)+1,IF(AND($T284&lt;&gt;"",$T284=$T283),$U283,IF(B284="x",U283,"")))</f>
        <v/>
      </c>
      <c r="V284" t="str">
        <f>IF(C284=1,MAX($V$2:$V283)+1,IF(AND($T284&lt;&gt;"",$T284=$T283),$U283,IF(C284="x",V283,"")))</f>
        <v/>
      </c>
      <c r="W284" t="str" cm="1">
        <f t="array" ref="W284">IFERROR(_xlfn._xlws.FILTER(game_rosters!AB:AB,(game_rosters!J:J=events!X284)*(K284&lt;&gt;"")),"")</f>
        <v/>
      </c>
      <c r="X284" t="str" cm="1">
        <f t="array" ref="X284">IF(S284="","",IF($I284&lt;&gt;"",$I284,INDEX($I$2:$I283,ROW()-COUNTIFS($T$2:$T283,"="&amp;$T284,$S$2:$S283,"&lt;&gt;"&amp;$S284)-1)))</f>
        <v/>
      </c>
      <c r="Y284" t="b">
        <f>IF(X284&lt;&gt;"",VLOOKUP(X284,game_rosters!$C$43:$E$64,3,FALSE))</f>
        <v>0</v>
      </c>
      <c r="Z284" t="e" cm="1" vm="1">
        <f t="array" aca="1" ref="Z284" ca="1">IFERROR(IF(_xlfn._xlws.FILTER(game_rosters!$J:$J,(game_rosters!$G:$G=events!$AN284)*(game_rosters!$J:$J=events!$X284))&gt;0,1,""),"")</f>
        <v>#VALUE!</v>
      </c>
      <c r="AA284" t="e">
        <f t="shared" si="66"/>
        <v>#VALUE!</v>
      </c>
      <c r="AB284" t="str">
        <f t="shared" si="67"/>
        <v/>
      </c>
      <c r="AC284" t="e">
        <f t="shared" si="65"/>
        <v>#VALUE!</v>
      </c>
      <c r="AD284" s="6"/>
      <c r="BJ284" s="39"/>
      <c r="BM284" s="39"/>
      <c r="BO284" s="19"/>
      <c r="BQ284" s="17"/>
    </row>
    <row r="285" spans="1:69" x14ac:dyDescent="0.2">
      <c r="A285" t="str">
        <f t="shared" si="68"/>
        <v/>
      </c>
      <c r="E285" s="4"/>
      <c r="F285" s="44"/>
      <c r="G285" s="4"/>
      <c r="H285" s="47"/>
      <c r="J285" s="45" t="str">
        <f t="shared" si="69"/>
        <v/>
      </c>
      <c r="N285" t="str">
        <f t="shared" si="71"/>
        <v/>
      </c>
      <c r="Q285" t="str">
        <f t="shared" si="70"/>
        <v/>
      </c>
      <c r="S285" t="str">
        <f>IF(A285=1,MAX(S$2:S284)+1,IF(OR(I285&lt;&gt;"",A285="x"),S284,""))</f>
        <v/>
      </c>
      <c r="T285" t="str">
        <f>IF(D285=1,MAX($T$2:$T284)+1,IF(S285=$S284,$S284,IF($D285="x",T284,IF($D284="x","",""))))</f>
        <v/>
      </c>
      <c r="U285" t="str">
        <f>IF(B285=1,MAX($U$2:$U284)+1,IF(AND($T285&lt;&gt;"",$T285=$T284),$U284,IF(B285="x",U284,"")))</f>
        <v/>
      </c>
      <c r="V285" t="str">
        <f>IF(C285=1,MAX($V$2:$V284)+1,IF(AND($T285&lt;&gt;"",$T285=$T284),$U284,IF(C285="x",V284,"")))</f>
        <v/>
      </c>
      <c r="W285" t="str" cm="1">
        <f t="array" ref="W285">IFERROR(_xlfn._xlws.FILTER(game_rosters!AB:AB,(game_rosters!J:J=events!X285)*(K285&lt;&gt;"")),"")</f>
        <v/>
      </c>
      <c r="X285" t="str" cm="1">
        <f t="array" ref="X285">IF(S285="","",IF($I285&lt;&gt;"",$I285,INDEX($I$2:$I284,ROW()-COUNTIFS($T$2:$T284,"="&amp;$T285,$S$2:$S284,"&lt;&gt;"&amp;$S285)-1)))</f>
        <v/>
      </c>
      <c r="Y285" t="b">
        <f>IF(X285&lt;&gt;"",VLOOKUP(X285,game_rosters!$C$43:$E$64,3,FALSE))</f>
        <v>0</v>
      </c>
      <c r="Z285" t="e" cm="1" vm="1">
        <f t="array" aca="1" ref="Z285" ca="1">IFERROR(IF(_xlfn._xlws.FILTER(game_rosters!$J:$J,(game_rosters!$G:$G=events!$AN285)*(game_rosters!$J:$J=events!$X285))&gt;0,1,""),"")</f>
        <v>#VALUE!</v>
      </c>
      <c r="AA285" t="e">
        <f t="shared" si="66"/>
        <v>#VALUE!</v>
      </c>
      <c r="AB285" t="str">
        <f t="shared" si="67"/>
        <v/>
      </c>
      <c r="AC285" t="e">
        <f t="shared" si="65"/>
        <v>#VALUE!</v>
      </c>
      <c r="AD285" s="6"/>
      <c r="BJ285" s="39"/>
      <c r="BM285" s="39"/>
      <c r="BO285" s="19"/>
      <c r="BQ285" s="17"/>
    </row>
    <row r="286" spans="1:69" x14ac:dyDescent="0.2">
      <c r="A286" t="str">
        <f t="shared" si="68"/>
        <v/>
      </c>
      <c r="E286" s="4"/>
      <c r="F286" s="44"/>
      <c r="G286" s="4"/>
      <c r="H286" s="47"/>
      <c r="J286" s="45" t="str">
        <f t="shared" si="69"/>
        <v/>
      </c>
      <c r="N286" t="str">
        <f t="shared" si="71"/>
        <v/>
      </c>
      <c r="Q286" t="str">
        <f t="shared" si="70"/>
        <v/>
      </c>
      <c r="S286" t="str">
        <f>IF(A286=1,MAX(S$2:S285)+1,IF(OR(I286&lt;&gt;"",A286="x"),S285,""))</f>
        <v/>
      </c>
      <c r="T286" t="str">
        <f>IF(D286=1,MAX($T$2:$T285)+1,IF(S286=$S285,$S285,IF($D286="x",T285,IF($D285="x","",""))))</f>
        <v/>
      </c>
      <c r="U286" t="str">
        <f>IF(B286=1,MAX($U$2:$U285)+1,IF(AND($T286&lt;&gt;"",$T286=$T285),$U285,IF(B286="x",U285,"")))</f>
        <v/>
      </c>
      <c r="V286" t="str">
        <f>IF(C286=1,MAX($V$2:$V285)+1,IF(AND($T286&lt;&gt;"",$T286=$T285),$U285,IF(C286="x",V285,"")))</f>
        <v/>
      </c>
      <c r="W286" t="str" cm="1">
        <f t="array" ref="W286">IFERROR(_xlfn._xlws.FILTER(game_rosters!AB:AB,(game_rosters!J:J=events!X286)*(K286&lt;&gt;"")),"")</f>
        <v/>
      </c>
      <c r="X286" t="str" cm="1">
        <f t="array" ref="X286">IF(S286="","",IF($I286&lt;&gt;"",$I286,INDEX($I$2:$I285,ROW()-COUNTIFS($T$2:$T285,"="&amp;$T286,$S$2:$S285,"&lt;&gt;"&amp;$S286)-1)))</f>
        <v/>
      </c>
      <c r="Y286" t="b">
        <f>IF(X286&lt;&gt;"",VLOOKUP(X286,game_rosters!$C$43:$E$64,3,FALSE))</f>
        <v>0</v>
      </c>
      <c r="Z286" t="e" cm="1" vm="1">
        <f t="array" aca="1" ref="Z286" ca="1">IFERROR(IF(_xlfn._xlws.FILTER(game_rosters!$J:$J,(game_rosters!$G:$G=events!$AN286)*(game_rosters!$J:$J=events!$X286))&gt;0,1,""),"")</f>
        <v>#VALUE!</v>
      </c>
      <c r="AA286" t="e">
        <f t="shared" si="66"/>
        <v>#VALUE!</v>
      </c>
      <c r="AB286" t="str">
        <f t="shared" si="67"/>
        <v/>
      </c>
      <c r="AC286" t="e">
        <f t="shared" si="65"/>
        <v>#VALUE!</v>
      </c>
      <c r="AD286" s="6"/>
      <c r="BJ286" s="39"/>
      <c r="BM286" s="39"/>
      <c r="BO286" s="19"/>
      <c r="BQ286" s="17"/>
    </row>
    <row r="287" spans="1:69" x14ac:dyDescent="0.2">
      <c r="A287" t="str">
        <f t="shared" si="68"/>
        <v/>
      </c>
      <c r="E287" s="4"/>
      <c r="F287" s="44"/>
      <c r="G287" s="4"/>
      <c r="H287" s="47"/>
      <c r="J287" s="45" t="str">
        <f t="shared" si="69"/>
        <v/>
      </c>
      <c r="N287" t="str">
        <f t="shared" si="71"/>
        <v/>
      </c>
      <c r="Q287" t="str">
        <f t="shared" si="70"/>
        <v/>
      </c>
      <c r="S287" t="str">
        <f>IF(A287=1,MAX(S$2:S286)+1,IF(OR(I287&lt;&gt;"",A287="x"),S286,""))</f>
        <v/>
      </c>
      <c r="T287" t="str">
        <f>IF(D287=1,MAX($T$2:$T286)+1,IF(S287=$S286,$S286,IF($D287="x",T286,IF($D286="x","",""))))</f>
        <v/>
      </c>
      <c r="U287" t="str">
        <f>IF(B287=1,MAX($U$2:$U286)+1,IF(AND($T287&lt;&gt;"",$T287=$T286),$U286,IF(B287="x",U286,"")))</f>
        <v/>
      </c>
      <c r="V287" t="str">
        <f>IF(C287=1,MAX($V$2:$V286)+1,IF(AND($T287&lt;&gt;"",$T287=$T286),$U286,IF(C287="x",V286,"")))</f>
        <v/>
      </c>
      <c r="W287" t="str" cm="1">
        <f t="array" ref="W287">IFERROR(_xlfn._xlws.FILTER(game_rosters!AB:AB,(game_rosters!J:J=events!X287)*(K287&lt;&gt;"")),"")</f>
        <v/>
      </c>
      <c r="X287" t="str" cm="1">
        <f t="array" ref="X287">IF(S287="","",IF($I287&lt;&gt;"",$I287,INDEX($I$2:$I286,ROW()-COUNTIFS($T$2:$T286,"="&amp;$T287,$S$2:$S286,"&lt;&gt;"&amp;$S287)-1)))</f>
        <v/>
      </c>
      <c r="Y287" t="b">
        <f>IF(X287&lt;&gt;"",VLOOKUP(X287,game_rosters!$C$43:$E$64,3,FALSE))</f>
        <v>0</v>
      </c>
      <c r="Z287" t="e" cm="1" vm="1">
        <f t="array" aca="1" ref="Z287" ca="1">IFERROR(IF(_xlfn._xlws.FILTER(game_rosters!$J:$J,(game_rosters!$G:$G=events!$AN287)*(game_rosters!$J:$J=events!$X287))&gt;0,1,""),"")</f>
        <v>#VALUE!</v>
      </c>
      <c r="AA287" t="e">
        <f t="shared" si="66"/>
        <v>#VALUE!</v>
      </c>
      <c r="AB287" t="str">
        <f t="shared" si="67"/>
        <v/>
      </c>
      <c r="AC287" t="e">
        <f t="shared" si="65"/>
        <v>#VALUE!</v>
      </c>
      <c r="AD287" s="6"/>
      <c r="BJ287" s="39"/>
      <c r="BM287" s="39"/>
      <c r="BO287" s="19"/>
      <c r="BQ287" s="17"/>
    </row>
    <row r="288" spans="1:69" x14ac:dyDescent="0.2">
      <c r="A288" t="str">
        <f t="shared" si="68"/>
        <v/>
      </c>
      <c r="E288" s="4"/>
      <c r="F288" s="44"/>
      <c r="G288" s="4"/>
      <c r="H288" s="47"/>
      <c r="J288" s="45" t="str">
        <f t="shared" si="69"/>
        <v/>
      </c>
      <c r="N288" t="str">
        <f t="shared" si="71"/>
        <v/>
      </c>
      <c r="Q288" t="str">
        <f t="shared" si="70"/>
        <v/>
      </c>
      <c r="S288" t="str">
        <f>IF(A288=1,MAX(S$2:S287)+1,IF(OR(I288&lt;&gt;"",A288="x"),S287,""))</f>
        <v/>
      </c>
      <c r="T288" t="str">
        <f>IF(D288=1,MAX($T$2:$T287)+1,IF(S288=$S287,$S287,IF($D288="x",T287,IF($D287="x","",""))))</f>
        <v/>
      </c>
      <c r="U288" t="str">
        <f>IF(B288=1,MAX($U$2:$U287)+1,IF(AND($T288&lt;&gt;"",$T288=$T287),$U287,IF(B288="x",U287,"")))</f>
        <v/>
      </c>
      <c r="V288" t="str">
        <f>IF(C288=1,MAX($V$2:$V287)+1,IF(AND($T288&lt;&gt;"",$T288=$T287),$U287,IF(C288="x",V287,"")))</f>
        <v/>
      </c>
      <c r="W288" t="str" cm="1">
        <f t="array" ref="W288">IFERROR(_xlfn._xlws.FILTER(game_rosters!AB:AB,(game_rosters!J:J=events!X288)*(K288&lt;&gt;"")),"")</f>
        <v/>
      </c>
      <c r="X288" t="str" cm="1">
        <f t="array" ref="X288">IF(S288="","",IF($I288&lt;&gt;"",$I288,INDEX($I$2:$I287,ROW()-COUNTIFS($T$2:$T287,"="&amp;$T288,$S$2:$S287,"&lt;&gt;"&amp;$S288)-1)))</f>
        <v/>
      </c>
      <c r="Y288" t="b">
        <f>IF(X288&lt;&gt;"",VLOOKUP(X288,game_rosters!$C$43:$E$64,3,FALSE))</f>
        <v>0</v>
      </c>
      <c r="Z288" t="e" cm="1" vm="1">
        <f t="array" aca="1" ref="Z288" ca="1">IFERROR(IF(_xlfn._xlws.FILTER(game_rosters!$J:$J,(game_rosters!$G:$G=events!$AN288)*(game_rosters!$J:$J=events!$X288))&gt;0,1,""),"")</f>
        <v>#VALUE!</v>
      </c>
      <c r="AA288" t="e">
        <f t="shared" si="66"/>
        <v>#VALUE!</v>
      </c>
      <c r="AB288" t="str">
        <f t="shared" si="67"/>
        <v/>
      </c>
      <c r="AC288" t="e">
        <f t="shared" si="65"/>
        <v>#VALUE!</v>
      </c>
      <c r="AD288" s="6"/>
      <c r="BJ288" s="39"/>
      <c r="BM288" s="39"/>
      <c r="BO288" s="19"/>
      <c r="BQ288" s="17"/>
    </row>
    <row r="289" spans="1:69" x14ac:dyDescent="0.2">
      <c r="A289" t="str">
        <f t="shared" si="68"/>
        <v/>
      </c>
      <c r="E289" s="4"/>
      <c r="F289" s="44"/>
      <c r="G289" s="4"/>
      <c r="H289" s="47"/>
      <c r="J289" s="45" t="str">
        <f t="shared" si="69"/>
        <v/>
      </c>
      <c r="N289" t="str">
        <f t="shared" si="71"/>
        <v/>
      </c>
      <c r="Q289" t="str">
        <f t="shared" si="70"/>
        <v/>
      </c>
      <c r="S289" t="str">
        <f>IF(A289=1,MAX(S$2:S288)+1,IF(OR(I289&lt;&gt;"",A289="x"),S288,""))</f>
        <v/>
      </c>
      <c r="T289" t="str">
        <f>IF(D289=1,MAX($T$2:$T288)+1,IF(S289=$S288,$S288,IF($D289="x",T288,IF($D288="x","",""))))</f>
        <v/>
      </c>
      <c r="U289" t="str">
        <f>IF(B289=1,MAX($U$2:$U288)+1,IF(AND($T289&lt;&gt;"",$T289=$T288),$U288,IF(B289="x",U288,"")))</f>
        <v/>
      </c>
      <c r="V289" t="str">
        <f>IF(C289=1,MAX($V$2:$V288)+1,IF(AND($T289&lt;&gt;"",$T289=$T288),$U288,IF(C289="x",V288,"")))</f>
        <v/>
      </c>
      <c r="W289" t="str" cm="1">
        <f t="array" ref="W289">IFERROR(_xlfn._xlws.FILTER(game_rosters!AB:AB,(game_rosters!J:J=events!X289)*(K289&lt;&gt;"")),"")</f>
        <v/>
      </c>
      <c r="X289" t="str" cm="1">
        <f t="array" ref="X289">IF(S289="","",IF($I289&lt;&gt;"",$I289,INDEX($I$2:$I288,ROW()-COUNTIFS($T$2:$T288,"="&amp;$T289,$S$2:$S288,"&lt;&gt;"&amp;$S289)-1)))</f>
        <v/>
      </c>
      <c r="Y289" t="b">
        <f>IF(X289&lt;&gt;"",VLOOKUP(X289,game_rosters!$C$43:$E$64,3,FALSE))</f>
        <v>0</v>
      </c>
      <c r="Z289" t="e" cm="1" vm="1">
        <f t="array" aca="1" ref="Z289" ca="1">IFERROR(IF(_xlfn._xlws.FILTER(game_rosters!$J:$J,(game_rosters!$G:$G=events!$AN289)*(game_rosters!$J:$J=events!$X289))&gt;0,1,""),"")</f>
        <v>#VALUE!</v>
      </c>
      <c r="AA289" t="e">
        <f t="shared" si="66"/>
        <v>#VALUE!</v>
      </c>
      <c r="AB289" t="str">
        <f t="shared" si="67"/>
        <v/>
      </c>
      <c r="AC289" t="e">
        <f t="shared" si="65"/>
        <v>#VALUE!</v>
      </c>
      <c r="AD289" s="6"/>
      <c r="BJ289" s="39"/>
      <c r="BM289" s="39"/>
      <c r="BO289" s="19"/>
      <c r="BQ289" s="17"/>
    </row>
    <row r="290" spans="1:69" x14ac:dyDescent="0.2">
      <c r="A290" t="str">
        <f t="shared" si="68"/>
        <v/>
      </c>
      <c r="E290" s="4"/>
      <c r="F290" s="44"/>
      <c r="G290" s="4"/>
      <c r="H290" s="47"/>
      <c r="J290" s="45" t="str">
        <f t="shared" si="69"/>
        <v/>
      </c>
      <c r="N290" t="str">
        <f t="shared" si="71"/>
        <v/>
      </c>
      <c r="Q290" t="str">
        <f t="shared" si="70"/>
        <v/>
      </c>
      <c r="S290" t="str">
        <f>IF(A290=1,MAX(S$2:S289)+1,IF(OR(I290&lt;&gt;"",A290="x"),S289,""))</f>
        <v/>
      </c>
      <c r="T290" t="str">
        <f>IF(D290=1,MAX($T$2:$T289)+1,IF(S290=$S289,$S289,IF($D290="x",T289,IF($D289="x","",""))))</f>
        <v/>
      </c>
      <c r="U290" t="str">
        <f>IF(B290=1,MAX($U$2:$U289)+1,IF(AND($T290&lt;&gt;"",$T290=$T289),$U289,IF(B290="x",U289,"")))</f>
        <v/>
      </c>
      <c r="V290" t="str">
        <f>IF(C290=1,MAX($V$2:$V289)+1,IF(AND($T290&lt;&gt;"",$T290=$T289),$U289,IF(C290="x",V289,"")))</f>
        <v/>
      </c>
      <c r="W290" t="str" cm="1">
        <f t="array" ref="W290">IFERROR(_xlfn._xlws.FILTER(game_rosters!AB:AB,(game_rosters!J:J=events!X290)*(K290&lt;&gt;"")),"")</f>
        <v/>
      </c>
      <c r="X290" t="str" cm="1">
        <f t="array" ref="X290">IF(S290="","",IF($I290&lt;&gt;"",$I290,INDEX($I$2:$I289,ROW()-COUNTIFS($T$2:$T289,"="&amp;$T290,$S$2:$S289,"&lt;&gt;"&amp;$S290)-1)))</f>
        <v/>
      </c>
      <c r="Y290" t="b">
        <f>IF(X290&lt;&gt;"",VLOOKUP(X290,game_rosters!$C$43:$E$64,3,FALSE))</f>
        <v>0</v>
      </c>
      <c r="Z290" t="e" cm="1" vm="1">
        <f t="array" aca="1" ref="Z290" ca="1">IFERROR(IF(_xlfn._xlws.FILTER(game_rosters!$J:$J,(game_rosters!$G:$G=events!$AN290)*(game_rosters!$J:$J=events!$X290))&gt;0,1,""),"")</f>
        <v>#VALUE!</v>
      </c>
      <c r="AA290" t="e">
        <f t="shared" si="66"/>
        <v>#VALUE!</v>
      </c>
      <c r="AB290" t="str">
        <f t="shared" si="67"/>
        <v/>
      </c>
      <c r="AC290" t="e">
        <f t="shared" si="65"/>
        <v>#VALUE!</v>
      </c>
      <c r="AD290" s="6"/>
      <c r="BJ290" s="39"/>
      <c r="BM290" s="39"/>
      <c r="BO290" s="19"/>
      <c r="BQ290" s="17"/>
    </row>
    <row r="291" spans="1:69" x14ac:dyDescent="0.2">
      <c r="A291" t="str">
        <f t="shared" si="68"/>
        <v/>
      </c>
      <c r="E291" s="4"/>
      <c r="F291" s="44"/>
      <c r="G291" s="4"/>
      <c r="H291" s="47"/>
      <c r="J291" s="45" t="str">
        <f t="shared" si="69"/>
        <v/>
      </c>
      <c r="N291" t="str">
        <f t="shared" si="71"/>
        <v/>
      </c>
      <c r="Q291" t="str">
        <f t="shared" si="70"/>
        <v/>
      </c>
      <c r="S291" t="str">
        <f>IF(A291=1,MAX(S$2:S290)+1,IF(OR(I291&lt;&gt;"",A291="x"),S290,""))</f>
        <v/>
      </c>
      <c r="T291" t="str">
        <f>IF(D291=1,MAX($T$2:$T290)+1,IF(S291=$S290,$S290,IF($D291="x",T290,IF($D290="x","",""))))</f>
        <v/>
      </c>
      <c r="U291" t="str">
        <f>IF(B291=1,MAX($U$2:$U290)+1,IF(AND($T291&lt;&gt;"",$T291=$T290),$U290,IF(B291="x",U290,"")))</f>
        <v/>
      </c>
      <c r="V291" t="str">
        <f>IF(C291=1,MAX($V$2:$V290)+1,IF(AND($T291&lt;&gt;"",$T291=$T290),$U290,IF(C291="x",V290,"")))</f>
        <v/>
      </c>
      <c r="W291" t="str" cm="1">
        <f t="array" ref="W291">IFERROR(_xlfn._xlws.FILTER(game_rosters!AB:AB,(game_rosters!J:J=events!X291)*(K291&lt;&gt;"")),"")</f>
        <v/>
      </c>
      <c r="X291" t="str" cm="1">
        <f t="array" ref="X291">IF(S291="","",IF($I291&lt;&gt;"",$I291,INDEX($I$2:$I290,ROW()-COUNTIFS($T$2:$T290,"="&amp;$T291,$S$2:$S290,"&lt;&gt;"&amp;$S291)-1)))</f>
        <v/>
      </c>
      <c r="Y291" t="b">
        <f>IF(X291&lt;&gt;"",VLOOKUP(X291,game_rosters!$C$43:$E$64,3,FALSE))</f>
        <v>0</v>
      </c>
      <c r="Z291" t="e" cm="1" vm="1">
        <f t="array" aca="1" ref="Z291" ca="1">IFERROR(IF(_xlfn._xlws.FILTER(game_rosters!$J:$J,(game_rosters!$G:$G=events!$AN291)*(game_rosters!$J:$J=events!$X291))&gt;0,1,""),"")</f>
        <v>#VALUE!</v>
      </c>
      <c r="AA291" t="e">
        <f t="shared" si="66"/>
        <v>#VALUE!</v>
      </c>
      <c r="AB291" t="str">
        <f t="shared" si="67"/>
        <v/>
      </c>
      <c r="AC291" t="e">
        <f t="shared" si="65"/>
        <v>#VALUE!</v>
      </c>
      <c r="AD291" s="6"/>
      <c r="BJ291" s="39"/>
      <c r="BM291" s="39"/>
      <c r="BO291" s="19"/>
      <c r="BQ291" s="17"/>
    </row>
    <row r="292" spans="1:69" x14ac:dyDescent="0.2">
      <c r="A292" t="str">
        <f t="shared" si="68"/>
        <v/>
      </c>
      <c r="E292" s="4"/>
      <c r="F292" s="44"/>
      <c r="G292" s="4"/>
      <c r="H292" s="47"/>
      <c r="J292" s="45" t="str">
        <f t="shared" si="69"/>
        <v/>
      </c>
      <c r="N292" t="str">
        <f t="shared" si="71"/>
        <v/>
      </c>
      <c r="Q292" t="str">
        <f t="shared" si="70"/>
        <v/>
      </c>
      <c r="S292" t="str">
        <f>IF(A292=1,MAX(S$2:S291)+1,IF(OR(I292&lt;&gt;"",A292="x"),S291,""))</f>
        <v/>
      </c>
      <c r="T292" t="str">
        <f>IF(D292=1,MAX($T$2:$T291)+1,IF(S292=$S291,$S291,IF($D292="x",T291,IF($D291="x","",""))))</f>
        <v/>
      </c>
      <c r="U292" t="str">
        <f>IF(B292=1,MAX($U$2:$U291)+1,IF(AND($T292&lt;&gt;"",$T292=$T291),$U291,IF(B292="x",U291,"")))</f>
        <v/>
      </c>
      <c r="V292" t="str">
        <f>IF(C292=1,MAX($V$2:$V291)+1,IF(AND($T292&lt;&gt;"",$T292=$T291),$U291,IF(C292="x",V291,"")))</f>
        <v/>
      </c>
      <c r="W292" t="str" cm="1">
        <f t="array" ref="W292">IFERROR(_xlfn._xlws.FILTER(game_rosters!AB:AB,(game_rosters!J:J=events!X292)*(K292&lt;&gt;"")),"")</f>
        <v/>
      </c>
      <c r="X292" t="str" cm="1">
        <f t="array" ref="X292">IF(S292="","",IF($I292&lt;&gt;"",$I292,INDEX($I$2:$I291,ROW()-COUNTIFS($T$2:$T291,"="&amp;$T292,$S$2:$S291,"&lt;&gt;"&amp;$S292)-1)))</f>
        <v/>
      </c>
      <c r="Y292" t="b">
        <f>IF(X292&lt;&gt;"",VLOOKUP(X292,game_rosters!$C$43:$E$64,3,FALSE))</f>
        <v>0</v>
      </c>
      <c r="Z292" t="e" cm="1" vm="1">
        <f t="array" aca="1" ref="Z292" ca="1">IFERROR(IF(_xlfn._xlws.FILTER(game_rosters!$J:$J,(game_rosters!$G:$G=events!$AN292)*(game_rosters!$J:$J=events!$X292))&gt;0,1,""),"")</f>
        <v>#VALUE!</v>
      </c>
      <c r="AA292" t="e">
        <f t="shared" si="66"/>
        <v>#VALUE!</v>
      </c>
      <c r="AB292" t="str">
        <f t="shared" si="67"/>
        <v/>
      </c>
      <c r="AC292" t="e">
        <f t="shared" si="65"/>
        <v>#VALUE!</v>
      </c>
      <c r="AD292" s="6"/>
      <c r="BJ292" s="39"/>
      <c r="BM292" s="39"/>
      <c r="BO292" s="19"/>
      <c r="BQ292" s="17"/>
    </row>
    <row r="293" spans="1:69" x14ac:dyDescent="0.2">
      <c r="A293" t="str">
        <f t="shared" si="68"/>
        <v/>
      </c>
      <c r="E293" s="4"/>
      <c r="F293" s="44"/>
      <c r="G293" s="4"/>
      <c r="H293" s="47"/>
      <c r="J293" s="45" t="str">
        <f t="shared" si="69"/>
        <v/>
      </c>
      <c r="N293" t="str">
        <f t="shared" si="71"/>
        <v/>
      </c>
      <c r="Q293" t="str">
        <f t="shared" si="70"/>
        <v/>
      </c>
      <c r="S293" t="str">
        <f>IF(A293=1,MAX(S$2:S292)+1,IF(OR(I293&lt;&gt;"",A293="x"),S292,""))</f>
        <v/>
      </c>
      <c r="T293" t="str">
        <f>IF(D293=1,MAX($T$2:$T292)+1,IF(S293=$S292,$S292,IF($D293="x",T292,IF($D292="x","",""))))</f>
        <v/>
      </c>
      <c r="U293" t="str">
        <f>IF(B293=1,MAX($U$2:$U292)+1,IF(AND($T293&lt;&gt;"",$T293=$T292),$U292,IF(B293="x",U292,"")))</f>
        <v/>
      </c>
      <c r="V293" t="str">
        <f>IF(C293=1,MAX($V$2:$V292)+1,IF(AND($T293&lt;&gt;"",$T293=$T292),$U292,IF(C293="x",V292,"")))</f>
        <v/>
      </c>
      <c r="W293" t="str" cm="1">
        <f t="array" ref="W293">IFERROR(_xlfn._xlws.FILTER(game_rosters!AB:AB,(game_rosters!J:J=events!X293)*(K293&lt;&gt;"")),"")</f>
        <v/>
      </c>
      <c r="X293" t="str" cm="1">
        <f t="array" ref="X293">IF(S293="","",IF($I293&lt;&gt;"",$I293,INDEX($I$2:$I292,ROW()-COUNTIFS($T$2:$T292,"="&amp;$T293,$S$2:$S292,"&lt;&gt;"&amp;$S293)-1)))</f>
        <v/>
      </c>
      <c r="Y293" t="b">
        <f>IF(X293&lt;&gt;"",VLOOKUP(X293,game_rosters!$C$43:$E$64,3,FALSE))</f>
        <v>0</v>
      </c>
      <c r="Z293" t="e" cm="1" vm="1">
        <f t="array" aca="1" ref="Z293" ca="1">IFERROR(IF(_xlfn._xlws.FILTER(game_rosters!$J:$J,(game_rosters!$G:$G=events!$AN293)*(game_rosters!$J:$J=events!$X293))&gt;0,1,""),"")</f>
        <v>#VALUE!</v>
      </c>
      <c r="AA293" t="e">
        <f t="shared" si="66"/>
        <v>#VALUE!</v>
      </c>
      <c r="AB293" t="str">
        <f t="shared" si="67"/>
        <v/>
      </c>
      <c r="AC293" t="e">
        <f t="shared" si="65"/>
        <v>#VALUE!</v>
      </c>
      <c r="AD293" s="6"/>
      <c r="BJ293" s="39"/>
      <c r="BM293" s="39"/>
      <c r="BO293" s="19"/>
      <c r="BQ293" s="17"/>
    </row>
    <row r="294" spans="1:69" x14ac:dyDescent="0.2">
      <c r="A294" t="str">
        <f t="shared" si="68"/>
        <v/>
      </c>
      <c r="E294" s="4"/>
      <c r="F294" s="44"/>
      <c r="G294" s="4"/>
      <c r="H294" s="47"/>
      <c r="J294" s="45" t="str">
        <f t="shared" si="69"/>
        <v/>
      </c>
      <c r="N294" t="str">
        <f t="shared" si="71"/>
        <v/>
      </c>
      <c r="Q294" t="str">
        <f t="shared" si="70"/>
        <v/>
      </c>
      <c r="S294" t="str">
        <f>IF(A294=1,MAX(S$2:S293)+1,IF(OR(I294&lt;&gt;"",A294="x"),S293,""))</f>
        <v/>
      </c>
      <c r="T294" t="str">
        <f>IF(D294=1,MAX($T$2:$T293)+1,IF(S294=$S293,$S293,IF($D294="x",T293,IF($D293="x","",""))))</f>
        <v/>
      </c>
      <c r="U294" t="str">
        <f>IF(B294=1,MAX($U$2:$U293)+1,IF(AND($T294&lt;&gt;"",$T294=$T293),$U293,IF(B294="x",U293,"")))</f>
        <v/>
      </c>
      <c r="V294" t="str">
        <f>IF(C294=1,MAX($V$2:$V293)+1,IF(AND($T294&lt;&gt;"",$T294=$T293),$U293,IF(C294="x",V293,"")))</f>
        <v/>
      </c>
      <c r="W294" t="str" cm="1">
        <f t="array" ref="W294">IFERROR(_xlfn._xlws.FILTER(game_rosters!AB:AB,(game_rosters!J:J=events!X294)*(K294&lt;&gt;"")),"")</f>
        <v/>
      </c>
      <c r="X294" t="str" cm="1">
        <f t="array" ref="X294">IF(S294="","",IF($I294&lt;&gt;"",$I294,INDEX($I$2:$I293,ROW()-COUNTIFS($T$2:$T293,"="&amp;$T294,$S$2:$S293,"&lt;&gt;"&amp;$S294)-1)))</f>
        <v/>
      </c>
      <c r="Y294" t="b">
        <f>IF(X294&lt;&gt;"",VLOOKUP(X294,game_rosters!$C$43:$E$64,3,FALSE))</f>
        <v>0</v>
      </c>
      <c r="Z294" t="e" cm="1" vm="1">
        <f t="array" aca="1" ref="Z294" ca="1">IFERROR(IF(_xlfn._xlws.FILTER(game_rosters!$J:$J,(game_rosters!$G:$G=events!$AN294)*(game_rosters!$J:$J=events!$X294))&gt;0,1,""),"")</f>
        <v>#VALUE!</v>
      </c>
      <c r="AA294" t="e">
        <f t="shared" si="66"/>
        <v>#VALUE!</v>
      </c>
      <c r="AB294" t="str">
        <f t="shared" si="67"/>
        <v/>
      </c>
      <c r="AC294" t="e">
        <f t="shared" si="65"/>
        <v>#VALUE!</v>
      </c>
      <c r="AD294" s="6"/>
      <c r="BJ294" s="39"/>
      <c r="BM294" s="39"/>
      <c r="BO294" s="19"/>
      <c r="BQ294" s="17"/>
    </row>
    <row r="295" spans="1:69" x14ac:dyDescent="0.2">
      <c r="A295" t="str">
        <f t="shared" si="68"/>
        <v/>
      </c>
      <c r="E295" s="4"/>
      <c r="F295" s="44"/>
      <c r="G295" s="4"/>
      <c r="H295" s="47"/>
      <c r="J295" s="45" t="str">
        <f t="shared" si="69"/>
        <v/>
      </c>
      <c r="N295" t="str">
        <f t="shared" si="71"/>
        <v/>
      </c>
      <c r="Q295" t="str">
        <f t="shared" si="70"/>
        <v/>
      </c>
      <c r="S295" t="str">
        <f>IF(A295=1,MAX(S$2:S294)+1,IF(OR(I295&lt;&gt;"",A295="x"),S294,""))</f>
        <v/>
      </c>
      <c r="T295" t="str">
        <f>IF(D295=1,MAX($T$2:$T294)+1,IF(S295=$S294,$S294,IF($D295="x",T294,IF($D294="x","",""))))</f>
        <v/>
      </c>
      <c r="U295" t="str">
        <f>IF(B295=1,MAX($U$2:$U294)+1,IF(AND($T295&lt;&gt;"",$T295=$T294),$U294,IF(B295="x",U294,"")))</f>
        <v/>
      </c>
      <c r="V295" t="str">
        <f>IF(C295=1,MAX($V$2:$V294)+1,IF(AND($T295&lt;&gt;"",$T295=$T294),$U294,IF(C295="x",V294,"")))</f>
        <v/>
      </c>
      <c r="W295" t="str" cm="1">
        <f t="array" ref="W295">IFERROR(_xlfn._xlws.FILTER(game_rosters!AB:AB,(game_rosters!J:J=events!X295)*(K295&lt;&gt;"")),"")</f>
        <v/>
      </c>
      <c r="X295" t="str" cm="1">
        <f t="array" ref="X295">IF(S295="","",IF($I295&lt;&gt;"",$I295,INDEX($I$2:$I294,ROW()-COUNTIFS($T$2:$T294,"="&amp;$T295,$S$2:$S294,"&lt;&gt;"&amp;$S295)-1)))</f>
        <v/>
      </c>
      <c r="Y295" t="b">
        <f>IF(X295&lt;&gt;"",VLOOKUP(X295,game_rosters!$C$43:$E$64,3,FALSE))</f>
        <v>0</v>
      </c>
      <c r="Z295" t="e" cm="1" vm="1">
        <f t="array" aca="1" ref="Z295" ca="1">IFERROR(IF(_xlfn._xlws.FILTER(game_rosters!$J:$J,(game_rosters!$G:$G=events!$AN295)*(game_rosters!$J:$J=events!$X295))&gt;0,1,""),"")</f>
        <v>#VALUE!</v>
      </c>
      <c r="AA295" t="e">
        <f t="shared" si="66"/>
        <v>#VALUE!</v>
      </c>
      <c r="AB295" t="str">
        <f t="shared" si="67"/>
        <v/>
      </c>
      <c r="AC295" t="e">
        <f t="shared" si="65"/>
        <v>#VALUE!</v>
      </c>
      <c r="AD295" s="6"/>
      <c r="BJ295" s="39"/>
      <c r="BM295" s="39"/>
      <c r="BO295" s="19"/>
      <c r="BQ295" s="17"/>
    </row>
    <row r="296" spans="1:69" x14ac:dyDescent="0.2">
      <c r="A296" t="str">
        <f t="shared" si="68"/>
        <v/>
      </c>
      <c r="E296" s="4"/>
      <c r="F296" s="44"/>
      <c r="G296" s="4"/>
      <c r="H296" s="47"/>
      <c r="J296" s="45" t="str">
        <f t="shared" si="69"/>
        <v/>
      </c>
      <c r="N296" t="str">
        <f t="shared" si="71"/>
        <v/>
      </c>
      <c r="Q296" t="str">
        <f t="shared" si="70"/>
        <v/>
      </c>
      <c r="S296" t="str">
        <f>IF(A296=1,MAX(S$2:S295)+1,IF(OR(I296&lt;&gt;"",A296="x"),S295,""))</f>
        <v/>
      </c>
      <c r="T296" t="str">
        <f>IF(D296=1,MAX($T$2:$T295)+1,IF(S296=$S295,$S295,IF($D296="x",T295,IF($D295="x","",""))))</f>
        <v/>
      </c>
      <c r="U296" t="str">
        <f>IF(B296=1,MAX($U$2:$U295)+1,IF(AND($T296&lt;&gt;"",$T296=$T295),$U295,IF(B296="x",U295,"")))</f>
        <v/>
      </c>
      <c r="V296" t="str">
        <f>IF(C296=1,MAX($V$2:$V295)+1,IF(AND($T296&lt;&gt;"",$T296=$T295),$U295,IF(C296="x",V295,"")))</f>
        <v/>
      </c>
      <c r="W296" t="str" cm="1">
        <f t="array" ref="W296">IFERROR(_xlfn._xlws.FILTER(game_rosters!AB:AB,(game_rosters!J:J=events!X296)*(K296&lt;&gt;"")),"")</f>
        <v/>
      </c>
      <c r="X296" t="str" cm="1">
        <f t="array" ref="X296">IF(S296="","",IF($I296&lt;&gt;"",$I296,INDEX($I$2:$I295,ROW()-COUNTIFS($T$2:$T295,"="&amp;$T296,$S$2:$S295,"&lt;&gt;"&amp;$S296)-1)))</f>
        <v/>
      </c>
      <c r="Y296" t="b">
        <f>IF(X296&lt;&gt;"",VLOOKUP(X296,game_rosters!$C$43:$E$64,3,FALSE))</f>
        <v>0</v>
      </c>
      <c r="Z296" t="e" cm="1" vm="1">
        <f t="array" aca="1" ref="Z296" ca="1">IFERROR(IF(_xlfn._xlws.FILTER(game_rosters!$J:$J,(game_rosters!$G:$G=events!$AN296)*(game_rosters!$J:$J=events!$X296))&gt;0,1,""),"")</f>
        <v>#VALUE!</v>
      </c>
      <c r="AA296" t="e">
        <f t="shared" si="66"/>
        <v>#VALUE!</v>
      </c>
      <c r="AB296" t="str">
        <f t="shared" si="67"/>
        <v/>
      </c>
      <c r="AC296" t="e">
        <f t="shared" si="65"/>
        <v>#VALUE!</v>
      </c>
      <c r="AD296" s="6"/>
      <c r="BJ296" s="39"/>
      <c r="BM296" s="39"/>
      <c r="BO296" s="19"/>
      <c r="BQ296" s="17"/>
    </row>
    <row r="297" spans="1:69" x14ac:dyDescent="0.2">
      <c r="A297" t="str">
        <f t="shared" si="68"/>
        <v/>
      </c>
      <c r="E297" s="4"/>
      <c r="F297" s="44"/>
      <c r="G297" s="4"/>
      <c r="H297" s="47"/>
      <c r="J297" s="45" t="str">
        <f t="shared" si="69"/>
        <v/>
      </c>
      <c r="N297" t="str">
        <f t="shared" si="71"/>
        <v/>
      </c>
      <c r="Q297" t="str">
        <f t="shared" si="70"/>
        <v/>
      </c>
      <c r="S297" t="str">
        <f>IF(A297=1,MAX(S$2:S296)+1,IF(OR(I297&lt;&gt;"",A297="x"),S296,""))</f>
        <v/>
      </c>
      <c r="T297" t="str">
        <f>IF(D297=1,MAX($T$2:$T296)+1,IF(S297=$S296,$S296,IF($D297="x",T296,IF($D296="x","",""))))</f>
        <v/>
      </c>
      <c r="U297" t="str">
        <f>IF(B297=1,MAX($U$2:$U296)+1,IF(AND($T297&lt;&gt;"",$T297=$T296),$U296,IF(B297="x",U296,"")))</f>
        <v/>
      </c>
      <c r="V297" t="str">
        <f>IF(C297=1,MAX($V$2:$V296)+1,IF(AND($T297&lt;&gt;"",$T297=$T296),$U296,IF(C297="x",V296,"")))</f>
        <v/>
      </c>
      <c r="W297" t="str" cm="1">
        <f t="array" ref="W297">IFERROR(_xlfn._xlws.FILTER(game_rosters!AB:AB,(game_rosters!J:J=events!X297)*(K297&lt;&gt;"")),"")</f>
        <v/>
      </c>
      <c r="X297" t="str" cm="1">
        <f t="array" ref="X297">IF(S297="","",IF($I297&lt;&gt;"",$I297,INDEX($I$2:$I296,ROW()-COUNTIFS($T$2:$T296,"="&amp;$T297,$S$2:$S296,"&lt;&gt;"&amp;$S297)-1)))</f>
        <v/>
      </c>
      <c r="Y297" t="b">
        <f>IF(X297&lt;&gt;"",VLOOKUP(X297,game_rosters!$C$43:$E$64,3,FALSE))</f>
        <v>0</v>
      </c>
      <c r="Z297" t="e" cm="1" vm="1">
        <f t="array" aca="1" ref="Z297" ca="1">IFERROR(IF(_xlfn._xlws.FILTER(game_rosters!$J:$J,(game_rosters!$G:$G=events!$AN297)*(game_rosters!$J:$J=events!$X297))&gt;0,1,""),"")</f>
        <v>#VALUE!</v>
      </c>
      <c r="AA297" t="e">
        <f t="shared" si="66"/>
        <v>#VALUE!</v>
      </c>
      <c r="AB297" t="str">
        <f t="shared" si="67"/>
        <v/>
      </c>
      <c r="AC297" t="e">
        <f t="shared" si="65"/>
        <v>#VALUE!</v>
      </c>
      <c r="AD297" s="6"/>
      <c r="BJ297" s="39"/>
      <c r="BM297" s="39"/>
      <c r="BO297" s="19"/>
      <c r="BQ297" s="17"/>
    </row>
    <row r="298" spans="1:69" x14ac:dyDescent="0.2">
      <c r="A298" t="str">
        <f t="shared" si="68"/>
        <v/>
      </c>
      <c r="E298" s="4"/>
      <c r="F298" s="44"/>
      <c r="G298" s="4"/>
      <c r="H298" s="47"/>
      <c r="J298" s="45" t="str">
        <f t="shared" si="69"/>
        <v/>
      </c>
      <c r="N298" t="str">
        <f t="shared" si="71"/>
        <v/>
      </c>
      <c r="Q298" t="str">
        <f t="shared" si="70"/>
        <v/>
      </c>
      <c r="S298" t="str">
        <f>IF(A298=1,MAX(S$2:S297)+1,IF(OR(I298&lt;&gt;"",A298="x"),S297,""))</f>
        <v/>
      </c>
      <c r="T298" t="str">
        <f>IF(D298=1,MAX($T$2:$T297)+1,IF(S298=$S297,$S297,IF($D298="x",T297,IF($D297="x","",""))))</f>
        <v/>
      </c>
      <c r="U298" t="str">
        <f>IF(B298=1,MAX($U$2:$U297)+1,IF(AND($T298&lt;&gt;"",$T298=$T297),$U297,IF(B298="x",U297,"")))</f>
        <v/>
      </c>
      <c r="V298" t="str">
        <f>IF(C298=1,MAX($V$2:$V297)+1,IF(AND($T298&lt;&gt;"",$T298=$T297),$U297,IF(C298="x",V297,"")))</f>
        <v/>
      </c>
      <c r="W298" t="str" cm="1">
        <f t="array" ref="W298">IFERROR(_xlfn._xlws.FILTER(game_rosters!AB:AB,(game_rosters!J:J=events!X298)*(K298&lt;&gt;"")),"")</f>
        <v/>
      </c>
      <c r="X298" t="str" cm="1">
        <f t="array" ref="X298">IF(S298="","",IF($I298&lt;&gt;"",$I298,INDEX($I$2:$I297,ROW()-COUNTIFS($T$2:$T297,"="&amp;$T298,$S$2:$S297,"&lt;&gt;"&amp;$S298)-1)))</f>
        <v/>
      </c>
      <c r="Y298" t="b">
        <f>IF(X298&lt;&gt;"",VLOOKUP(X298,game_rosters!$C$43:$E$64,3,FALSE))</f>
        <v>0</v>
      </c>
      <c r="Z298" t="e" cm="1" vm="1">
        <f t="array" aca="1" ref="Z298" ca="1">IFERROR(IF(_xlfn._xlws.FILTER(game_rosters!$J:$J,(game_rosters!$G:$G=events!$AN298)*(game_rosters!$J:$J=events!$X298))&gt;0,1,""),"")</f>
        <v>#VALUE!</v>
      </c>
      <c r="AA298" t="e">
        <f t="shared" si="66"/>
        <v>#VALUE!</v>
      </c>
      <c r="AB298" t="str">
        <f t="shared" si="67"/>
        <v/>
      </c>
      <c r="AC298" t="e">
        <f t="shared" si="65"/>
        <v>#VALUE!</v>
      </c>
      <c r="AD298" s="6"/>
      <c r="BJ298" s="39"/>
      <c r="BM298" s="39"/>
      <c r="BO298" s="19"/>
      <c r="BQ298" s="17"/>
    </row>
    <row r="299" spans="1:69" x14ac:dyDescent="0.2">
      <c r="A299" t="str">
        <f t="shared" si="68"/>
        <v/>
      </c>
      <c r="E299" s="4"/>
      <c r="F299" s="44"/>
      <c r="G299" s="4"/>
      <c r="H299" s="47"/>
      <c r="J299" s="45" t="str">
        <f t="shared" si="69"/>
        <v/>
      </c>
      <c r="N299" t="str">
        <f t="shared" si="71"/>
        <v/>
      </c>
      <c r="Q299" t="str">
        <f t="shared" si="70"/>
        <v/>
      </c>
      <c r="S299" t="str">
        <f>IF(A299=1,MAX(S$2:S298)+1,IF(OR(I299&lt;&gt;"",A299="x"),S298,""))</f>
        <v/>
      </c>
      <c r="T299" t="str">
        <f>IF(D299=1,MAX($T$2:$T298)+1,IF(S299=$S298,$S298,IF($D299="x",T298,IF($D298="x","",""))))</f>
        <v/>
      </c>
      <c r="U299" t="str">
        <f>IF(B299=1,MAX($U$2:$U298)+1,IF(AND($T299&lt;&gt;"",$T299=$T298),$U298,IF(B299="x",U298,"")))</f>
        <v/>
      </c>
      <c r="V299" t="str">
        <f>IF(C299=1,MAX($V$2:$V298)+1,IF(AND($T299&lt;&gt;"",$T299=$T298),$U298,IF(C299="x",V298,"")))</f>
        <v/>
      </c>
      <c r="W299" t="str" cm="1">
        <f t="array" ref="W299">IFERROR(_xlfn._xlws.FILTER(game_rosters!AB:AB,(game_rosters!J:J=events!X299)*(K299&lt;&gt;"")),"")</f>
        <v/>
      </c>
      <c r="X299" t="str" cm="1">
        <f t="array" ref="X299">IF(S299="","",IF($I299&lt;&gt;"",$I299,INDEX($I$2:$I298,ROW()-COUNTIFS($T$2:$T298,"="&amp;$T299,$S$2:$S298,"&lt;&gt;"&amp;$S299)-1)))</f>
        <v/>
      </c>
      <c r="Y299" t="b">
        <f>IF(X299&lt;&gt;"",VLOOKUP(X299,game_rosters!$C$43:$E$64,3,FALSE))</f>
        <v>0</v>
      </c>
      <c r="Z299" t="e" cm="1" vm="1">
        <f t="array" aca="1" ref="Z299" ca="1">IFERROR(IF(_xlfn._xlws.FILTER(game_rosters!$J:$J,(game_rosters!$G:$G=events!$AN299)*(game_rosters!$J:$J=events!$X299))&gt;0,1,""),"")</f>
        <v>#VALUE!</v>
      </c>
      <c r="AA299" t="e">
        <f t="shared" si="66"/>
        <v>#VALUE!</v>
      </c>
      <c r="AB299" t="str">
        <f t="shared" si="67"/>
        <v/>
      </c>
      <c r="AC299" t="e">
        <f t="shared" si="65"/>
        <v>#VALUE!</v>
      </c>
      <c r="AD299" s="6"/>
      <c r="BJ299" s="39"/>
      <c r="BM299" s="39"/>
      <c r="BO299" s="19"/>
      <c r="BQ299" s="17"/>
    </row>
    <row r="300" spans="1:69" x14ac:dyDescent="0.2">
      <c r="A300" t="str">
        <f t="shared" si="68"/>
        <v/>
      </c>
      <c r="E300" s="4"/>
      <c r="F300" s="44"/>
      <c r="G300" s="4"/>
      <c r="H300" s="47"/>
      <c r="J300" s="45" t="str">
        <f t="shared" si="69"/>
        <v/>
      </c>
      <c r="N300" t="str">
        <f t="shared" si="71"/>
        <v/>
      </c>
      <c r="Q300" t="str">
        <f t="shared" si="70"/>
        <v/>
      </c>
      <c r="S300" t="str">
        <f>IF(A300=1,MAX(S$2:S299)+1,IF(OR(I300&lt;&gt;"",A300="x"),S299,""))</f>
        <v/>
      </c>
      <c r="T300" t="str">
        <f>IF(D300=1,MAX($T$2:$T299)+1,IF(S300=$S299,$S299,IF($D300="x",T299,IF($D299="x","",""))))</f>
        <v/>
      </c>
      <c r="U300" t="str">
        <f>IF(B300=1,MAX($U$2:$U299)+1,IF(AND($T300&lt;&gt;"",$T300=$T299),$U299,IF(B300="x",U299,"")))</f>
        <v/>
      </c>
      <c r="V300" t="str">
        <f>IF(C300=1,MAX($V$2:$V299)+1,IF(AND($T300&lt;&gt;"",$T300=$T299),$U299,IF(C300="x",V299,"")))</f>
        <v/>
      </c>
      <c r="W300" t="str" cm="1">
        <f t="array" ref="W300">IFERROR(_xlfn._xlws.FILTER(game_rosters!AB:AB,(game_rosters!J:J=events!X300)*(K300&lt;&gt;"")),"")</f>
        <v/>
      </c>
      <c r="X300" t="str" cm="1">
        <f t="array" ref="X300">IF(S300="","",IF($I300&lt;&gt;"",$I300,INDEX($I$2:$I299,ROW()-COUNTIFS($T$2:$T299,"="&amp;$T300,$S$2:$S299,"&lt;&gt;"&amp;$S300)-1)))</f>
        <v/>
      </c>
      <c r="Y300" t="b">
        <f>IF(X300&lt;&gt;"",VLOOKUP(X300,game_rosters!$C$43:$E$64,3,FALSE))</f>
        <v>0</v>
      </c>
      <c r="Z300" t="e" cm="1" vm="1">
        <f t="array" aca="1" ref="Z300" ca="1">IFERROR(IF(_xlfn._xlws.FILTER(game_rosters!$J:$J,(game_rosters!$G:$G=events!$AN300)*(game_rosters!$J:$J=events!$X300))&gt;0,1,""),"")</f>
        <v>#VALUE!</v>
      </c>
      <c r="AA300" t="e">
        <f t="shared" si="66"/>
        <v>#VALUE!</v>
      </c>
      <c r="AB300" t="str">
        <f t="shared" si="67"/>
        <v/>
      </c>
      <c r="AC300" t="e">
        <f t="shared" si="65"/>
        <v>#VALUE!</v>
      </c>
      <c r="AD300" s="6"/>
      <c r="BJ300" s="39"/>
      <c r="BM300" s="39"/>
      <c r="BO300" s="19"/>
      <c r="BQ300" s="17"/>
    </row>
    <row r="301" spans="1:69" x14ac:dyDescent="0.2">
      <c r="A301" t="str">
        <f t="shared" si="68"/>
        <v/>
      </c>
      <c r="E301" s="4"/>
      <c r="F301" s="44"/>
      <c r="G301" s="4"/>
      <c r="H301" s="47"/>
      <c r="J301" s="45" t="str">
        <f t="shared" si="69"/>
        <v/>
      </c>
      <c r="N301" t="str">
        <f t="shared" si="71"/>
        <v/>
      </c>
      <c r="Q301" t="str">
        <f t="shared" si="70"/>
        <v/>
      </c>
      <c r="S301" t="str">
        <f>IF(A301=1,MAX(S$2:S300)+1,IF(OR(I301&lt;&gt;"",A301="x"),S300,""))</f>
        <v/>
      </c>
      <c r="T301" t="str">
        <f>IF(D301=1,MAX($T$2:$T300)+1,IF(S301=$S300,$S300,IF($D301="x",T300,IF($D300="x","",""))))</f>
        <v/>
      </c>
      <c r="U301" t="str">
        <f>IF(B301=1,MAX($U$2:$U300)+1,IF(AND($T301&lt;&gt;"",$T301=$T300),$U300,IF(B301="x",U300,"")))</f>
        <v/>
      </c>
      <c r="V301" t="str">
        <f>IF(C301=1,MAX($V$2:$V300)+1,IF(AND($T301&lt;&gt;"",$T301=$T300),$U300,IF(C301="x",V300,"")))</f>
        <v/>
      </c>
      <c r="W301" t="str" cm="1">
        <f t="array" ref="W301">IFERROR(_xlfn._xlws.FILTER(game_rosters!AB:AB,(game_rosters!J:J=events!X301)*(K301&lt;&gt;"")),"")</f>
        <v/>
      </c>
      <c r="X301" t="str" cm="1">
        <f t="array" ref="X301">IF(S301="","",IF($I301&lt;&gt;"",$I301,INDEX($I$2:$I300,ROW()-COUNTIFS($T$2:$T300,"="&amp;$T301,$S$2:$S300,"&lt;&gt;"&amp;$S301)-1)))</f>
        <v/>
      </c>
      <c r="Y301" t="b">
        <f>IF(X301&lt;&gt;"",VLOOKUP(X301,game_rosters!$C$43:$E$64,3,FALSE))</f>
        <v>0</v>
      </c>
      <c r="Z301" t="e" cm="1" vm="1">
        <f t="array" aca="1" ref="Z301" ca="1">IFERROR(IF(_xlfn._xlws.FILTER(game_rosters!$J:$J,(game_rosters!$G:$G=events!$AN301)*(game_rosters!$J:$J=events!$X301))&gt;0,1,""),"")</f>
        <v>#VALUE!</v>
      </c>
      <c r="AA301" t="e">
        <f t="shared" si="66"/>
        <v>#VALUE!</v>
      </c>
      <c r="AB301" t="str">
        <f t="shared" si="67"/>
        <v/>
      </c>
      <c r="AC301" t="e">
        <f t="shared" si="65"/>
        <v>#VALUE!</v>
      </c>
      <c r="AD301" s="6"/>
      <c r="BJ301" s="39"/>
      <c r="BM301" s="39"/>
      <c r="BO301" s="19"/>
      <c r="BQ301" s="17"/>
    </row>
    <row r="302" spans="1:69" x14ac:dyDescent="0.2">
      <c r="A302" t="str">
        <f t="shared" si="68"/>
        <v/>
      </c>
      <c r="E302" s="4"/>
      <c r="F302" s="44"/>
      <c r="G302" s="4"/>
      <c r="H302" s="47"/>
      <c r="J302" s="45" t="str">
        <f t="shared" si="69"/>
        <v/>
      </c>
      <c r="N302" t="str">
        <f t="shared" si="71"/>
        <v/>
      </c>
      <c r="Q302" t="str">
        <f t="shared" si="70"/>
        <v/>
      </c>
      <c r="S302" t="str">
        <f>IF(A302=1,MAX(S$2:S301)+1,IF(OR(I302&lt;&gt;"",A302="x"),S301,""))</f>
        <v/>
      </c>
      <c r="T302" t="str">
        <f>IF(D302=1,MAX($T$2:$T301)+1,IF(S302=$S301,$S301,IF($D302="x",T301,IF($D301="x","",""))))</f>
        <v/>
      </c>
      <c r="U302" t="str">
        <f>IF(B302=1,MAX($U$2:$U301)+1,IF(AND($T302&lt;&gt;"",$T302=$T301),$U301,IF(B302="x",U301,"")))</f>
        <v/>
      </c>
      <c r="V302" t="str">
        <f>IF(C302=1,MAX($V$2:$V301)+1,IF(AND($T302&lt;&gt;"",$T302=$T301),$U301,IF(C302="x",V301,"")))</f>
        <v/>
      </c>
      <c r="W302" t="str" cm="1">
        <f t="array" ref="W302">IFERROR(_xlfn._xlws.FILTER(game_rosters!AB:AB,(game_rosters!J:J=events!X302)*(K302&lt;&gt;"")),"")</f>
        <v/>
      </c>
      <c r="X302" t="str" cm="1">
        <f t="array" ref="X302">IF(S302="","",IF($I302&lt;&gt;"",$I302,INDEX($I$2:$I301,ROW()-COUNTIFS($T$2:$T301,"="&amp;$T302,$S$2:$S301,"&lt;&gt;"&amp;$S302)-1)))</f>
        <v/>
      </c>
      <c r="Y302" t="b">
        <f>IF(X302&lt;&gt;"",VLOOKUP(X302,game_rosters!$C$43:$E$64,3,FALSE))</f>
        <v>0</v>
      </c>
      <c r="Z302" t="e" cm="1" vm="1">
        <f t="array" aca="1" ref="Z302" ca="1">IFERROR(IF(_xlfn._xlws.FILTER(game_rosters!$J:$J,(game_rosters!$G:$G=events!$AN302)*(game_rosters!$J:$J=events!$X302))&gt;0,1,""),"")</f>
        <v>#VALUE!</v>
      </c>
      <c r="AA302" t="e">
        <f t="shared" si="66"/>
        <v>#VALUE!</v>
      </c>
      <c r="AB302" t="str">
        <f t="shared" si="67"/>
        <v/>
      </c>
      <c r="AC302" t="e">
        <f t="shared" si="65"/>
        <v>#VALUE!</v>
      </c>
      <c r="AD302" s="6"/>
      <c r="BJ302" s="39"/>
      <c r="BM302" s="39"/>
      <c r="BO302" s="19"/>
      <c r="BQ302" s="17"/>
    </row>
    <row r="303" spans="1:69" x14ac:dyDescent="0.2">
      <c r="A303" t="str">
        <f t="shared" si="68"/>
        <v/>
      </c>
      <c r="E303" s="4"/>
      <c r="F303" s="44"/>
      <c r="G303" s="4"/>
      <c r="H303" s="47"/>
      <c r="J303" s="45" t="str">
        <f t="shared" si="69"/>
        <v/>
      </c>
      <c r="N303" t="str">
        <f t="shared" si="71"/>
        <v/>
      </c>
      <c r="Q303" t="str">
        <f t="shared" si="70"/>
        <v/>
      </c>
      <c r="S303" t="str">
        <f>IF(A303=1,MAX(S$2:S302)+1,IF(OR(I303&lt;&gt;"",A303="x"),S302,""))</f>
        <v/>
      </c>
      <c r="T303" t="str">
        <f>IF(D303=1,MAX($T$2:$T302)+1,IF(S303=$S302,$S302,IF($D303="x",T302,IF($D302="x","",""))))</f>
        <v/>
      </c>
      <c r="U303" t="str">
        <f>IF(B303=1,MAX($U$2:$U302)+1,IF(AND($T303&lt;&gt;"",$T303=$T302),$U302,IF(B303="x",U302,"")))</f>
        <v/>
      </c>
      <c r="V303" t="str">
        <f>IF(C303=1,MAX($V$2:$V302)+1,IF(AND($T303&lt;&gt;"",$T303=$T302),$U302,IF(C303="x",V302,"")))</f>
        <v/>
      </c>
      <c r="W303" t="str" cm="1">
        <f t="array" ref="W303">IFERROR(_xlfn._xlws.FILTER(game_rosters!AB:AB,(game_rosters!J:J=events!X303)*(K303&lt;&gt;"")),"")</f>
        <v/>
      </c>
      <c r="X303" t="str" cm="1">
        <f t="array" ref="X303">IF(S303="","",IF($I303&lt;&gt;"",$I303,INDEX($I$2:$I302,ROW()-COUNTIFS($T$2:$T302,"="&amp;$T303,$S$2:$S302,"&lt;&gt;"&amp;$S303)-1)))</f>
        <v/>
      </c>
      <c r="Y303" t="b">
        <f>IF(X303&lt;&gt;"",VLOOKUP(X303,game_rosters!$C$43:$E$64,3,FALSE))</f>
        <v>0</v>
      </c>
      <c r="Z303" t="e" cm="1" vm="1">
        <f t="array" aca="1" ref="Z303" ca="1">IFERROR(IF(_xlfn._xlws.FILTER(game_rosters!$J:$J,(game_rosters!$G:$G=events!$AN303)*(game_rosters!$J:$J=events!$X303))&gt;0,1,""),"")</f>
        <v>#VALUE!</v>
      </c>
      <c r="AA303" t="e">
        <f t="shared" si="66"/>
        <v>#VALUE!</v>
      </c>
      <c r="AB303" t="str">
        <f t="shared" si="67"/>
        <v/>
      </c>
      <c r="AC303" t="e">
        <f t="shared" si="65"/>
        <v>#VALUE!</v>
      </c>
      <c r="AD303" s="6"/>
      <c r="BJ303" s="39"/>
      <c r="BM303" s="39"/>
      <c r="BO303" s="19"/>
      <c r="BQ303" s="17"/>
    </row>
    <row r="304" spans="1:69" x14ac:dyDescent="0.2">
      <c r="A304" t="str">
        <f t="shared" si="68"/>
        <v/>
      </c>
      <c r="E304" s="4"/>
      <c r="F304" s="44"/>
      <c r="G304" s="4"/>
      <c r="H304" s="47"/>
      <c r="J304" s="45" t="str">
        <f t="shared" si="69"/>
        <v/>
      </c>
      <c r="N304" t="str">
        <f t="shared" si="71"/>
        <v/>
      </c>
      <c r="Q304" t="str">
        <f t="shared" si="70"/>
        <v/>
      </c>
      <c r="S304" t="str">
        <f>IF(A304=1,MAX(S$2:S303)+1,IF(OR(I304&lt;&gt;"",A304="x"),S303,""))</f>
        <v/>
      </c>
      <c r="T304" t="str">
        <f>IF(D304=1,MAX($T$2:$T303)+1,IF(S304=$S303,$S303,IF($D304="x",T303,IF($D303="x","",""))))</f>
        <v/>
      </c>
      <c r="U304" t="str">
        <f>IF(B304=1,MAX($U$2:$U303)+1,IF(AND($T304&lt;&gt;"",$T304=$T303),$U303,IF(B304="x",U303,"")))</f>
        <v/>
      </c>
      <c r="V304" t="str">
        <f>IF(C304=1,MAX($V$2:$V303)+1,IF(AND($T304&lt;&gt;"",$T304=$T303),$U303,IF(C304="x",V303,"")))</f>
        <v/>
      </c>
      <c r="W304" t="str" cm="1">
        <f t="array" ref="W304">IFERROR(_xlfn._xlws.FILTER(game_rosters!AB:AB,(game_rosters!J:J=events!X304)*(K304&lt;&gt;"")),"")</f>
        <v/>
      </c>
      <c r="X304" t="str" cm="1">
        <f t="array" ref="X304">IF(S304="","",IF($I304&lt;&gt;"",$I304,INDEX($I$2:$I303,ROW()-COUNTIFS($T$2:$T303,"="&amp;$T304,$S$2:$S303,"&lt;&gt;"&amp;$S304)-1)))</f>
        <v/>
      </c>
      <c r="Y304" t="b">
        <f>IF(X304&lt;&gt;"",VLOOKUP(X304,game_rosters!$C$43:$E$64,3,FALSE))</f>
        <v>0</v>
      </c>
      <c r="Z304" t="e" cm="1" vm="1">
        <f t="array" aca="1" ref="Z304" ca="1">IFERROR(IF(_xlfn._xlws.FILTER(game_rosters!$J:$J,(game_rosters!$G:$G=events!$AN304)*(game_rosters!$J:$J=events!$X304))&gt;0,1,""),"")</f>
        <v>#VALUE!</v>
      </c>
      <c r="AA304" t="e">
        <f t="shared" si="66"/>
        <v>#VALUE!</v>
      </c>
      <c r="AB304" t="str">
        <f t="shared" si="67"/>
        <v/>
      </c>
      <c r="AC304" t="e">
        <f t="shared" si="65"/>
        <v>#VALUE!</v>
      </c>
      <c r="AD304" s="6"/>
      <c r="BJ304" s="39"/>
      <c r="BM304" s="39"/>
      <c r="BO304" s="19"/>
      <c r="BQ304" s="17"/>
    </row>
    <row r="305" spans="1:69" x14ac:dyDescent="0.2">
      <c r="A305" t="str">
        <f t="shared" si="68"/>
        <v/>
      </c>
      <c r="E305" s="4"/>
      <c r="F305" s="44"/>
      <c r="G305" s="4"/>
      <c r="H305" s="47"/>
      <c r="J305" s="45" t="str">
        <f t="shared" si="69"/>
        <v/>
      </c>
      <c r="N305" t="str">
        <f t="shared" si="71"/>
        <v/>
      </c>
      <c r="Q305" t="str">
        <f t="shared" si="70"/>
        <v/>
      </c>
      <c r="S305" t="str">
        <f>IF(A305=1,MAX(S$2:S304)+1,IF(OR(I305&lt;&gt;"",A305="x"),S304,""))</f>
        <v/>
      </c>
      <c r="T305" t="str">
        <f>IF(D305=1,MAX($T$2:$T304)+1,IF(S305=$S304,$S304,IF($D305="x",T304,IF($D304="x","",""))))</f>
        <v/>
      </c>
      <c r="U305" t="str">
        <f>IF(B305=1,MAX($U$2:$U304)+1,IF(AND($T305&lt;&gt;"",$T305=$T304),$U304,IF(B305="x",U304,"")))</f>
        <v/>
      </c>
      <c r="V305" t="str">
        <f>IF(C305=1,MAX($V$2:$V304)+1,IF(AND($T305&lt;&gt;"",$T305=$T304),$U304,IF(C305="x",V304,"")))</f>
        <v/>
      </c>
      <c r="W305" t="str" cm="1">
        <f t="array" ref="W305">IFERROR(_xlfn._xlws.FILTER(game_rosters!AB:AB,(game_rosters!J:J=events!X305)*(K305&lt;&gt;"")),"")</f>
        <v/>
      </c>
      <c r="X305" t="str" cm="1">
        <f t="array" ref="X305">IF(S305="","",IF($I305&lt;&gt;"",$I305,INDEX($I$2:$I304,ROW()-COUNTIFS($T$2:$T304,"="&amp;$T305,$S$2:$S304,"&lt;&gt;"&amp;$S305)-1)))</f>
        <v/>
      </c>
      <c r="Y305" t="b">
        <f>IF(X305&lt;&gt;"",VLOOKUP(X305,game_rosters!$C$43:$E$64,3,FALSE))</f>
        <v>0</v>
      </c>
      <c r="Z305" t="e" cm="1" vm="1">
        <f t="array" aca="1" ref="Z305" ca="1">IFERROR(IF(_xlfn._xlws.FILTER(game_rosters!$J:$J,(game_rosters!$G:$G=events!$AN305)*(game_rosters!$J:$J=events!$X305))&gt;0,1,""),"")</f>
        <v>#VALUE!</v>
      </c>
      <c r="AA305" t="e">
        <f t="shared" si="66"/>
        <v>#VALUE!</v>
      </c>
      <c r="AB305" t="str">
        <f t="shared" si="67"/>
        <v/>
      </c>
      <c r="AC305" t="e">
        <f t="shared" si="65"/>
        <v>#VALUE!</v>
      </c>
      <c r="AD305" s="6"/>
      <c r="BJ305" s="39"/>
      <c r="BM305" s="39"/>
      <c r="BO305" s="19"/>
      <c r="BQ305" s="17"/>
    </row>
    <row r="306" spans="1:69" x14ac:dyDescent="0.2">
      <c r="A306" t="str">
        <f t="shared" si="68"/>
        <v/>
      </c>
      <c r="E306" s="4"/>
      <c r="F306" s="44"/>
      <c r="G306" s="4"/>
      <c r="H306" s="47"/>
      <c r="J306" s="45" t="str">
        <f t="shared" si="69"/>
        <v/>
      </c>
      <c r="N306" t="str">
        <f t="shared" si="71"/>
        <v/>
      </c>
      <c r="Q306" t="str">
        <f t="shared" si="70"/>
        <v/>
      </c>
      <c r="S306" t="str">
        <f>IF(A306=1,MAX(S$2:S305)+1,IF(OR(I306&lt;&gt;"",A306="x"),S305,""))</f>
        <v/>
      </c>
      <c r="T306" t="str">
        <f>IF(D306=1,MAX($T$2:$T305)+1,IF(S306=$S305,$S305,IF($D306="x",T305,IF($D305="x","",""))))</f>
        <v/>
      </c>
      <c r="U306" t="str">
        <f>IF(B306=1,MAX($U$2:$U305)+1,IF(AND($T306&lt;&gt;"",$T306=$T305),$U305,IF(B306="x",U305,"")))</f>
        <v/>
      </c>
      <c r="V306" t="str">
        <f>IF(C306=1,MAX($V$2:$V305)+1,IF(AND($T306&lt;&gt;"",$T306=$T305),$U305,IF(C306="x",V305,"")))</f>
        <v/>
      </c>
      <c r="W306" t="str" cm="1">
        <f t="array" ref="W306">IFERROR(_xlfn._xlws.FILTER(game_rosters!AB:AB,(game_rosters!J:J=events!X306)*(K306&lt;&gt;"")),"")</f>
        <v/>
      </c>
      <c r="X306" t="str" cm="1">
        <f t="array" ref="X306">IF(S306="","",IF($I306&lt;&gt;"",$I306,INDEX($I$2:$I305,ROW()-COUNTIFS($T$2:$T305,"="&amp;$T306,$S$2:$S305,"&lt;&gt;"&amp;$S306)-1)))</f>
        <v/>
      </c>
      <c r="Y306" t="b">
        <f>IF(X306&lt;&gt;"",VLOOKUP(X306,game_rosters!$C$43:$E$64,3,FALSE))</f>
        <v>0</v>
      </c>
      <c r="Z306" t="e" cm="1" vm="1">
        <f t="array" aca="1" ref="Z306" ca="1">IFERROR(IF(_xlfn._xlws.FILTER(game_rosters!$J:$J,(game_rosters!$G:$G=events!$AN306)*(game_rosters!$J:$J=events!$X306))&gt;0,1,""),"")</f>
        <v>#VALUE!</v>
      </c>
      <c r="AA306" t="e">
        <f t="shared" si="66"/>
        <v>#VALUE!</v>
      </c>
      <c r="AB306" t="str">
        <f t="shared" si="67"/>
        <v/>
      </c>
      <c r="AC306" t="e">
        <f t="shared" si="65"/>
        <v>#VALUE!</v>
      </c>
      <c r="AD306" s="6"/>
      <c r="BJ306" s="39"/>
      <c r="BM306" s="39"/>
      <c r="BO306" s="19"/>
      <c r="BQ306" s="17"/>
    </row>
    <row r="307" spans="1:69" x14ac:dyDescent="0.2">
      <c r="A307" t="str">
        <f t="shared" si="68"/>
        <v/>
      </c>
      <c r="E307" s="4"/>
      <c r="F307" s="44"/>
      <c r="G307" s="4"/>
      <c r="H307" s="47"/>
      <c r="J307" s="45" t="str">
        <f t="shared" si="69"/>
        <v/>
      </c>
      <c r="N307" t="str">
        <f t="shared" si="71"/>
        <v/>
      </c>
      <c r="Q307" t="str">
        <f t="shared" si="70"/>
        <v/>
      </c>
      <c r="S307" t="str">
        <f>IF(A307=1,MAX(S$2:S306)+1,IF(OR(I307&lt;&gt;"",A307="x"),S306,""))</f>
        <v/>
      </c>
      <c r="T307" t="str">
        <f>IF(D307=1,MAX($T$2:$T306)+1,IF(S307=$S306,$S306,IF($D307="x",T306,IF($D306="x","",""))))</f>
        <v/>
      </c>
      <c r="U307" t="str">
        <f>IF(B307=1,MAX($U$2:$U306)+1,IF(AND($T307&lt;&gt;"",$T307=$T306),$U306,IF(B307="x",U306,"")))</f>
        <v/>
      </c>
      <c r="V307" t="str">
        <f>IF(C307=1,MAX($V$2:$V306)+1,IF(AND($T307&lt;&gt;"",$T307=$T306),$U306,IF(C307="x",V306,"")))</f>
        <v/>
      </c>
      <c r="W307" t="str" cm="1">
        <f t="array" ref="W307">IFERROR(_xlfn._xlws.FILTER(game_rosters!AB:AB,(game_rosters!J:J=events!X307)*(K307&lt;&gt;"")),"")</f>
        <v/>
      </c>
      <c r="X307" t="str" cm="1">
        <f t="array" ref="X307">IF(S307="","",IF($I307&lt;&gt;"",$I307,INDEX($I$2:$I306,ROW()-COUNTIFS($T$2:$T306,"="&amp;$T307,$S$2:$S306,"&lt;&gt;"&amp;$S307)-1)))</f>
        <v/>
      </c>
      <c r="Y307" t="b">
        <f>IF(X307&lt;&gt;"",VLOOKUP(X307,game_rosters!$C$43:$E$64,3,FALSE))</f>
        <v>0</v>
      </c>
      <c r="Z307" t="e" cm="1" vm="1">
        <f t="array" aca="1" ref="Z307" ca="1">IFERROR(IF(_xlfn._xlws.FILTER(game_rosters!$J:$J,(game_rosters!$G:$G=events!$AN307)*(game_rosters!$J:$J=events!$X307))&gt;0,1,""),"")</f>
        <v>#VALUE!</v>
      </c>
      <c r="AA307" t="e">
        <f t="shared" si="66"/>
        <v>#VALUE!</v>
      </c>
      <c r="AB307" t="str">
        <f t="shared" si="67"/>
        <v/>
      </c>
      <c r="AC307" t="e">
        <f t="shared" si="65"/>
        <v>#VALUE!</v>
      </c>
      <c r="AD307" s="6"/>
      <c r="BJ307" s="39"/>
      <c r="BM307" s="39"/>
      <c r="BO307" s="19"/>
      <c r="BQ307" s="17"/>
    </row>
    <row r="308" spans="1:69" x14ac:dyDescent="0.2">
      <c r="A308" t="str">
        <f t="shared" si="68"/>
        <v/>
      </c>
      <c r="E308" s="4"/>
      <c r="F308" s="44"/>
      <c r="G308" s="4"/>
      <c r="H308" s="47"/>
      <c r="J308" s="45" t="str">
        <f t="shared" si="69"/>
        <v/>
      </c>
      <c r="N308" t="str">
        <f t="shared" si="71"/>
        <v/>
      </c>
      <c r="Q308" t="str">
        <f t="shared" si="70"/>
        <v/>
      </c>
      <c r="S308" t="str">
        <f>IF(A308=1,MAX(S$2:S307)+1,IF(OR(I308&lt;&gt;"",A308="x"),S307,""))</f>
        <v/>
      </c>
      <c r="T308" t="str">
        <f>IF(D308=1,MAX($T$2:$T307)+1,IF(S308=$S307,$S307,IF($D308="x",T307,IF($D307="x","",""))))</f>
        <v/>
      </c>
      <c r="U308" t="str">
        <f>IF(B308=1,MAX($U$2:$U307)+1,IF(AND($T308&lt;&gt;"",$T308=$T307),$U307,IF(B308="x",U307,"")))</f>
        <v/>
      </c>
      <c r="V308" t="str">
        <f>IF(C308=1,MAX($V$2:$V307)+1,IF(AND($T308&lt;&gt;"",$T308=$T307),$U307,IF(C308="x",V307,"")))</f>
        <v/>
      </c>
      <c r="W308" t="str" cm="1">
        <f t="array" ref="W308">IFERROR(_xlfn._xlws.FILTER(game_rosters!AB:AB,(game_rosters!J:J=events!X308)*(K308&lt;&gt;"")),"")</f>
        <v/>
      </c>
      <c r="X308" t="str" cm="1">
        <f t="array" ref="X308">IF(S308="","",IF($I308&lt;&gt;"",$I308,INDEX($I$2:$I307,ROW()-COUNTIFS($T$2:$T307,"="&amp;$T308,$S$2:$S307,"&lt;&gt;"&amp;$S308)-1)))</f>
        <v/>
      </c>
      <c r="Y308" t="b">
        <f>IF(X308&lt;&gt;"",VLOOKUP(X308,game_rosters!$C$43:$E$64,3,FALSE))</f>
        <v>0</v>
      </c>
      <c r="Z308" t="e" cm="1" vm="1">
        <f t="array" aca="1" ref="Z308" ca="1">IFERROR(IF(_xlfn._xlws.FILTER(game_rosters!$J:$J,(game_rosters!$G:$G=events!$AN308)*(game_rosters!$J:$J=events!$X308))&gt;0,1,""),"")</f>
        <v>#VALUE!</v>
      </c>
      <c r="AA308" t="e">
        <f t="shared" si="66"/>
        <v>#VALUE!</v>
      </c>
      <c r="AB308" t="str">
        <f t="shared" si="67"/>
        <v/>
      </c>
      <c r="AC308" t="e">
        <f t="shared" si="65"/>
        <v>#VALUE!</v>
      </c>
      <c r="AD308" s="6"/>
      <c r="BJ308" s="39"/>
      <c r="BM308" s="39"/>
      <c r="BO308" s="19"/>
      <c r="BQ308" s="17"/>
    </row>
    <row r="309" spans="1:69" x14ac:dyDescent="0.2">
      <c r="A309" t="str">
        <f t="shared" si="68"/>
        <v/>
      </c>
      <c r="E309" s="4"/>
      <c r="F309" s="44"/>
      <c r="G309" s="4"/>
      <c r="H309" s="47"/>
      <c r="J309" s="45" t="str">
        <f t="shared" si="69"/>
        <v/>
      </c>
      <c r="N309" t="str">
        <f t="shared" si="71"/>
        <v/>
      </c>
      <c r="Q309" t="str">
        <f t="shared" si="70"/>
        <v/>
      </c>
      <c r="S309" t="str">
        <f>IF(A309=1,MAX(S$2:S308)+1,IF(OR(I309&lt;&gt;"",A309="x"),S308,""))</f>
        <v/>
      </c>
      <c r="T309" t="str">
        <f>IF(D309=1,MAX($T$2:$T308)+1,IF(S309=$S308,$S308,IF($D309="x",T308,IF($D308="x","",""))))</f>
        <v/>
      </c>
      <c r="U309" t="str">
        <f>IF(B309=1,MAX($U$2:$U308)+1,IF(AND($T309&lt;&gt;"",$T309=$T308),$U308,IF(B309="x",U308,"")))</f>
        <v/>
      </c>
      <c r="V309" t="str">
        <f>IF(C309=1,MAX($V$2:$V308)+1,IF(AND($T309&lt;&gt;"",$T309=$T308),$U308,IF(C309="x",V308,"")))</f>
        <v/>
      </c>
      <c r="W309" t="str" cm="1">
        <f t="array" ref="W309">IFERROR(_xlfn._xlws.FILTER(game_rosters!AB:AB,(game_rosters!J:J=events!X309)*(K309&lt;&gt;"")),"")</f>
        <v/>
      </c>
      <c r="X309" t="str" cm="1">
        <f t="array" ref="X309">IF(S309="","",IF($I309&lt;&gt;"",$I309,INDEX($I$2:$I308,ROW()-COUNTIFS($T$2:$T308,"="&amp;$T309,$S$2:$S308,"&lt;&gt;"&amp;$S309)-1)))</f>
        <v/>
      </c>
      <c r="Y309" t="b">
        <f>IF(X309&lt;&gt;"",VLOOKUP(X309,game_rosters!$C$43:$E$64,3,FALSE))</f>
        <v>0</v>
      </c>
      <c r="Z309" t="e" cm="1" vm="1">
        <f t="array" aca="1" ref="Z309" ca="1">IFERROR(IF(_xlfn._xlws.FILTER(game_rosters!$J:$J,(game_rosters!$G:$G=events!$AN309)*(game_rosters!$J:$J=events!$X309))&gt;0,1,""),"")</f>
        <v>#VALUE!</v>
      </c>
      <c r="AA309" t="e">
        <f t="shared" si="66"/>
        <v>#VALUE!</v>
      </c>
      <c r="AB309" t="str">
        <f t="shared" si="67"/>
        <v/>
      </c>
      <c r="AC309" t="e">
        <f t="shared" si="65"/>
        <v>#VALUE!</v>
      </c>
      <c r="AD309" s="6"/>
      <c r="BJ309" s="39"/>
      <c r="BM309" s="39"/>
      <c r="BO309" s="19"/>
      <c r="BQ309" s="17"/>
    </row>
    <row r="310" spans="1:69" x14ac:dyDescent="0.2">
      <c r="A310" t="str">
        <f t="shared" si="68"/>
        <v/>
      </c>
      <c r="E310" s="4"/>
      <c r="F310" s="44"/>
      <c r="G310" s="4"/>
      <c r="H310" s="47"/>
      <c r="J310" s="45" t="str">
        <f t="shared" si="69"/>
        <v/>
      </c>
      <c r="N310" t="str">
        <f t="shared" si="71"/>
        <v/>
      </c>
      <c r="Q310" t="str">
        <f t="shared" si="70"/>
        <v/>
      </c>
      <c r="S310" t="str">
        <f>IF(A310=1,MAX(S$2:S309)+1,IF(OR(I310&lt;&gt;"",A310="x"),S309,""))</f>
        <v/>
      </c>
      <c r="T310" t="str">
        <f>IF(D310=1,MAX($T$2:$T309)+1,IF(S310=$S309,$S309,IF($D310="x",T309,IF($D309="x","",""))))</f>
        <v/>
      </c>
      <c r="U310" t="str">
        <f>IF(B310=1,MAX($U$2:$U309)+1,IF(AND($T310&lt;&gt;"",$T310=$T309),$U309,IF(B310="x",U309,"")))</f>
        <v/>
      </c>
      <c r="V310" t="str">
        <f>IF(C310=1,MAX($V$2:$V309)+1,IF(AND($T310&lt;&gt;"",$T310=$T309),$U309,IF(C310="x",V309,"")))</f>
        <v/>
      </c>
      <c r="W310" t="str" cm="1">
        <f t="array" ref="W310">IFERROR(_xlfn._xlws.FILTER(game_rosters!AB:AB,(game_rosters!J:J=events!X310)*(K310&lt;&gt;"")),"")</f>
        <v/>
      </c>
      <c r="X310" t="str" cm="1">
        <f t="array" ref="X310">IF(S310="","",IF($I310&lt;&gt;"",$I310,INDEX($I$2:$I309,ROW()-COUNTIFS($T$2:$T309,"="&amp;$T310,$S$2:$S309,"&lt;&gt;"&amp;$S310)-1)))</f>
        <v/>
      </c>
      <c r="Y310" t="b">
        <f>IF(X310&lt;&gt;"",VLOOKUP(X310,game_rosters!$C$43:$E$64,3,FALSE))</f>
        <v>0</v>
      </c>
      <c r="Z310" t="e" cm="1" vm="1">
        <f t="array" aca="1" ref="Z310" ca="1">IFERROR(IF(_xlfn._xlws.FILTER(game_rosters!$J:$J,(game_rosters!$G:$G=events!$AN310)*(game_rosters!$J:$J=events!$X310))&gt;0,1,""),"")</f>
        <v>#VALUE!</v>
      </c>
      <c r="AA310" t="e">
        <f t="shared" si="66"/>
        <v>#VALUE!</v>
      </c>
      <c r="AB310" t="str">
        <f t="shared" si="67"/>
        <v/>
      </c>
      <c r="AC310" t="e">
        <f t="shared" si="65"/>
        <v>#VALUE!</v>
      </c>
      <c r="AD310" s="6"/>
      <c r="BJ310" s="39"/>
      <c r="BM310" s="39"/>
      <c r="BO310" s="19"/>
      <c r="BQ310" s="17"/>
    </row>
    <row r="311" spans="1:69" x14ac:dyDescent="0.2">
      <c r="A311" t="str">
        <f t="shared" si="68"/>
        <v/>
      </c>
      <c r="E311" s="4"/>
      <c r="F311" s="44"/>
      <c r="G311" s="4"/>
      <c r="H311" s="47"/>
      <c r="J311" s="45" t="str">
        <f t="shared" si="69"/>
        <v/>
      </c>
      <c r="N311" t="str">
        <f t="shared" si="71"/>
        <v/>
      </c>
      <c r="Q311" t="str">
        <f t="shared" si="70"/>
        <v/>
      </c>
      <c r="S311" t="str">
        <f>IF(A311=1,MAX(S$2:S310)+1,IF(OR(I311&lt;&gt;"",A311="x"),S310,""))</f>
        <v/>
      </c>
      <c r="T311" t="str">
        <f>IF(D311=1,MAX($T$2:$T310)+1,IF(S311=$S310,$S310,IF($D311="x",T310,IF($D310="x","",""))))</f>
        <v/>
      </c>
      <c r="U311" t="str">
        <f>IF(B311=1,MAX($U$2:$U310)+1,IF(AND($T311&lt;&gt;"",$T311=$T310),$U310,IF(B311="x",U310,"")))</f>
        <v/>
      </c>
      <c r="V311" t="str">
        <f>IF(C311=1,MAX($V$2:$V310)+1,IF(AND($T311&lt;&gt;"",$T311=$T310),$U310,IF(C311="x",V310,"")))</f>
        <v/>
      </c>
      <c r="W311" t="str" cm="1">
        <f t="array" ref="W311">IFERROR(_xlfn._xlws.FILTER(game_rosters!AB:AB,(game_rosters!J:J=events!X311)*(K311&lt;&gt;"")),"")</f>
        <v/>
      </c>
      <c r="X311" t="str" cm="1">
        <f t="array" ref="X311">IF(S311="","",IF($I311&lt;&gt;"",$I311,INDEX($I$2:$I310,ROW()-COUNTIFS($T$2:$T310,"="&amp;$T311,$S$2:$S310,"&lt;&gt;"&amp;$S311)-1)))</f>
        <v/>
      </c>
      <c r="Y311" t="b">
        <f>IF(X311&lt;&gt;"",VLOOKUP(X311,game_rosters!$C$43:$E$64,3,FALSE))</f>
        <v>0</v>
      </c>
      <c r="Z311" t="e" cm="1" vm="1">
        <f t="array" aca="1" ref="Z311" ca="1">IFERROR(IF(_xlfn._xlws.FILTER(game_rosters!$J:$J,(game_rosters!$G:$G=events!$AN311)*(game_rosters!$J:$J=events!$X311))&gt;0,1,""),"")</f>
        <v>#VALUE!</v>
      </c>
      <c r="AA311" t="e">
        <f t="shared" si="66"/>
        <v>#VALUE!</v>
      </c>
      <c r="AB311" t="str">
        <f t="shared" si="67"/>
        <v/>
      </c>
      <c r="AC311" t="e">
        <f t="shared" si="65"/>
        <v>#VALUE!</v>
      </c>
      <c r="AD311" s="6"/>
      <c r="BJ311" s="39"/>
      <c r="BM311" s="39"/>
      <c r="BO311" s="19"/>
      <c r="BQ311" s="17"/>
    </row>
    <row r="312" spans="1:69" x14ac:dyDescent="0.2">
      <c r="A312" t="str">
        <f t="shared" si="68"/>
        <v/>
      </c>
      <c r="E312" s="4"/>
      <c r="F312" s="44"/>
      <c r="G312" s="4"/>
      <c r="H312" s="47"/>
      <c r="J312" s="45" t="str">
        <f t="shared" si="69"/>
        <v/>
      </c>
      <c r="N312" t="str">
        <f t="shared" si="71"/>
        <v/>
      </c>
      <c r="Q312" t="str">
        <f t="shared" si="70"/>
        <v/>
      </c>
      <c r="S312" t="str">
        <f>IF(A312=1,MAX(S$2:S311)+1,IF(OR(I312&lt;&gt;"",A312="x"),S311,""))</f>
        <v/>
      </c>
      <c r="T312" t="str">
        <f>IF(D312=1,MAX($T$2:$T311)+1,IF(S312=$S311,$S311,IF($D312="x",T311,IF($D311="x","",""))))</f>
        <v/>
      </c>
      <c r="U312" t="str">
        <f>IF(B312=1,MAX($U$2:$U311)+1,IF(AND($T312&lt;&gt;"",$T312=$T311),$U311,IF(B312="x",U311,"")))</f>
        <v/>
      </c>
      <c r="V312" t="str">
        <f>IF(C312=1,MAX($V$2:$V311)+1,IF(AND($T312&lt;&gt;"",$T312=$T311),$U311,IF(C312="x",V311,"")))</f>
        <v/>
      </c>
      <c r="W312" t="str" cm="1">
        <f t="array" ref="W312">IFERROR(_xlfn._xlws.FILTER(game_rosters!AB:AB,(game_rosters!J:J=events!X312)*(K312&lt;&gt;"")),"")</f>
        <v/>
      </c>
      <c r="X312" t="str" cm="1">
        <f t="array" ref="X312">IF(S312="","",IF($I312&lt;&gt;"",$I312,INDEX($I$2:$I311,ROW()-COUNTIFS($T$2:$T311,"="&amp;$T312,$S$2:$S311,"&lt;&gt;"&amp;$S312)-1)))</f>
        <v/>
      </c>
      <c r="Y312" t="b">
        <f>IF(X312&lt;&gt;"",VLOOKUP(X312,game_rosters!$C$43:$E$64,3,FALSE))</f>
        <v>0</v>
      </c>
      <c r="Z312" t="e" cm="1" vm="1">
        <f t="array" aca="1" ref="Z312" ca="1">IFERROR(IF(_xlfn._xlws.FILTER(game_rosters!$J:$J,(game_rosters!$G:$G=events!$AN312)*(game_rosters!$J:$J=events!$X312))&gt;0,1,""),"")</f>
        <v>#VALUE!</v>
      </c>
      <c r="AA312" t="e">
        <f t="shared" si="66"/>
        <v>#VALUE!</v>
      </c>
      <c r="AB312" t="str">
        <f t="shared" si="67"/>
        <v/>
      </c>
      <c r="AC312" t="e">
        <f t="shared" si="65"/>
        <v>#VALUE!</v>
      </c>
      <c r="AD312" s="6"/>
      <c r="BJ312" s="39"/>
      <c r="BM312" s="39"/>
      <c r="BO312" s="19"/>
      <c r="BQ312" s="17"/>
    </row>
    <row r="313" spans="1:69" x14ac:dyDescent="0.2">
      <c r="A313" t="str">
        <f t="shared" si="68"/>
        <v/>
      </c>
      <c r="E313" s="4"/>
      <c r="F313" s="44"/>
      <c r="G313" s="4"/>
      <c r="H313" s="47"/>
      <c r="J313" s="45" t="str">
        <f t="shared" si="69"/>
        <v/>
      </c>
      <c r="N313" t="str">
        <f t="shared" si="71"/>
        <v/>
      </c>
      <c r="Q313" t="str">
        <f t="shared" si="70"/>
        <v/>
      </c>
      <c r="S313" t="str">
        <f>IF(A313=1,MAX(S$2:S312)+1,IF(OR(I313&lt;&gt;"",A313="x"),S312,""))</f>
        <v/>
      </c>
      <c r="T313" t="str">
        <f>IF(D313=1,MAX($T$2:$T312)+1,IF(S313=$S312,$S312,IF($D313="x",T312,IF($D312="x","",""))))</f>
        <v/>
      </c>
      <c r="U313" t="str">
        <f>IF(B313=1,MAX($U$2:$U312)+1,IF(AND($T313&lt;&gt;"",$T313=$T312),$U312,IF(B313="x",U312,"")))</f>
        <v/>
      </c>
      <c r="V313" t="str">
        <f>IF(C313=1,MAX($V$2:$V312)+1,IF(AND($T313&lt;&gt;"",$T313=$T312),$U312,IF(C313="x",V312,"")))</f>
        <v/>
      </c>
      <c r="W313" t="str" cm="1">
        <f t="array" ref="W313">IFERROR(_xlfn._xlws.FILTER(game_rosters!AB:AB,(game_rosters!J:J=events!X313)*(K313&lt;&gt;"")),"")</f>
        <v/>
      </c>
      <c r="X313" t="str" cm="1">
        <f t="array" ref="X313">IF(S313="","",IF($I313&lt;&gt;"",$I313,INDEX($I$2:$I312,ROW()-COUNTIFS($T$2:$T312,"="&amp;$T313,$S$2:$S312,"&lt;&gt;"&amp;$S313)-1)))</f>
        <v/>
      </c>
      <c r="Y313" t="b">
        <f>IF(X313&lt;&gt;"",VLOOKUP(X313,game_rosters!$C$43:$E$64,3,FALSE))</f>
        <v>0</v>
      </c>
      <c r="Z313" t="e" cm="1" vm="1">
        <f t="array" aca="1" ref="Z313" ca="1">IFERROR(IF(_xlfn._xlws.FILTER(game_rosters!$J:$J,(game_rosters!$G:$G=events!$AN313)*(game_rosters!$J:$J=events!$X313))&gt;0,1,""),"")</f>
        <v>#VALUE!</v>
      </c>
      <c r="AA313" t="e">
        <f t="shared" si="66"/>
        <v>#VALUE!</v>
      </c>
      <c r="AB313" t="str">
        <f t="shared" si="67"/>
        <v/>
      </c>
      <c r="AC313" t="e">
        <f t="shared" si="65"/>
        <v>#VALUE!</v>
      </c>
      <c r="AD313" s="6"/>
      <c r="BJ313" s="39"/>
      <c r="BM313" s="39"/>
      <c r="BO313" s="19"/>
      <c r="BQ313" s="17"/>
    </row>
    <row r="314" spans="1:69" x14ac:dyDescent="0.2">
      <c r="A314" t="str">
        <f t="shared" si="68"/>
        <v/>
      </c>
      <c r="E314" s="4"/>
      <c r="F314" s="44"/>
      <c r="G314" s="4"/>
      <c r="H314" s="47"/>
      <c r="J314" s="45" t="str">
        <f t="shared" si="69"/>
        <v/>
      </c>
      <c r="N314" t="str">
        <f t="shared" si="71"/>
        <v/>
      </c>
      <c r="Q314" t="str">
        <f t="shared" si="70"/>
        <v/>
      </c>
      <c r="S314" t="str">
        <f>IF(A314=1,MAX(S$2:S313)+1,IF(OR(I314&lt;&gt;"",A314="x"),S313,""))</f>
        <v/>
      </c>
      <c r="T314" t="str">
        <f>IF(D314=1,MAX($T$2:$T313)+1,IF(S314=$S313,$S313,IF($D314="x",T313,IF($D313="x","",""))))</f>
        <v/>
      </c>
      <c r="U314" t="str">
        <f>IF(B314=1,MAX($U$2:$U313)+1,IF(AND($T314&lt;&gt;"",$T314=$T313),$U313,IF(B314="x",U313,"")))</f>
        <v/>
      </c>
      <c r="V314" t="str">
        <f>IF(C314=1,MAX($V$2:$V313)+1,IF(AND($T314&lt;&gt;"",$T314=$T313),$U313,IF(C314="x",V313,"")))</f>
        <v/>
      </c>
      <c r="W314" t="str" cm="1">
        <f t="array" ref="W314">IFERROR(_xlfn._xlws.FILTER(game_rosters!AB:AB,(game_rosters!J:J=events!X314)*(K314&lt;&gt;"")),"")</f>
        <v/>
      </c>
      <c r="X314" t="str" cm="1">
        <f t="array" ref="X314">IF(S314="","",IF($I314&lt;&gt;"",$I314,INDEX($I$2:$I313,ROW()-COUNTIFS($T$2:$T313,"="&amp;$T314,$S$2:$S313,"&lt;&gt;"&amp;$S314)-1)))</f>
        <v/>
      </c>
      <c r="Y314" t="b">
        <f>IF(X314&lt;&gt;"",VLOOKUP(X314,game_rosters!$C$43:$E$64,3,FALSE))</f>
        <v>0</v>
      </c>
      <c r="Z314" t="e" cm="1" vm="1">
        <f t="array" aca="1" ref="Z314" ca="1">IFERROR(IF(_xlfn._xlws.FILTER(game_rosters!$J:$J,(game_rosters!$G:$G=events!$AN314)*(game_rosters!$J:$J=events!$X314))&gt;0,1,""),"")</f>
        <v>#VALUE!</v>
      </c>
      <c r="AA314" t="e">
        <f t="shared" si="66"/>
        <v>#VALUE!</v>
      </c>
      <c r="AB314" t="str">
        <f t="shared" si="67"/>
        <v/>
      </c>
      <c r="AC314" t="e">
        <f t="shared" si="65"/>
        <v>#VALUE!</v>
      </c>
      <c r="AD314" s="6"/>
      <c r="BJ314" s="39"/>
      <c r="BM314" s="39"/>
      <c r="BO314" s="19"/>
      <c r="BQ314" s="17"/>
    </row>
    <row r="315" spans="1:69" x14ac:dyDescent="0.2">
      <c r="A315" t="str">
        <f t="shared" si="68"/>
        <v/>
      </c>
      <c r="E315" s="4"/>
      <c r="F315" s="44"/>
      <c r="G315" s="4"/>
      <c r="H315" s="47"/>
      <c r="J315" s="45" t="str">
        <f t="shared" si="69"/>
        <v/>
      </c>
      <c r="N315" t="str">
        <f t="shared" si="71"/>
        <v/>
      </c>
      <c r="Q315" t="str">
        <f t="shared" si="70"/>
        <v/>
      </c>
      <c r="S315" t="str">
        <f>IF(A315=1,MAX(S$2:S314)+1,IF(OR(I315&lt;&gt;"",A315="x"),S314,""))</f>
        <v/>
      </c>
      <c r="T315" t="str">
        <f>IF(D315=1,MAX($T$2:$T314)+1,IF(S315=$S314,$S314,IF($D315="x",T314,IF($D314="x","",""))))</f>
        <v/>
      </c>
      <c r="U315" t="str">
        <f>IF(B315=1,MAX($U$2:$U314)+1,IF(AND($T315&lt;&gt;"",$T315=$T314),$U314,IF(B315="x",U314,"")))</f>
        <v/>
      </c>
      <c r="V315" t="str">
        <f>IF(C315=1,MAX($V$2:$V314)+1,IF(AND($T315&lt;&gt;"",$T315=$T314),$U314,IF(C315="x",V314,"")))</f>
        <v/>
      </c>
      <c r="W315" t="str" cm="1">
        <f t="array" ref="W315">IFERROR(_xlfn._xlws.FILTER(game_rosters!AB:AB,(game_rosters!J:J=events!X315)*(K315&lt;&gt;"")),"")</f>
        <v/>
      </c>
      <c r="X315" t="str" cm="1">
        <f t="array" ref="X315">IF(S315="","",IF($I315&lt;&gt;"",$I315,INDEX($I$2:$I314,ROW()-COUNTIFS($T$2:$T314,"="&amp;$T315,$S$2:$S314,"&lt;&gt;"&amp;$S315)-1)))</f>
        <v/>
      </c>
      <c r="Y315" t="b">
        <f>IF(X315&lt;&gt;"",VLOOKUP(X315,game_rosters!$C$43:$E$64,3,FALSE))</f>
        <v>0</v>
      </c>
      <c r="Z315" t="e" cm="1" vm="1">
        <f t="array" aca="1" ref="Z315" ca="1">IFERROR(IF(_xlfn._xlws.FILTER(game_rosters!$J:$J,(game_rosters!$G:$G=events!$AN315)*(game_rosters!$J:$J=events!$X315))&gt;0,1,""),"")</f>
        <v>#VALUE!</v>
      </c>
      <c r="AA315" t="e">
        <f t="shared" si="66"/>
        <v>#VALUE!</v>
      </c>
      <c r="AB315" t="str">
        <f t="shared" si="67"/>
        <v/>
      </c>
      <c r="AC315" t="e">
        <f t="shared" si="65"/>
        <v>#VALUE!</v>
      </c>
      <c r="AD315" s="6"/>
      <c r="BJ315" s="39"/>
      <c r="BM315" s="39"/>
      <c r="BO315" s="19"/>
      <c r="BQ315" s="17"/>
    </row>
    <row r="316" spans="1:69" x14ac:dyDescent="0.2">
      <c r="A316" t="str">
        <f t="shared" si="68"/>
        <v/>
      </c>
      <c r="E316" s="4"/>
      <c r="F316" s="44"/>
      <c r="G316" s="4"/>
      <c r="H316" s="47"/>
      <c r="J316" s="45" t="str">
        <f t="shared" si="69"/>
        <v/>
      </c>
      <c r="N316" t="str">
        <f t="shared" si="71"/>
        <v/>
      </c>
      <c r="Q316" t="str">
        <f t="shared" si="70"/>
        <v/>
      </c>
      <c r="S316" t="str">
        <f>IF(A316=1,MAX(S$2:S315)+1,IF(OR(I316&lt;&gt;"",A316="x"),S315,""))</f>
        <v/>
      </c>
      <c r="T316" t="str">
        <f>IF(D316=1,MAX($T$2:$T315)+1,IF(S316=$S315,$S315,IF($D316="x",T315,IF($D315="x","",""))))</f>
        <v/>
      </c>
      <c r="U316" t="str">
        <f>IF(B316=1,MAX($U$2:$U315)+1,IF(AND($T316&lt;&gt;"",$T316=$T315),$U315,IF(B316="x",U315,"")))</f>
        <v/>
      </c>
      <c r="V316" t="str">
        <f>IF(C316=1,MAX($V$2:$V315)+1,IF(AND($T316&lt;&gt;"",$T316=$T315),$U315,IF(C316="x",V315,"")))</f>
        <v/>
      </c>
      <c r="W316" t="str" cm="1">
        <f t="array" ref="W316">IFERROR(_xlfn._xlws.FILTER(game_rosters!AB:AB,(game_rosters!J:J=events!X316)*(K316&lt;&gt;"")),"")</f>
        <v/>
      </c>
      <c r="X316" t="str" cm="1">
        <f t="array" ref="X316">IF(S316="","",IF($I316&lt;&gt;"",$I316,INDEX($I$2:$I315,ROW()-COUNTIFS($T$2:$T315,"="&amp;$T316,$S$2:$S315,"&lt;&gt;"&amp;$S316)-1)))</f>
        <v/>
      </c>
      <c r="Y316" t="b">
        <f>IF(X316&lt;&gt;"",VLOOKUP(X316,game_rosters!$C$43:$E$64,3,FALSE))</f>
        <v>0</v>
      </c>
      <c r="Z316" t="e" cm="1" vm="1">
        <f t="array" aca="1" ref="Z316" ca="1">IFERROR(IF(_xlfn._xlws.FILTER(game_rosters!$J:$J,(game_rosters!$G:$G=events!$AN316)*(game_rosters!$J:$J=events!$X316))&gt;0,1,""),"")</f>
        <v>#VALUE!</v>
      </c>
      <c r="AA316" t="e">
        <f t="shared" si="66"/>
        <v>#VALUE!</v>
      </c>
      <c r="AB316" t="str">
        <f t="shared" si="67"/>
        <v/>
      </c>
      <c r="AC316" t="e">
        <f t="shared" si="65"/>
        <v>#VALUE!</v>
      </c>
      <c r="AD316" s="6"/>
      <c r="BJ316" s="39"/>
      <c r="BM316" s="39"/>
      <c r="BO316" s="19"/>
      <c r="BQ316" s="17"/>
    </row>
    <row r="317" spans="1:69" x14ac:dyDescent="0.2">
      <c r="A317" t="str">
        <f t="shared" si="68"/>
        <v/>
      </c>
      <c r="E317" s="4"/>
      <c r="F317" s="44"/>
      <c r="G317" s="4"/>
      <c r="H317" s="47"/>
      <c r="J317" s="45" t="str">
        <f t="shared" si="69"/>
        <v/>
      </c>
      <c r="N317" t="str">
        <f t="shared" si="71"/>
        <v/>
      </c>
      <c r="Q317" t="str">
        <f t="shared" si="70"/>
        <v/>
      </c>
      <c r="S317" t="str">
        <f>IF(A317=1,MAX(S$2:S316)+1,IF(OR(I317&lt;&gt;"",A317="x"),S316,""))</f>
        <v/>
      </c>
      <c r="T317" t="str">
        <f>IF(D317=1,MAX($T$2:$T316)+1,IF(S317=$S316,$S316,IF($D317="x",T316,IF($D316="x","",""))))</f>
        <v/>
      </c>
      <c r="U317" t="str">
        <f>IF(B317=1,MAX($U$2:$U316)+1,IF(AND($T317&lt;&gt;"",$T317=$T316),$U316,IF(B317="x",U316,"")))</f>
        <v/>
      </c>
      <c r="V317" t="str">
        <f>IF(C317=1,MAX($V$2:$V316)+1,IF(AND($T317&lt;&gt;"",$T317=$T316),$U316,IF(C317="x",V316,"")))</f>
        <v/>
      </c>
      <c r="W317" t="str" cm="1">
        <f t="array" ref="W317">IFERROR(_xlfn._xlws.FILTER(game_rosters!AB:AB,(game_rosters!J:J=events!X317)*(K317&lt;&gt;"")),"")</f>
        <v/>
      </c>
      <c r="X317" t="str" cm="1">
        <f t="array" ref="X317">IF(S317="","",IF($I317&lt;&gt;"",$I317,INDEX($I$2:$I316,ROW()-COUNTIFS($T$2:$T316,"="&amp;$T317,$S$2:$S316,"&lt;&gt;"&amp;$S317)-1)))</f>
        <v/>
      </c>
      <c r="Y317" t="b">
        <f>IF(X317&lt;&gt;"",VLOOKUP(X317,game_rosters!$C$43:$E$64,3,FALSE))</f>
        <v>0</v>
      </c>
      <c r="Z317" t="e" cm="1" vm="1">
        <f t="array" aca="1" ref="Z317" ca="1">IFERROR(IF(_xlfn._xlws.FILTER(game_rosters!$J:$J,(game_rosters!$G:$G=events!$AN317)*(game_rosters!$J:$J=events!$X317))&gt;0,1,""),"")</f>
        <v>#VALUE!</v>
      </c>
      <c r="AA317" t="e">
        <f t="shared" si="66"/>
        <v>#VALUE!</v>
      </c>
      <c r="AB317" t="str">
        <f t="shared" si="67"/>
        <v/>
      </c>
      <c r="AC317" t="e">
        <f t="shared" si="65"/>
        <v>#VALUE!</v>
      </c>
      <c r="AD317" s="6"/>
      <c r="BJ317" s="39"/>
      <c r="BM317" s="39"/>
      <c r="BO317" s="19"/>
      <c r="BQ317" s="17"/>
    </row>
    <row r="318" spans="1:69" x14ac:dyDescent="0.2">
      <c r="A318" t="str">
        <f t="shared" si="68"/>
        <v/>
      </c>
      <c r="E318" s="4"/>
      <c r="F318" s="44"/>
      <c r="G318" s="4"/>
      <c r="H318" s="47"/>
      <c r="J318" s="45" t="str">
        <f t="shared" si="69"/>
        <v/>
      </c>
      <c r="N318" t="str">
        <f t="shared" si="71"/>
        <v/>
      </c>
      <c r="Q318" t="str">
        <f t="shared" si="70"/>
        <v/>
      </c>
      <c r="S318" t="str">
        <f>IF(A318=1,MAX(S$2:S317)+1,IF(OR(I318&lt;&gt;"",A318="x"),S317,""))</f>
        <v/>
      </c>
      <c r="T318" t="str">
        <f>IF(D318=1,MAX($T$2:$T317)+1,IF(S318=$S317,$S317,IF($D318="x",T317,IF($D317="x","",""))))</f>
        <v/>
      </c>
      <c r="U318" t="str">
        <f>IF(B318=1,MAX($U$2:$U317)+1,IF(AND($T318&lt;&gt;"",$T318=$T317),$U317,IF(B318="x",U317,"")))</f>
        <v/>
      </c>
      <c r="V318" t="str">
        <f>IF(C318=1,MAX($V$2:$V317)+1,IF(AND($T318&lt;&gt;"",$T318=$T317),$U317,IF(C318="x",V317,"")))</f>
        <v/>
      </c>
      <c r="W318" t="str" cm="1">
        <f t="array" ref="W318">IFERROR(_xlfn._xlws.FILTER(game_rosters!AB:AB,(game_rosters!J:J=events!X318)*(K318&lt;&gt;"")),"")</f>
        <v/>
      </c>
      <c r="X318" t="str" cm="1">
        <f t="array" ref="X318">IF(S318="","",IF($I318&lt;&gt;"",$I318,INDEX($I$2:$I317,ROW()-COUNTIFS($T$2:$T317,"="&amp;$T318,$S$2:$S317,"&lt;&gt;"&amp;$S318)-1)))</f>
        <v/>
      </c>
      <c r="Y318" t="b">
        <f>IF(X318&lt;&gt;"",VLOOKUP(X318,game_rosters!$C$43:$E$64,3,FALSE))</f>
        <v>0</v>
      </c>
      <c r="Z318" t="e" cm="1" vm="1">
        <f t="array" aca="1" ref="Z318" ca="1">IFERROR(IF(_xlfn._xlws.FILTER(game_rosters!$J:$J,(game_rosters!$G:$G=events!$AN318)*(game_rosters!$J:$J=events!$X318))&gt;0,1,""),"")</f>
        <v>#VALUE!</v>
      </c>
      <c r="AA318" t="e">
        <f t="shared" si="66"/>
        <v>#VALUE!</v>
      </c>
      <c r="AB318" t="str">
        <f t="shared" si="67"/>
        <v/>
      </c>
      <c r="AC318" t="e">
        <f t="shared" si="65"/>
        <v>#VALUE!</v>
      </c>
      <c r="AD318" s="6"/>
      <c r="BJ318" s="39"/>
      <c r="BM318" s="39"/>
      <c r="BO318" s="19"/>
      <c r="BQ318" s="17"/>
    </row>
    <row r="319" spans="1:69" x14ac:dyDescent="0.2">
      <c r="A319" t="str">
        <f t="shared" si="68"/>
        <v/>
      </c>
      <c r="E319" s="4"/>
      <c r="F319" s="44"/>
      <c r="G319" s="4"/>
      <c r="H319" s="47"/>
      <c r="J319" s="45" t="str">
        <f t="shared" si="69"/>
        <v/>
      </c>
      <c r="N319" t="str">
        <f t="shared" si="71"/>
        <v/>
      </c>
      <c r="Q319" t="str">
        <f t="shared" si="70"/>
        <v/>
      </c>
      <c r="S319" t="str">
        <f>IF(A319=1,MAX(S$2:S318)+1,IF(OR(I319&lt;&gt;"",A319="x"),S318,""))</f>
        <v/>
      </c>
      <c r="T319" t="str">
        <f>IF(D319=1,MAX($T$2:$T318)+1,IF(S319=$S318,$S318,IF($D319="x",T318,IF($D318="x","",""))))</f>
        <v/>
      </c>
      <c r="U319" t="str">
        <f>IF(B319=1,MAX($U$2:$U318)+1,IF(AND($T319&lt;&gt;"",$T319=$T318),$U318,IF(B319="x",U318,"")))</f>
        <v/>
      </c>
      <c r="V319" t="str">
        <f>IF(C319=1,MAX($V$2:$V318)+1,IF(AND($T319&lt;&gt;"",$T319=$T318),$U318,IF(C319="x",V318,"")))</f>
        <v/>
      </c>
      <c r="W319" t="str" cm="1">
        <f t="array" ref="W319">IFERROR(_xlfn._xlws.FILTER(game_rosters!AB:AB,(game_rosters!J:J=events!X319)*(K319&lt;&gt;"")),"")</f>
        <v/>
      </c>
      <c r="X319" t="str" cm="1">
        <f t="array" ref="X319">IF(S319="","",IF($I319&lt;&gt;"",$I319,INDEX($I$2:$I318,ROW()-COUNTIFS($T$2:$T318,"="&amp;$T319,$S$2:$S318,"&lt;&gt;"&amp;$S319)-1)))</f>
        <v/>
      </c>
      <c r="Y319" t="b">
        <f>IF(X319&lt;&gt;"",VLOOKUP(X319,game_rosters!$C$43:$E$64,3,FALSE))</f>
        <v>0</v>
      </c>
      <c r="Z319" t="e" cm="1" vm="1">
        <f t="array" aca="1" ref="Z319" ca="1">IFERROR(IF(_xlfn._xlws.FILTER(game_rosters!$J:$J,(game_rosters!$G:$G=events!$AN319)*(game_rosters!$J:$J=events!$X319))&gt;0,1,""),"")</f>
        <v>#VALUE!</v>
      </c>
      <c r="AA319" t="e">
        <f t="shared" si="66"/>
        <v>#VALUE!</v>
      </c>
      <c r="AB319" t="str">
        <f t="shared" si="67"/>
        <v/>
      </c>
      <c r="AC319" t="e">
        <f t="shared" si="65"/>
        <v>#VALUE!</v>
      </c>
      <c r="AD319" s="6"/>
      <c r="BJ319" s="39"/>
      <c r="BM319" s="39"/>
      <c r="BO319" s="19"/>
      <c r="BQ319" s="17"/>
    </row>
    <row r="320" spans="1:69" x14ac:dyDescent="0.2">
      <c r="A320" t="str">
        <f t="shared" si="68"/>
        <v/>
      </c>
      <c r="E320" s="4"/>
      <c r="F320" s="44"/>
      <c r="G320" s="4"/>
      <c r="H320" s="47"/>
      <c r="J320" s="45" t="str">
        <f t="shared" si="69"/>
        <v/>
      </c>
      <c r="N320" t="str">
        <f t="shared" si="71"/>
        <v/>
      </c>
      <c r="Q320" t="str">
        <f t="shared" si="70"/>
        <v/>
      </c>
      <c r="S320" t="str">
        <f>IF(A320=1,MAX(S$2:S319)+1,IF(OR(I320&lt;&gt;"",A320="x"),S319,""))</f>
        <v/>
      </c>
      <c r="T320" t="str">
        <f>IF(D320=1,MAX($T$2:$T319)+1,IF(S320=$S319,$S319,IF($D320="x",T319,IF($D319="x","",""))))</f>
        <v/>
      </c>
      <c r="U320" t="str">
        <f>IF(B320=1,MAX($U$2:$U319)+1,IF(AND($T320&lt;&gt;"",$T320=$T319),$U319,IF(B320="x",U319,"")))</f>
        <v/>
      </c>
      <c r="V320" t="str">
        <f>IF(C320=1,MAX($V$2:$V319)+1,IF(AND($T320&lt;&gt;"",$T320=$T319),$U319,IF(C320="x",V319,"")))</f>
        <v/>
      </c>
      <c r="W320" t="str" cm="1">
        <f t="array" ref="W320">IFERROR(_xlfn._xlws.FILTER(game_rosters!AB:AB,(game_rosters!J:J=events!X320)*(K320&lt;&gt;"")),"")</f>
        <v/>
      </c>
      <c r="X320" t="str" cm="1">
        <f t="array" ref="X320">IF(S320="","",IF($I320&lt;&gt;"",$I320,INDEX($I$2:$I319,ROW()-COUNTIFS($T$2:$T319,"="&amp;$T320,$S$2:$S319,"&lt;&gt;"&amp;$S320)-1)))</f>
        <v/>
      </c>
      <c r="Y320" t="b">
        <f>IF(X320&lt;&gt;"",VLOOKUP(X320,game_rosters!$C$43:$E$64,3,FALSE))</f>
        <v>0</v>
      </c>
      <c r="Z320" t="e" cm="1" vm="1">
        <f t="array" aca="1" ref="Z320" ca="1">IFERROR(IF(_xlfn._xlws.FILTER(game_rosters!$J:$J,(game_rosters!$G:$G=events!$AN320)*(game_rosters!$J:$J=events!$X320))&gt;0,1,""),"")</f>
        <v>#VALUE!</v>
      </c>
      <c r="AA320" t="e">
        <f t="shared" si="66"/>
        <v>#VALUE!</v>
      </c>
      <c r="AB320" t="str">
        <f t="shared" si="67"/>
        <v/>
      </c>
      <c r="AC320" t="e">
        <f t="shared" si="65"/>
        <v>#VALUE!</v>
      </c>
      <c r="AD320" s="6"/>
      <c r="BJ320" s="39"/>
      <c r="BM320" s="39"/>
      <c r="BO320" s="19"/>
      <c r="BQ320" s="17"/>
    </row>
    <row r="321" spans="1:69" x14ac:dyDescent="0.2">
      <c r="A321" t="str">
        <f t="shared" si="68"/>
        <v/>
      </c>
      <c r="E321" s="4"/>
      <c r="F321" s="44"/>
      <c r="G321" s="4"/>
      <c r="H321" s="47"/>
      <c r="J321" s="45" t="str">
        <f t="shared" si="69"/>
        <v/>
      </c>
      <c r="N321" t="str">
        <f t="shared" si="71"/>
        <v/>
      </c>
      <c r="Q321" t="str">
        <f t="shared" si="70"/>
        <v/>
      </c>
      <c r="S321" t="str">
        <f>IF(A321=1,MAX(S$2:S320)+1,IF(OR(I321&lt;&gt;"",A321="x"),S320,""))</f>
        <v/>
      </c>
      <c r="T321" t="str">
        <f>IF(D321=1,MAX($T$2:$T320)+1,IF(S321=$S320,$S320,IF($D321="x",T320,IF($D320="x","",""))))</f>
        <v/>
      </c>
      <c r="U321" t="str">
        <f>IF(B321=1,MAX($U$2:$U320)+1,IF(AND($T321&lt;&gt;"",$T321=$T320),$U320,IF(B321="x",U320,"")))</f>
        <v/>
      </c>
      <c r="V321" t="str">
        <f>IF(C321=1,MAX($V$2:$V320)+1,IF(AND($T321&lt;&gt;"",$T321=$T320),$U320,IF(C321="x",V320,"")))</f>
        <v/>
      </c>
      <c r="W321" t="str" cm="1">
        <f t="array" ref="W321">IFERROR(_xlfn._xlws.FILTER(game_rosters!AB:AB,(game_rosters!J:J=events!X321)*(K321&lt;&gt;"")),"")</f>
        <v/>
      </c>
      <c r="X321" t="str" cm="1">
        <f t="array" ref="X321">IF(S321="","",IF($I321&lt;&gt;"",$I321,INDEX($I$2:$I320,ROW()-COUNTIFS($T$2:$T320,"="&amp;$T321,$S$2:$S320,"&lt;&gt;"&amp;$S321)-1)))</f>
        <v/>
      </c>
      <c r="Y321" t="b">
        <f>IF(X321&lt;&gt;"",VLOOKUP(X321,game_rosters!$C$43:$E$64,3,FALSE))</f>
        <v>0</v>
      </c>
      <c r="Z321" t="e" cm="1" vm="1">
        <f t="array" aca="1" ref="Z321" ca="1">IFERROR(IF(_xlfn._xlws.FILTER(game_rosters!$J:$J,(game_rosters!$G:$G=events!$AN321)*(game_rosters!$J:$J=events!$X321))&gt;0,1,""),"")</f>
        <v>#VALUE!</v>
      </c>
      <c r="AA321" t="e">
        <f t="shared" si="66"/>
        <v>#VALUE!</v>
      </c>
      <c r="AB321" t="str">
        <f t="shared" si="67"/>
        <v/>
      </c>
      <c r="AC321" t="e">
        <f t="shared" si="65"/>
        <v>#VALUE!</v>
      </c>
      <c r="AD321" s="6"/>
      <c r="BJ321" s="39"/>
      <c r="BM321" s="39"/>
      <c r="BO321" s="19"/>
      <c r="BQ321" s="17"/>
    </row>
    <row r="322" spans="1:69" x14ac:dyDescent="0.2">
      <c r="A322" t="str">
        <f t="shared" si="68"/>
        <v/>
      </c>
      <c r="E322" s="4"/>
      <c r="F322" s="44"/>
      <c r="G322" s="4"/>
      <c r="H322" s="47"/>
      <c r="J322" s="45" t="str">
        <f t="shared" si="69"/>
        <v/>
      </c>
      <c r="N322" t="str">
        <f t="shared" si="71"/>
        <v/>
      </c>
      <c r="Q322" t="str">
        <f t="shared" si="70"/>
        <v/>
      </c>
      <c r="S322" t="str">
        <f>IF(A322=1,MAX(S$2:S321)+1,IF(OR(I322&lt;&gt;"",A322="x"),S321,""))</f>
        <v/>
      </c>
      <c r="T322" t="str">
        <f>IF(D322=1,MAX($T$2:$T321)+1,IF(S322=$S321,$S321,IF($D322="x",T321,IF($D321="x","",""))))</f>
        <v/>
      </c>
      <c r="U322" t="str">
        <f>IF(B322=1,MAX($U$2:$U321)+1,IF(AND($T322&lt;&gt;"",$T322=$T321),$U321,IF(B322="x",U321,"")))</f>
        <v/>
      </c>
      <c r="V322" t="str">
        <f>IF(C322=1,MAX($V$2:$V321)+1,IF(AND($T322&lt;&gt;"",$T322=$T321),$U321,IF(C322="x",V321,"")))</f>
        <v/>
      </c>
      <c r="W322" t="str" cm="1">
        <f t="array" ref="W322">IFERROR(_xlfn._xlws.FILTER(game_rosters!AB:AB,(game_rosters!J:J=events!X322)*(K322&lt;&gt;"")),"")</f>
        <v/>
      </c>
      <c r="X322" t="str" cm="1">
        <f t="array" ref="X322">IF(S322="","",IF($I322&lt;&gt;"",$I322,INDEX($I$2:$I321,ROW()-COUNTIFS($T$2:$T321,"="&amp;$T322,$S$2:$S321,"&lt;&gt;"&amp;$S322)-1)))</f>
        <v/>
      </c>
      <c r="Y322" t="b">
        <f>IF(X322&lt;&gt;"",VLOOKUP(X322,game_rosters!$C$43:$E$64,3,FALSE))</f>
        <v>0</v>
      </c>
      <c r="Z322" t="e" cm="1" vm="1">
        <f t="array" aca="1" ref="Z322" ca="1">IFERROR(IF(_xlfn._xlws.FILTER(game_rosters!$J:$J,(game_rosters!$G:$G=events!$AN322)*(game_rosters!$J:$J=events!$X322))&gt;0,1,""),"")</f>
        <v>#VALUE!</v>
      </c>
      <c r="AA322" t="e">
        <f t="shared" si="66"/>
        <v>#VALUE!</v>
      </c>
      <c r="AB322" t="str">
        <f t="shared" si="67"/>
        <v/>
      </c>
      <c r="AC322" t="e">
        <f t="shared" ref="AC322:AC385" si="72">IF(AB322&lt;&gt;"",AB322,S322+1000)</f>
        <v>#VALUE!</v>
      </c>
      <c r="AD322" s="6"/>
      <c r="BJ322" s="39"/>
      <c r="BM322" s="39"/>
      <c r="BO322" s="19"/>
      <c r="BQ322" s="17"/>
    </row>
    <row r="323" spans="1:69" x14ac:dyDescent="0.2">
      <c r="A323" t="str">
        <f t="shared" si="68"/>
        <v/>
      </c>
      <c r="E323" s="4"/>
      <c r="F323" s="44"/>
      <c r="G323" s="4"/>
      <c r="H323" s="47"/>
      <c r="J323" s="45" t="str">
        <f t="shared" si="69"/>
        <v/>
      </c>
      <c r="N323" t="str">
        <f t="shared" si="71"/>
        <v/>
      </c>
      <c r="Q323" t="str">
        <f t="shared" si="70"/>
        <v/>
      </c>
      <c r="S323" t="str">
        <f>IF(A323=1,MAX(S$2:S322)+1,IF(OR(I323&lt;&gt;"",A323="x"),S322,""))</f>
        <v/>
      </c>
      <c r="T323" t="str">
        <f>IF(D323=1,MAX($T$2:$T322)+1,IF(S323=$S322,$S322,IF($D323="x",T322,IF($D322="x","",""))))</f>
        <v/>
      </c>
      <c r="U323" t="str">
        <f>IF(B323=1,MAX($U$2:$U322)+1,IF(AND($T323&lt;&gt;"",$T323=$T322),$U322,IF(B323="x",U322,"")))</f>
        <v/>
      </c>
      <c r="V323" t="str">
        <f>IF(C323=1,MAX($V$2:$V322)+1,IF(AND($T323&lt;&gt;"",$T323=$T322),$U322,IF(C323="x",V322,"")))</f>
        <v/>
      </c>
      <c r="W323" t="str" cm="1">
        <f t="array" ref="W323">IFERROR(_xlfn._xlws.FILTER(game_rosters!AB:AB,(game_rosters!J:J=events!X323)*(K323&lt;&gt;"")),"")</f>
        <v/>
      </c>
      <c r="X323" t="str" cm="1">
        <f t="array" ref="X323">IF(S323="","",IF($I323&lt;&gt;"",$I323,INDEX($I$2:$I322,ROW()-COUNTIFS($T$2:$T322,"="&amp;$T323,$S$2:$S322,"&lt;&gt;"&amp;$S323)-1)))</f>
        <v/>
      </c>
      <c r="Y323" t="b">
        <f>IF(X323&lt;&gt;"",VLOOKUP(X323,game_rosters!$C$43:$E$64,3,FALSE))</f>
        <v>0</v>
      </c>
      <c r="Z323" t="e" cm="1" vm="1">
        <f t="array" aca="1" ref="Z323" ca="1">IFERROR(IF(_xlfn._xlws.FILTER(game_rosters!$J:$J,(game_rosters!$G:$G=events!$AN323)*(game_rosters!$J:$J=events!$X323))&gt;0,1,""),"")</f>
        <v>#VALUE!</v>
      </c>
      <c r="AA323" t="e">
        <f t="shared" si="66"/>
        <v>#VALUE!</v>
      </c>
      <c r="AB323" t="str">
        <f t="shared" si="67"/>
        <v/>
      </c>
      <c r="AC323" t="e">
        <f t="shared" si="72"/>
        <v>#VALUE!</v>
      </c>
      <c r="AD323" s="6"/>
      <c r="BJ323" s="39"/>
      <c r="BM323" s="39"/>
      <c r="BO323" s="19"/>
      <c r="BQ323" s="17"/>
    </row>
    <row r="324" spans="1:69" x14ac:dyDescent="0.2">
      <c r="A324" t="str">
        <f t="shared" si="68"/>
        <v/>
      </c>
      <c r="E324" s="4"/>
      <c r="F324" s="44"/>
      <c r="G324" s="4"/>
      <c r="H324" s="47"/>
      <c r="J324" s="45" t="str">
        <f t="shared" si="69"/>
        <v/>
      </c>
      <c r="N324" t="str">
        <f t="shared" si="71"/>
        <v/>
      </c>
      <c r="Q324" t="str">
        <f t="shared" si="70"/>
        <v/>
      </c>
      <c r="S324" t="str">
        <f>IF(A324=1,MAX(S$2:S323)+1,IF(OR(I324&lt;&gt;"",A324="x"),S323,""))</f>
        <v/>
      </c>
      <c r="T324" t="str">
        <f>IF(D324=1,MAX($T$2:$T323)+1,IF(S324=$S323,$S323,IF($D324="x",T323,IF($D323="x","",""))))</f>
        <v/>
      </c>
      <c r="U324" t="str">
        <f>IF(B324=1,MAX($U$2:$U323)+1,IF(AND($T324&lt;&gt;"",$T324=$T323),$U323,IF(B324="x",U323,"")))</f>
        <v/>
      </c>
      <c r="V324" t="str">
        <f>IF(C324=1,MAX($V$2:$V323)+1,IF(AND($T324&lt;&gt;"",$T324=$T323),$U323,IF(C324="x",V323,"")))</f>
        <v/>
      </c>
      <c r="W324" t="str" cm="1">
        <f t="array" ref="W324">IFERROR(_xlfn._xlws.FILTER(game_rosters!AB:AB,(game_rosters!J:J=events!X324)*(K324&lt;&gt;"")),"")</f>
        <v/>
      </c>
      <c r="X324" t="str" cm="1">
        <f t="array" ref="X324">IF(S324="","",IF($I324&lt;&gt;"",$I324,INDEX($I$2:$I323,ROW()-COUNTIFS($T$2:$T323,"="&amp;$T324,$S$2:$S323,"&lt;&gt;"&amp;$S324)-1)))</f>
        <v/>
      </c>
      <c r="Y324" t="b">
        <f>IF(X324&lt;&gt;"",VLOOKUP(X324,game_rosters!$C$43:$E$64,3,FALSE))</f>
        <v>0</v>
      </c>
      <c r="Z324" t="e" cm="1" vm="1">
        <f t="array" aca="1" ref="Z324" ca="1">IFERROR(IF(_xlfn._xlws.FILTER(game_rosters!$J:$J,(game_rosters!$G:$G=events!$AN324)*(game_rosters!$J:$J=events!$X324))&gt;0,1,""),"")</f>
        <v>#VALUE!</v>
      </c>
      <c r="AA324" t="e">
        <f t="shared" ref="AA324:AA387" si="73">S324+1000</f>
        <v>#VALUE!</v>
      </c>
      <c r="AB324" t="str">
        <f t="shared" ref="AB324:AB387" si="74">IF(T324&lt;&gt;"",9000+T324,"")</f>
        <v/>
      </c>
      <c r="AC324" t="e">
        <f t="shared" si="72"/>
        <v>#VALUE!</v>
      </c>
      <c r="AD324" s="6"/>
      <c r="BJ324" s="39"/>
      <c r="BM324" s="39"/>
      <c r="BO324" s="19"/>
      <c r="BQ324" s="17"/>
    </row>
    <row r="325" spans="1:69" x14ac:dyDescent="0.2">
      <c r="A325" t="str">
        <f t="shared" ref="A325:A388" si="75">IF(K325&lt;&gt;"",1,IF(D325="x","x",""))</f>
        <v/>
      </c>
      <c r="E325" s="4"/>
      <c r="F325" s="44"/>
      <c r="G325" s="4"/>
      <c r="H325" s="47"/>
      <c r="J325" s="45" t="str">
        <f t="shared" si="69"/>
        <v/>
      </c>
      <c r="N325" t="str">
        <f t="shared" si="71"/>
        <v/>
      </c>
      <c r="Q325" t="str">
        <f t="shared" si="70"/>
        <v/>
      </c>
      <c r="S325" t="str">
        <f>IF(A325=1,MAX(S$2:S324)+1,IF(OR(I325&lt;&gt;"",A325="x"),S324,""))</f>
        <v/>
      </c>
      <c r="T325" t="str">
        <f>IF(D325=1,MAX($T$2:$T324)+1,IF(S325=$S324,$S324,IF($D325="x",T324,IF($D324="x","",""))))</f>
        <v/>
      </c>
      <c r="U325" t="str">
        <f>IF(B325=1,MAX($U$2:$U324)+1,IF(AND($T325&lt;&gt;"",$T325=$T324),$U324,IF(B325="x",U324,"")))</f>
        <v/>
      </c>
      <c r="V325" t="str">
        <f>IF(C325=1,MAX($V$2:$V324)+1,IF(AND($T325&lt;&gt;"",$T325=$T324),$U324,IF(C325="x",V324,"")))</f>
        <v/>
      </c>
      <c r="W325" t="str" cm="1">
        <f t="array" ref="W325">IFERROR(_xlfn._xlws.FILTER(game_rosters!AB:AB,(game_rosters!J:J=events!X325)*(K325&lt;&gt;"")),"")</f>
        <v/>
      </c>
      <c r="X325" t="str" cm="1">
        <f t="array" ref="X325">IF(S325="","",IF($I325&lt;&gt;"",$I325,INDEX($I$2:$I324,ROW()-COUNTIFS($T$2:$T324,"="&amp;$T325,$S$2:$S324,"&lt;&gt;"&amp;$S325)-1)))</f>
        <v/>
      </c>
      <c r="Y325" t="b">
        <f>IF(X325&lt;&gt;"",VLOOKUP(X325,game_rosters!$C$43:$E$64,3,FALSE))</f>
        <v>0</v>
      </c>
      <c r="Z325" t="e" cm="1" vm="1">
        <f t="array" aca="1" ref="Z325" ca="1">IFERROR(IF(_xlfn._xlws.FILTER(game_rosters!$J:$J,(game_rosters!$G:$G=events!$AN325)*(game_rosters!$J:$J=events!$X325))&gt;0,1,""),"")</f>
        <v>#VALUE!</v>
      </c>
      <c r="AA325" t="e">
        <f t="shared" si="73"/>
        <v>#VALUE!</v>
      </c>
      <c r="AB325" t="str">
        <f t="shared" si="74"/>
        <v/>
      </c>
      <c r="AC325" t="e">
        <f t="shared" si="72"/>
        <v>#VALUE!</v>
      </c>
      <c r="AD325" s="6"/>
      <c r="BJ325" s="39"/>
      <c r="BM325" s="39"/>
      <c r="BO325" s="19"/>
      <c r="BQ325" s="17"/>
    </row>
    <row r="326" spans="1:69" x14ac:dyDescent="0.2">
      <c r="A326" t="str">
        <f t="shared" si="75"/>
        <v/>
      </c>
      <c r="E326" s="4"/>
      <c r="F326" s="44"/>
      <c r="G326" s="4"/>
      <c r="H326" s="47"/>
      <c r="J326" s="45" t="str">
        <f t="shared" ref="J326:J389" si="76">IF(OR(K326="Goal",K326="Shot",L326="Zone_Entry",M326="Stoppage-Goal",M325="Stoppage-Goal"),"o",IF(OR(K326="Save",K326="Rebound",L326="Zone_Exit",M326="Stoppage-GoalieStoppage",M325="Stoppage-GoalieStoppage"),"d",IF(OR(L326="Faceoff_AfterGoal",L326="Faceoff_PeriodStart",698="Faceoff_GameStart",M325="Stoppage-Goal"),"n","")))</f>
        <v/>
      </c>
      <c r="N326" t="str">
        <f t="shared" si="71"/>
        <v/>
      </c>
      <c r="Q326" t="str">
        <f t="shared" si="70"/>
        <v/>
      </c>
      <c r="S326" t="str">
        <f>IF(A326=1,MAX(S$2:S325)+1,IF(OR(I326&lt;&gt;"",A326="x"),S325,""))</f>
        <v/>
      </c>
      <c r="T326" t="str">
        <f>IF(D326=1,MAX($T$2:$T325)+1,IF(S326=$S325,$S325,IF($D326="x",T325,IF($D325="x","",""))))</f>
        <v/>
      </c>
      <c r="U326" t="str">
        <f>IF(B326=1,MAX($U$2:$U325)+1,IF(AND($T326&lt;&gt;"",$T326=$T325),$U325,IF(B326="x",U325,"")))</f>
        <v/>
      </c>
      <c r="V326" t="str">
        <f>IF(C326=1,MAX($V$2:$V325)+1,IF(AND($T326&lt;&gt;"",$T326=$T325),$U325,IF(C326="x",V325,"")))</f>
        <v/>
      </c>
      <c r="W326" t="str" cm="1">
        <f t="array" ref="W326">IFERROR(_xlfn._xlws.FILTER(game_rosters!AB:AB,(game_rosters!J:J=events!X326)*(K326&lt;&gt;"")),"")</f>
        <v/>
      </c>
      <c r="X326" t="str" cm="1">
        <f t="array" ref="X326">IF(S326="","",IF($I326&lt;&gt;"",$I326,INDEX($I$2:$I325,ROW()-COUNTIFS($T$2:$T325,"="&amp;$T326,$S$2:$S325,"&lt;&gt;"&amp;$S326)-1)))</f>
        <v/>
      </c>
      <c r="Y326" t="b">
        <f>IF(X326&lt;&gt;"",VLOOKUP(X326,game_rosters!$C$43:$E$64,3,FALSE))</f>
        <v>0</v>
      </c>
      <c r="Z326" t="e" cm="1" vm="1">
        <f t="array" aca="1" ref="Z326" ca="1">IFERROR(IF(_xlfn._xlws.FILTER(game_rosters!$J:$J,(game_rosters!$G:$G=events!$AN326)*(game_rosters!$J:$J=events!$X326))&gt;0,1,""),"")</f>
        <v>#VALUE!</v>
      </c>
      <c r="AA326" t="e">
        <f t="shared" si="73"/>
        <v>#VALUE!</v>
      </c>
      <c r="AB326" t="str">
        <f t="shared" si="74"/>
        <v/>
      </c>
      <c r="AC326" t="e">
        <f t="shared" si="72"/>
        <v>#VALUE!</v>
      </c>
      <c r="AD326" s="6"/>
      <c r="BJ326" s="39"/>
      <c r="BM326" s="39"/>
      <c r="BO326" s="19"/>
      <c r="BQ326" s="17"/>
    </row>
    <row r="327" spans="1:69" x14ac:dyDescent="0.2">
      <c r="A327" t="str">
        <f t="shared" si="75"/>
        <v/>
      </c>
      <c r="E327" s="4"/>
      <c r="F327" s="44"/>
      <c r="G327" s="4"/>
      <c r="H327" s="47"/>
      <c r="J327" s="45" t="str">
        <f t="shared" si="76"/>
        <v/>
      </c>
      <c r="N327" t="str">
        <f t="shared" si="71"/>
        <v/>
      </c>
      <c r="Q327" t="str">
        <f t="shared" si="70"/>
        <v/>
      </c>
      <c r="S327" t="str">
        <f>IF(A327=1,MAX(S$2:S326)+1,IF(OR(I327&lt;&gt;"",A327="x"),S326,""))</f>
        <v/>
      </c>
      <c r="T327" t="str">
        <f>IF(D327=1,MAX($T$2:$T326)+1,IF(S327=$S326,$S326,IF($D327="x",T326,IF($D326="x","",""))))</f>
        <v/>
      </c>
      <c r="U327" t="str">
        <f>IF(B327=1,MAX($U$2:$U326)+1,IF(AND($T327&lt;&gt;"",$T327=$T326),$U326,IF(B327="x",U326,"")))</f>
        <v/>
      </c>
      <c r="V327" t="str">
        <f>IF(C327=1,MAX($V$2:$V326)+1,IF(AND($T327&lt;&gt;"",$T327=$T326),$U326,IF(C327="x",V326,"")))</f>
        <v/>
      </c>
      <c r="W327" t="str" cm="1">
        <f t="array" ref="W327">IFERROR(_xlfn._xlws.FILTER(game_rosters!AB:AB,(game_rosters!J:J=events!X327)*(K327&lt;&gt;"")),"")</f>
        <v/>
      </c>
      <c r="X327" t="str" cm="1">
        <f t="array" ref="X327">IF(S327="","",IF($I327&lt;&gt;"",$I327,INDEX($I$2:$I326,ROW()-COUNTIFS($T$2:$T326,"="&amp;$T327,$S$2:$S326,"&lt;&gt;"&amp;$S327)-1)))</f>
        <v/>
      </c>
      <c r="Y327" t="b">
        <f>IF(X327&lt;&gt;"",VLOOKUP(X327,game_rosters!$C$43:$E$64,3,FALSE))</f>
        <v>0</v>
      </c>
      <c r="Z327" t="e" cm="1" vm="1">
        <f t="array" aca="1" ref="Z327" ca="1">IFERROR(IF(_xlfn._xlws.FILTER(game_rosters!$J:$J,(game_rosters!$G:$G=events!$AN327)*(game_rosters!$J:$J=events!$X327))&gt;0,1,""),"")</f>
        <v>#VALUE!</v>
      </c>
      <c r="AA327" t="e">
        <f t="shared" si="73"/>
        <v>#VALUE!</v>
      </c>
      <c r="AB327" t="str">
        <f t="shared" si="74"/>
        <v/>
      </c>
      <c r="AC327" t="e">
        <f t="shared" si="72"/>
        <v>#VALUE!</v>
      </c>
      <c r="AD327" s="6"/>
      <c r="BJ327" s="39"/>
      <c r="BM327" s="39"/>
      <c r="BO327" s="19"/>
      <c r="BQ327" s="17"/>
    </row>
    <row r="328" spans="1:69" x14ac:dyDescent="0.2">
      <c r="A328" t="str">
        <f t="shared" si="75"/>
        <v/>
      </c>
      <c r="E328" s="4"/>
      <c r="F328" s="44"/>
      <c r="G328" s="4"/>
      <c r="H328" s="47"/>
      <c r="J328" s="45" t="str">
        <f t="shared" si="76"/>
        <v/>
      </c>
      <c r="N328" t="str">
        <f t="shared" si="71"/>
        <v/>
      </c>
      <c r="Q328" t="str">
        <f t="shared" si="70"/>
        <v/>
      </c>
      <c r="S328" t="str">
        <f>IF(A328=1,MAX(S$2:S327)+1,IF(OR(I328&lt;&gt;"",A328="x"),S327,""))</f>
        <v/>
      </c>
      <c r="T328" t="str">
        <f>IF(D328=1,MAX($T$2:$T327)+1,IF(S328=$S327,$S327,IF($D328="x",T327,IF($D327="x","",""))))</f>
        <v/>
      </c>
      <c r="U328" t="str">
        <f>IF(B328=1,MAX($U$2:$U327)+1,IF(AND($T328&lt;&gt;"",$T328=$T327),$U327,IF(B328="x",U327,"")))</f>
        <v/>
      </c>
      <c r="V328" t="str">
        <f>IF(C328=1,MAX($V$2:$V327)+1,IF(AND($T328&lt;&gt;"",$T328=$T327),$U327,IF(C328="x",V327,"")))</f>
        <v/>
      </c>
      <c r="W328" t="str" cm="1">
        <f t="array" ref="W328">IFERROR(_xlfn._xlws.FILTER(game_rosters!AB:AB,(game_rosters!J:J=events!X328)*(K328&lt;&gt;"")),"")</f>
        <v/>
      </c>
      <c r="X328" t="str" cm="1">
        <f t="array" ref="X328">IF(S328="","",IF($I328&lt;&gt;"",$I328,INDEX($I$2:$I327,ROW()-COUNTIFS($T$2:$T327,"="&amp;$T328,$S$2:$S327,"&lt;&gt;"&amp;$S328)-1)))</f>
        <v/>
      </c>
      <c r="Y328" t="b">
        <f>IF(X328&lt;&gt;"",VLOOKUP(X328,game_rosters!$C$43:$E$64,3,FALSE))</f>
        <v>0</v>
      </c>
      <c r="Z328" t="e" cm="1" vm="1">
        <f t="array" aca="1" ref="Z328" ca="1">IFERROR(IF(_xlfn._xlws.FILTER(game_rosters!$J:$J,(game_rosters!$G:$G=events!$AN328)*(game_rosters!$J:$J=events!$X328))&gt;0,1,""),"")</f>
        <v>#VALUE!</v>
      </c>
      <c r="AA328" t="e">
        <f t="shared" si="73"/>
        <v>#VALUE!</v>
      </c>
      <c r="AB328" t="str">
        <f t="shared" si="74"/>
        <v/>
      </c>
      <c r="AC328" t="e">
        <f t="shared" si="72"/>
        <v>#VALUE!</v>
      </c>
      <c r="AD328" s="6"/>
      <c r="BJ328" s="39"/>
      <c r="BM328" s="39"/>
      <c r="BO328" s="19"/>
      <c r="BQ328" s="17"/>
    </row>
    <row r="329" spans="1:69" x14ac:dyDescent="0.2">
      <c r="A329" t="str">
        <f t="shared" si="75"/>
        <v/>
      </c>
      <c r="E329" s="4"/>
      <c r="F329" s="44"/>
      <c r="G329" s="4"/>
      <c r="H329" s="47"/>
      <c r="J329" s="45" t="str">
        <f t="shared" si="76"/>
        <v/>
      </c>
      <c r="N329" t="str">
        <f t="shared" si="71"/>
        <v/>
      </c>
      <c r="Q329" t="str">
        <f t="shared" si="70"/>
        <v/>
      </c>
      <c r="S329" t="str">
        <f>IF(A329=1,MAX(S$2:S328)+1,IF(OR(I329&lt;&gt;"",A329="x"),S328,""))</f>
        <v/>
      </c>
      <c r="T329" t="str">
        <f>IF(D329=1,MAX($T$2:$T328)+1,IF(S329=$S328,$S328,IF($D329="x",T328,IF($D328="x","",""))))</f>
        <v/>
      </c>
      <c r="U329" t="str">
        <f>IF(B329=1,MAX($U$2:$U328)+1,IF(AND($T329&lt;&gt;"",$T329=$T328),$U328,IF(B329="x",U328,"")))</f>
        <v/>
      </c>
      <c r="V329" t="str">
        <f>IF(C329=1,MAX($V$2:$V328)+1,IF(AND($T329&lt;&gt;"",$T329=$T328),$U328,IF(C329="x",V328,"")))</f>
        <v/>
      </c>
      <c r="W329" t="str" cm="1">
        <f t="array" ref="W329">IFERROR(_xlfn._xlws.FILTER(game_rosters!AB:AB,(game_rosters!J:J=events!X329)*(K329&lt;&gt;"")),"")</f>
        <v/>
      </c>
      <c r="X329" t="str" cm="1">
        <f t="array" ref="X329">IF(S329="","",IF($I329&lt;&gt;"",$I329,INDEX($I$2:$I328,ROW()-COUNTIFS($T$2:$T328,"="&amp;$T329,$S$2:$S328,"&lt;&gt;"&amp;$S329)-1)))</f>
        <v/>
      </c>
      <c r="Y329" t="b">
        <f>IF(X329&lt;&gt;"",VLOOKUP(X329,game_rosters!$C$43:$E$64,3,FALSE))</f>
        <v>0</v>
      </c>
      <c r="Z329" t="e" cm="1" vm="1">
        <f t="array" aca="1" ref="Z329" ca="1">IFERROR(IF(_xlfn._xlws.FILTER(game_rosters!$J:$J,(game_rosters!$G:$G=events!$AN329)*(game_rosters!$J:$J=events!$X329))&gt;0,1,""),"")</f>
        <v>#VALUE!</v>
      </c>
      <c r="AA329" t="e">
        <f t="shared" si="73"/>
        <v>#VALUE!</v>
      </c>
      <c r="AB329" t="str">
        <f t="shared" si="74"/>
        <v/>
      </c>
      <c r="AC329" t="e">
        <f t="shared" si="72"/>
        <v>#VALUE!</v>
      </c>
      <c r="AD329" s="6"/>
      <c r="BJ329" s="39"/>
      <c r="BM329" s="39"/>
      <c r="BO329" s="19"/>
      <c r="BQ329" s="17"/>
    </row>
    <row r="330" spans="1:69" x14ac:dyDescent="0.2">
      <c r="A330" t="str">
        <f t="shared" si="75"/>
        <v/>
      </c>
      <c r="E330" s="4"/>
      <c r="F330" s="44"/>
      <c r="G330" s="4"/>
      <c r="H330" s="47"/>
      <c r="J330" s="45" t="str">
        <f t="shared" si="76"/>
        <v/>
      </c>
      <c r="N330" t="str">
        <f t="shared" si="71"/>
        <v/>
      </c>
      <c r="Q330" t="str">
        <f t="shared" si="70"/>
        <v/>
      </c>
      <c r="S330" t="str">
        <f>IF(A330=1,MAX(S$2:S329)+1,IF(OR(I330&lt;&gt;"",A330="x"),S329,""))</f>
        <v/>
      </c>
      <c r="T330" t="str">
        <f>IF(D330=1,MAX($T$2:$T329)+1,IF(S330=$S329,$S329,IF($D330="x",T329,IF($D329="x","",""))))</f>
        <v/>
      </c>
      <c r="U330" t="str">
        <f>IF(B330=1,MAX($U$2:$U329)+1,IF(AND($T330&lt;&gt;"",$T330=$T329),$U329,IF(B330="x",U329,"")))</f>
        <v/>
      </c>
      <c r="V330" t="str">
        <f>IF(C330=1,MAX($V$2:$V329)+1,IF(AND($T330&lt;&gt;"",$T330=$T329),$U329,IF(C330="x",V329,"")))</f>
        <v/>
      </c>
      <c r="W330" t="str" cm="1">
        <f t="array" ref="W330">IFERROR(_xlfn._xlws.FILTER(game_rosters!AB:AB,(game_rosters!J:J=events!X330)*(K330&lt;&gt;"")),"")</f>
        <v/>
      </c>
      <c r="X330" t="str" cm="1">
        <f t="array" ref="X330">IF(S330="","",IF($I330&lt;&gt;"",$I330,INDEX($I$2:$I329,ROW()-COUNTIFS($T$2:$T329,"="&amp;$T330,$S$2:$S329,"&lt;&gt;"&amp;$S330)-1)))</f>
        <v/>
      </c>
      <c r="Y330" t="b">
        <f>IF(X330&lt;&gt;"",VLOOKUP(X330,game_rosters!$C$43:$E$64,3,FALSE))</f>
        <v>0</v>
      </c>
      <c r="Z330" t="e" cm="1" vm="1">
        <f t="array" aca="1" ref="Z330" ca="1">IFERROR(IF(_xlfn._xlws.FILTER(game_rosters!$J:$J,(game_rosters!$G:$G=events!$AN330)*(game_rosters!$J:$J=events!$X330))&gt;0,1,""),"")</f>
        <v>#VALUE!</v>
      </c>
      <c r="AA330" t="e">
        <f t="shared" si="73"/>
        <v>#VALUE!</v>
      </c>
      <c r="AB330" t="str">
        <f t="shared" si="74"/>
        <v/>
      </c>
      <c r="AC330" t="e">
        <f t="shared" si="72"/>
        <v>#VALUE!</v>
      </c>
      <c r="AD330" s="6"/>
      <c r="BJ330" s="39"/>
      <c r="BM330" s="39"/>
      <c r="BO330" s="19"/>
      <c r="BQ330" s="17"/>
    </row>
    <row r="331" spans="1:69" x14ac:dyDescent="0.2">
      <c r="A331" t="str">
        <f t="shared" si="75"/>
        <v/>
      </c>
      <c r="E331" s="4"/>
      <c r="F331" s="44"/>
      <c r="G331" s="4"/>
      <c r="H331" s="47"/>
      <c r="J331" s="45" t="str">
        <f t="shared" si="76"/>
        <v/>
      </c>
      <c r="N331" t="str">
        <f t="shared" si="71"/>
        <v/>
      </c>
      <c r="Q331" t="str">
        <f t="shared" si="70"/>
        <v/>
      </c>
      <c r="S331" t="str">
        <f>IF(A331=1,MAX(S$2:S330)+1,IF(OR(I331&lt;&gt;"",A331="x"),S330,""))</f>
        <v/>
      </c>
      <c r="T331" t="str">
        <f>IF(D331=1,MAX($T$2:$T330)+1,IF(S331=$S330,$S330,IF($D331="x",T330,IF($D330="x","",""))))</f>
        <v/>
      </c>
      <c r="U331" t="str">
        <f>IF(B331=1,MAX($U$2:$U330)+1,IF(AND($T331&lt;&gt;"",$T331=$T330),$U330,IF(B331="x",U330,"")))</f>
        <v/>
      </c>
      <c r="V331" t="str">
        <f>IF(C331=1,MAX($V$2:$V330)+1,IF(AND($T331&lt;&gt;"",$T331=$T330),$U330,IF(C331="x",V330,"")))</f>
        <v/>
      </c>
      <c r="W331" t="str" cm="1">
        <f t="array" ref="W331">IFERROR(_xlfn._xlws.FILTER(game_rosters!AB:AB,(game_rosters!J:J=events!X331)*(K331&lt;&gt;"")),"")</f>
        <v/>
      </c>
      <c r="X331" t="str" cm="1">
        <f t="array" ref="X331">IF(S331="","",IF($I331&lt;&gt;"",$I331,INDEX($I$2:$I330,ROW()-COUNTIFS($T$2:$T330,"="&amp;$T331,$S$2:$S330,"&lt;&gt;"&amp;$S331)-1)))</f>
        <v/>
      </c>
      <c r="Y331" t="b">
        <f>IF(X331&lt;&gt;"",VLOOKUP(X331,game_rosters!$C$43:$E$64,3,FALSE))</f>
        <v>0</v>
      </c>
      <c r="Z331" t="e" cm="1" vm="1">
        <f t="array" aca="1" ref="Z331" ca="1">IFERROR(IF(_xlfn._xlws.FILTER(game_rosters!$J:$J,(game_rosters!$G:$G=events!$AN331)*(game_rosters!$J:$J=events!$X331))&gt;0,1,""),"")</f>
        <v>#VALUE!</v>
      </c>
      <c r="AA331" t="e">
        <f t="shared" si="73"/>
        <v>#VALUE!</v>
      </c>
      <c r="AB331" t="str">
        <f t="shared" si="74"/>
        <v/>
      </c>
      <c r="AC331" t="e">
        <f t="shared" si="72"/>
        <v>#VALUE!</v>
      </c>
      <c r="AD331" s="6"/>
      <c r="BJ331" s="39"/>
      <c r="BM331" s="39"/>
      <c r="BO331" s="19"/>
      <c r="BQ331" s="17"/>
    </row>
    <row r="332" spans="1:69" x14ac:dyDescent="0.2">
      <c r="A332" t="str">
        <f t="shared" si="75"/>
        <v/>
      </c>
      <c r="E332" s="4"/>
      <c r="F332" s="44"/>
      <c r="G332" s="4"/>
      <c r="H332" s="47"/>
      <c r="J332" s="45" t="str">
        <f t="shared" si="76"/>
        <v/>
      </c>
      <c r="N332" t="str">
        <f t="shared" si="71"/>
        <v/>
      </c>
      <c r="Q332" t="str">
        <f t="shared" si="70"/>
        <v/>
      </c>
      <c r="S332" t="str">
        <f>IF(A332=1,MAX(S$2:S331)+1,IF(OR(I332&lt;&gt;"",A332="x"),S331,""))</f>
        <v/>
      </c>
      <c r="T332" t="str">
        <f>IF(D332=1,MAX($T$2:$T331)+1,IF(S332=$S331,$S331,IF($D332="x",T331,IF($D331="x","",""))))</f>
        <v/>
      </c>
      <c r="U332" t="str">
        <f>IF(B332=1,MAX($U$2:$U331)+1,IF(AND($T332&lt;&gt;"",$T332=$T331),$U331,IF(B332="x",U331,"")))</f>
        <v/>
      </c>
      <c r="V332" t="str">
        <f>IF(C332=1,MAX($V$2:$V331)+1,IF(AND($T332&lt;&gt;"",$T332=$T331),$U331,IF(C332="x",V331,"")))</f>
        <v/>
      </c>
      <c r="W332" t="str" cm="1">
        <f t="array" ref="W332">IFERROR(_xlfn._xlws.FILTER(game_rosters!AB:AB,(game_rosters!J:J=events!X332)*(K332&lt;&gt;"")),"")</f>
        <v/>
      </c>
      <c r="X332" t="str" cm="1">
        <f t="array" ref="X332">IF(S332="","",IF($I332&lt;&gt;"",$I332,INDEX($I$2:$I331,ROW()-COUNTIFS($T$2:$T331,"="&amp;$T332,$S$2:$S331,"&lt;&gt;"&amp;$S332)-1)))</f>
        <v/>
      </c>
      <c r="Y332" t="b">
        <f>IF(X332&lt;&gt;"",VLOOKUP(X332,game_rosters!$C$43:$E$64,3,FALSE))</f>
        <v>0</v>
      </c>
      <c r="Z332" t="e" cm="1" vm="1">
        <f t="array" aca="1" ref="Z332" ca="1">IFERROR(IF(_xlfn._xlws.FILTER(game_rosters!$J:$J,(game_rosters!$G:$G=events!$AN332)*(game_rosters!$J:$J=events!$X332))&gt;0,1,""),"")</f>
        <v>#VALUE!</v>
      </c>
      <c r="AA332" t="e">
        <f t="shared" si="73"/>
        <v>#VALUE!</v>
      </c>
      <c r="AB332" t="str">
        <f t="shared" si="74"/>
        <v/>
      </c>
      <c r="AC332" t="e">
        <f t="shared" si="72"/>
        <v>#VALUE!</v>
      </c>
      <c r="AD332" s="6"/>
      <c r="BJ332" s="39"/>
      <c r="BM332" s="39"/>
      <c r="BO332" s="19"/>
      <c r="BQ332" s="17"/>
    </row>
    <row r="333" spans="1:69" x14ac:dyDescent="0.2">
      <c r="A333" t="str">
        <f t="shared" si="75"/>
        <v/>
      </c>
      <c r="E333" s="4"/>
      <c r="F333" s="44"/>
      <c r="G333" s="4"/>
      <c r="H333" s="47"/>
      <c r="J333" s="45" t="str">
        <f t="shared" si="76"/>
        <v/>
      </c>
      <c r="N333" t="str">
        <f t="shared" si="71"/>
        <v/>
      </c>
      <c r="Q333" t="str">
        <f t="shared" si="70"/>
        <v/>
      </c>
      <c r="S333" t="str">
        <f>IF(A333=1,MAX(S$2:S332)+1,IF(OR(I333&lt;&gt;"",A333="x"),S332,""))</f>
        <v/>
      </c>
      <c r="T333" t="str">
        <f>IF(D333=1,MAX($T$2:$T332)+1,IF(S333=$S332,$S332,IF($D333="x",T332,IF($D332="x","",""))))</f>
        <v/>
      </c>
      <c r="U333" t="str">
        <f>IF(B333=1,MAX($U$2:$U332)+1,IF(AND($T333&lt;&gt;"",$T333=$T332),$U332,IF(B333="x",U332,"")))</f>
        <v/>
      </c>
      <c r="V333" t="str">
        <f>IF(C333=1,MAX($V$2:$V332)+1,IF(AND($T333&lt;&gt;"",$T333=$T332),$U332,IF(C333="x",V332,"")))</f>
        <v/>
      </c>
      <c r="W333" t="str" cm="1">
        <f t="array" ref="W333">IFERROR(_xlfn._xlws.FILTER(game_rosters!AB:AB,(game_rosters!J:J=events!X333)*(K333&lt;&gt;"")),"")</f>
        <v/>
      </c>
      <c r="X333" t="str" cm="1">
        <f t="array" ref="X333">IF(S333="","",IF($I333&lt;&gt;"",$I333,INDEX($I$2:$I332,ROW()-COUNTIFS($T$2:$T332,"="&amp;$T333,$S$2:$S332,"&lt;&gt;"&amp;$S333)-1)))</f>
        <v/>
      </c>
      <c r="Y333" t="b">
        <f>IF(X333&lt;&gt;"",VLOOKUP(X333,game_rosters!$C$43:$E$64,3,FALSE))</f>
        <v>0</v>
      </c>
      <c r="Z333" t="e" cm="1" vm="1">
        <f t="array" aca="1" ref="Z333" ca="1">IFERROR(IF(_xlfn._xlws.FILTER(game_rosters!$J:$J,(game_rosters!$G:$G=events!$AN333)*(game_rosters!$J:$J=events!$X333))&gt;0,1,""),"")</f>
        <v>#VALUE!</v>
      </c>
      <c r="AA333" t="e">
        <f t="shared" si="73"/>
        <v>#VALUE!</v>
      </c>
      <c r="AB333" t="str">
        <f t="shared" si="74"/>
        <v/>
      </c>
      <c r="AC333" t="e">
        <f t="shared" si="72"/>
        <v>#VALUE!</v>
      </c>
      <c r="AD333" s="6"/>
      <c r="BJ333" s="39"/>
      <c r="BM333" s="39"/>
      <c r="BO333" s="19"/>
      <c r="BQ333" s="17"/>
    </row>
    <row r="334" spans="1:69" x14ac:dyDescent="0.2">
      <c r="A334" t="str">
        <f t="shared" si="75"/>
        <v/>
      </c>
      <c r="E334" s="4"/>
      <c r="F334" s="44"/>
      <c r="G334" s="4"/>
      <c r="H334" s="47"/>
      <c r="J334" s="45" t="str">
        <f t="shared" si="76"/>
        <v/>
      </c>
      <c r="N334" t="str">
        <f t="shared" si="71"/>
        <v/>
      </c>
      <c r="Q334" t="str">
        <f t="shared" si="70"/>
        <v/>
      </c>
      <c r="S334" t="str">
        <f>IF(A334=1,MAX(S$2:S333)+1,IF(OR(I334&lt;&gt;"",A334="x"),S333,""))</f>
        <v/>
      </c>
      <c r="T334" t="str">
        <f>IF(D334=1,MAX($T$2:$T333)+1,IF(S334=$S333,$S333,IF($D334="x",T333,IF($D333="x","",""))))</f>
        <v/>
      </c>
      <c r="U334" t="str">
        <f>IF(B334=1,MAX($U$2:$U333)+1,IF(AND($T334&lt;&gt;"",$T334=$T333),$U333,IF(B334="x",U333,"")))</f>
        <v/>
      </c>
      <c r="V334" t="str">
        <f>IF(C334=1,MAX($V$2:$V333)+1,IF(AND($T334&lt;&gt;"",$T334=$T333),$U333,IF(C334="x",V333,"")))</f>
        <v/>
      </c>
      <c r="W334" t="str" cm="1">
        <f t="array" ref="W334">IFERROR(_xlfn._xlws.FILTER(game_rosters!AB:AB,(game_rosters!J:J=events!X334)*(K334&lt;&gt;"")),"")</f>
        <v/>
      </c>
      <c r="X334" t="str" cm="1">
        <f t="array" ref="X334">IF(S334="","",IF($I334&lt;&gt;"",$I334,INDEX($I$2:$I333,ROW()-COUNTIFS($T$2:$T333,"="&amp;$T334,$S$2:$S333,"&lt;&gt;"&amp;$S334)-1)))</f>
        <v/>
      </c>
      <c r="Y334" t="b">
        <f>IF(X334&lt;&gt;"",VLOOKUP(X334,game_rosters!$C$43:$E$64,3,FALSE))</f>
        <v>0</v>
      </c>
      <c r="Z334" t="e" cm="1" vm="1">
        <f t="array" aca="1" ref="Z334" ca="1">IFERROR(IF(_xlfn._xlws.FILTER(game_rosters!$J:$J,(game_rosters!$G:$G=events!$AN334)*(game_rosters!$J:$J=events!$X334))&gt;0,1,""),"")</f>
        <v>#VALUE!</v>
      </c>
      <c r="AA334" t="e">
        <f t="shared" si="73"/>
        <v>#VALUE!</v>
      </c>
      <c r="AB334" t="str">
        <f t="shared" si="74"/>
        <v/>
      </c>
      <c r="AC334" t="e">
        <f t="shared" si="72"/>
        <v>#VALUE!</v>
      </c>
      <c r="AD334" s="6"/>
      <c r="BJ334" s="39"/>
      <c r="BM334" s="39"/>
      <c r="BO334" s="19"/>
      <c r="BQ334" s="17"/>
    </row>
    <row r="335" spans="1:69" x14ac:dyDescent="0.2">
      <c r="A335" t="str">
        <f t="shared" si="75"/>
        <v/>
      </c>
      <c r="E335" s="4"/>
      <c r="F335" s="44"/>
      <c r="G335" s="4"/>
      <c r="H335" s="47"/>
      <c r="J335" s="45" t="str">
        <f t="shared" si="76"/>
        <v/>
      </c>
      <c r="N335" t="str">
        <f t="shared" si="71"/>
        <v/>
      </c>
      <c r="Q335" t="str">
        <f t="shared" si="70"/>
        <v/>
      </c>
      <c r="S335" t="str">
        <f>IF(A335=1,MAX(S$2:S334)+1,IF(OR(I335&lt;&gt;"",A335="x"),S334,""))</f>
        <v/>
      </c>
      <c r="T335" t="str">
        <f>IF(D335=1,MAX($T$2:$T334)+1,IF(S335=$S334,$S334,IF($D335="x",T334,IF($D334="x","",""))))</f>
        <v/>
      </c>
      <c r="U335" t="str">
        <f>IF(B335=1,MAX($U$2:$U334)+1,IF(AND($T335&lt;&gt;"",$T335=$T334),$U334,IF(B335="x",U334,"")))</f>
        <v/>
      </c>
      <c r="V335" t="str">
        <f>IF(C335=1,MAX($V$2:$V334)+1,IF(AND($T335&lt;&gt;"",$T335=$T334),$U334,IF(C335="x",V334,"")))</f>
        <v/>
      </c>
      <c r="W335" t="str" cm="1">
        <f t="array" ref="W335">IFERROR(_xlfn._xlws.FILTER(game_rosters!AB:AB,(game_rosters!J:J=events!X335)*(K335&lt;&gt;"")),"")</f>
        <v/>
      </c>
      <c r="X335" t="str" cm="1">
        <f t="array" ref="X335">IF(S335="","",IF($I335&lt;&gt;"",$I335,INDEX($I$2:$I334,ROW()-COUNTIFS($T$2:$T334,"="&amp;$T335,$S$2:$S334,"&lt;&gt;"&amp;$S335)-1)))</f>
        <v/>
      </c>
      <c r="Y335" t="b">
        <f>IF(X335&lt;&gt;"",VLOOKUP(X335,game_rosters!$C$43:$E$64,3,FALSE))</f>
        <v>0</v>
      </c>
      <c r="Z335" t="e" cm="1" vm="1">
        <f t="array" aca="1" ref="Z335" ca="1">IFERROR(IF(_xlfn._xlws.FILTER(game_rosters!$J:$J,(game_rosters!$G:$G=events!$AN335)*(game_rosters!$J:$J=events!$X335))&gt;0,1,""),"")</f>
        <v>#VALUE!</v>
      </c>
      <c r="AA335" t="e">
        <f t="shared" si="73"/>
        <v>#VALUE!</v>
      </c>
      <c r="AB335" t="str">
        <f t="shared" si="74"/>
        <v/>
      </c>
      <c r="AC335" t="e">
        <f t="shared" si="72"/>
        <v>#VALUE!</v>
      </c>
      <c r="AD335" s="6"/>
      <c r="BJ335" s="39"/>
      <c r="BM335" s="39"/>
      <c r="BO335" s="19"/>
      <c r="BQ335" s="17"/>
    </row>
    <row r="336" spans="1:69" x14ac:dyDescent="0.2">
      <c r="A336" t="str">
        <f t="shared" si="75"/>
        <v/>
      </c>
      <c r="E336" s="4"/>
      <c r="F336" s="44"/>
      <c r="G336" s="4"/>
      <c r="H336" s="47"/>
      <c r="J336" s="45" t="str">
        <f t="shared" si="76"/>
        <v/>
      </c>
      <c r="N336" t="str">
        <f t="shared" si="71"/>
        <v/>
      </c>
      <c r="Q336" t="str">
        <f t="shared" ref="Q336:Q399" si="77">IF(O336="","",IF(AND(N336&lt;&gt;"",OR(O336&lt;&gt;"",P336&lt;&gt;"")),N336,IF(OR(ISNUMBER(SEARCH("attemp",O336)),ISNUMBER(SEARCH("beat",O336)),ISNUMBER(SEARCH("mis",O336)),ISNUMBER(SEARCH("fail",O336)),ISNUMBER(SEARCH("loss",O336)),ISNUMBER(SEARCH("lost",O336)),ISNUMBER(SEARCH("attemp",P336)),ISNUMBER(SEARCH("mis",P336)),ISNUMBER(SEARCH("fail",P336)),ISNUMBER(SEARCH("loss",P336)),ISNUMBER(SEARCH("beat",P336)),ISNUMBER(SEARCH("lost",P336))),"u","")))</f>
        <v/>
      </c>
      <c r="S336" t="str">
        <f>IF(A336=1,MAX(S$2:S335)+1,IF(OR(I336&lt;&gt;"",A336="x"),S335,""))</f>
        <v/>
      </c>
      <c r="T336" t="str">
        <f>IF(D336=1,MAX($T$2:$T335)+1,IF(S336=$S335,$S335,IF($D336="x",T335,IF($D335="x","",""))))</f>
        <v/>
      </c>
      <c r="U336" t="str">
        <f>IF(B336=1,MAX($U$2:$U335)+1,IF(AND($T336&lt;&gt;"",$T336=$T335),$U335,IF(B336="x",U335,"")))</f>
        <v/>
      </c>
      <c r="V336" t="str">
        <f>IF(C336=1,MAX($V$2:$V335)+1,IF(AND($T336&lt;&gt;"",$T336=$T335),$U335,IF(C336="x",V335,"")))</f>
        <v/>
      </c>
      <c r="W336" t="str" cm="1">
        <f t="array" ref="W336">IFERROR(_xlfn._xlws.FILTER(game_rosters!AB:AB,(game_rosters!J:J=events!X336)*(K336&lt;&gt;"")),"")</f>
        <v/>
      </c>
      <c r="X336" t="str" cm="1">
        <f t="array" ref="X336">IF(S336="","",IF($I336&lt;&gt;"",$I336,INDEX($I$2:$I335,ROW()-COUNTIFS($T$2:$T335,"="&amp;$T336,$S$2:$S335,"&lt;&gt;"&amp;$S336)-1)))</f>
        <v/>
      </c>
      <c r="Y336" t="b">
        <f>IF(X336&lt;&gt;"",VLOOKUP(X336,game_rosters!$C$43:$E$64,3,FALSE))</f>
        <v>0</v>
      </c>
      <c r="Z336" t="e" cm="1" vm="1">
        <f t="array" aca="1" ref="Z336" ca="1">IFERROR(IF(_xlfn._xlws.FILTER(game_rosters!$J:$J,(game_rosters!$G:$G=events!$AN336)*(game_rosters!$J:$J=events!$X336))&gt;0,1,""),"")</f>
        <v>#VALUE!</v>
      </c>
      <c r="AA336" t="e">
        <f t="shared" si="73"/>
        <v>#VALUE!</v>
      </c>
      <c r="AB336" t="str">
        <f t="shared" si="74"/>
        <v/>
      </c>
      <c r="AC336" t="e">
        <f t="shared" si="72"/>
        <v>#VALUE!</v>
      </c>
      <c r="AD336" s="6"/>
      <c r="BJ336" s="39"/>
      <c r="BM336" s="39"/>
      <c r="BO336" s="19"/>
      <c r="BQ336" s="17"/>
    </row>
    <row r="337" spans="1:69" x14ac:dyDescent="0.2">
      <c r="A337" t="str">
        <f t="shared" si="75"/>
        <v/>
      </c>
      <c r="E337" s="4"/>
      <c r="F337" s="44"/>
      <c r="G337" s="4"/>
      <c r="H337" s="47"/>
      <c r="J337" s="45" t="str">
        <f t="shared" si="76"/>
        <v/>
      </c>
      <c r="N337" t="str">
        <f t="shared" si="71"/>
        <v/>
      </c>
      <c r="Q337" t="str">
        <f t="shared" si="77"/>
        <v/>
      </c>
      <c r="S337" t="str">
        <f>IF(A337=1,MAX(S$2:S336)+1,IF(OR(I337&lt;&gt;"",A337="x"),S336,""))</f>
        <v/>
      </c>
      <c r="T337" t="str">
        <f>IF(D337=1,MAX($T$2:$T336)+1,IF(S337=$S336,$S336,IF($D337="x",T336,IF($D336="x","",""))))</f>
        <v/>
      </c>
      <c r="U337" t="str">
        <f>IF(B337=1,MAX($U$2:$U336)+1,IF(AND($T337&lt;&gt;"",$T337=$T336),$U336,IF(B337="x",U336,"")))</f>
        <v/>
      </c>
      <c r="V337" t="str">
        <f>IF(C337=1,MAX($V$2:$V336)+1,IF(AND($T337&lt;&gt;"",$T337=$T336),$U336,IF(C337="x",V336,"")))</f>
        <v/>
      </c>
      <c r="W337" t="str" cm="1">
        <f t="array" ref="W337">IFERROR(_xlfn._xlws.FILTER(game_rosters!AB:AB,(game_rosters!J:J=events!X337)*(K337&lt;&gt;"")),"")</f>
        <v/>
      </c>
      <c r="X337" t="str" cm="1">
        <f t="array" ref="X337">IF(S337="","",IF($I337&lt;&gt;"",$I337,INDEX($I$2:$I336,ROW()-COUNTIFS($T$2:$T336,"="&amp;$T337,$S$2:$S336,"&lt;&gt;"&amp;$S337)-1)))</f>
        <v/>
      </c>
      <c r="Y337" t="b">
        <f>IF(X337&lt;&gt;"",VLOOKUP(X337,game_rosters!$C$43:$E$64,3,FALSE))</f>
        <v>0</v>
      </c>
      <c r="Z337" t="e" cm="1" vm="1">
        <f t="array" aca="1" ref="Z337" ca="1">IFERROR(IF(_xlfn._xlws.FILTER(game_rosters!$J:$J,(game_rosters!$G:$G=events!$AN337)*(game_rosters!$J:$J=events!$X337))&gt;0,1,""),"")</f>
        <v>#VALUE!</v>
      </c>
      <c r="AA337" t="e">
        <f t="shared" si="73"/>
        <v>#VALUE!</v>
      </c>
      <c r="AB337" t="str">
        <f t="shared" si="74"/>
        <v/>
      </c>
      <c r="AC337" t="e">
        <f t="shared" si="72"/>
        <v>#VALUE!</v>
      </c>
      <c r="AD337" s="6"/>
      <c r="BJ337" s="39"/>
      <c r="BM337" s="39"/>
      <c r="BO337" s="19"/>
      <c r="BQ337" s="17"/>
    </row>
    <row r="338" spans="1:69" x14ac:dyDescent="0.2">
      <c r="A338" t="str">
        <f t="shared" si="75"/>
        <v/>
      </c>
      <c r="E338" s="4"/>
      <c r="F338" s="44"/>
      <c r="G338" s="4"/>
      <c r="H338" s="47"/>
      <c r="J338" s="45" t="str">
        <f t="shared" si="76"/>
        <v/>
      </c>
      <c r="N338" t="str">
        <f t="shared" si="71"/>
        <v/>
      </c>
      <c r="Q338" t="str">
        <f t="shared" si="77"/>
        <v/>
      </c>
      <c r="S338" t="str">
        <f>IF(A338=1,MAX(S$2:S337)+1,IF(OR(I338&lt;&gt;"",A338="x"),S337,""))</f>
        <v/>
      </c>
      <c r="T338" t="str">
        <f>IF(D338=1,MAX($T$2:$T337)+1,IF(S338=$S337,$S337,IF($D338="x",T337,IF($D337="x","",""))))</f>
        <v/>
      </c>
      <c r="U338" t="str">
        <f>IF(B338=1,MAX($U$2:$U337)+1,IF(AND($T338&lt;&gt;"",$T338=$T337),$U337,IF(B338="x",U337,"")))</f>
        <v/>
      </c>
      <c r="V338" t="str">
        <f>IF(C338=1,MAX($V$2:$V337)+1,IF(AND($T338&lt;&gt;"",$T338=$T337),$U337,IF(C338="x",V337,"")))</f>
        <v/>
      </c>
      <c r="W338" t="str" cm="1">
        <f t="array" ref="W338">IFERROR(_xlfn._xlws.FILTER(game_rosters!AB:AB,(game_rosters!J:J=events!X338)*(K338&lt;&gt;"")),"")</f>
        <v/>
      </c>
      <c r="X338" t="str" cm="1">
        <f t="array" ref="X338">IF(S338="","",IF($I338&lt;&gt;"",$I338,INDEX($I$2:$I337,ROW()-COUNTIFS($T$2:$T337,"="&amp;$T338,$S$2:$S337,"&lt;&gt;"&amp;$S338)-1)))</f>
        <v/>
      </c>
      <c r="Y338" t="b">
        <f>IF(X338&lt;&gt;"",VLOOKUP(X338,game_rosters!$C$43:$E$64,3,FALSE))</f>
        <v>0</v>
      </c>
      <c r="Z338" t="e" cm="1" vm="1">
        <f t="array" aca="1" ref="Z338" ca="1">IFERROR(IF(_xlfn._xlws.FILTER(game_rosters!$J:$J,(game_rosters!$G:$G=events!$AN338)*(game_rosters!$J:$J=events!$X338))&gt;0,1,""),"")</f>
        <v>#VALUE!</v>
      </c>
      <c r="AA338" t="e">
        <f t="shared" si="73"/>
        <v>#VALUE!</v>
      </c>
      <c r="AB338" t="str">
        <f t="shared" si="74"/>
        <v/>
      </c>
      <c r="AC338" t="e">
        <f t="shared" si="72"/>
        <v>#VALUE!</v>
      </c>
      <c r="AD338" s="6"/>
      <c r="BJ338" s="39"/>
      <c r="BM338" s="39"/>
      <c r="BO338" s="19"/>
      <c r="BQ338" s="17"/>
    </row>
    <row r="339" spans="1:69" x14ac:dyDescent="0.2">
      <c r="A339" t="str">
        <f t="shared" si="75"/>
        <v/>
      </c>
      <c r="E339" s="4"/>
      <c r="F339" s="44"/>
      <c r="G339" s="4"/>
      <c r="H339" s="47"/>
      <c r="J339" s="45" t="str">
        <f t="shared" si="76"/>
        <v/>
      </c>
      <c r="N339" t="str">
        <f t="shared" si="71"/>
        <v/>
      </c>
      <c r="Q339" t="str">
        <f t="shared" si="77"/>
        <v/>
      </c>
      <c r="S339" t="str">
        <f>IF(A339=1,MAX(S$2:S338)+1,IF(OR(I339&lt;&gt;"",A339="x"),S338,""))</f>
        <v/>
      </c>
      <c r="T339" t="str">
        <f>IF(D339=1,MAX($T$2:$T338)+1,IF(S339=$S338,$S338,IF($D339="x",T338,IF($D338="x","",""))))</f>
        <v/>
      </c>
      <c r="U339" t="str">
        <f>IF(B339=1,MAX($U$2:$U338)+1,IF(AND($T339&lt;&gt;"",$T339=$T338),$U338,IF(B339="x",U338,"")))</f>
        <v/>
      </c>
      <c r="V339" t="str">
        <f>IF(C339=1,MAX($V$2:$V338)+1,IF(AND($T339&lt;&gt;"",$T339=$T338),$U338,IF(C339="x",V338,"")))</f>
        <v/>
      </c>
      <c r="W339" t="str" cm="1">
        <f t="array" ref="W339">IFERROR(_xlfn._xlws.FILTER(game_rosters!AB:AB,(game_rosters!J:J=events!X339)*(K339&lt;&gt;"")),"")</f>
        <v/>
      </c>
      <c r="X339" t="str" cm="1">
        <f t="array" ref="X339">IF(S339="","",IF($I339&lt;&gt;"",$I339,INDEX($I$2:$I338,ROW()-COUNTIFS($T$2:$T338,"="&amp;$T339,$S$2:$S338,"&lt;&gt;"&amp;$S339)-1)))</f>
        <v/>
      </c>
      <c r="Y339" t="b">
        <f>IF(X339&lt;&gt;"",VLOOKUP(X339,game_rosters!$C$43:$E$64,3,FALSE))</f>
        <v>0</v>
      </c>
      <c r="Z339" t="e" cm="1" vm="1">
        <f t="array" aca="1" ref="Z339" ca="1">IFERROR(IF(_xlfn._xlws.FILTER(game_rosters!$J:$J,(game_rosters!$G:$G=events!$AN339)*(game_rosters!$J:$J=events!$X339))&gt;0,1,""),"")</f>
        <v>#VALUE!</v>
      </c>
      <c r="AA339" t="e">
        <f t="shared" si="73"/>
        <v>#VALUE!</v>
      </c>
      <c r="AB339" t="str">
        <f t="shared" si="74"/>
        <v/>
      </c>
      <c r="AC339" t="e">
        <f t="shared" si="72"/>
        <v>#VALUE!</v>
      </c>
      <c r="AD339" s="6"/>
      <c r="BJ339" s="39"/>
      <c r="BM339" s="39"/>
      <c r="BO339" s="19"/>
      <c r="BQ339" s="17"/>
    </row>
    <row r="340" spans="1:69" x14ac:dyDescent="0.2">
      <c r="A340" t="str">
        <f t="shared" si="75"/>
        <v/>
      </c>
      <c r="E340" s="4"/>
      <c r="F340" s="44"/>
      <c r="G340" s="4"/>
      <c r="H340" s="47"/>
      <c r="J340" s="45" t="str">
        <f t="shared" si="76"/>
        <v/>
      </c>
      <c r="N340" t="str">
        <f t="shared" si="71"/>
        <v/>
      </c>
      <c r="Q340" t="str">
        <f t="shared" si="77"/>
        <v/>
      </c>
      <c r="S340" t="str">
        <f>IF(A340=1,MAX(S$2:S339)+1,IF(OR(I340&lt;&gt;"",A340="x"),S339,""))</f>
        <v/>
      </c>
      <c r="T340" t="str">
        <f>IF(D340=1,MAX($T$2:$T339)+1,IF(S340=$S339,$S339,IF($D340="x",T339,IF($D339="x","",""))))</f>
        <v/>
      </c>
      <c r="U340" t="str">
        <f>IF(B340=1,MAX($U$2:$U339)+1,IF(AND($T340&lt;&gt;"",$T340=$T339),$U339,IF(B340="x",U339,"")))</f>
        <v/>
      </c>
      <c r="V340" t="str">
        <f>IF(C340=1,MAX($V$2:$V339)+1,IF(AND($T340&lt;&gt;"",$T340=$T339),$U339,IF(C340="x",V339,"")))</f>
        <v/>
      </c>
      <c r="W340" t="str" cm="1">
        <f t="array" ref="W340">IFERROR(_xlfn._xlws.FILTER(game_rosters!AB:AB,(game_rosters!J:J=events!X340)*(K340&lt;&gt;"")),"")</f>
        <v/>
      </c>
      <c r="X340" t="str" cm="1">
        <f t="array" ref="X340">IF(S340="","",IF($I340&lt;&gt;"",$I340,INDEX($I$2:$I339,ROW()-COUNTIFS($T$2:$T339,"="&amp;$T340,$S$2:$S339,"&lt;&gt;"&amp;$S340)-1)))</f>
        <v/>
      </c>
      <c r="Y340" t="b">
        <f>IF(X340&lt;&gt;"",VLOOKUP(X340,game_rosters!$C$43:$E$64,3,FALSE))</f>
        <v>0</v>
      </c>
      <c r="Z340" t="e" cm="1" vm="1">
        <f t="array" aca="1" ref="Z340" ca="1">IFERROR(IF(_xlfn._xlws.FILTER(game_rosters!$J:$J,(game_rosters!$G:$G=events!$AN340)*(game_rosters!$J:$J=events!$X340))&gt;0,1,""),"")</f>
        <v>#VALUE!</v>
      </c>
      <c r="AA340" t="e">
        <f t="shared" si="73"/>
        <v>#VALUE!</v>
      </c>
      <c r="AB340" t="str">
        <f t="shared" si="74"/>
        <v/>
      </c>
      <c r="AC340" t="e">
        <f t="shared" si="72"/>
        <v>#VALUE!</v>
      </c>
      <c r="AD340" s="6"/>
      <c r="BJ340" s="39"/>
      <c r="BM340" s="39"/>
      <c r="BO340" s="19"/>
      <c r="BQ340" s="17"/>
    </row>
    <row r="341" spans="1:69" x14ac:dyDescent="0.2">
      <c r="A341" t="str">
        <f t="shared" si="75"/>
        <v/>
      </c>
      <c r="E341" s="4"/>
      <c r="F341" s="44"/>
      <c r="G341" s="4"/>
      <c r="H341" s="47"/>
      <c r="J341" s="45" t="str">
        <f t="shared" si="76"/>
        <v/>
      </c>
      <c r="N341" t="str">
        <f t="shared" ref="N341:N404" si="78">IF(K341="","",IF(K341="Goal","s",IF(AND(K341="Zone_Entry_Exit",OR(ISNUMBER(SEARCH("fail",L341)),ISNUMBER(SEARCH("FromExitClear",M341)),ISNUMBER(SEARCH("miss",M341)))),"u",IF(AND(K341="Zone_Entry_Exit",OR(NOT(ISNUMBER(SEARCH("fail",L341))),NOT(ISNUMBER(SEARCH("FromExitClear",M341))),NOT(ISNUMBER(SEARCH("miss",M341))))),"s",IF(AND(OR(K341="Shot",K341="Pass"),OR(ISNUMBER(SEARCH("complete",L341)),ISNUMBER(SEARCH("goal",L341)),ISNUMBER(SEARCH("OnNet",L341)))),"s",IF(L341="Turnover_Giveaway","u",IF(AND(OR(K341="Shot",K341="Pass"),OR(ISNUMBER(SEARCH("fail",L341)),NOT(ISNUMBER(SEARCH("complete",L341))),NOT(ISNUMBER(SEARCH("OnNet",L341))))),"u","")))))))</f>
        <v/>
      </c>
      <c r="Q341" t="str">
        <f t="shared" si="77"/>
        <v/>
      </c>
      <c r="S341" t="str">
        <f>IF(A341=1,MAX(S$2:S340)+1,IF(OR(I341&lt;&gt;"",A341="x"),S340,""))</f>
        <v/>
      </c>
      <c r="T341" t="str">
        <f>IF(D341=1,MAX($T$2:$T340)+1,IF(S341=$S340,$S340,IF($D341="x",T340,IF($D340="x","",""))))</f>
        <v/>
      </c>
      <c r="U341" t="str">
        <f>IF(B341=1,MAX($U$2:$U340)+1,IF(AND($T341&lt;&gt;"",$T341=$T340),$U340,IF(B341="x",U340,"")))</f>
        <v/>
      </c>
      <c r="V341" t="str">
        <f>IF(C341=1,MAX($V$2:$V340)+1,IF(AND($T341&lt;&gt;"",$T341=$T340),$U340,IF(C341="x",V340,"")))</f>
        <v/>
      </c>
      <c r="W341" t="str" cm="1">
        <f t="array" ref="W341">IFERROR(_xlfn._xlws.FILTER(game_rosters!AB:AB,(game_rosters!J:J=events!X341)*(K341&lt;&gt;"")),"")</f>
        <v/>
      </c>
      <c r="X341" t="str" cm="1">
        <f t="array" ref="X341">IF(S341="","",IF($I341&lt;&gt;"",$I341,INDEX($I$2:$I340,ROW()-COUNTIFS($T$2:$T340,"="&amp;$T341,$S$2:$S340,"&lt;&gt;"&amp;$S341)-1)))</f>
        <v/>
      </c>
      <c r="Y341" t="b">
        <f>IF(X341&lt;&gt;"",VLOOKUP(X341,game_rosters!$C$43:$E$64,3,FALSE))</f>
        <v>0</v>
      </c>
      <c r="Z341" t="e" cm="1" vm="1">
        <f t="array" aca="1" ref="Z341" ca="1">IFERROR(IF(_xlfn._xlws.FILTER(game_rosters!$J:$J,(game_rosters!$G:$G=events!$AN341)*(game_rosters!$J:$J=events!$X341))&gt;0,1,""),"")</f>
        <v>#VALUE!</v>
      </c>
      <c r="AA341" t="e">
        <f t="shared" si="73"/>
        <v>#VALUE!</v>
      </c>
      <c r="AB341" t="str">
        <f t="shared" si="74"/>
        <v/>
      </c>
      <c r="AC341" t="e">
        <f t="shared" si="72"/>
        <v>#VALUE!</v>
      </c>
      <c r="AD341" s="6"/>
      <c r="BJ341" s="39"/>
      <c r="BM341" s="39"/>
      <c r="BO341" s="19"/>
      <c r="BQ341" s="17"/>
    </row>
    <row r="342" spans="1:69" x14ac:dyDescent="0.2">
      <c r="A342" t="str">
        <f t="shared" si="75"/>
        <v/>
      </c>
      <c r="E342" s="4"/>
      <c r="F342" s="44"/>
      <c r="G342" s="4"/>
      <c r="H342" s="47"/>
      <c r="J342" s="45" t="str">
        <f t="shared" si="76"/>
        <v/>
      </c>
      <c r="N342" t="str">
        <f t="shared" si="78"/>
        <v/>
      </c>
      <c r="Q342" t="str">
        <f t="shared" si="77"/>
        <v/>
      </c>
      <c r="S342" t="str">
        <f>IF(A342=1,MAX(S$2:S341)+1,IF(OR(I342&lt;&gt;"",A342="x"),S341,""))</f>
        <v/>
      </c>
      <c r="T342" t="str">
        <f>IF(D342=1,MAX($T$2:$T341)+1,IF(S342=$S341,$S341,IF($D342="x",T341,IF($D341="x","",""))))</f>
        <v/>
      </c>
      <c r="U342" t="str">
        <f>IF(B342=1,MAX($U$2:$U341)+1,IF(AND($T342&lt;&gt;"",$T342=$T341),$U341,IF(B342="x",U341,"")))</f>
        <v/>
      </c>
      <c r="V342" t="str">
        <f>IF(C342=1,MAX($V$2:$V341)+1,IF(AND($T342&lt;&gt;"",$T342=$T341),$U341,IF(C342="x",V341,"")))</f>
        <v/>
      </c>
      <c r="W342" t="str" cm="1">
        <f t="array" ref="W342">IFERROR(_xlfn._xlws.FILTER(game_rosters!AB:AB,(game_rosters!J:J=events!X342)*(K342&lt;&gt;"")),"")</f>
        <v/>
      </c>
      <c r="X342" t="str" cm="1">
        <f t="array" ref="X342">IF(S342="","",IF($I342&lt;&gt;"",$I342,INDEX($I$2:$I341,ROW()-COUNTIFS($T$2:$T341,"="&amp;$T342,$S$2:$S341,"&lt;&gt;"&amp;$S342)-1)))</f>
        <v/>
      </c>
      <c r="Y342" t="b">
        <f>IF(X342&lt;&gt;"",VLOOKUP(X342,game_rosters!$C$43:$E$64,3,FALSE))</f>
        <v>0</v>
      </c>
      <c r="Z342" t="e" cm="1" vm="1">
        <f t="array" aca="1" ref="Z342" ca="1">IFERROR(IF(_xlfn._xlws.FILTER(game_rosters!$J:$J,(game_rosters!$G:$G=events!$AN342)*(game_rosters!$J:$J=events!$X342))&gt;0,1,""),"")</f>
        <v>#VALUE!</v>
      </c>
      <c r="AA342" t="e">
        <f t="shared" si="73"/>
        <v>#VALUE!</v>
      </c>
      <c r="AB342" t="str">
        <f t="shared" si="74"/>
        <v/>
      </c>
      <c r="AC342" t="e">
        <f t="shared" si="72"/>
        <v>#VALUE!</v>
      </c>
      <c r="AD342" s="6"/>
      <c r="BJ342" s="39"/>
      <c r="BM342" s="39"/>
      <c r="BO342" s="19"/>
      <c r="BQ342" s="17"/>
    </row>
    <row r="343" spans="1:69" x14ac:dyDescent="0.2">
      <c r="A343" t="str">
        <f t="shared" si="75"/>
        <v/>
      </c>
      <c r="E343" s="4"/>
      <c r="F343" s="44"/>
      <c r="G343" s="4"/>
      <c r="H343" s="47"/>
      <c r="J343" s="45" t="str">
        <f t="shared" si="76"/>
        <v/>
      </c>
      <c r="N343" t="str">
        <f t="shared" si="78"/>
        <v/>
      </c>
      <c r="Q343" t="str">
        <f t="shared" si="77"/>
        <v/>
      </c>
      <c r="S343" t="str">
        <f>IF(A343=1,MAX(S$2:S342)+1,IF(OR(I343&lt;&gt;"",A343="x"),S342,""))</f>
        <v/>
      </c>
      <c r="T343" t="str">
        <f>IF(D343=1,MAX($T$2:$T342)+1,IF(S343=$S342,$S342,IF($D343="x",T342,IF($D342="x","",""))))</f>
        <v/>
      </c>
      <c r="U343" t="str">
        <f>IF(B343=1,MAX($U$2:$U342)+1,IF(AND($T343&lt;&gt;"",$T343=$T342),$U342,IF(B343="x",U342,"")))</f>
        <v/>
      </c>
      <c r="V343" t="str">
        <f>IF(C343=1,MAX($V$2:$V342)+1,IF(AND($T343&lt;&gt;"",$T343=$T342),$U342,IF(C343="x",V342,"")))</f>
        <v/>
      </c>
      <c r="W343" t="str" cm="1">
        <f t="array" ref="W343">IFERROR(_xlfn._xlws.FILTER(game_rosters!AB:AB,(game_rosters!J:J=events!X343)*(K343&lt;&gt;"")),"")</f>
        <v/>
      </c>
      <c r="X343" t="str" cm="1">
        <f t="array" ref="X343">IF(S343="","",IF($I343&lt;&gt;"",$I343,INDEX($I$2:$I342,ROW()-COUNTIFS($T$2:$T342,"="&amp;$T343,$S$2:$S342,"&lt;&gt;"&amp;$S343)-1)))</f>
        <v/>
      </c>
      <c r="Y343" t="b">
        <f>IF(X343&lt;&gt;"",VLOOKUP(X343,game_rosters!$C$43:$E$64,3,FALSE))</f>
        <v>0</v>
      </c>
      <c r="Z343" t="e" cm="1" vm="1">
        <f t="array" aca="1" ref="Z343" ca="1">IFERROR(IF(_xlfn._xlws.FILTER(game_rosters!$J:$J,(game_rosters!$G:$G=events!$AN343)*(game_rosters!$J:$J=events!$X343))&gt;0,1,""),"")</f>
        <v>#VALUE!</v>
      </c>
      <c r="AA343" t="e">
        <f t="shared" si="73"/>
        <v>#VALUE!</v>
      </c>
      <c r="AB343" t="str">
        <f t="shared" si="74"/>
        <v/>
      </c>
      <c r="AC343" t="e">
        <f t="shared" si="72"/>
        <v>#VALUE!</v>
      </c>
      <c r="AD343" s="6"/>
      <c r="BJ343" s="39"/>
      <c r="BM343" s="39"/>
      <c r="BO343" s="19"/>
      <c r="BQ343" s="17"/>
    </row>
    <row r="344" spans="1:69" x14ac:dyDescent="0.2">
      <c r="A344" t="str">
        <f t="shared" si="75"/>
        <v/>
      </c>
      <c r="E344" s="4"/>
      <c r="F344" s="44"/>
      <c r="G344" s="4"/>
      <c r="H344" s="47"/>
      <c r="J344" s="45" t="str">
        <f t="shared" si="76"/>
        <v/>
      </c>
      <c r="N344" t="str">
        <f t="shared" si="78"/>
        <v/>
      </c>
      <c r="Q344" t="str">
        <f t="shared" si="77"/>
        <v/>
      </c>
      <c r="S344" t="str">
        <f>IF(A344=1,MAX(S$2:S343)+1,IF(OR(I344&lt;&gt;"",A344="x"),S343,""))</f>
        <v/>
      </c>
      <c r="T344" t="str">
        <f>IF(D344=1,MAX($T$2:$T343)+1,IF(S344=$S343,$S343,IF($D344="x",T343,IF($D343="x","",""))))</f>
        <v/>
      </c>
      <c r="U344" t="str">
        <f>IF(B344=1,MAX($U$2:$U343)+1,IF(AND($T344&lt;&gt;"",$T344=$T343),$U343,IF(B344="x",U343,"")))</f>
        <v/>
      </c>
      <c r="V344" t="str">
        <f>IF(C344=1,MAX($V$2:$V343)+1,IF(AND($T344&lt;&gt;"",$T344=$T343),$U343,IF(C344="x",V343,"")))</f>
        <v/>
      </c>
      <c r="W344" t="str" cm="1">
        <f t="array" ref="W344">IFERROR(_xlfn._xlws.FILTER(game_rosters!AB:AB,(game_rosters!J:J=events!X344)*(K344&lt;&gt;"")),"")</f>
        <v/>
      </c>
      <c r="X344" t="str" cm="1">
        <f t="array" ref="X344">IF(S344="","",IF($I344&lt;&gt;"",$I344,INDEX($I$2:$I343,ROW()-COUNTIFS($T$2:$T343,"="&amp;$T344,$S$2:$S343,"&lt;&gt;"&amp;$S344)-1)))</f>
        <v/>
      </c>
      <c r="Y344" t="b">
        <f>IF(X344&lt;&gt;"",VLOOKUP(X344,game_rosters!$C$43:$E$64,3,FALSE))</f>
        <v>0</v>
      </c>
      <c r="Z344" t="e" cm="1" vm="1">
        <f t="array" aca="1" ref="Z344" ca="1">IFERROR(IF(_xlfn._xlws.FILTER(game_rosters!$J:$J,(game_rosters!$G:$G=events!$AN344)*(game_rosters!$J:$J=events!$X344))&gt;0,1,""),"")</f>
        <v>#VALUE!</v>
      </c>
      <c r="AA344" t="e">
        <f t="shared" si="73"/>
        <v>#VALUE!</v>
      </c>
      <c r="AB344" t="str">
        <f t="shared" si="74"/>
        <v/>
      </c>
      <c r="AC344" t="e">
        <f t="shared" si="72"/>
        <v>#VALUE!</v>
      </c>
      <c r="AD344" s="6"/>
      <c r="BJ344" s="39"/>
      <c r="BM344" s="39"/>
      <c r="BO344" s="19"/>
      <c r="BQ344" s="17"/>
    </row>
    <row r="345" spans="1:69" x14ac:dyDescent="0.2">
      <c r="A345" t="str">
        <f t="shared" si="75"/>
        <v/>
      </c>
      <c r="E345" s="4"/>
      <c r="F345" s="44"/>
      <c r="G345" s="4"/>
      <c r="H345" s="47"/>
      <c r="J345" s="45" t="str">
        <f t="shared" si="76"/>
        <v/>
      </c>
      <c r="N345" t="str">
        <f t="shared" si="78"/>
        <v/>
      </c>
      <c r="Q345" t="str">
        <f t="shared" si="77"/>
        <v/>
      </c>
      <c r="S345" t="str">
        <f>IF(A345=1,MAX(S$2:S344)+1,IF(OR(I345&lt;&gt;"",A345="x"),S344,""))</f>
        <v/>
      </c>
      <c r="T345" t="str">
        <f>IF(D345=1,MAX($T$2:$T344)+1,IF(S345=$S344,$S344,IF($D345="x",T344,IF($D344="x","",""))))</f>
        <v/>
      </c>
      <c r="U345" t="str">
        <f>IF(B345=1,MAX($U$2:$U344)+1,IF(AND($T345&lt;&gt;"",$T345=$T344),$U344,IF(B345="x",U344,"")))</f>
        <v/>
      </c>
      <c r="V345" t="str">
        <f>IF(C345=1,MAX($V$2:$V344)+1,IF(AND($T345&lt;&gt;"",$T345=$T344),$U344,IF(C345="x",V344,"")))</f>
        <v/>
      </c>
      <c r="W345" t="str" cm="1">
        <f t="array" ref="W345">IFERROR(_xlfn._xlws.FILTER(game_rosters!AB:AB,(game_rosters!J:J=events!X345)*(K345&lt;&gt;"")),"")</f>
        <v/>
      </c>
      <c r="X345" t="str" cm="1">
        <f t="array" ref="X345">IF(S345="","",IF($I345&lt;&gt;"",$I345,INDEX($I$2:$I344,ROW()-COUNTIFS($T$2:$T344,"="&amp;$T345,$S$2:$S344,"&lt;&gt;"&amp;$S345)-1)))</f>
        <v/>
      </c>
      <c r="Y345" t="b">
        <f>IF(X345&lt;&gt;"",VLOOKUP(X345,game_rosters!$C$43:$E$64,3,FALSE))</f>
        <v>0</v>
      </c>
      <c r="Z345" t="e" cm="1" vm="1">
        <f t="array" aca="1" ref="Z345" ca="1">IFERROR(IF(_xlfn._xlws.FILTER(game_rosters!$J:$J,(game_rosters!$G:$G=events!$AN345)*(game_rosters!$J:$J=events!$X345))&gt;0,1,""),"")</f>
        <v>#VALUE!</v>
      </c>
      <c r="AA345" t="e">
        <f t="shared" si="73"/>
        <v>#VALUE!</v>
      </c>
      <c r="AB345" t="str">
        <f t="shared" si="74"/>
        <v/>
      </c>
      <c r="AC345" t="e">
        <f t="shared" si="72"/>
        <v>#VALUE!</v>
      </c>
      <c r="AD345" s="6"/>
      <c r="BJ345" s="39"/>
      <c r="BM345" s="39"/>
      <c r="BO345" s="19"/>
      <c r="BQ345" s="17"/>
    </row>
    <row r="346" spans="1:69" x14ac:dyDescent="0.2">
      <c r="A346" t="str">
        <f t="shared" si="75"/>
        <v/>
      </c>
      <c r="E346" s="4"/>
      <c r="F346" s="44"/>
      <c r="G346" s="4"/>
      <c r="H346" s="47"/>
      <c r="J346" s="45" t="str">
        <f t="shared" si="76"/>
        <v/>
      </c>
      <c r="N346" t="str">
        <f t="shared" si="78"/>
        <v/>
      </c>
      <c r="Q346" t="str">
        <f t="shared" si="77"/>
        <v/>
      </c>
      <c r="S346" t="str">
        <f>IF(A346=1,MAX(S$2:S345)+1,IF(OR(I346&lt;&gt;"",A346="x"),S345,""))</f>
        <v/>
      </c>
      <c r="T346" t="str">
        <f>IF(D346=1,MAX($T$2:$T345)+1,IF(S346=$S345,$S345,IF($D346="x",T345,IF($D345="x","",""))))</f>
        <v/>
      </c>
      <c r="U346" t="str">
        <f>IF(B346=1,MAX($U$2:$U345)+1,IF(AND($T346&lt;&gt;"",$T346=$T345),$U345,IF(B346="x",U345,"")))</f>
        <v/>
      </c>
      <c r="V346" t="str">
        <f>IF(C346=1,MAX($V$2:$V345)+1,IF(AND($T346&lt;&gt;"",$T346=$T345),$U345,IF(C346="x",V345,"")))</f>
        <v/>
      </c>
      <c r="W346" t="str" cm="1">
        <f t="array" ref="W346">IFERROR(_xlfn._xlws.FILTER(game_rosters!AB:AB,(game_rosters!J:J=events!X346)*(K346&lt;&gt;"")),"")</f>
        <v/>
      </c>
      <c r="X346" t="str" cm="1">
        <f t="array" ref="X346">IF(S346="","",IF($I346&lt;&gt;"",$I346,INDEX($I$2:$I345,ROW()-COUNTIFS($T$2:$T345,"="&amp;$T346,$S$2:$S345,"&lt;&gt;"&amp;$S346)-1)))</f>
        <v/>
      </c>
      <c r="Y346" t="b">
        <f>IF(X346&lt;&gt;"",VLOOKUP(X346,game_rosters!$C$43:$E$64,3,FALSE))</f>
        <v>0</v>
      </c>
      <c r="Z346" t="e" cm="1" vm="1">
        <f t="array" aca="1" ref="Z346" ca="1">IFERROR(IF(_xlfn._xlws.FILTER(game_rosters!$J:$J,(game_rosters!$G:$G=events!$AN346)*(game_rosters!$J:$J=events!$X346))&gt;0,1,""),"")</f>
        <v>#VALUE!</v>
      </c>
      <c r="AA346" t="e">
        <f t="shared" si="73"/>
        <v>#VALUE!</v>
      </c>
      <c r="AB346" t="str">
        <f t="shared" si="74"/>
        <v/>
      </c>
      <c r="AC346" t="e">
        <f t="shared" si="72"/>
        <v>#VALUE!</v>
      </c>
      <c r="AD346" s="6"/>
      <c r="BJ346" s="39"/>
      <c r="BM346" s="39"/>
      <c r="BO346" s="19"/>
      <c r="BQ346" s="17"/>
    </row>
    <row r="347" spans="1:69" x14ac:dyDescent="0.2">
      <c r="A347" t="str">
        <f t="shared" si="75"/>
        <v/>
      </c>
      <c r="E347" s="4"/>
      <c r="F347" s="44"/>
      <c r="G347" s="4"/>
      <c r="H347" s="47"/>
      <c r="J347" s="45" t="str">
        <f t="shared" si="76"/>
        <v/>
      </c>
      <c r="N347" t="str">
        <f t="shared" si="78"/>
        <v/>
      </c>
      <c r="Q347" t="str">
        <f t="shared" si="77"/>
        <v/>
      </c>
      <c r="S347" t="str">
        <f>IF(A347=1,MAX(S$2:S346)+1,IF(OR(I347&lt;&gt;"",A347="x"),S346,""))</f>
        <v/>
      </c>
      <c r="T347" t="str">
        <f>IF(D347=1,MAX($T$2:$T346)+1,IF(S347=$S346,$S346,IF($D347="x",T346,IF($D346="x","",""))))</f>
        <v/>
      </c>
      <c r="U347" t="str">
        <f>IF(B347=1,MAX($U$2:$U346)+1,IF(AND($T347&lt;&gt;"",$T347=$T346),$U346,IF(B347="x",U346,"")))</f>
        <v/>
      </c>
      <c r="V347" t="str">
        <f>IF(C347=1,MAX($V$2:$V346)+1,IF(AND($T347&lt;&gt;"",$T347=$T346),$U346,IF(C347="x",V346,"")))</f>
        <v/>
      </c>
      <c r="W347" t="str" cm="1">
        <f t="array" ref="W347">IFERROR(_xlfn._xlws.FILTER(game_rosters!AB:AB,(game_rosters!J:J=events!X347)*(K347&lt;&gt;"")),"")</f>
        <v/>
      </c>
      <c r="X347" t="str" cm="1">
        <f t="array" ref="X347">IF(S347="","",IF($I347&lt;&gt;"",$I347,INDEX($I$2:$I346,ROW()-COUNTIFS($T$2:$T346,"="&amp;$T347,$S$2:$S346,"&lt;&gt;"&amp;$S347)-1)))</f>
        <v/>
      </c>
      <c r="Y347" t="b">
        <f>IF(X347&lt;&gt;"",VLOOKUP(X347,game_rosters!$C$43:$E$64,3,FALSE))</f>
        <v>0</v>
      </c>
      <c r="Z347" t="e" cm="1" vm="1">
        <f t="array" aca="1" ref="Z347" ca="1">IFERROR(IF(_xlfn._xlws.FILTER(game_rosters!$J:$J,(game_rosters!$G:$G=events!$AN347)*(game_rosters!$J:$J=events!$X347))&gt;0,1,""),"")</f>
        <v>#VALUE!</v>
      </c>
      <c r="AA347" t="e">
        <f t="shared" si="73"/>
        <v>#VALUE!</v>
      </c>
      <c r="AB347" t="str">
        <f t="shared" si="74"/>
        <v/>
      </c>
      <c r="AC347" t="e">
        <f t="shared" si="72"/>
        <v>#VALUE!</v>
      </c>
      <c r="AD347" s="6"/>
      <c r="BJ347" s="39"/>
      <c r="BM347" s="39"/>
      <c r="BO347" s="19"/>
      <c r="BQ347" s="17"/>
    </row>
    <row r="348" spans="1:69" x14ac:dyDescent="0.2">
      <c r="A348" t="str">
        <f t="shared" si="75"/>
        <v/>
      </c>
      <c r="E348" s="4"/>
      <c r="F348" s="44"/>
      <c r="G348" s="4"/>
      <c r="H348" s="47"/>
      <c r="J348" s="45" t="str">
        <f t="shared" si="76"/>
        <v/>
      </c>
      <c r="N348" t="str">
        <f t="shared" si="78"/>
        <v/>
      </c>
      <c r="Q348" t="str">
        <f t="shared" si="77"/>
        <v/>
      </c>
      <c r="S348" t="str">
        <f>IF(A348=1,MAX(S$2:S347)+1,IF(OR(I348&lt;&gt;"",A348="x"),S347,""))</f>
        <v/>
      </c>
      <c r="T348" t="str">
        <f>IF(D348=1,MAX($T$2:$T347)+1,IF(S348=$S347,$S347,IF($D348="x",T347,IF($D347="x","",""))))</f>
        <v/>
      </c>
      <c r="U348" t="str">
        <f>IF(B348=1,MAX($U$2:$U347)+1,IF(AND($T348&lt;&gt;"",$T348=$T347),$U347,IF(B348="x",U347,"")))</f>
        <v/>
      </c>
      <c r="V348" t="str">
        <f>IF(C348=1,MAX($V$2:$V347)+1,IF(AND($T348&lt;&gt;"",$T348=$T347),$U347,IF(C348="x",V347,"")))</f>
        <v/>
      </c>
      <c r="W348" t="str" cm="1">
        <f t="array" ref="W348">IFERROR(_xlfn._xlws.FILTER(game_rosters!AB:AB,(game_rosters!J:J=events!X348)*(K348&lt;&gt;"")),"")</f>
        <v/>
      </c>
      <c r="X348" t="str" cm="1">
        <f t="array" ref="X348">IF(S348="","",IF($I348&lt;&gt;"",$I348,INDEX($I$2:$I347,ROW()-COUNTIFS($T$2:$T347,"="&amp;$T348,$S$2:$S347,"&lt;&gt;"&amp;$S348)-1)))</f>
        <v/>
      </c>
      <c r="Y348" t="b">
        <f>IF(X348&lt;&gt;"",VLOOKUP(X348,game_rosters!$C$43:$E$64,3,FALSE))</f>
        <v>0</v>
      </c>
      <c r="Z348" t="e" cm="1" vm="1">
        <f t="array" aca="1" ref="Z348" ca="1">IFERROR(IF(_xlfn._xlws.FILTER(game_rosters!$J:$J,(game_rosters!$G:$G=events!$AN348)*(game_rosters!$J:$J=events!$X348))&gt;0,1,""),"")</f>
        <v>#VALUE!</v>
      </c>
      <c r="AA348" t="e">
        <f t="shared" si="73"/>
        <v>#VALUE!</v>
      </c>
      <c r="AB348" t="str">
        <f t="shared" si="74"/>
        <v/>
      </c>
      <c r="AC348" t="e">
        <f t="shared" si="72"/>
        <v>#VALUE!</v>
      </c>
      <c r="AD348" s="6"/>
      <c r="BJ348" s="39"/>
      <c r="BM348" s="39"/>
      <c r="BO348" s="19"/>
      <c r="BQ348" s="17"/>
    </row>
    <row r="349" spans="1:69" x14ac:dyDescent="0.2">
      <c r="A349" t="str">
        <f t="shared" si="75"/>
        <v/>
      </c>
      <c r="E349" s="4"/>
      <c r="F349" s="44"/>
      <c r="G349" s="4"/>
      <c r="H349" s="47"/>
      <c r="J349" s="45" t="str">
        <f t="shared" si="76"/>
        <v/>
      </c>
      <c r="N349" t="str">
        <f t="shared" si="78"/>
        <v/>
      </c>
      <c r="Q349" t="str">
        <f t="shared" si="77"/>
        <v/>
      </c>
      <c r="S349" t="str">
        <f>IF(A349=1,MAX(S$2:S348)+1,IF(OR(I349&lt;&gt;"",A349="x"),S348,""))</f>
        <v/>
      </c>
      <c r="T349" t="str">
        <f>IF(D349=1,MAX($T$2:$T348)+1,IF(S349=$S348,$S348,IF($D349="x",T348,IF($D348="x","",""))))</f>
        <v/>
      </c>
      <c r="U349" t="str">
        <f>IF(B349=1,MAX($U$2:$U348)+1,IF(AND($T349&lt;&gt;"",$T349=$T348),$U348,IF(B349="x",U348,"")))</f>
        <v/>
      </c>
      <c r="V349" t="str">
        <f>IF(C349=1,MAX($V$2:$V348)+1,IF(AND($T349&lt;&gt;"",$T349=$T348),$U348,IF(C349="x",V348,"")))</f>
        <v/>
      </c>
      <c r="W349" t="str" cm="1">
        <f t="array" ref="W349">IFERROR(_xlfn._xlws.FILTER(game_rosters!AB:AB,(game_rosters!J:J=events!X349)*(K349&lt;&gt;"")),"")</f>
        <v/>
      </c>
      <c r="X349" t="str" cm="1">
        <f t="array" ref="X349">IF(S349="","",IF($I349&lt;&gt;"",$I349,INDEX($I$2:$I348,ROW()-COUNTIFS($T$2:$T348,"="&amp;$T349,$S$2:$S348,"&lt;&gt;"&amp;$S349)-1)))</f>
        <v/>
      </c>
      <c r="Y349" t="b">
        <f>IF(X349&lt;&gt;"",VLOOKUP(X349,game_rosters!$C$43:$E$64,3,FALSE))</f>
        <v>0</v>
      </c>
      <c r="Z349" t="e" cm="1" vm="1">
        <f t="array" aca="1" ref="Z349" ca="1">IFERROR(IF(_xlfn._xlws.FILTER(game_rosters!$J:$J,(game_rosters!$G:$G=events!$AN349)*(game_rosters!$J:$J=events!$X349))&gt;0,1,""),"")</f>
        <v>#VALUE!</v>
      </c>
      <c r="AA349" t="e">
        <f t="shared" si="73"/>
        <v>#VALUE!</v>
      </c>
      <c r="AB349" t="str">
        <f t="shared" si="74"/>
        <v/>
      </c>
      <c r="AC349" t="e">
        <f t="shared" si="72"/>
        <v>#VALUE!</v>
      </c>
      <c r="AD349" s="6"/>
      <c r="BJ349" s="39"/>
      <c r="BM349" s="39"/>
      <c r="BO349" s="19"/>
      <c r="BQ349" s="17"/>
    </row>
    <row r="350" spans="1:69" x14ac:dyDescent="0.2">
      <c r="A350" t="str">
        <f t="shared" si="75"/>
        <v/>
      </c>
      <c r="E350" s="4"/>
      <c r="F350" s="44"/>
      <c r="G350" s="4"/>
      <c r="H350" s="47"/>
      <c r="J350" s="45" t="str">
        <f t="shared" si="76"/>
        <v/>
      </c>
      <c r="N350" t="str">
        <f t="shared" si="78"/>
        <v/>
      </c>
      <c r="Q350" t="str">
        <f t="shared" si="77"/>
        <v/>
      </c>
      <c r="S350" t="str">
        <f>IF(A350=1,MAX(S$2:S349)+1,IF(OR(I350&lt;&gt;"",A350="x"),S349,""))</f>
        <v/>
      </c>
      <c r="T350" t="str">
        <f>IF(D350=1,MAX($T$2:$T349)+1,IF(S350=$S349,$S349,IF($D350="x",T349,IF($D349="x","",""))))</f>
        <v/>
      </c>
      <c r="U350" t="str">
        <f>IF(B350=1,MAX($U$2:$U349)+1,IF(AND($T350&lt;&gt;"",$T350=$T349),$U349,IF(B350="x",U349,"")))</f>
        <v/>
      </c>
      <c r="V350" t="str">
        <f>IF(C350=1,MAX($V$2:$V349)+1,IF(AND($T350&lt;&gt;"",$T350=$T349),$U349,IF(C350="x",V349,"")))</f>
        <v/>
      </c>
      <c r="W350" t="str" cm="1">
        <f t="array" ref="W350">IFERROR(_xlfn._xlws.FILTER(game_rosters!AB:AB,(game_rosters!J:J=events!X350)*(K350&lt;&gt;"")),"")</f>
        <v/>
      </c>
      <c r="X350" t="str" cm="1">
        <f t="array" ref="X350">IF(S350="","",IF($I350&lt;&gt;"",$I350,INDEX($I$2:$I349,ROW()-COUNTIFS($T$2:$T349,"="&amp;$T350,$S$2:$S349,"&lt;&gt;"&amp;$S350)-1)))</f>
        <v/>
      </c>
      <c r="Y350" t="b">
        <f>IF(X350&lt;&gt;"",VLOOKUP(X350,game_rosters!$C$43:$E$64,3,FALSE))</f>
        <v>0</v>
      </c>
      <c r="Z350" t="e" cm="1" vm="1">
        <f t="array" aca="1" ref="Z350" ca="1">IFERROR(IF(_xlfn._xlws.FILTER(game_rosters!$J:$J,(game_rosters!$G:$G=events!$AN350)*(game_rosters!$J:$J=events!$X350))&gt;0,1,""),"")</f>
        <v>#VALUE!</v>
      </c>
      <c r="AA350" t="e">
        <f t="shared" si="73"/>
        <v>#VALUE!</v>
      </c>
      <c r="AB350" t="str">
        <f t="shared" si="74"/>
        <v/>
      </c>
      <c r="AC350" t="e">
        <f t="shared" si="72"/>
        <v>#VALUE!</v>
      </c>
      <c r="AD350" s="6"/>
      <c r="BJ350" s="39"/>
      <c r="BM350" s="39"/>
      <c r="BO350" s="19"/>
      <c r="BQ350" s="17"/>
    </row>
    <row r="351" spans="1:69" x14ac:dyDescent="0.2">
      <c r="A351" t="str">
        <f t="shared" si="75"/>
        <v/>
      </c>
      <c r="E351" s="4"/>
      <c r="F351" s="44"/>
      <c r="G351" s="4"/>
      <c r="H351" s="47"/>
      <c r="J351" s="45" t="str">
        <f t="shared" si="76"/>
        <v/>
      </c>
      <c r="N351" t="str">
        <f t="shared" si="78"/>
        <v/>
      </c>
      <c r="Q351" t="str">
        <f t="shared" si="77"/>
        <v/>
      </c>
      <c r="S351" t="str">
        <f>IF(A351=1,MAX(S$2:S350)+1,IF(OR(I351&lt;&gt;"",A351="x"),S350,""))</f>
        <v/>
      </c>
      <c r="T351" t="str">
        <f>IF(D351=1,MAX($T$2:$T350)+1,IF(S351=$S350,$S350,IF($D351="x",T350,IF($D350="x","",""))))</f>
        <v/>
      </c>
      <c r="U351" t="str">
        <f>IF(B351=1,MAX($U$2:$U350)+1,IF(AND($T351&lt;&gt;"",$T351=$T350),$U350,IF(B351="x",U350,"")))</f>
        <v/>
      </c>
      <c r="V351" t="str">
        <f>IF(C351=1,MAX($V$2:$V350)+1,IF(AND($T351&lt;&gt;"",$T351=$T350),$U350,IF(C351="x",V350,"")))</f>
        <v/>
      </c>
      <c r="W351" t="str" cm="1">
        <f t="array" ref="W351">IFERROR(_xlfn._xlws.FILTER(game_rosters!AB:AB,(game_rosters!J:J=events!X351)*(K351&lt;&gt;"")),"")</f>
        <v/>
      </c>
      <c r="X351" t="str" cm="1">
        <f t="array" ref="X351">IF(S351="","",IF($I351&lt;&gt;"",$I351,INDEX($I$2:$I350,ROW()-COUNTIFS($T$2:$T350,"="&amp;$T351,$S$2:$S350,"&lt;&gt;"&amp;$S351)-1)))</f>
        <v/>
      </c>
      <c r="Y351" t="b">
        <f>IF(X351&lt;&gt;"",VLOOKUP(X351,game_rosters!$C$43:$E$64,3,FALSE))</f>
        <v>0</v>
      </c>
      <c r="Z351" t="e" cm="1" vm="1">
        <f t="array" aca="1" ref="Z351" ca="1">IFERROR(IF(_xlfn._xlws.FILTER(game_rosters!$J:$J,(game_rosters!$G:$G=events!$AN351)*(game_rosters!$J:$J=events!$X351))&gt;0,1,""),"")</f>
        <v>#VALUE!</v>
      </c>
      <c r="AA351" t="e">
        <f t="shared" si="73"/>
        <v>#VALUE!</v>
      </c>
      <c r="AB351" t="str">
        <f t="shared" si="74"/>
        <v/>
      </c>
      <c r="AC351" t="e">
        <f t="shared" si="72"/>
        <v>#VALUE!</v>
      </c>
      <c r="AD351" s="6"/>
      <c r="BJ351" s="39"/>
      <c r="BM351" s="39"/>
      <c r="BO351" s="19"/>
      <c r="BQ351" s="17"/>
    </row>
    <row r="352" spans="1:69" x14ac:dyDescent="0.2">
      <c r="A352" t="str">
        <f t="shared" si="75"/>
        <v/>
      </c>
      <c r="E352" s="4"/>
      <c r="F352" s="44"/>
      <c r="G352" s="4"/>
      <c r="H352" s="47"/>
      <c r="J352" s="45" t="str">
        <f t="shared" si="76"/>
        <v/>
      </c>
      <c r="N352" t="str">
        <f t="shared" si="78"/>
        <v/>
      </c>
      <c r="Q352" t="str">
        <f t="shared" si="77"/>
        <v/>
      </c>
      <c r="S352" t="str">
        <f>IF(A352=1,MAX(S$2:S351)+1,IF(OR(I352&lt;&gt;"",A352="x"),S351,""))</f>
        <v/>
      </c>
      <c r="T352" t="str">
        <f>IF(D352=1,MAX($T$2:$T351)+1,IF(S352=$S351,$S351,IF($D352="x",T351,IF($D351="x","",""))))</f>
        <v/>
      </c>
      <c r="U352" t="str">
        <f>IF(B352=1,MAX($U$2:$U351)+1,IF(AND($T352&lt;&gt;"",$T352=$T351),$U351,IF(B352="x",U351,"")))</f>
        <v/>
      </c>
      <c r="V352" t="str">
        <f>IF(C352=1,MAX($V$2:$V351)+1,IF(AND($T352&lt;&gt;"",$T352=$T351),$U351,IF(C352="x",V351,"")))</f>
        <v/>
      </c>
      <c r="W352" t="str" cm="1">
        <f t="array" ref="W352">IFERROR(_xlfn._xlws.FILTER(game_rosters!AB:AB,(game_rosters!J:J=events!X352)*(K352&lt;&gt;"")),"")</f>
        <v/>
      </c>
      <c r="X352" t="str" cm="1">
        <f t="array" ref="X352">IF(S352="","",IF($I352&lt;&gt;"",$I352,INDEX($I$2:$I351,ROW()-COUNTIFS($T$2:$T351,"="&amp;$T352,$S$2:$S351,"&lt;&gt;"&amp;$S352)-1)))</f>
        <v/>
      </c>
      <c r="Y352" t="b">
        <f>IF(X352&lt;&gt;"",VLOOKUP(X352,game_rosters!$C$43:$E$64,3,FALSE))</f>
        <v>0</v>
      </c>
      <c r="Z352" t="e" cm="1" vm="1">
        <f t="array" aca="1" ref="Z352" ca="1">IFERROR(IF(_xlfn._xlws.FILTER(game_rosters!$J:$J,(game_rosters!$G:$G=events!$AN352)*(game_rosters!$J:$J=events!$X352))&gt;0,1,""),"")</f>
        <v>#VALUE!</v>
      </c>
      <c r="AA352" t="e">
        <f t="shared" si="73"/>
        <v>#VALUE!</v>
      </c>
      <c r="AB352" t="str">
        <f t="shared" si="74"/>
        <v/>
      </c>
      <c r="AC352" t="e">
        <f t="shared" si="72"/>
        <v>#VALUE!</v>
      </c>
      <c r="AD352" s="6"/>
      <c r="BJ352" s="39"/>
      <c r="BM352" s="39"/>
      <c r="BO352" s="19"/>
      <c r="BQ352" s="17"/>
    </row>
    <row r="353" spans="1:69" x14ac:dyDescent="0.2">
      <c r="A353" t="str">
        <f t="shared" si="75"/>
        <v/>
      </c>
      <c r="E353" s="4"/>
      <c r="F353" s="44"/>
      <c r="G353" s="4"/>
      <c r="H353" s="47"/>
      <c r="J353" s="45" t="str">
        <f t="shared" si="76"/>
        <v/>
      </c>
      <c r="N353" t="str">
        <f t="shared" si="78"/>
        <v/>
      </c>
      <c r="Q353" t="str">
        <f t="shared" si="77"/>
        <v/>
      </c>
      <c r="S353" t="str">
        <f>IF(A353=1,MAX(S$2:S352)+1,IF(OR(I353&lt;&gt;"",A353="x"),S352,""))</f>
        <v/>
      </c>
      <c r="T353" t="str">
        <f>IF(D353=1,MAX($T$2:$T352)+1,IF(S353=$S352,$S352,IF($D353="x",T352,IF($D352="x","",""))))</f>
        <v/>
      </c>
      <c r="U353" t="str">
        <f>IF(B353=1,MAX($U$2:$U352)+1,IF(AND($T353&lt;&gt;"",$T353=$T352),$U352,IF(B353="x",U352,"")))</f>
        <v/>
      </c>
      <c r="V353" t="str">
        <f>IF(C353=1,MAX($V$2:$V352)+1,IF(AND($T353&lt;&gt;"",$T353=$T352),$U352,IF(C353="x",V352,"")))</f>
        <v/>
      </c>
      <c r="W353" t="str" cm="1">
        <f t="array" ref="W353">IFERROR(_xlfn._xlws.FILTER(game_rosters!AB:AB,(game_rosters!J:J=events!X353)*(K353&lt;&gt;"")),"")</f>
        <v/>
      </c>
      <c r="X353" t="str" cm="1">
        <f t="array" ref="X353">IF(S353="","",IF($I353&lt;&gt;"",$I353,INDEX($I$2:$I352,ROW()-COUNTIFS($T$2:$T352,"="&amp;$T353,$S$2:$S352,"&lt;&gt;"&amp;$S353)-1)))</f>
        <v/>
      </c>
      <c r="Y353" t="b">
        <f>IF(X353&lt;&gt;"",VLOOKUP(X353,game_rosters!$C$43:$E$64,3,FALSE))</f>
        <v>0</v>
      </c>
      <c r="Z353" t="e" cm="1" vm="1">
        <f t="array" aca="1" ref="Z353" ca="1">IFERROR(IF(_xlfn._xlws.FILTER(game_rosters!$J:$J,(game_rosters!$G:$G=events!$AN353)*(game_rosters!$J:$J=events!$X353))&gt;0,1,""),"")</f>
        <v>#VALUE!</v>
      </c>
      <c r="AA353" t="e">
        <f t="shared" si="73"/>
        <v>#VALUE!</v>
      </c>
      <c r="AB353" t="str">
        <f t="shared" si="74"/>
        <v/>
      </c>
      <c r="AC353" t="e">
        <f t="shared" si="72"/>
        <v>#VALUE!</v>
      </c>
      <c r="AD353" s="6"/>
      <c r="BJ353" s="39"/>
      <c r="BM353" s="39"/>
      <c r="BO353" s="19"/>
      <c r="BQ353" s="17"/>
    </row>
    <row r="354" spans="1:69" x14ac:dyDescent="0.2">
      <c r="A354" t="str">
        <f t="shared" si="75"/>
        <v/>
      </c>
      <c r="E354" s="4"/>
      <c r="F354" s="44"/>
      <c r="G354" s="4"/>
      <c r="H354" s="47"/>
      <c r="J354" s="45" t="str">
        <f t="shared" si="76"/>
        <v/>
      </c>
      <c r="N354" t="str">
        <f t="shared" si="78"/>
        <v/>
      </c>
      <c r="Q354" t="str">
        <f t="shared" si="77"/>
        <v/>
      </c>
      <c r="S354" t="str">
        <f>IF(A354=1,MAX(S$2:S353)+1,IF(OR(I354&lt;&gt;"",A354="x"),S353,""))</f>
        <v/>
      </c>
      <c r="T354" t="str">
        <f>IF(D354=1,MAX($T$2:$T353)+1,IF(S354=$S353,$S353,IF($D354="x",T353,IF($D353="x","",""))))</f>
        <v/>
      </c>
      <c r="U354" t="str">
        <f>IF(B354=1,MAX($U$2:$U353)+1,IF(AND($T354&lt;&gt;"",$T354=$T353),$U353,IF(B354="x",U353,"")))</f>
        <v/>
      </c>
      <c r="V354" t="str">
        <f>IF(C354=1,MAX($V$2:$V353)+1,IF(AND($T354&lt;&gt;"",$T354=$T353),$U353,IF(C354="x",V353,"")))</f>
        <v/>
      </c>
      <c r="W354" t="str" cm="1">
        <f t="array" ref="W354">IFERROR(_xlfn._xlws.FILTER(game_rosters!AB:AB,(game_rosters!J:J=events!X354)*(K354&lt;&gt;"")),"")</f>
        <v/>
      </c>
      <c r="X354" t="str" cm="1">
        <f t="array" ref="X354">IF(S354="","",IF($I354&lt;&gt;"",$I354,INDEX($I$2:$I353,ROW()-COUNTIFS($T$2:$T353,"="&amp;$T354,$S$2:$S353,"&lt;&gt;"&amp;$S354)-1)))</f>
        <v/>
      </c>
      <c r="Y354" t="b">
        <f>IF(X354&lt;&gt;"",VLOOKUP(X354,game_rosters!$C$43:$E$64,3,FALSE))</f>
        <v>0</v>
      </c>
      <c r="Z354" t="e" cm="1" vm="1">
        <f t="array" aca="1" ref="Z354" ca="1">IFERROR(IF(_xlfn._xlws.FILTER(game_rosters!$J:$J,(game_rosters!$G:$G=events!$AN354)*(game_rosters!$J:$J=events!$X354))&gt;0,1,""),"")</f>
        <v>#VALUE!</v>
      </c>
      <c r="AA354" t="e">
        <f t="shared" si="73"/>
        <v>#VALUE!</v>
      </c>
      <c r="AB354" t="str">
        <f t="shared" si="74"/>
        <v/>
      </c>
      <c r="AC354" t="e">
        <f t="shared" si="72"/>
        <v>#VALUE!</v>
      </c>
      <c r="AD354" s="6"/>
      <c r="BJ354" s="39"/>
      <c r="BM354" s="39"/>
      <c r="BO354" s="19"/>
      <c r="BQ354" s="17"/>
    </row>
    <row r="355" spans="1:69" x14ac:dyDescent="0.2">
      <c r="A355" t="str">
        <f t="shared" si="75"/>
        <v/>
      </c>
      <c r="E355" s="4"/>
      <c r="F355" s="44"/>
      <c r="G355" s="4"/>
      <c r="H355" s="47"/>
      <c r="J355" s="45" t="str">
        <f t="shared" si="76"/>
        <v/>
      </c>
      <c r="N355" t="str">
        <f t="shared" si="78"/>
        <v/>
      </c>
      <c r="Q355" t="str">
        <f t="shared" si="77"/>
        <v/>
      </c>
      <c r="S355" t="str">
        <f>IF(A355=1,MAX(S$2:S354)+1,IF(OR(I355&lt;&gt;"",A355="x"),S354,""))</f>
        <v/>
      </c>
      <c r="T355" t="str">
        <f>IF(D355=1,MAX($T$2:$T354)+1,IF(S355=$S354,$S354,IF($D355="x",T354,IF($D354="x","",""))))</f>
        <v/>
      </c>
      <c r="U355" t="str">
        <f>IF(B355=1,MAX($U$2:$U354)+1,IF(AND($T355&lt;&gt;"",$T355=$T354),$U354,IF(B355="x",U354,"")))</f>
        <v/>
      </c>
      <c r="V355" t="str">
        <f>IF(C355=1,MAX($V$2:$V354)+1,IF(AND($T355&lt;&gt;"",$T355=$T354),$U354,IF(C355="x",V354,"")))</f>
        <v/>
      </c>
      <c r="W355" t="str" cm="1">
        <f t="array" ref="W355">IFERROR(_xlfn._xlws.FILTER(game_rosters!AB:AB,(game_rosters!J:J=events!X355)*(K355&lt;&gt;"")),"")</f>
        <v/>
      </c>
      <c r="X355" t="str" cm="1">
        <f t="array" ref="X355">IF(S355="","",IF($I355&lt;&gt;"",$I355,INDEX($I$2:$I354,ROW()-COUNTIFS($T$2:$T354,"="&amp;$T355,$S$2:$S354,"&lt;&gt;"&amp;$S355)-1)))</f>
        <v/>
      </c>
      <c r="Y355" t="b">
        <f>IF(X355&lt;&gt;"",VLOOKUP(X355,game_rosters!$C$43:$E$64,3,FALSE))</f>
        <v>0</v>
      </c>
      <c r="Z355" t="e" cm="1" vm="1">
        <f t="array" aca="1" ref="Z355" ca="1">IFERROR(IF(_xlfn._xlws.FILTER(game_rosters!$J:$J,(game_rosters!$G:$G=events!$AN355)*(game_rosters!$J:$J=events!$X355))&gt;0,1,""),"")</f>
        <v>#VALUE!</v>
      </c>
      <c r="AA355" t="e">
        <f t="shared" si="73"/>
        <v>#VALUE!</v>
      </c>
      <c r="AB355" t="str">
        <f t="shared" si="74"/>
        <v/>
      </c>
      <c r="AC355" t="e">
        <f t="shared" si="72"/>
        <v>#VALUE!</v>
      </c>
      <c r="AD355" s="6"/>
      <c r="BJ355" s="39"/>
      <c r="BM355" s="39"/>
      <c r="BO355" s="19"/>
      <c r="BQ355" s="17"/>
    </row>
    <row r="356" spans="1:69" x14ac:dyDescent="0.2">
      <c r="A356" t="str">
        <f t="shared" si="75"/>
        <v/>
      </c>
      <c r="E356" s="4"/>
      <c r="F356" s="44"/>
      <c r="G356" s="4"/>
      <c r="H356" s="47"/>
      <c r="J356" s="45" t="str">
        <f t="shared" si="76"/>
        <v/>
      </c>
      <c r="N356" t="str">
        <f t="shared" si="78"/>
        <v/>
      </c>
      <c r="Q356" t="str">
        <f t="shared" si="77"/>
        <v/>
      </c>
      <c r="S356" t="str">
        <f>IF(A356=1,MAX(S$2:S355)+1,IF(OR(I356&lt;&gt;"",A356="x"),S355,""))</f>
        <v/>
      </c>
      <c r="T356" t="str">
        <f>IF(D356=1,MAX($T$2:$T355)+1,IF(S356=$S355,$S355,IF($D356="x",T355,IF($D355="x","",""))))</f>
        <v/>
      </c>
      <c r="U356" t="str">
        <f>IF(B356=1,MAX($U$2:$U355)+1,IF(AND($T356&lt;&gt;"",$T356=$T355),$U355,IF(B356="x",U355,"")))</f>
        <v/>
      </c>
      <c r="V356" t="str">
        <f>IF(C356=1,MAX($V$2:$V355)+1,IF(AND($T356&lt;&gt;"",$T356=$T355),$U355,IF(C356="x",V355,"")))</f>
        <v/>
      </c>
      <c r="W356" t="str" cm="1">
        <f t="array" ref="W356">IFERROR(_xlfn._xlws.FILTER(game_rosters!AB:AB,(game_rosters!J:J=events!X356)*(K356&lt;&gt;"")),"")</f>
        <v/>
      </c>
      <c r="X356" t="str" cm="1">
        <f t="array" ref="X356">IF(S356="","",IF($I356&lt;&gt;"",$I356,INDEX($I$2:$I355,ROW()-COUNTIFS($T$2:$T355,"="&amp;$T356,$S$2:$S355,"&lt;&gt;"&amp;$S356)-1)))</f>
        <v/>
      </c>
      <c r="Y356" t="b">
        <f>IF(X356&lt;&gt;"",VLOOKUP(X356,game_rosters!$C$43:$E$64,3,FALSE))</f>
        <v>0</v>
      </c>
      <c r="Z356" t="e" cm="1" vm="1">
        <f t="array" aca="1" ref="Z356" ca="1">IFERROR(IF(_xlfn._xlws.FILTER(game_rosters!$J:$J,(game_rosters!$G:$G=events!$AN356)*(game_rosters!$J:$J=events!$X356))&gt;0,1,""),"")</f>
        <v>#VALUE!</v>
      </c>
      <c r="AA356" t="e">
        <f t="shared" si="73"/>
        <v>#VALUE!</v>
      </c>
      <c r="AB356" t="str">
        <f t="shared" si="74"/>
        <v/>
      </c>
      <c r="AC356" t="e">
        <f t="shared" si="72"/>
        <v>#VALUE!</v>
      </c>
      <c r="AD356" s="6"/>
      <c r="BJ356" s="39"/>
      <c r="BM356" s="39"/>
      <c r="BO356" s="19"/>
      <c r="BQ356" s="17"/>
    </row>
    <row r="357" spans="1:69" x14ac:dyDescent="0.2">
      <c r="A357" t="str">
        <f t="shared" si="75"/>
        <v/>
      </c>
      <c r="E357" s="4"/>
      <c r="F357" s="44"/>
      <c r="G357" s="4"/>
      <c r="H357" s="47"/>
      <c r="J357" s="45" t="str">
        <f t="shared" si="76"/>
        <v/>
      </c>
      <c r="N357" t="str">
        <f t="shared" si="78"/>
        <v/>
      </c>
      <c r="Q357" t="str">
        <f t="shared" si="77"/>
        <v/>
      </c>
      <c r="S357" t="str">
        <f>IF(A357=1,MAX(S$2:S356)+1,IF(OR(I357&lt;&gt;"",A357="x"),S356,""))</f>
        <v/>
      </c>
      <c r="T357" t="str">
        <f>IF(D357=1,MAX($T$2:$T356)+1,IF(S357=$S356,$S356,IF($D357="x",T356,IF($D356="x","",""))))</f>
        <v/>
      </c>
      <c r="U357" t="str">
        <f>IF(B357=1,MAX($U$2:$U356)+1,IF(AND($T357&lt;&gt;"",$T357=$T356),$U356,IF(B357="x",U356,"")))</f>
        <v/>
      </c>
      <c r="V357" t="str">
        <f>IF(C357=1,MAX($V$2:$V356)+1,IF(AND($T357&lt;&gt;"",$T357=$T356),$U356,IF(C357="x",V356,"")))</f>
        <v/>
      </c>
      <c r="W357" t="str" cm="1">
        <f t="array" ref="W357">IFERROR(_xlfn._xlws.FILTER(game_rosters!AB:AB,(game_rosters!J:J=events!X357)*(K357&lt;&gt;"")),"")</f>
        <v/>
      </c>
      <c r="X357" t="str" cm="1">
        <f t="array" ref="X357">IF(S357="","",IF($I357&lt;&gt;"",$I357,INDEX($I$2:$I356,ROW()-COUNTIFS($T$2:$T356,"="&amp;$T357,$S$2:$S356,"&lt;&gt;"&amp;$S357)-1)))</f>
        <v/>
      </c>
      <c r="Y357" t="b">
        <f>IF(X357&lt;&gt;"",VLOOKUP(X357,game_rosters!$C$43:$E$64,3,FALSE))</f>
        <v>0</v>
      </c>
      <c r="Z357" t="e" cm="1" vm="1">
        <f t="array" aca="1" ref="Z357" ca="1">IFERROR(IF(_xlfn._xlws.FILTER(game_rosters!$J:$J,(game_rosters!$G:$G=events!$AN357)*(game_rosters!$J:$J=events!$X357))&gt;0,1,""),"")</f>
        <v>#VALUE!</v>
      </c>
      <c r="AA357" t="e">
        <f t="shared" si="73"/>
        <v>#VALUE!</v>
      </c>
      <c r="AB357" t="str">
        <f t="shared" si="74"/>
        <v/>
      </c>
      <c r="AC357" t="e">
        <f t="shared" si="72"/>
        <v>#VALUE!</v>
      </c>
      <c r="AD357" s="6"/>
      <c r="BJ357" s="39"/>
      <c r="BM357" s="39"/>
      <c r="BO357" s="19"/>
      <c r="BQ357" s="17"/>
    </row>
    <row r="358" spans="1:69" x14ac:dyDescent="0.2">
      <c r="A358" t="str">
        <f t="shared" si="75"/>
        <v/>
      </c>
      <c r="E358" s="4"/>
      <c r="F358" s="44"/>
      <c r="G358" s="4"/>
      <c r="H358" s="47"/>
      <c r="J358" s="45" t="str">
        <f t="shared" si="76"/>
        <v/>
      </c>
      <c r="N358" t="str">
        <f t="shared" si="78"/>
        <v/>
      </c>
      <c r="Q358" t="str">
        <f t="shared" si="77"/>
        <v/>
      </c>
      <c r="S358" t="str">
        <f>IF(A358=1,MAX(S$2:S357)+1,IF(OR(I358&lt;&gt;"",A358="x"),S357,""))</f>
        <v/>
      </c>
      <c r="T358" t="str">
        <f>IF(D358=1,MAX($T$2:$T357)+1,IF(S358=$S357,$S357,IF($D358="x",T357,IF($D357="x","",""))))</f>
        <v/>
      </c>
      <c r="U358" t="str">
        <f>IF(B358=1,MAX($U$2:$U357)+1,IF(AND($T358&lt;&gt;"",$T358=$T357),$U357,IF(B358="x",U357,"")))</f>
        <v/>
      </c>
      <c r="V358" t="str">
        <f>IF(C358=1,MAX($V$2:$V357)+1,IF(AND($T358&lt;&gt;"",$T358=$T357),$U357,IF(C358="x",V357,"")))</f>
        <v/>
      </c>
      <c r="W358" t="str" cm="1">
        <f t="array" ref="W358">IFERROR(_xlfn._xlws.FILTER(game_rosters!AB:AB,(game_rosters!J:J=events!X358)*(K358&lt;&gt;"")),"")</f>
        <v/>
      </c>
      <c r="X358" t="str" cm="1">
        <f t="array" ref="X358">IF(S358="","",IF($I358&lt;&gt;"",$I358,INDEX($I$2:$I357,ROW()-COUNTIFS($T$2:$T357,"="&amp;$T358,$S$2:$S357,"&lt;&gt;"&amp;$S358)-1)))</f>
        <v/>
      </c>
      <c r="Y358" t="b">
        <f>IF(X358&lt;&gt;"",VLOOKUP(X358,game_rosters!$C$43:$E$64,3,FALSE))</f>
        <v>0</v>
      </c>
      <c r="Z358" t="e" cm="1" vm="1">
        <f t="array" aca="1" ref="Z358" ca="1">IFERROR(IF(_xlfn._xlws.FILTER(game_rosters!$J:$J,(game_rosters!$G:$G=events!$AN358)*(game_rosters!$J:$J=events!$X358))&gt;0,1,""),"")</f>
        <v>#VALUE!</v>
      </c>
      <c r="AA358" t="e">
        <f t="shared" si="73"/>
        <v>#VALUE!</v>
      </c>
      <c r="AB358" t="str">
        <f t="shared" si="74"/>
        <v/>
      </c>
      <c r="AC358" t="e">
        <f t="shared" si="72"/>
        <v>#VALUE!</v>
      </c>
      <c r="AD358" s="6"/>
      <c r="BJ358" s="39"/>
      <c r="BM358" s="39"/>
      <c r="BO358" s="19"/>
      <c r="BQ358" s="17"/>
    </row>
    <row r="359" spans="1:69" x14ac:dyDescent="0.2">
      <c r="A359" t="str">
        <f t="shared" si="75"/>
        <v/>
      </c>
      <c r="E359" s="4"/>
      <c r="F359" s="44"/>
      <c r="G359" s="4"/>
      <c r="H359" s="47"/>
      <c r="J359" s="45" t="str">
        <f t="shared" si="76"/>
        <v/>
      </c>
      <c r="N359" t="str">
        <f t="shared" si="78"/>
        <v/>
      </c>
      <c r="Q359" t="str">
        <f t="shared" si="77"/>
        <v/>
      </c>
      <c r="S359" t="str">
        <f>IF(A359=1,MAX(S$2:S358)+1,IF(OR(I359&lt;&gt;"",A359="x"),S358,""))</f>
        <v/>
      </c>
      <c r="T359" t="str">
        <f>IF(D359=1,MAX($T$2:$T358)+1,IF(S359=$S358,$S358,IF($D359="x",T358,IF($D358="x","",""))))</f>
        <v/>
      </c>
      <c r="U359" t="str">
        <f>IF(B359=1,MAX($U$2:$U358)+1,IF(AND($T359&lt;&gt;"",$T359=$T358),$U358,IF(B359="x",U358,"")))</f>
        <v/>
      </c>
      <c r="V359" t="str">
        <f>IF(C359=1,MAX($V$2:$V358)+1,IF(AND($T359&lt;&gt;"",$T359=$T358),$U358,IF(C359="x",V358,"")))</f>
        <v/>
      </c>
      <c r="W359" t="str" cm="1">
        <f t="array" ref="W359">IFERROR(_xlfn._xlws.FILTER(game_rosters!AB:AB,(game_rosters!J:J=events!X359)*(K359&lt;&gt;"")),"")</f>
        <v/>
      </c>
      <c r="X359" t="str" cm="1">
        <f t="array" ref="X359">IF(S359="","",IF($I359&lt;&gt;"",$I359,INDEX($I$2:$I358,ROW()-COUNTIFS($T$2:$T358,"="&amp;$T359,$S$2:$S358,"&lt;&gt;"&amp;$S359)-1)))</f>
        <v/>
      </c>
      <c r="Y359" t="b">
        <f>IF(X359&lt;&gt;"",VLOOKUP(X359,game_rosters!$C$43:$E$64,3,FALSE))</f>
        <v>0</v>
      </c>
      <c r="Z359" t="e" cm="1" vm="1">
        <f t="array" aca="1" ref="Z359" ca="1">IFERROR(IF(_xlfn._xlws.FILTER(game_rosters!$J:$J,(game_rosters!$G:$G=events!$AN359)*(game_rosters!$J:$J=events!$X359))&gt;0,1,""),"")</f>
        <v>#VALUE!</v>
      </c>
      <c r="AA359" t="e">
        <f t="shared" si="73"/>
        <v>#VALUE!</v>
      </c>
      <c r="AB359" t="str">
        <f t="shared" si="74"/>
        <v/>
      </c>
      <c r="AC359" t="e">
        <f t="shared" si="72"/>
        <v>#VALUE!</v>
      </c>
      <c r="AD359" s="6"/>
      <c r="BJ359" s="39"/>
      <c r="BM359" s="39"/>
      <c r="BO359" s="19"/>
      <c r="BQ359" s="17"/>
    </row>
    <row r="360" spans="1:69" x14ac:dyDescent="0.2">
      <c r="A360" t="str">
        <f t="shared" si="75"/>
        <v/>
      </c>
      <c r="E360" s="4"/>
      <c r="F360" s="44"/>
      <c r="G360" s="4"/>
      <c r="H360" s="47"/>
      <c r="J360" s="45" t="str">
        <f t="shared" si="76"/>
        <v/>
      </c>
      <c r="N360" t="str">
        <f t="shared" si="78"/>
        <v/>
      </c>
      <c r="Q360" t="str">
        <f t="shared" si="77"/>
        <v/>
      </c>
      <c r="S360" t="str">
        <f>IF(A360=1,MAX(S$2:S359)+1,IF(OR(I360&lt;&gt;"",A360="x"),S359,""))</f>
        <v/>
      </c>
      <c r="T360" t="str">
        <f>IF(D360=1,MAX($T$2:$T359)+1,IF(S360=$S359,$S359,IF($D360="x",T359,IF($D359="x","",""))))</f>
        <v/>
      </c>
      <c r="U360" t="str">
        <f>IF(B360=1,MAX($U$2:$U359)+1,IF(AND($T360&lt;&gt;"",$T360=$T359),$U359,IF(B360="x",U359,"")))</f>
        <v/>
      </c>
      <c r="V360" t="str">
        <f>IF(C360=1,MAX($V$2:$V359)+1,IF(AND($T360&lt;&gt;"",$T360=$T359),$U359,IF(C360="x",V359,"")))</f>
        <v/>
      </c>
      <c r="W360" t="str" cm="1">
        <f t="array" ref="W360">IFERROR(_xlfn._xlws.FILTER(game_rosters!AB:AB,(game_rosters!J:J=events!X360)*(K360&lt;&gt;"")),"")</f>
        <v/>
      </c>
      <c r="X360" t="str" cm="1">
        <f t="array" ref="X360">IF(S360="","",IF($I360&lt;&gt;"",$I360,INDEX($I$2:$I359,ROW()-COUNTIFS($T$2:$T359,"="&amp;$T360,$S$2:$S359,"&lt;&gt;"&amp;$S360)-1)))</f>
        <v/>
      </c>
      <c r="Y360" t="b">
        <f>IF(X360&lt;&gt;"",VLOOKUP(X360,game_rosters!$C$43:$E$64,3,FALSE))</f>
        <v>0</v>
      </c>
      <c r="Z360" t="e" cm="1" vm="1">
        <f t="array" aca="1" ref="Z360" ca="1">IFERROR(IF(_xlfn._xlws.FILTER(game_rosters!$J:$J,(game_rosters!$G:$G=events!$AN360)*(game_rosters!$J:$J=events!$X360))&gt;0,1,""),"")</f>
        <v>#VALUE!</v>
      </c>
      <c r="AA360" t="e">
        <f t="shared" si="73"/>
        <v>#VALUE!</v>
      </c>
      <c r="AB360" t="str">
        <f t="shared" si="74"/>
        <v/>
      </c>
      <c r="AC360" t="e">
        <f t="shared" si="72"/>
        <v>#VALUE!</v>
      </c>
      <c r="AD360" s="6"/>
      <c r="BJ360" s="39"/>
      <c r="BM360" s="39"/>
      <c r="BO360" s="19"/>
      <c r="BQ360" s="17"/>
    </row>
    <row r="361" spans="1:69" x14ac:dyDescent="0.2">
      <c r="A361" t="str">
        <f t="shared" si="75"/>
        <v/>
      </c>
      <c r="E361" s="4"/>
      <c r="F361" s="44"/>
      <c r="G361" s="4"/>
      <c r="H361" s="47"/>
      <c r="J361" s="45" t="str">
        <f t="shared" si="76"/>
        <v/>
      </c>
      <c r="N361" t="str">
        <f t="shared" si="78"/>
        <v/>
      </c>
      <c r="Q361" t="str">
        <f t="shared" si="77"/>
        <v/>
      </c>
      <c r="S361" t="str">
        <f>IF(A361=1,MAX(S$2:S360)+1,IF(OR(I361&lt;&gt;"",A361="x"),S360,""))</f>
        <v/>
      </c>
      <c r="T361" t="str">
        <f>IF(D361=1,MAX($T$2:$T360)+1,IF(S361=$S360,$S360,IF($D361="x",T360,IF($D360="x","",""))))</f>
        <v/>
      </c>
      <c r="U361" t="str">
        <f>IF(B361=1,MAX($U$2:$U360)+1,IF(AND($T361&lt;&gt;"",$T361=$T360),$U360,IF(B361="x",U360,"")))</f>
        <v/>
      </c>
      <c r="V361" t="str">
        <f>IF(C361=1,MAX($V$2:$V360)+1,IF(AND($T361&lt;&gt;"",$T361=$T360),$U360,IF(C361="x",V360,"")))</f>
        <v/>
      </c>
      <c r="W361" t="str" cm="1">
        <f t="array" ref="W361">IFERROR(_xlfn._xlws.FILTER(game_rosters!AB:AB,(game_rosters!J:J=events!X361)*(K361&lt;&gt;"")),"")</f>
        <v/>
      </c>
      <c r="X361" t="str" cm="1">
        <f t="array" ref="X361">IF(S361="","",IF($I361&lt;&gt;"",$I361,INDEX($I$2:$I360,ROW()-COUNTIFS($T$2:$T360,"="&amp;$T361,$S$2:$S360,"&lt;&gt;"&amp;$S361)-1)))</f>
        <v/>
      </c>
      <c r="Y361" t="b">
        <f>IF(X361&lt;&gt;"",VLOOKUP(X361,game_rosters!$C$43:$E$64,3,FALSE))</f>
        <v>0</v>
      </c>
      <c r="Z361" t="e" cm="1" vm="1">
        <f t="array" aca="1" ref="Z361" ca="1">IFERROR(IF(_xlfn._xlws.FILTER(game_rosters!$J:$J,(game_rosters!$G:$G=events!$AN361)*(game_rosters!$J:$J=events!$X361))&gt;0,1,""),"")</f>
        <v>#VALUE!</v>
      </c>
      <c r="AA361" t="e">
        <f t="shared" si="73"/>
        <v>#VALUE!</v>
      </c>
      <c r="AB361" t="str">
        <f t="shared" si="74"/>
        <v/>
      </c>
      <c r="AC361" t="e">
        <f t="shared" si="72"/>
        <v>#VALUE!</v>
      </c>
      <c r="AD361" s="6"/>
      <c r="BJ361" s="39"/>
      <c r="BM361" s="39"/>
      <c r="BO361" s="19"/>
      <c r="BQ361" s="17"/>
    </row>
    <row r="362" spans="1:69" x14ac:dyDescent="0.2">
      <c r="A362" t="str">
        <f t="shared" si="75"/>
        <v/>
      </c>
      <c r="E362" s="4"/>
      <c r="F362" s="44"/>
      <c r="G362" s="4"/>
      <c r="H362" s="47"/>
      <c r="J362" s="45" t="str">
        <f t="shared" si="76"/>
        <v/>
      </c>
      <c r="N362" t="str">
        <f t="shared" si="78"/>
        <v/>
      </c>
      <c r="Q362" t="str">
        <f t="shared" si="77"/>
        <v/>
      </c>
      <c r="S362" t="str">
        <f>IF(A362=1,MAX(S$2:S361)+1,IF(OR(I362&lt;&gt;"",A362="x"),S361,""))</f>
        <v/>
      </c>
      <c r="T362" t="str">
        <f>IF(D362=1,MAX($T$2:$T361)+1,IF(S362=$S361,$S361,IF($D362="x",T361,IF($D361="x","",""))))</f>
        <v/>
      </c>
      <c r="U362" t="str">
        <f>IF(B362=1,MAX($U$2:$U361)+1,IF(AND($T362&lt;&gt;"",$T362=$T361),$U361,IF(B362="x",U361,"")))</f>
        <v/>
      </c>
      <c r="V362" t="str">
        <f>IF(C362=1,MAX($V$2:$V361)+1,IF(AND($T362&lt;&gt;"",$T362=$T361),$U361,IF(C362="x",V361,"")))</f>
        <v/>
      </c>
      <c r="W362" t="str" cm="1">
        <f t="array" ref="W362">IFERROR(_xlfn._xlws.FILTER(game_rosters!AB:AB,(game_rosters!J:J=events!X362)*(K362&lt;&gt;"")),"")</f>
        <v/>
      </c>
      <c r="X362" t="str" cm="1">
        <f t="array" ref="X362">IF(S362="","",IF($I362&lt;&gt;"",$I362,INDEX($I$2:$I361,ROW()-COUNTIFS($T$2:$T361,"="&amp;$T362,$S$2:$S361,"&lt;&gt;"&amp;$S362)-1)))</f>
        <v/>
      </c>
      <c r="Y362" t="b">
        <f>IF(X362&lt;&gt;"",VLOOKUP(X362,game_rosters!$C$43:$E$64,3,FALSE))</f>
        <v>0</v>
      </c>
      <c r="Z362" t="e" cm="1" vm="1">
        <f t="array" aca="1" ref="Z362" ca="1">IFERROR(IF(_xlfn._xlws.FILTER(game_rosters!$J:$J,(game_rosters!$G:$G=events!$AN362)*(game_rosters!$J:$J=events!$X362))&gt;0,1,""),"")</f>
        <v>#VALUE!</v>
      </c>
      <c r="AA362" t="e">
        <f t="shared" si="73"/>
        <v>#VALUE!</v>
      </c>
      <c r="AB362" t="str">
        <f t="shared" si="74"/>
        <v/>
      </c>
      <c r="AC362" t="e">
        <f t="shared" si="72"/>
        <v>#VALUE!</v>
      </c>
      <c r="AD362" s="6"/>
      <c r="BJ362" s="39"/>
      <c r="BM362" s="39"/>
      <c r="BO362" s="19"/>
      <c r="BQ362" s="17"/>
    </row>
    <row r="363" spans="1:69" x14ac:dyDescent="0.2">
      <c r="A363" t="str">
        <f t="shared" si="75"/>
        <v/>
      </c>
      <c r="E363" s="4"/>
      <c r="F363" s="44"/>
      <c r="G363" s="4"/>
      <c r="H363" s="47"/>
      <c r="J363" s="45" t="str">
        <f t="shared" si="76"/>
        <v/>
      </c>
      <c r="N363" t="str">
        <f t="shared" si="78"/>
        <v/>
      </c>
      <c r="Q363" t="str">
        <f t="shared" si="77"/>
        <v/>
      </c>
      <c r="S363" t="str">
        <f>IF(A363=1,MAX(S$2:S362)+1,IF(OR(I363&lt;&gt;"",A363="x"),S362,""))</f>
        <v/>
      </c>
      <c r="T363" t="str">
        <f>IF(D363=1,MAX($T$2:$T362)+1,IF(S363=$S362,$S362,IF($D363="x",T362,IF($D362="x","",""))))</f>
        <v/>
      </c>
      <c r="U363" t="str">
        <f>IF(B363=1,MAX($U$2:$U362)+1,IF(AND($T363&lt;&gt;"",$T363=$T362),$U362,IF(B363="x",U362,"")))</f>
        <v/>
      </c>
      <c r="V363" t="str">
        <f>IF(C363=1,MAX($V$2:$V362)+1,IF(AND($T363&lt;&gt;"",$T363=$T362),$U362,IF(C363="x",V362,"")))</f>
        <v/>
      </c>
      <c r="W363" t="str" cm="1">
        <f t="array" ref="W363">IFERROR(_xlfn._xlws.FILTER(game_rosters!AB:AB,(game_rosters!J:J=events!X363)*(K363&lt;&gt;"")),"")</f>
        <v/>
      </c>
      <c r="X363" t="str" cm="1">
        <f t="array" ref="X363">IF(S363="","",IF($I363&lt;&gt;"",$I363,INDEX($I$2:$I362,ROW()-COUNTIFS($T$2:$T362,"="&amp;$T363,$S$2:$S362,"&lt;&gt;"&amp;$S363)-1)))</f>
        <v/>
      </c>
      <c r="Y363" t="b">
        <f>IF(X363&lt;&gt;"",VLOOKUP(X363,game_rosters!$C$43:$E$64,3,FALSE))</f>
        <v>0</v>
      </c>
      <c r="Z363" t="e" cm="1" vm="1">
        <f t="array" aca="1" ref="Z363" ca="1">IFERROR(IF(_xlfn._xlws.FILTER(game_rosters!$J:$J,(game_rosters!$G:$G=events!$AN363)*(game_rosters!$J:$J=events!$X363))&gt;0,1,""),"")</f>
        <v>#VALUE!</v>
      </c>
      <c r="AA363" t="e">
        <f t="shared" si="73"/>
        <v>#VALUE!</v>
      </c>
      <c r="AB363" t="str">
        <f t="shared" si="74"/>
        <v/>
      </c>
      <c r="AC363" t="e">
        <f t="shared" si="72"/>
        <v>#VALUE!</v>
      </c>
      <c r="AD363" s="6"/>
      <c r="BJ363" s="39"/>
      <c r="BM363" s="39"/>
      <c r="BO363" s="19"/>
      <c r="BQ363" s="17"/>
    </row>
    <row r="364" spans="1:69" x14ac:dyDescent="0.2">
      <c r="A364" t="str">
        <f t="shared" si="75"/>
        <v/>
      </c>
      <c r="E364" s="4"/>
      <c r="F364" s="44"/>
      <c r="G364" s="4"/>
      <c r="H364" s="47"/>
      <c r="J364" s="45" t="str">
        <f t="shared" si="76"/>
        <v/>
      </c>
      <c r="N364" t="str">
        <f t="shared" si="78"/>
        <v/>
      </c>
      <c r="Q364" t="str">
        <f t="shared" si="77"/>
        <v/>
      </c>
      <c r="S364" t="str">
        <f>IF(A364=1,MAX(S$2:S363)+1,IF(OR(I364&lt;&gt;"",A364="x"),S363,""))</f>
        <v/>
      </c>
      <c r="T364" t="str">
        <f>IF(D364=1,MAX($T$2:$T363)+1,IF(S364=$S363,$S363,IF($D364="x",T363,IF($D363="x","",""))))</f>
        <v/>
      </c>
      <c r="U364" t="str">
        <f>IF(B364=1,MAX($U$2:$U363)+1,IF(AND($T364&lt;&gt;"",$T364=$T363),$U363,IF(B364="x",U363,"")))</f>
        <v/>
      </c>
      <c r="V364" t="str">
        <f>IF(C364=1,MAX($V$2:$V363)+1,IF(AND($T364&lt;&gt;"",$T364=$T363),$U363,IF(C364="x",V363,"")))</f>
        <v/>
      </c>
      <c r="W364" t="str" cm="1">
        <f t="array" ref="W364">IFERROR(_xlfn._xlws.FILTER(game_rosters!AB:AB,(game_rosters!J:J=events!X364)*(K364&lt;&gt;"")),"")</f>
        <v/>
      </c>
      <c r="X364" t="str" cm="1">
        <f t="array" ref="X364">IF(S364="","",IF($I364&lt;&gt;"",$I364,INDEX($I$2:$I363,ROW()-COUNTIFS($T$2:$T363,"="&amp;$T364,$S$2:$S363,"&lt;&gt;"&amp;$S364)-1)))</f>
        <v/>
      </c>
      <c r="Y364" t="b">
        <f>IF(X364&lt;&gt;"",VLOOKUP(X364,game_rosters!$C$43:$E$64,3,FALSE))</f>
        <v>0</v>
      </c>
      <c r="Z364" t="e" cm="1" vm="1">
        <f t="array" aca="1" ref="Z364" ca="1">IFERROR(IF(_xlfn._xlws.FILTER(game_rosters!$J:$J,(game_rosters!$G:$G=events!$AN364)*(game_rosters!$J:$J=events!$X364))&gt;0,1,""),"")</f>
        <v>#VALUE!</v>
      </c>
      <c r="AA364" t="e">
        <f t="shared" si="73"/>
        <v>#VALUE!</v>
      </c>
      <c r="AB364" t="str">
        <f t="shared" si="74"/>
        <v/>
      </c>
      <c r="AC364" t="e">
        <f t="shared" si="72"/>
        <v>#VALUE!</v>
      </c>
      <c r="AD364" s="6"/>
      <c r="BJ364" s="39"/>
      <c r="BM364" s="39"/>
      <c r="BO364" s="19"/>
      <c r="BQ364" s="17"/>
    </row>
    <row r="365" spans="1:69" x14ac:dyDescent="0.2">
      <c r="A365" t="str">
        <f t="shared" si="75"/>
        <v/>
      </c>
      <c r="E365" s="4"/>
      <c r="F365" s="44"/>
      <c r="G365" s="4"/>
      <c r="H365" s="47"/>
      <c r="J365" s="45" t="str">
        <f t="shared" si="76"/>
        <v/>
      </c>
      <c r="N365" t="str">
        <f t="shared" si="78"/>
        <v/>
      </c>
      <c r="Q365" t="str">
        <f t="shared" si="77"/>
        <v/>
      </c>
      <c r="S365" t="str">
        <f>IF(A365=1,MAX(S$2:S364)+1,IF(OR(I365&lt;&gt;"",A365="x"),S364,""))</f>
        <v/>
      </c>
      <c r="T365" t="str">
        <f>IF(D365=1,MAX($T$2:$T364)+1,IF(S365=$S364,$S364,IF($D365="x",T364,IF($D364="x","",""))))</f>
        <v/>
      </c>
      <c r="U365" t="str">
        <f>IF(B365=1,MAX($U$2:$U364)+1,IF(AND($T365&lt;&gt;"",$T365=$T364),$U364,IF(B365="x",U364,"")))</f>
        <v/>
      </c>
      <c r="V365" t="str">
        <f>IF(C365=1,MAX($V$2:$V364)+1,IF(AND($T365&lt;&gt;"",$T365=$T364),$U364,IF(C365="x",V364,"")))</f>
        <v/>
      </c>
      <c r="W365" t="str" cm="1">
        <f t="array" ref="W365">IFERROR(_xlfn._xlws.FILTER(game_rosters!AB:AB,(game_rosters!J:J=events!X365)*(K365&lt;&gt;"")),"")</f>
        <v/>
      </c>
      <c r="X365" t="str" cm="1">
        <f t="array" ref="X365">IF(S365="","",IF($I365&lt;&gt;"",$I365,INDEX($I$2:$I364,ROW()-COUNTIFS($T$2:$T364,"="&amp;$T365,$S$2:$S364,"&lt;&gt;"&amp;$S365)-1)))</f>
        <v/>
      </c>
      <c r="Y365" t="b">
        <f>IF(X365&lt;&gt;"",VLOOKUP(X365,game_rosters!$C$43:$E$64,3,FALSE))</f>
        <v>0</v>
      </c>
      <c r="Z365" t="e" cm="1" vm="1">
        <f t="array" aca="1" ref="Z365" ca="1">IFERROR(IF(_xlfn._xlws.FILTER(game_rosters!$J:$J,(game_rosters!$G:$G=events!$AN365)*(game_rosters!$J:$J=events!$X365))&gt;0,1,""),"")</f>
        <v>#VALUE!</v>
      </c>
      <c r="AA365" t="e">
        <f t="shared" si="73"/>
        <v>#VALUE!</v>
      </c>
      <c r="AB365" t="str">
        <f t="shared" si="74"/>
        <v/>
      </c>
      <c r="AC365" t="e">
        <f t="shared" si="72"/>
        <v>#VALUE!</v>
      </c>
      <c r="AD365" s="6"/>
      <c r="BJ365" s="39"/>
      <c r="BM365" s="39"/>
      <c r="BO365" s="19"/>
      <c r="BQ365" s="17"/>
    </row>
    <row r="366" spans="1:69" x14ac:dyDescent="0.2">
      <c r="A366" t="str">
        <f t="shared" si="75"/>
        <v/>
      </c>
      <c r="E366" s="4"/>
      <c r="F366" s="44"/>
      <c r="G366" s="4"/>
      <c r="H366" s="47"/>
      <c r="J366" s="45" t="str">
        <f t="shared" si="76"/>
        <v/>
      </c>
      <c r="N366" t="str">
        <f t="shared" si="78"/>
        <v/>
      </c>
      <c r="Q366" t="str">
        <f t="shared" si="77"/>
        <v/>
      </c>
      <c r="S366" t="str">
        <f>IF(A366=1,MAX(S$2:S365)+1,IF(OR(I366&lt;&gt;"",A366="x"),S365,""))</f>
        <v/>
      </c>
      <c r="T366" t="str">
        <f>IF(D366=1,MAX($T$2:$T365)+1,IF(S366=$S365,$S365,IF($D366="x",T365,IF($D365="x","",""))))</f>
        <v/>
      </c>
      <c r="U366" t="str">
        <f>IF(B366=1,MAX($U$2:$U365)+1,IF(AND($T366&lt;&gt;"",$T366=$T365),$U365,IF(B366="x",U365,"")))</f>
        <v/>
      </c>
      <c r="V366" t="str">
        <f>IF(C366=1,MAX($V$2:$V365)+1,IF(AND($T366&lt;&gt;"",$T366=$T365),$U365,IF(C366="x",V365,"")))</f>
        <v/>
      </c>
      <c r="W366" t="str" cm="1">
        <f t="array" ref="W366">IFERROR(_xlfn._xlws.FILTER(game_rosters!AB:AB,(game_rosters!J:J=events!X366)*(K366&lt;&gt;"")),"")</f>
        <v/>
      </c>
      <c r="X366" t="str" cm="1">
        <f t="array" ref="X366">IF(S366="","",IF($I366&lt;&gt;"",$I366,INDEX($I$2:$I365,ROW()-COUNTIFS($T$2:$T365,"="&amp;$T366,$S$2:$S365,"&lt;&gt;"&amp;$S366)-1)))</f>
        <v/>
      </c>
      <c r="Y366" t="b">
        <f>IF(X366&lt;&gt;"",VLOOKUP(X366,game_rosters!$C$43:$E$64,3,FALSE))</f>
        <v>0</v>
      </c>
      <c r="Z366" t="e" cm="1" vm="1">
        <f t="array" aca="1" ref="Z366" ca="1">IFERROR(IF(_xlfn._xlws.FILTER(game_rosters!$J:$J,(game_rosters!$G:$G=events!$AN366)*(game_rosters!$J:$J=events!$X366))&gt;0,1,""),"")</f>
        <v>#VALUE!</v>
      </c>
      <c r="AA366" t="e">
        <f t="shared" si="73"/>
        <v>#VALUE!</v>
      </c>
      <c r="AB366" t="str">
        <f t="shared" si="74"/>
        <v/>
      </c>
      <c r="AC366" t="e">
        <f t="shared" si="72"/>
        <v>#VALUE!</v>
      </c>
      <c r="AD366" s="6"/>
      <c r="BJ366" s="39"/>
      <c r="BM366" s="39"/>
      <c r="BO366" s="19"/>
      <c r="BQ366" s="17"/>
    </row>
    <row r="367" spans="1:69" x14ac:dyDescent="0.2">
      <c r="A367" t="str">
        <f t="shared" si="75"/>
        <v/>
      </c>
      <c r="E367" s="4"/>
      <c r="F367" s="44"/>
      <c r="G367" s="4"/>
      <c r="H367" s="47"/>
      <c r="J367" s="45" t="str">
        <f t="shared" si="76"/>
        <v/>
      </c>
      <c r="N367" t="str">
        <f t="shared" si="78"/>
        <v/>
      </c>
      <c r="Q367" t="str">
        <f t="shared" si="77"/>
        <v/>
      </c>
      <c r="S367" t="str">
        <f>IF(A367=1,MAX(S$2:S366)+1,IF(OR(I367&lt;&gt;"",A367="x"),S366,""))</f>
        <v/>
      </c>
      <c r="T367" t="str">
        <f>IF(D367=1,MAX($T$2:$T366)+1,IF(S367=$S366,$S366,IF($D367="x",T366,IF($D366="x","",""))))</f>
        <v/>
      </c>
      <c r="U367" t="str">
        <f>IF(B367=1,MAX($U$2:$U366)+1,IF(AND($T367&lt;&gt;"",$T367=$T366),$U366,IF(B367="x",U366,"")))</f>
        <v/>
      </c>
      <c r="V367" t="str">
        <f>IF(C367=1,MAX($V$2:$V366)+1,IF(AND($T367&lt;&gt;"",$T367=$T366),$U366,IF(C367="x",V366,"")))</f>
        <v/>
      </c>
      <c r="W367" t="str" cm="1">
        <f t="array" ref="W367">IFERROR(_xlfn._xlws.FILTER(game_rosters!AB:AB,(game_rosters!J:J=events!X367)*(K367&lt;&gt;"")),"")</f>
        <v/>
      </c>
      <c r="X367" t="str" cm="1">
        <f t="array" ref="X367">IF(S367="","",IF($I367&lt;&gt;"",$I367,INDEX($I$2:$I366,ROW()-COUNTIFS($T$2:$T366,"="&amp;$T367,$S$2:$S366,"&lt;&gt;"&amp;$S367)-1)))</f>
        <v/>
      </c>
      <c r="Y367" t="b">
        <f>IF(X367&lt;&gt;"",VLOOKUP(X367,game_rosters!$C$43:$E$64,3,FALSE))</f>
        <v>0</v>
      </c>
      <c r="Z367" t="e" cm="1" vm="1">
        <f t="array" aca="1" ref="Z367" ca="1">IFERROR(IF(_xlfn._xlws.FILTER(game_rosters!$J:$J,(game_rosters!$G:$G=events!$AN367)*(game_rosters!$J:$J=events!$X367))&gt;0,1,""),"")</f>
        <v>#VALUE!</v>
      </c>
      <c r="AA367" t="e">
        <f t="shared" si="73"/>
        <v>#VALUE!</v>
      </c>
      <c r="AB367" t="str">
        <f t="shared" si="74"/>
        <v/>
      </c>
      <c r="AC367" t="e">
        <f t="shared" si="72"/>
        <v>#VALUE!</v>
      </c>
      <c r="AD367" s="6"/>
      <c r="BJ367" s="39"/>
      <c r="BM367" s="39"/>
      <c r="BO367" s="19"/>
      <c r="BQ367" s="17"/>
    </row>
    <row r="368" spans="1:69" x14ac:dyDescent="0.2">
      <c r="A368" t="str">
        <f t="shared" si="75"/>
        <v/>
      </c>
      <c r="E368" s="4"/>
      <c r="F368" s="44"/>
      <c r="G368" s="4"/>
      <c r="H368" s="47"/>
      <c r="J368" s="45" t="str">
        <f t="shared" si="76"/>
        <v/>
      </c>
      <c r="N368" t="str">
        <f t="shared" si="78"/>
        <v/>
      </c>
      <c r="Q368" t="str">
        <f t="shared" si="77"/>
        <v/>
      </c>
      <c r="S368" t="str">
        <f>IF(A368=1,MAX(S$2:S367)+1,IF(OR(I368&lt;&gt;"",A368="x"),S367,""))</f>
        <v/>
      </c>
      <c r="T368" t="str">
        <f>IF(D368=1,MAX($T$2:$T367)+1,IF(S368=$S367,$S367,IF($D368="x",T367,IF($D367="x","",""))))</f>
        <v/>
      </c>
      <c r="U368" t="str">
        <f>IF(B368=1,MAX($U$2:$U367)+1,IF(AND($T368&lt;&gt;"",$T368=$T367),$U367,IF(B368="x",U367,"")))</f>
        <v/>
      </c>
      <c r="V368" t="str">
        <f>IF(C368=1,MAX($V$2:$V367)+1,IF(AND($T368&lt;&gt;"",$T368=$T367),$U367,IF(C368="x",V367,"")))</f>
        <v/>
      </c>
      <c r="W368" t="str" cm="1">
        <f t="array" ref="W368">IFERROR(_xlfn._xlws.FILTER(game_rosters!AB:AB,(game_rosters!J:J=events!X368)*(K368&lt;&gt;"")),"")</f>
        <v/>
      </c>
      <c r="X368" t="str" cm="1">
        <f t="array" ref="X368">IF(S368="","",IF($I368&lt;&gt;"",$I368,INDEX($I$2:$I367,ROW()-COUNTIFS($T$2:$T367,"="&amp;$T368,$S$2:$S367,"&lt;&gt;"&amp;$S368)-1)))</f>
        <v/>
      </c>
      <c r="Y368" t="b">
        <f>IF(X368&lt;&gt;"",VLOOKUP(X368,game_rosters!$C$43:$E$64,3,FALSE))</f>
        <v>0</v>
      </c>
      <c r="Z368" t="e" cm="1" vm="1">
        <f t="array" aca="1" ref="Z368" ca="1">IFERROR(IF(_xlfn._xlws.FILTER(game_rosters!$J:$J,(game_rosters!$G:$G=events!$AN368)*(game_rosters!$J:$J=events!$X368))&gt;0,1,""),"")</f>
        <v>#VALUE!</v>
      </c>
      <c r="AA368" t="e">
        <f t="shared" si="73"/>
        <v>#VALUE!</v>
      </c>
      <c r="AB368" t="str">
        <f t="shared" si="74"/>
        <v/>
      </c>
      <c r="AC368" t="e">
        <f t="shared" si="72"/>
        <v>#VALUE!</v>
      </c>
      <c r="AD368" s="6"/>
      <c r="BJ368" s="39"/>
      <c r="BM368" s="39"/>
      <c r="BO368" s="19"/>
      <c r="BQ368" s="17"/>
    </row>
    <row r="369" spans="1:69" x14ac:dyDescent="0.2">
      <c r="A369" t="str">
        <f t="shared" si="75"/>
        <v/>
      </c>
      <c r="E369" s="4"/>
      <c r="F369" s="44"/>
      <c r="G369" s="4"/>
      <c r="H369" s="47"/>
      <c r="J369" s="45" t="str">
        <f t="shared" si="76"/>
        <v/>
      </c>
      <c r="N369" t="str">
        <f t="shared" si="78"/>
        <v/>
      </c>
      <c r="Q369" t="str">
        <f t="shared" si="77"/>
        <v/>
      </c>
      <c r="S369" t="str">
        <f>IF(A369=1,MAX(S$2:S368)+1,IF(OR(I369&lt;&gt;"",A369="x"),S368,""))</f>
        <v/>
      </c>
      <c r="T369" t="str">
        <f>IF(D369=1,MAX($T$2:$T368)+1,IF(S369=$S368,$S368,IF($D369="x",T368,IF($D368="x","",""))))</f>
        <v/>
      </c>
      <c r="U369" t="str">
        <f>IF(B369=1,MAX($U$2:$U368)+1,IF(AND($T369&lt;&gt;"",$T369=$T368),$U368,IF(B369="x",U368,"")))</f>
        <v/>
      </c>
      <c r="V369" t="str">
        <f>IF(C369=1,MAX($V$2:$V368)+1,IF(AND($T369&lt;&gt;"",$T369=$T368),$U368,IF(C369="x",V368,"")))</f>
        <v/>
      </c>
      <c r="W369" t="str" cm="1">
        <f t="array" ref="W369">IFERROR(_xlfn._xlws.FILTER(game_rosters!AB:AB,(game_rosters!J:J=events!X369)*(K369&lt;&gt;"")),"")</f>
        <v/>
      </c>
      <c r="X369" t="str" cm="1">
        <f t="array" ref="X369">IF(S369="","",IF($I369&lt;&gt;"",$I369,INDEX($I$2:$I368,ROW()-COUNTIFS($T$2:$T368,"="&amp;$T369,$S$2:$S368,"&lt;&gt;"&amp;$S369)-1)))</f>
        <v/>
      </c>
      <c r="Y369" t="b">
        <f>IF(X369&lt;&gt;"",VLOOKUP(X369,game_rosters!$C$43:$E$64,3,FALSE))</f>
        <v>0</v>
      </c>
      <c r="Z369" t="e" cm="1" vm="1">
        <f t="array" aca="1" ref="Z369" ca="1">IFERROR(IF(_xlfn._xlws.FILTER(game_rosters!$J:$J,(game_rosters!$G:$G=events!$AN369)*(game_rosters!$J:$J=events!$X369))&gt;0,1,""),"")</f>
        <v>#VALUE!</v>
      </c>
      <c r="AA369" t="e">
        <f t="shared" si="73"/>
        <v>#VALUE!</v>
      </c>
      <c r="AB369" t="str">
        <f t="shared" si="74"/>
        <v/>
      </c>
      <c r="AC369" t="e">
        <f t="shared" si="72"/>
        <v>#VALUE!</v>
      </c>
      <c r="AD369" s="6"/>
      <c r="BJ369" s="39"/>
      <c r="BM369" s="39"/>
      <c r="BO369" s="19"/>
      <c r="BQ369" s="17"/>
    </row>
    <row r="370" spans="1:69" x14ac:dyDescent="0.2">
      <c r="A370" t="str">
        <f t="shared" si="75"/>
        <v/>
      </c>
      <c r="E370" s="4"/>
      <c r="F370" s="44"/>
      <c r="G370" s="4"/>
      <c r="H370" s="47"/>
      <c r="J370" s="45" t="str">
        <f t="shared" si="76"/>
        <v/>
      </c>
      <c r="N370" t="str">
        <f t="shared" si="78"/>
        <v/>
      </c>
      <c r="Q370" t="str">
        <f t="shared" si="77"/>
        <v/>
      </c>
      <c r="S370" t="str">
        <f>IF(A370=1,MAX(S$2:S369)+1,IF(OR(I370&lt;&gt;"",A370="x"),S369,""))</f>
        <v/>
      </c>
      <c r="T370" t="str">
        <f>IF(D370=1,MAX($T$2:$T369)+1,IF(S370=$S369,$S369,IF($D370="x",T369,IF($D369="x","",""))))</f>
        <v/>
      </c>
      <c r="U370" t="str">
        <f>IF(B370=1,MAX($U$2:$U369)+1,IF(AND($T370&lt;&gt;"",$T370=$T369),$U369,IF(B370="x",U369,"")))</f>
        <v/>
      </c>
      <c r="V370" t="str">
        <f>IF(C370=1,MAX($V$2:$V369)+1,IF(AND($T370&lt;&gt;"",$T370=$T369),$U369,IF(C370="x",V369,"")))</f>
        <v/>
      </c>
      <c r="W370" t="str" cm="1">
        <f t="array" ref="W370">IFERROR(_xlfn._xlws.FILTER(game_rosters!AB:AB,(game_rosters!J:J=events!X370)*(K370&lt;&gt;"")),"")</f>
        <v/>
      </c>
      <c r="X370" t="str" cm="1">
        <f t="array" ref="X370">IF(S370="","",IF($I370&lt;&gt;"",$I370,INDEX($I$2:$I369,ROW()-COUNTIFS($T$2:$T369,"="&amp;$T370,$S$2:$S369,"&lt;&gt;"&amp;$S370)-1)))</f>
        <v/>
      </c>
      <c r="Y370" t="b">
        <f>IF(X370&lt;&gt;"",VLOOKUP(X370,game_rosters!$C$43:$E$64,3,FALSE))</f>
        <v>0</v>
      </c>
      <c r="Z370" t="e" cm="1" vm="1">
        <f t="array" aca="1" ref="Z370" ca="1">IFERROR(IF(_xlfn._xlws.FILTER(game_rosters!$J:$J,(game_rosters!$G:$G=events!$AN370)*(game_rosters!$J:$J=events!$X370))&gt;0,1,""),"")</f>
        <v>#VALUE!</v>
      </c>
      <c r="AA370" t="e">
        <f t="shared" si="73"/>
        <v>#VALUE!</v>
      </c>
      <c r="AB370" t="str">
        <f t="shared" si="74"/>
        <v/>
      </c>
      <c r="AC370" t="e">
        <f t="shared" si="72"/>
        <v>#VALUE!</v>
      </c>
      <c r="AD370" s="6"/>
      <c r="BJ370" s="39"/>
      <c r="BM370" s="39"/>
      <c r="BO370" s="19"/>
      <c r="BQ370" s="17"/>
    </row>
    <row r="371" spans="1:69" x14ac:dyDescent="0.2">
      <c r="A371" t="str">
        <f t="shared" si="75"/>
        <v/>
      </c>
      <c r="E371" s="4"/>
      <c r="F371" s="44"/>
      <c r="G371" s="4"/>
      <c r="H371" s="47"/>
      <c r="J371" s="45" t="str">
        <f t="shared" si="76"/>
        <v/>
      </c>
      <c r="N371" t="str">
        <f t="shared" si="78"/>
        <v/>
      </c>
      <c r="Q371" t="str">
        <f t="shared" si="77"/>
        <v/>
      </c>
      <c r="S371" t="str">
        <f>IF(A371=1,MAX(S$2:S370)+1,IF(OR(I371&lt;&gt;"",A371="x"),S370,""))</f>
        <v/>
      </c>
      <c r="T371" t="str">
        <f>IF(D371=1,MAX($T$2:$T370)+1,IF(S371=$S370,$S370,IF($D371="x",T370,IF($D370="x","",""))))</f>
        <v/>
      </c>
      <c r="U371" t="str">
        <f>IF(B371=1,MAX($U$2:$U370)+1,IF(AND($T371&lt;&gt;"",$T371=$T370),$U370,IF(B371="x",U370,"")))</f>
        <v/>
      </c>
      <c r="V371" t="str">
        <f>IF(C371=1,MAX($V$2:$V370)+1,IF(AND($T371&lt;&gt;"",$T371=$T370),$U370,IF(C371="x",V370,"")))</f>
        <v/>
      </c>
      <c r="W371" t="str" cm="1">
        <f t="array" ref="W371">IFERROR(_xlfn._xlws.FILTER(game_rosters!AB:AB,(game_rosters!J:J=events!X371)*(K371&lt;&gt;"")),"")</f>
        <v/>
      </c>
      <c r="X371" t="str" cm="1">
        <f t="array" ref="X371">IF(S371="","",IF($I371&lt;&gt;"",$I371,INDEX($I$2:$I370,ROW()-COUNTIFS($T$2:$T370,"="&amp;$T371,$S$2:$S370,"&lt;&gt;"&amp;$S371)-1)))</f>
        <v/>
      </c>
      <c r="Y371" t="b">
        <f>IF(X371&lt;&gt;"",VLOOKUP(X371,game_rosters!$C$43:$E$64,3,FALSE))</f>
        <v>0</v>
      </c>
      <c r="Z371" t="e" cm="1" vm="1">
        <f t="array" aca="1" ref="Z371" ca="1">IFERROR(IF(_xlfn._xlws.FILTER(game_rosters!$J:$J,(game_rosters!$G:$G=events!$AN371)*(game_rosters!$J:$J=events!$X371))&gt;0,1,""),"")</f>
        <v>#VALUE!</v>
      </c>
      <c r="AA371" t="e">
        <f t="shared" si="73"/>
        <v>#VALUE!</v>
      </c>
      <c r="AB371" t="str">
        <f t="shared" si="74"/>
        <v/>
      </c>
      <c r="AC371" t="e">
        <f t="shared" si="72"/>
        <v>#VALUE!</v>
      </c>
      <c r="AD371" s="6"/>
      <c r="BJ371" s="39"/>
      <c r="BM371" s="39"/>
      <c r="BO371" s="19"/>
      <c r="BQ371" s="17"/>
    </row>
    <row r="372" spans="1:69" x14ac:dyDescent="0.2">
      <c r="A372" t="str">
        <f t="shared" si="75"/>
        <v/>
      </c>
      <c r="E372" s="4"/>
      <c r="F372" s="44"/>
      <c r="G372" s="4"/>
      <c r="H372" s="47"/>
      <c r="J372" s="45" t="str">
        <f t="shared" si="76"/>
        <v/>
      </c>
      <c r="N372" t="str">
        <f t="shared" si="78"/>
        <v/>
      </c>
      <c r="Q372" t="str">
        <f t="shared" si="77"/>
        <v/>
      </c>
      <c r="S372" t="str">
        <f>IF(A372=1,MAX(S$2:S371)+1,IF(OR(I372&lt;&gt;"",A372="x"),S371,""))</f>
        <v/>
      </c>
      <c r="T372" t="str">
        <f>IF(D372=1,MAX($T$2:$T371)+1,IF(S372=$S371,$S371,IF($D372="x",T371,IF($D371="x","",""))))</f>
        <v/>
      </c>
      <c r="U372" t="str">
        <f>IF(B372=1,MAX($U$2:$U371)+1,IF(AND($T372&lt;&gt;"",$T372=$T371),$U371,IF(B372="x",U371,"")))</f>
        <v/>
      </c>
      <c r="V372" t="str">
        <f>IF(C372=1,MAX($V$2:$V371)+1,IF(AND($T372&lt;&gt;"",$T372=$T371),$U371,IF(C372="x",V371,"")))</f>
        <v/>
      </c>
      <c r="W372" t="str" cm="1">
        <f t="array" ref="W372">IFERROR(_xlfn._xlws.FILTER(game_rosters!AB:AB,(game_rosters!J:J=events!X372)*(K372&lt;&gt;"")),"")</f>
        <v/>
      </c>
      <c r="X372" t="str" cm="1">
        <f t="array" ref="X372">IF(S372="","",IF($I372&lt;&gt;"",$I372,INDEX($I$2:$I371,ROW()-COUNTIFS($T$2:$T371,"="&amp;$T372,$S$2:$S371,"&lt;&gt;"&amp;$S372)-1)))</f>
        <v/>
      </c>
      <c r="Y372" t="b">
        <f>IF(X372&lt;&gt;"",VLOOKUP(X372,game_rosters!$C$43:$E$64,3,FALSE))</f>
        <v>0</v>
      </c>
      <c r="Z372" t="e" cm="1" vm="1">
        <f t="array" aca="1" ref="Z372" ca="1">IFERROR(IF(_xlfn._xlws.FILTER(game_rosters!$J:$J,(game_rosters!$G:$G=events!$AN372)*(game_rosters!$J:$J=events!$X372))&gt;0,1,""),"")</f>
        <v>#VALUE!</v>
      </c>
      <c r="AA372" t="e">
        <f t="shared" si="73"/>
        <v>#VALUE!</v>
      </c>
      <c r="AB372" t="str">
        <f t="shared" si="74"/>
        <v/>
      </c>
      <c r="AC372" t="e">
        <f t="shared" si="72"/>
        <v>#VALUE!</v>
      </c>
      <c r="AD372" s="6"/>
      <c r="BJ372" s="39"/>
      <c r="BM372" s="39"/>
      <c r="BO372" s="19"/>
      <c r="BQ372" s="17"/>
    </row>
    <row r="373" spans="1:69" x14ac:dyDescent="0.2">
      <c r="A373" t="str">
        <f t="shared" si="75"/>
        <v/>
      </c>
      <c r="E373" s="4"/>
      <c r="F373" s="44"/>
      <c r="G373" s="4"/>
      <c r="H373" s="47"/>
      <c r="J373" s="45" t="str">
        <f t="shared" si="76"/>
        <v/>
      </c>
      <c r="N373" t="str">
        <f t="shared" si="78"/>
        <v/>
      </c>
      <c r="Q373" t="str">
        <f t="shared" si="77"/>
        <v/>
      </c>
      <c r="S373" t="str">
        <f>IF(A373=1,MAX(S$2:S372)+1,IF(OR(I373&lt;&gt;"",A373="x"),S372,""))</f>
        <v/>
      </c>
      <c r="T373" t="str">
        <f>IF(D373=1,MAX($T$2:$T372)+1,IF(S373=$S372,$S372,IF($D373="x",T372,IF($D372="x","",""))))</f>
        <v/>
      </c>
      <c r="U373" t="str">
        <f>IF(B373=1,MAX($U$2:$U372)+1,IF(AND($T373&lt;&gt;"",$T373=$T372),$U372,IF(B373="x",U372,"")))</f>
        <v/>
      </c>
      <c r="V373" t="str">
        <f>IF(C373=1,MAX($V$2:$V372)+1,IF(AND($T373&lt;&gt;"",$T373=$T372),$U372,IF(C373="x",V372,"")))</f>
        <v/>
      </c>
      <c r="W373" t="str" cm="1">
        <f t="array" ref="W373">IFERROR(_xlfn._xlws.FILTER(game_rosters!AB:AB,(game_rosters!J:J=events!X373)*(K373&lt;&gt;"")),"")</f>
        <v/>
      </c>
      <c r="X373" t="str" cm="1">
        <f t="array" ref="X373">IF(S373="","",IF($I373&lt;&gt;"",$I373,INDEX($I$2:$I372,ROW()-COUNTIFS($T$2:$T372,"="&amp;$T373,$S$2:$S372,"&lt;&gt;"&amp;$S373)-1)))</f>
        <v/>
      </c>
      <c r="Y373" t="b">
        <f>IF(X373&lt;&gt;"",VLOOKUP(X373,game_rosters!$C$43:$E$64,3,FALSE))</f>
        <v>0</v>
      </c>
      <c r="Z373" t="e" cm="1" vm="1">
        <f t="array" aca="1" ref="Z373" ca="1">IFERROR(IF(_xlfn._xlws.FILTER(game_rosters!$J:$J,(game_rosters!$G:$G=events!$AN373)*(game_rosters!$J:$J=events!$X373))&gt;0,1,""),"")</f>
        <v>#VALUE!</v>
      </c>
      <c r="AA373" t="e">
        <f t="shared" si="73"/>
        <v>#VALUE!</v>
      </c>
      <c r="AB373" t="str">
        <f t="shared" si="74"/>
        <v/>
      </c>
      <c r="AC373" t="e">
        <f t="shared" si="72"/>
        <v>#VALUE!</v>
      </c>
      <c r="AD373" s="6"/>
      <c r="BJ373" s="39"/>
      <c r="BM373" s="39"/>
      <c r="BO373" s="19"/>
      <c r="BQ373" s="17"/>
    </row>
    <row r="374" spans="1:69" x14ac:dyDescent="0.2">
      <c r="A374" t="str">
        <f t="shared" si="75"/>
        <v/>
      </c>
      <c r="E374" s="4"/>
      <c r="F374" s="44"/>
      <c r="G374" s="4"/>
      <c r="H374" s="47"/>
      <c r="J374" s="45" t="str">
        <f t="shared" si="76"/>
        <v/>
      </c>
      <c r="N374" t="str">
        <f t="shared" si="78"/>
        <v/>
      </c>
      <c r="Q374" t="str">
        <f t="shared" si="77"/>
        <v/>
      </c>
      <c r="S374" t="str">
        <f>IF(A374=1,MAX(S$2:S373)+1,IF(OR(I374&lt;&gt;"",A374="x"),S373,""))</f>
        <v/>
      </c>
      <c r="T374" t="str">
        <f>IF(D374=1,MAX($T$2:$T373)+1,IF(S374=$S373,$S373,IF($D374="x",T373,IF($D373="x","",""))))</f>
        <v/>
      </c>
      <c r="U374" t="str">
        <f>IF(B374=1,MAX($U$2:$U373)+1,IF(AND($T374&lt;&gt;"",$T374=$T373),$U373,IF(B374="x",U373,"")))</f>
        <v/>
      </c>
      <c r="V374" t="str">
        <f>IF(C374=1,MAX($V$2:$V373)+1,IF(AND($T374&lt;&gt;"",$T374=$T373),$U373,IF(C374="x",V373,"")))</f>
        <v/>
      </c>
      <c r="W374" t="str" cm="1">
        <f t="array" ref="W374">IFERROR(_xlfn._xlws.FILTER(game_rosters!AB:AB,(game_rosters!J:J=events!X374)*(K374&lt;&gt;"")),"")</f>
        <v/>
      </c>
      <c r="X374" t="str" cm="1">
        <f t="array" ref="X374">IF(S374="","",IF($I374&lt;&gt;"",$I374,INDEX($I$2:$I373,ROW()-COUNTIFS($T$2:$T373,"="&amp;$T374,$S$2:$S373,"&lt;&gt;"&amp;$S374)-1)))</f>
        <v/>
      </c>
      <c r="Y374" t="b">
        <f>IF(X374&lt;&gt;"",VLOOKUP(X374,game_rosters!$C$43:$E$64,3,FALSE))</f>
        <v>0</v>
      </c>
      <c r="Z374" t="e" cm="1" vm="1">
        <f t="array" aca="1" ref="Z374" ca="1">IFERROR(IF(_xlfn._xlws.FILTER(game_rosters!$J:$J,(game_rosters!$G:$G=events!$AN374)*(game_rosters!$J:$J=events!$X374))&gt;0,1,""),"")</f>
        <v>#VALUE!</v>
      </c>
      <c r="AA374" t="e">
        <f t="shared" si="73"/>
        <v>#VALUE!</v>
      </c>
      <c r="AB374" t="str">
        <f t="shared" si="74"/>
        <v/>
      </c>
      <c r="AC374" t="e">
        <f t="shared" si="72"/>
        <v>#VALUE!</v>
      </c>
      <c r="AD374" s="6"/>
      <c r="BJ374" s="39"/>
      <c r="BM374" s="39"/>
      <c r="BO374" s="19"/>
      <c r="BQ374" s="17"/>
    </row>
    <row r="375" spans="1:69" x14ac:dyDescent="0.2">
      <c r="A375" t="str">
        <f t="shared" si="75"/>
        <v/>
      </c>
      <c r="E375" s="4"/>
      <c r="F375" s="44"/>
      <c r="G375" s="4"/>
      <c r="H375" s="47"/>
      <c r="J375" s="45" t="str">
        <f t="shared" si="76"/>
        <v/>
      </c>
      <c r="N375" t="str">
        <f t="shared" si="78"/>
        <v/>
      </c>
      <c r="Q375" t="str">
        <f t="shared" si="77"/>
        <v/>
      </c>
      <c r="S375" t="str">
        <f>IF(A375=1,MAX(S$2:S374)+1,IF(OR(I375&lt;&gt;"",A375="x"),S374,""))</f>
        <v/>
      </c>
      <c r="T375" t="str">
        <f>IF(D375=1,MAX($T$2:$T374)+1,IF(S375=$S374,$S374,IF($D375="x",T374,IF($D374="x","",""))))</f>
        <v/>
      </c>
      <c r="U375" t="str">
        <f>IF(B375=1,MAX($U$2:$U374)+1,IF(AND($T375&lt;&gt;"",$T375=$T374),$U374,IF(B375="x",U374,"")))</f>
        <v/>
      </c>
      <c r="V375" t="str">
        <f>IF(C375=1,MAX($V$2:$V374)+1,IF(AND($T375&lt;&gt;"",$T375=$T374),$U374,IF(C375="x",V374,"")))</f>
        <v/>
      </c>
      <c r="W375" t="str" cm="1">
        <f t="array" ref="W375">IFERROR(_xlfn._xlws.FILTER(game_rosters!AB:AB,(game_rosters!J:J=events!X375)*(K375&lt;&gt;"")),"")</f>
        <v/>
      </c>
      <c r="X375" t="str" cm="1">
        <f t="array" ref="X375">IF(S375="","",IF($I375&lt;&gt;"",$I375,INDEX($I$2:$I374,ROW()-COUNTIFS($T$2:$T374,"="&amp;$T375,$S$2:$S374,"&lt;&gt;"&amp;$S375)-1)))</f>
        <v/>
      </c>
      <c r="Y375" t="b">
        <f>IF(X375&lt;&gt;"",VLOOKUP(X375,game_rosters!$C$43:$E$64,3,FALSE))</f>
        <v>0</v>
      </c>
      <c r="Z375" t="e" cm="1" vm="1">
        <f t="array" aca="1" ref="Z375" ca="1">IFERROR(IF(_xlfn._xlws.FILTER(game_rosters!$J:$J,(game_rosters!$G:$G=events!$AN375)*(game_rosters!$J:$J=events!$X375))&gt;0,1,""),"")</f>
        <v>#VALUE!</v>
      </c>
      <c r="AA375" t="e">
        <f t="shared" si="73"/>
        <v>#VALUE!</v>
      </c>
      <c r="AB375" t="str">
        <f t="shared" si="74"/>
        <v/>
      </c>
      <c r="AC375" t="e">
        <f t="shared" si="72"/>
        <v>#VALUE!</v>
      </c>
      <c r="AD375" s="6"/>
      <c r="BJ375" s="39"/>
      <c r="BM375" s="39"/>
      <c r="BO375" s="19"/>
      <c r="BQ375" s="17"/>
    </row>
    <row r="376" spans="1:69" x14ac:dyDescent="0.2">
      <c r="A376" t="str">
        <f t="shared" si="75"/>
        <v/>
      </c>
      <c r="E376" s="4"/>
      <c r="F376" s="44"/>
      <c r="G376" s="4"/>
      <c r="H376" s="47"/>
      <c r="J376" s="45" t="str">
        <f t="shared" si="76"/>
        <v/>
      </c>
      <c r="N376" t="str">
        <f t="shared" si="78"/>
        <v/>
      </c>
      <c r="Q376" t="str">
        <f t="shared" si="77"/>
        <v/>
      </c>
      <c r="S376" t="str">
        <f>IF(A376=1,MAX(S$2:S375)+1,IF(OR(I376&lt;&gt;"",A376="x"),S375,""))</f>
        <v/>
      </c>
      <c r="T376" t="str">
        <f>IF(D376=1,MAX($T$2:$T375)+1,IF(S376=$S375,$S375,IF($D376="x",T375,IF($D375="x","",""))))</f>
        <v/>
      </c>
      <c r="U376" t="str">
        <f>IF(B376=1,MAX($U$2:$U375)+1,IF(AND($T376&lt;&gt;"",$T376=$T375),$U375,IF(B376="x",U375,"")))</f>
        <v/>
      </c>
      <c r="V376" t="str">
        <f>IF(C376=1,MAX($V$2:$V375)+1,IF(AND($T376&lt;&gt;"",$T376=$T375),$U375,IF(C376="x",V375,"")))</f>
        <v/>
      </c>
      <c r="W376" t="str" cm="1">
        <f t="array" ref="W376">IFERROR(_xlfn._xlws.FILTER(game_rosters!AB:AB,(game_rosters!J:J=events!X376)*(K376&lt;&gt;"")),"")</f>
        <v/>
      </c>
      <c r="X376" t="str" cm="1">
        <f t="array" ref="X376">IF(S376="","",IF($I376&lt;&gt;"",$I376,INDEX($I$2:$I375,ROW()-COUNTIFS($T$2:$T375,"="&amp;$T376,$S$2:$S375,"&lt;&gt;"&amp;$S376)-1)))</f>
        <v/>
      </c>
      <c r="Y376" t="b">
        <f>IF(X376&lt;&gt;"",VLOOKUP(X376,game_rosters!$C$43:$E$64,3,FALSE))</f>
        <v>0</v>
      </c>
      <c r="Z376" t="e" cm="1" vm="1">
        <f t="array" aca="1" ref="Z376" ca="1">IFERROR(IF(_xlfn._xlws.FILTER(game_rosters!$J:$J,(game_rosters!$G:$G=events!$AN376)*(game_rosters!$J:$J=events!$X376))&gt;0,1,""),"")</f>
        <v>#VALUE!</v>
      </c>
      <c r="AA376" t="e">
        <f t="shared" si="73"/>
        <v>#VALUE!</v>
      </c>
      <c r="AB376" t="str">
        <f t="shared" si="74"/>
        <v/>
      </c>
      <c r="AC376" t="e">
        <f t="shared" si="72"/>
        <v>#VALUE!</v>
      </c>
      <c r="AD376" s="6"/>
      <c r="BJ376" s="39"/>
      <c r="BM376" s="39"/>
      <c r="BO376" s="19"/>
      <c r="BQ376" s="17"/>
    </row>
    <row r="377" spans="1:69" x14ac:dyDescent="0.2">
      <c r="A377" t="str">
        <f t="shared" si="75"/>
        <v/>
      </c>
      <c r="E377" s="4"/>
      <c r="F377" s="44"/>
      <c r="G377" s="4"/>
      <c r="H377" s="47"/>
      <c r="J377" s="45" t="str">
        <f t="shared" si="76"/>
        <v/>
      </c>
      <c r="N377" t="str">
        <f t="shared" si="78"/>
        <v/>
      </c>
      <c r="Q377" t="str">
        <f t="shared" si="77"/>
        <v/>
      </c>
      <c r="S377" t="str">
        <f>IF(A377=1,MAX(S$2:S376)+1,IF(OR(I377&lt;&gt;"",A377="x"),S376,""))</f>
        <v/>
      </c>
      <c r="T377" t="str">
        <f>IF(D377=1,MAX($T$2:$T376)+1,IF(S377=$S376,$S376,IF($D377="x",T376,IF($D376="x","",""))))</f>
        <v/>
      </c>
      <c r="U377" t="str">
        <f>IF(B377=1,MAX($U$2:$U376)+1,IF(AND($T377&lt;&gt;"",$T377=$T376),$U376,IF(B377="x",U376,"")))</f>
        <v/>
      </c>
      <c r="V377" t="str">
        <f>IF(C377=1,MAX($V$2:$V376)+1,IF(AND($T377&lt;&gt;"",$T377=$T376),$U376,IF(C377="x",V376,"")))</f>
        <v/>
      </c>
      <c r="W377" t="str" cm="1">
        <f t="array" ref="W377">IFERROR(_xlfn._xlws.FILTER(game_rosters!AB:AB,(game_rosters!J:J=events!X377)*(K377&lt;&gt;"")),"")</f>
        <v/>
      </c>
      <c r="X377" t="str" cm="1">
        <f t="array" ref="X377">IF(S377="","",IF($I377&lt;&gt;"",$I377,INDEX($I$2:$I376,ROW()-COUNTIFS($T$2:$T376,"="&amp;$T377,$S$2:$S376,"&lt;&gt;"&amp;$S377)-1)))</f>
        <v/>
      </c>
      <c r="Y377" t="b">
        <f>IF(X377&lt;&gt;"",VLOOKUP(X377,game_rosters!$C$43:$E$64,3,FALSE))</f>
        <v>0</v>
      </c>
      <c r="Z377" t="e" cm="1" vm="1">
        <f t="array" aca="1" ref="Z377" ca="1">IFERROR(IF(_xlfn._xlws.FILTER(game_rosters!$J:$J,(game_rosters!$G:$G=events!$AN377)*(game_rosters!$J:$J=events!$X377))&gt;0,1,""),"")</f>
        <v>#VALUE!</v>
      </c>
      <c r="AA377" t="e">
        <f t="shared" si="73"/>
        <v>#VALUE!</v>
      </c>
      <c r="AB377" t="str">
        <f t="shared" si="74"/>
        <v/>
      </c>
      <c r="AC377" t="e">
        <f t="shared" si="72"/>
        <v>#VALUE!</v>
      </c>
      <c r="AD377" s="6"/>
      <c r="BJ377" s="39"/>
      <c r="BM377" s="39"/>
      <c r="BO377" s="19"/>
      <c r="BQ377" s="17"/>
    </row>
    <row r="378" spans="1:69" x14ac:dyDescent="0.2">
      <c r="A378" t="str">
        <f t="shared" si="75"/>
        <v/>
      </c>
      <c r="E378" s="4"/>
      <c r="F378" s="44"/>
      <c r="G378" s="4"/>
      <c r="H378" s="47"/>
      <c r="J378" s="45" t="str">
        <f t="shared" si="76"/>
        <v/>
      </c>
      <c r="N378" t="str">
        <f t="shared" si="78"/>
        <v/>
      </c>
      <c r="Q378" t="str">
        <f t="shared" si="77"/>
        <v/>
      </c>
      <c r="S378" t="str">
        <f>IF(A378=1,MAX(S$2:S377)+1,IF(OR(I378&lt;&gt;"",A378="x"),S377,""))</f>
        <v/>
      </c>
      <c r="T378" t="str">
        <f>IF(D378=1,MAX($T$2:$T377)+1,IF(S378=$S377,$S377,IF($D378="x",T377,IF($D377="x","",""))))</f>
        <v/>
      </c>
      <c r="U378" t="str">
        <f>IF(B378=1,MAX($U$2:$U377)+1,IF(AND($T378&lt;&gt;"",$T378=$T377),$U377,IF(B378="x",U377,"")))</f>
        <v/>
      </c>
      <c r="V378" t="str">
        <f>IF(C378=1,MAX($V$2:$V377)+1,IF(AND($T378&lt;&gt;"",$T378=$T377),$U377,IF(C378="x",V377,"")))</f>
        <v/>
      </c>
      <c r="W378" t="str" cm="1">
        <f t="array" ref="W378">IFERROR(_xlfn._xlws.FILTER(game_rosters!AB:AB,(game_rosters!J:J=events!X378)*(K378&lt;&gt;"")),"")</f>
        <v/>
      </c>
      <c r="X378" t="str" cm="1">
        <f t="array" ref="X378">IF(S378="","",IF($I378&lt;&gt;"",$I378,INDEX($I$2:$I377,ROW()-COUNTIFS($T$2:$T377,"="&amp;$T378,$S$2:$S377,"&lt;&gt;"&amp;$S378)-1)))</f>
        <v/>
      </c>
      <c r="Y378" t="b">
        <f>IF(X378&lt;&gt;"",VLOOKUP(X378,game_rosters!$C$43:$E$64,3,FALSE))</f>
        <v>0</v>
      </c>
      <c r="Z378" t="e" cm="1" vm="1">
        <f t="array" aca="1" ref="Z378" ca="1">IFERROR(IF(_xlfn._xlws.FILTER(game_rosters!$J:$J,(game_rosters!$G:$G=events!$AN378)*(game_rosters!$J:$J=events!$X378))&gt;0,1,""),"")</f>
        <v>#VALUE!</v>
      </c>
      <c r="AA378" t="e">
        <f t="shared" si="73"/>
        <v>#VALUE!</v>
      </c>
      <c r="AB378" t="str">
        <f t="shared" si="74"/>
        <v/>
      </c>
      <c r="AC378" t="e">
        <f t="shared" si="72"/>
        <v>#VALUE!</v>
      </c>
      <c r="AD378" s="6"/>
      <c r="BJ378" s="39"/>
      <c r="BM378" s="39"/>
      <c r="BO378" s="19"/>
      <c r="BQ378" s="17"/>
    </row>
    <row r="379" spans="1:69" x14ac:dyDescent="0.2">
      <c r="A379" t="str">
        <f t="shared" si="75"/>
        <v/>
      </c>
      <c r="E379" s="4"/>
      <c r="F379" s="44"/>
      <c r="G379" s="4"/>
      <c r="H379" s="47"/>
      <c r="J379" s="45" t="str">
        <f t="shared" si="76"/>
        <v/>
      </c>
      <c r="N379" t="str">
        <f t="shared" si="78"/>
        <v/>
      </c>
      <c r="Q379" t="str">
        <f t="shared" si="77"/>
        <v/>
      </c>
      <c r="S379" t="str">
        <f>IF(A379=1,MAX(S$2:S378)+1,IF(OR(I379&lt;&gt;"",A379="x"),S378,""))</f>
        <v/>
      </c>
      <c r="T379" t="str">
        <f>IF(D379=1,MAX($T$2:$T378)+1,IF(S379=$S378,$S378,IF($D379="x",T378,IF($D378="x","",""))))</f>
        <v/>
      </c>
      <c r="U379" t="str">
        <f>IF(B379=1,MAX($U$2:$U378)+1,IF(AND($T379&lt;&gt;"",$T379=$T378),$U378,IF(B379="x",U378,"")))</f>
        <v/>
      </c>
      <c r="V379" t="str">
        <f>IF(C379=1,MAX($V$2:$V378)+1,IF(AND($T379&lt;&gt;"",$T379=$T378),$U378,IF(C379="x",V378,"")))</f>
        <v/>
      </c>
      <c r="W379" t="str" cm="1">
        <f t="array" ref="W379">IFERROR(_xlfn._xlws.FILTER(game_rosters!AB:AB,(game_rosters!J:J=events!X379)*(K379&lt;&gt;"")),"")</f>
        <v/>
      </c>
      <c r="X379" t="str" cm="1">
        <f t="array" ref="X379">IF(S379="","",IF($I379&lt;&gt;"",$I379,INDEX($I$2:$I378,ROW()-COUNTIFS($T$2:$T378,"="&amp;$T379,$S$2:$S378,"&lt;&gt;"&amp;$S379)-1)))</f>
        <v/>
      </c>
      <c r="Y379" t="b">
        <f>IF(X379&lt;&gt;"",VLOOKUP(X379,game_rosters!$C$43:$E$64,3,FALSE))</f>
        <v>0</v>
      </c>
      <c r="Z379" t="e" cm="1" vm="1">
        <f t="array" aca="1" ref="Z379" ca="1">IFERROR(IF(_xlfn._xlws.FILTER(game_rosters!$J:$J,(game_rosters!$G:$G=events!$AN379)*(game_rosters!$J:$J=events!$X379))&gt;0,1,""),"")</f>
        <v>#VALUE!</v>
      </c>
      <c r="AA379" t="e">
        <f t="shared" si="73"/>
        <v>#VALUE!</v>
      </c>
      <c r="AB379" t="str">
        <f t="shared" si="74"/>
        <v/>
      </c>
      <c r="AC379" t="e">
        <f t="shared" si="72"/>
        <v>#VALUE!</v>
      </c>
      <c r="AD379" s="6"/>
      <c r="BJ379" s="39"/>
      <c r="BM379" s="39"/>
      <c r="BO379" s="19"/>
      <c r="BQ379" s="17"/>
    </row>
    <row r="380" spans="1:69" x14ac:dyDescent="0.2">
      <c r="A380" t="str">
        <f t="shared" si="75"/>
        <v/>
      </c>
      <c r="E380" s="4"/>
      <c r="F380" s="44"/>
      <c r="G380" s="4"/>
      <c r="H380" s="47"/>
      <c r="J380" s="45" t="str">
        <f t="shared" si="76"/>
        <v/>
      </c>
      <c r="N380" t="str">
        <f t="shared" si="78"/>
        <v/>
      </c>
      <c r="Q380" t="str">
        <f t="shared" si="77"/>
        <v/>
      </c>
      <c r="S380" t="str">
        <f>IF(A380=1,MAX(S$2:S379)+1,IF(OR(I380&lt;&gt;"",A380="x"),S379,""))</f>
        <v/>
      </c>
      <c r="T380" t="str">
        <f>IF(D380=1,MAX($T$2:$T379)+1,IF(S380=$S379,$S379,IF($D380="x",T379,IF($D379="x","",""))))</f>
        <v/>
      </c>
      <c r="U380" t="str">
        <f>IF(B380=1,MAX($U$2:$U379)+1,IF(AND($T380&lt;&gt;"",$T380=$T379),$U379,IF(B380="x",U379,"")))</f>
        <v/>
      </c>
      <c r="V380" t="str">
        <f>IF(C380=1,MAX($V$2:$V379)+1,IF(AND($T380&lt;&gt;"",$T380=$T379),$U379,IF(C380="x",V379,"")))</f>
        <v/>
      </c>
      <c r="W380" t="str" cm="1">
        <f t="array" ref="W380">IFERROR(_xlfn._xlws.FILTER(game_rosters!AB:AB,(game_rosters!J:J=events!X380)*(K380&lt;&gt;"")),"")</f>
        <v/>
      </c>
      <c r="X380" t="str" cm="1">
        <f t="array" ref="X380">IF(S380="","",IF($I380&lt;&gt;"",$I380,INDEX($I$2:$I379,ROW()-COUNTIFS($T$2:$T379,"="&amp;$T380,$S$2:$S379,"&lt;&gt;"&amp;$S380)-1)))</f>
        <v/>
      </c>
      <c r="Y380" t="b">
        <f>IF(X380&lt;&gt;"",VLOOKUP(X380,game_rosters!$C$43:$E$64,3,FALSE))</f>
        <v>0</v>
      </c>
      <c r="Z380" t="e" cm="1" vm="1">
        <f t="array" aca="1" ref="Z380" ca="1">IFERROR(IF(_xlfn._xlws.FILTER(game_rosters!$J:$J,(game_rosters!$G:$G=events!$AN380)*(game_rosters!$J:$J=events!$X380))&gt;0,1,""),"")</f>
        <v>#VALUE!</v>
      </c>
      <c r="AA380" t="e">
        <f t="shared" si="73"/>
        <v>#VALUE!</v>
      </c>
      <c r="AB380" t="str">
        <f t="shared" si="74"/>
        <v/>
      </c>
      <c r="AC380" t="e">
        <f t="shared" si="72"/>
        <v>#VALUE!</v>
      </c>
      <c r="AD380" s="6"/>
      <c r="BJ380" s="39"/>
      <c r="BM380" s="39"/>
      <c r="BO380" s="19"/>
      <c r="BQ380" s="17"/>
    </row>
    <row r="381" spans="1:69" x14ac:dyDescent="0.2">
      <c r="A381" t="str">
        <f t="shared" si="75"/>
        <v/>
      </c>
      <c r="E381" s="4"/>
      <c r="F381" s="44"/>
      <c r="G381" s="4"/>
      <c r="H381" s="47"/>
      <c r="J381" s="45" t="str">
        <f t="shared" si="76"/>
        <v/>
      </c>
      <c r="N381" t="str">
        <f t="shared" si="78"/>
        <v/>
      </c>
      <c r="Q381" t="str">
        <f t="shared" si="77"/>
        <v/>
      </c>
      <c r="S381" t="str">
        <f>IF(A381=1,MAX(S$2:S380)+1,IF(OR(I381&lt;&gt;"",A381="x"),S380,""))</f>
        <v/>
      </c>
      <c r="T381" t="str">
        <f>IF(D381=1,MAX($T$2:$T380)+1,IF(S381=$S380,$S380,IF($D381="x",T380,IF($D380="x","",""))))</f>
        <v/>
      </c>
      <c r="U381" t="str">
        <f>IF(B381=1,MAX($U$2:$U380)+1,IF(AND($T381&lt;&gt;"",$T381=$T380),$U380,IF(B381="x",U380,"")))</f>
        <v/>
      </c>
      <c r="V381" t="str">
        <f>IF(C381=1,MAX($V$2:$V380)+1,IF(AND($T381&lt;&gt;"",$T381=$T380),$U380,IF(C381="x",V380,"")))</f>
        <v/>
      </c>
      <c r="W381" t="str" cm="1">
        <f t="array" ref="W381">IFERROR(_xlfn._xlws.FILTER(game_rosters!AB:AB,(game_rosters!J:J=events!X381)*(K381&lt;&gt;"")),"")</f>
        <v/>
      </c>
      <c r="X381" t="str" cm="1">
        <f t="array" ref="X381">IF(S381="","",IF($I381&lt;&gt;"",$I381,INDEX($I$2:$I380,ROW()-COUNTIFS($T$2:$T380,"="&amp;$T381,$S$2:$S380,"&lt;&gt;"&amp;$S381)-1)))</f>
        <v/>
      </c>
      <c r="Y381" t="b">
        <f>IF(X381&lt;&gt;"",VLOOKUP(X381,game_rosters!$C$43:$E$64,3,FALSE))</f>
        <v>0</v>
      </c>
      <c r="Z381" t="e" cm="1" vm="1">
        <f t="array" aca="1" ref="Z381" ca="1">IFERROR(IF(_xlfn._xlws.FILTER(game_rosters!$J:$J,(game_rosters!$G:$G=events!$AN381)*(game_rosters!$J:$J=events!$X381))&gt;0,1,""),"")</f>
        <v>#VALUE!</v>
      </c>
      <c r="AA381" t="e">
        <f t="shared" si="73"/>
        <v>#VALUE!</v>
      </c>
      <c r="AB381" t="str">
        <f t="shared" si="74"/>
        <v/>
      </c>
      <c r="AC381" t="e">
        <f t="shared" si="72"/>
        <v>#VALUE!</v>
      </c>
      <c r="AD381" s="6"/>
      <c r="BJ381" s="39"/>
      <c r="BM381" s="39"/>
      <c r="BO381" s="19"/>
      <c r="BQ381" s="17"/>
    </row>
    <row r="382" spans="1:69" x14ac:dyDescent="0.2">
      <c r="A382" t="str">
        <f t="shared" si="75"/>
        <v/>
      </c>
      <c r="E382" s="4"/>
      <c r="F382" s="44"/>
      <c r="G382" s="4"/>
      <c r="H382" s="47"/>
      <c r="J382" s="45" t="str">
        <f t="shared" si="76"/>
        <v/>
      </c>
      <c r="N382" t="str">
        <f t="shared" si="78"/>
        <v/>
      </c>
      <c r="Q382" t="str">
        <f t="shared" si="77"/>
        <v/>
      </c>
      <c r="S382" t="str">
        <f>IF(A382=1,MAX(S$2:S381)+1,IF(OR(I382&lt;&gt;"",A382="x"),S381,""))</f>
        <v/>
      </c>
      <c r="T382" t="str">
        <f>IF(D382=1,MAX($T$2:$T381)+1,IF(S382=$S381,$S381,IF($D382="x",T381,IF($D381="x","",""))))</f>
        <v/>
      </c>
      <c r="U382" t="str">
        <f>IF(B382=1,MAX($U$2:$U381)+1,IF(AND($T382&lt;&gt;"",$T382=$T381),$U381,IF(B382="x",U381,"")))</f>
        <v/>
      </c>
      <c r="V382" t="str">
        <f>IF(C382=1,MAX($V$2:$V381)+1,IF(AND($T382&lt;&gt;"",$T382=$T381),$U381,IF(C382="x",V381,"")))</f>
        <v/>
      </c>
      <c r="W382" t="str" cm="1">
        <f t="array" ref="W382">IFERROR(_xlfn._xlws.FILTER(game_rosters!AB:AB,(game_rosters!J:J=events!X382)*(K382&lt;&gt;"")),"")</f>
        <v/>
      </c>
      <c r="X382" t="str" cm="1">
        <f t="array" ref="X382">IF(S382="","",IF($I382&lt;&gt;"",$I382,INDEX($I$2:$I381,ROW()-COUNTIFS($T$2:$T381,"="&amp;$T382,$S$2:$S381,"&lt;&gt;"&amp;$S382)-1)))</f>
        <v/>
      </c>
      <c r="Y382" t="b">
        <f>IF(X382&lt;&gt;"",VLOOKUP(X382,game_rosters!$C$43:$E$64,3,FALSE))</f>
        <v>0</v>
      </c>
      <c r="Z382" t="e" cm="1" vm="1">
        <f t="array" aca="1" ref="Z382" ca="1">IFERROR(IF(_xlfn._xlws.FILTER(game_rosters!$J:$J,(game_rosters!$G:$G=events!$AN382)*(game_rosters!$J:$J=events!$X382))&gt;0,1,""),"")</f>
        <v>#VALUE!</v>
      </c>
      <c r="AA382" t="e">
        <f t="shared" si="73"/>
        <v>#VALUE!</v>
      </c>
      <c r="AB382" t="str">
        <f t="shared" si="74"/>
        <v/>
      </c>
      <c r="AC382" t="e">
        <f t="shared" si="72"/>
        <v>#VALUE!</v>
      </c>
      <c r="AD382" s="6"/>
      <c r="BJ382" s="39"/>
      <c r="BM382" s="39"/>
      <c r="BO382" s="19"/>
      <c r="BQ382" s="17"/>
    </row>
    <row r="383" spans="1:69" x14ac:dyDescent="0.2">
      <c r="A383" t="str">
        <f t="shared" si="75"/>
        <v/>
      </c>
      <c r="E383" s="4"/>
      <c r="F383" s="44"/>
      <c r="G383" s="4"/>
      <c r="H383" s="47"/>
      <c r="J383" s="45" t="str">
        <f t="shared" si="76"/>
        <v/>
      </c>
      <c r="N383" t="str">
        <f t="shared" si="78"/>
        <v/>
      </c>
      <c r="Q383" t="str">
        <f t="shared" si="77"/>
        <v/>
      </c>
      <c r="S383" t="str">
        <f>IF(A383=1,MAX(S$2:S382)+1,IF(OR(I383&lt;&gt;"",A383="x"),S382,""))</f>
        <v/>
      </c>
      <c r="T383" t="str">
        <f>IF(D383=1,MAX($T$2:$T382)+1,IF(S383=$S382,$S382,IF($D383="x",T382,IF($D382="x","",""))))</f>
        <v/>
      </c>
      <c r="U383" t="str">
        <f>IF(B383=1,MAX($U$2:$U382)+1,IF(AND($T383&lt;&gt;"",$T383=$T382),$U382,IF(B383="x",U382,"")))</f>
        <v/>
      </c>
      <c r="V383" t="str">
        <f>IF(C383=1,MAX($V$2:$V382)+1,IF(AND($T383&lt;&gt;"",$T383=$T382),$U382,IF(C383="x",V382,"")))</f>
        <v/>
      </c>
      <c r="W383" t="str" cm="1">
        <f t="array" ref="W383">IFERROR(_xlfn._xlws.FILTER(game_rosters!AB:AB,(game_rosters!J:J=events!X383)*(K383&lt;&gt;"")),"")</f>
        <v/>
      </c>
      <c r="X383" t="str" cm="1">
        <f t="array" ref="X383">IF(S383="","",IF($I383&lt;&gt;"",$I383,INDEX($I$2:$I382,ROW()-COUNTIFS($T$2:$T382,"="&amp;$T383,$S$2:$S382,"&lt;&gt;"&amp;$S383)-1)))</f>
        <v/>
      </c>
      <c r="Y383" t="b">
        <f>IF(X383&lt;&gt;"",VLOOKUP(X383,game_rosters!$C$43:$E$64,3,FALSE))</f>
        <v>0</v>
      </c>
      <c r="Z383" t="e" cm="1" vm="1">
        <f t="array" aca="1" ref="Z383" ca="1">IFERROR(IF(_xlfn._xlws.FILTER(game_rosters!$J:$J,(game_rosters!$G:$G=events!$AN383)*(game_rosters!$J:$J=events!$X383))&gt;0,1,""),"")</f>
        <v>#VALUE!</v>
      </c>
      <c r="AA383" t="e">
        <f t="shared" si="73"/>
        <v>#VALUE!</v>
      </c>
      <c r="AB383" t="str">
        <f t="shared" si="74"/>
        <v/>
      </c>
      <c r="AC383" t="e">
        <f t="shared" si="72"/>
        <v>#VALUE!</v>
      </c>
      <c r="AD383" s="6"/>
      <c r="BJ383" s="39"/>
      <c r="BM383" s="39"/>
      <c r="BO383" s="19"/>
      <c r="BQ383" s="17"/>
    </row>
    <row r="384" spans="1:69" x14ac:dyDescent="0.2">
      <c r="A384" t="str">
        <f t="shared" si="75"/>
        <v/>
      </c>
      <c r="E384" s="4"/>
      <c r="F384" s="44"/>
      <c r="G384" s="4"/>
      <c r="H384" s="47"/>
      <c r="J384" s="45" t="str">
        <f t="shared" si="76"/>
        <v/>
      </c>
      <c r="N384" t="str">
        <f t="shared" si="78"/>
        <v/>
      </c>
      <c r="Q384" t="str">
        <f t="shared" si="77"/>
        <v/>
      </c>
      <c r="S384" t="str">
        <f>IF(A384=1,MAX(S$2:S383)+1,IF(OR(I384&lt;&gt;"",A384="x"),S383,""))</f>
        <v/>
      </c>
      <c r="T384" t="str">
        <f>IF(D384=1,MAX($T$2:$T383)+1,IF(S384=$S383,$S383,IF($D384="x",T383,IF($D383="x","",""))))</f>
        <v/>
      </c>
      <c r="U384" t="str">
        <f>IF(B384=1,MAX($U$2:$U383)+1,IF(AND($T384&lt;&gt;"",$T384=$T383),$U383,IF(B384="x",U383,"")))</f>
        <v/>
      </c>
      <c r="V384" t="str">
        <f>IF(C384=1,MAX($V$2:$V383)+1,IF(AND($T384&lt;&gt;"",$T384=$T383),$U383,IF(C384="x",V383,"")))</f>
        <v/>
      </c>
      <c r="W384" t="str" cm="1">
        <f t="array" ref="W384">IFERROR(_xlfn._xlws.FILTER(game_rosters!AB:AB,(game_rosters!J:J=events!X384)*(K384&lt;&gt;"")),"")</f>
        <v/>
      </c>
      <c r="X384" t="str" cm="1">
        <f t="array" ref="X384">IF(S384="","",IF($I384&lt;&gt;"",$I384,INDEX($I$2:$I383,ROW()-COUNTIFS($T$2:$T383,"="&amp;$T384,$S$2:$S383,"&lt;&gt;"&amp;$S384)-1)))</f>
        <v/>
      </c>
      <c r="Y384" t="b">
        <f>IF(X384&lt;&gt;"",VLOOKUP(X384,game_rosters!$C$43:$E$64,3,FALSE))</f>
        <v>0</v>
      </c>
      <c r="Z384" t="e" cm="1" vm="1">
        <f t="array" aca="1" ref="Z384" ca="1">IFERROR(IF(_xlfn._xlws.FILTER(game_rosters!$J:$J,(game_rosters!$G:$G=events!$AN384)*(game_rosters!$J:$J=events!$X384))&gt;0,1,""),"")</f>
        <v>#VALUE!</v>
      </c>
      <c r="AA384" t="e">
        <f t="shared" si="73"/>
        <v>#VALUE!</v>
      </c>
      <c r="AB384" t="str">
        <f t="shared" si="74"/>
        <v/>
      </c>
      <c r="AC384" t="e">
        <f t="shared" si="72"/>
        <v>#VALUE!</v>
      </c>
      <c r="AD384" s="6"/>
      <c r="BJ384" s="39"/>
      <c r="BM384" s="39"/>
      <c r="BO384" s="19"/>
      <c r="BQ384" s="17"/>
    </row>
    <row r="385" spans="1:69" x14ac:dyDescent="0.2">
      <c r="A385" t="str">
        <f t="shared" si="75"/>
        <v/>
      </c>
      <c r="E385" s="4"/>
      <c r="F385" s="44"/>
      <c r="G385" s="4"/>
      <c r="H385" s="47"/>
      <c r="J385" s="45" t="str">
        <f t="shared" si="76"/>
        <v/>
      </c>
      <c r="N385" t="str">
        <f t="shared" si="78"/>
        <v/>
      </c>
      <c r="Q385" t="str">
        <f t="shared" si="77"/>
        <v/>
      </c>
      <c r="S385" t="str">
        <f>IF(A385=1,MAX(S$2:S384)+1,IF(OR(I385&lt;&gt;"",A385="x"),S384,""))</f>
        <v/>
      </c>
      <c r="T385" t="str">
        <f>IF(D385=1,MAX($T$2:$T384)+1,IF(S385=$S384,$S384,IF($D385="x",T384,IF($D384="x","",""))))</f>
        <v/>
      </c>
      <c r="U385" t="str">
        <f>IF(B385=1,MAX($U$2:$U384)+1,IF(AND($T385&lt;&gt;"",$T385=$T384),$U384,IF(B385="x",U384,"")))</f>
        <v/>
      </c>
      <c r="V385" t="str">
        <f>IF(C385=1,MAX($V$2:$V384)+1,IF(AND($T385&lt;&gt;"",$T385=$T384),$U384,IF(C385="x",V384,"")))</f>
        <v/>
      </c>
      <c r="W385" t="str" cm="1">
        <f t="array" ref="W385">IFERROR(_xlfn._xlws.FILTER(game_rosters!AB:AB,(game_rosters!J:J=events!X385)*(K385&lt;&gt;"")),"")</f>
        <v/>
      </c>
      <c r="X385" t="str" cm="1">
        <f t="array" ref="X385">IF(S385="","",IF($I385&lt;&gt;"",$I385,INDEX($I$2:$I384,ROW()-COUNTIFS($T$2:$T384,"="&amp;$T385,$S$2:$S384,"&lt;&gt;"&amp;$S385)-1)))</f>
        <v/>
      </c>
      <c r="Y385" t="b">
        <f>IF(X385&lt;&gt;"",VLOOKUP(X385,game_rosters!$C$43:$E$64,3,FALSE))</f>
        <v>0</v>
      </c>
      <c r="Z385" t="e" cm="1" vm="1">
        <f t="array" aca="1" ref="Z385" ca="1">IFERROR(IF(_xlfn._xlws.FILTER(game_rosters!$J:$J,(game_rosters!$G:$G=events!$AN385)*(game_rosters!$J:$J=events!$X385))&gt;0,1,""),"")</f>
        <v>#VALUE!</v>
      </c>
      <c r="AA385" t="e">
        <f t="shared" si="73"/>
        <v>#VALUE!</v>
      </c>
      <c r="AB385" t="str">
        <f t="shared" si="74"/>
        <v/>
      </c>
      <c r="AC385" t="e">
        <f t="shared" si="72"/>
        <v>#VALUE!</v>
      </c>
      <c r="AD385" s="6"/>
      <c r="BJ385" s="39"/>
      <c r="BM385" s="39"/>
      <c r="BO385" s="19"/>
      <c r="BQ385" s="17"/>
    </row>
    <row r="386" spans="1:69" x14ac:dyDescent="0.2">
      <c r="A386" t="str">
        <f t="shared" si="75"/>
        <v/>
      </c>
      <c r="E386" s="4"/>
      <c r="F386" s="44"/>
      <c r="G386" s="4"/>
      <c r="H386" s="47"/>
      <c r="J386" s="45" t="str">
        <f t="shared" si="76"/>
        <v/>
      </c>
      <c r="N386" t="str">
        <f t="shared" si="78"/>
        <v/>
      </c>
      <c r="Q386" t="str">
        <f t="shared" si="77"/>
        <v/>
      </c>
      <c r="S386" t="str">
        <f>IF(A386=1,MAX(S$2:S385)+1,IF(OR(I386&lt;&gt;"",A386="x"),S385,""))</f>
        <v/>
      </c>
      <c r="T386" t="str">
        <f>IF(D386=1,MAX($T$2:$T385)+1,IF(S386=$S385,$S385,IF($D386="x",T385,IF($D385="x","",""))))</f>
        <v/>
      </c>
      <c r="U386" t="str">
        <f>IF(B386=1,MAX($U$2:$U385)+1,IF(AND($T386&lt;&gt;"",$T386=$T385),$U385,IF(B386="x",U385,"")))</f>
        <v/>
      </c>
      <c r="V386" t="str">
        <f>IF(C386=1,MAX($V$2:$V385)+1,IF(AND($T386&lt;&gt;"",$T386=$T385),$U385,IF(C386="x",V385,"")))</f>
        <v/>
      </c>
      <c r="W386" t="str" cm="1">
        <f t="array" ref="W386">IFERROR(_xlfn._xlws.FILTER(game_rosters!AB:AB,(game_rosters!J:J=events!X386)*(K386&lt;&gt;"")),"")</f>
        <v/>
      </c>
      <c r="X386" t="str" cm="1">
        <f t="array" ref="X386">IF(S386="","",IF($I386&lt;&gt;"",$I386,INDEX($I$2:$I385,ROW()-COUNTIFS($T$2:$T385,"="&amp;$T386,$S$2:$S385,"&lt;&gt;"&amp;$S386)-1)))</f>
        <v/>
      </c>
      <c r="Y386" t="b">
        <f>IF(X386&lt;&gt;"",VLOOKUP(X386,game_rosters!$C$43:$E$64,3,FALSE))</f>
        <v>0</v>
      </c>
      <c r="Z386" t="e" cm="1" vm="1">
        <f t="array" aca="1" ref="Z386" ca="1">IFERROR(IF(_xlfn._xlws.FILTER(game_rosters!$J:$J,(game_rosters!$G:$G=events!$AN386)*(game_rosters!$J:$J=events!$X386))&gt;0,1,""),"")</f>
        <v>#VALUE!</v>
      </c>
      <c r="AA386" t="e">
        <f t="shared" si="73"/>
        <v>#VALUE!</v>
      </c>
      <c r="AB386" t="str">
        <f t="shared" si="74"/>
        <v/>
      </c>
      <c r="AC386" t="e">
        <f t="shared" ref="AC386:AC449" si="79">IF(AB386&lt;&gt;"",AB386,S386+1000)</f>
        <v>#VALUE!</v>
      </c>
      <c r="AD386" s="6"/>
      <c r="BJ386" s="39"/>
      <c r="BM386" s="39"/>
      <c r="BO386" s="19"/>
      <c r="BQ386" s="17"/>
    </row>
    <row r="387" spans="1:69" x14ac:dyDescent="0.2">
      <c r="A387" t="str">
        <f t="shared" si="75"/>
        <v/>
      </c>
      <c r="E387" s="4"/>
      <c r="F387" s="44"/>
      <c r="G387" s="4"/>
      <c r="H387" s="47"/>
      <c r="J387" s="45" t="str">
        <f t="shared" si="76"/>
        <v/>
      </c>
      <c r="N387" t="str">
        <f t="shared" si="78"/>
        <v/>
      </c>
      <c r="Q387" t="str">
        <f t="shared" si="77"/>
        <v/>
      </c>
      <c r="S387" t="str">
        <f>IF(A387=1,MAX(S$2:S386)+1,IF(OR(I387&lt;&gt;"",A387="x"),S386,""))</f>
        <v/>
      </c>
      <c r="T387" t="str">
        <f>IF(D387=1,MAX($T$2:$T386)+1,IF(S387=$S386,$S386,IF($D387="x",T386,IF($D386="x","",""))))</f>
        <v/>
      </c>
      <c r="U387" t="str">
        <f>IF(B387=1,MAX($U$2:$U386)+1,IF(AND($T387&lt;&gt;"",$T387=$T386),$U386,IF(B387="x",U386,"")))</f>
        <v/>
      </c>
      <c r="V387" t="str">
        <f>IF(C387=1,MAX($V$2:$V386)+1,IF(AND($T387&lt;&gt;"",$T387=$T386),$U386,IF(C387="x",V386,"")))</f>
        <v/>
      </c>
      <c r="W387" t="str" cm="1">
        <f t="array" ref="W387">IFERROR(_xlfn._xlws.FILTER(game_rosters!AB:AB,(game_rosters!J:J=events!X387)*(K387&lt;&gt;"")),"")</f>
        <v/>
      </c>
      <c r="X387" t="str" cm="1">
        <f t="array" ref="X387">IF(S387="","",IF($I387&lt;&gt;"",$I387,INDEX($I$2:$I386,ROW()-COUNTIFS($T$2:$T386,"="&amp;$T387,$S$2:$S386,"&lt;&gt;"&amp;$S387)-1)))</f>
        <v/>
      </c>
      <c r="Y387" t="b">
        <f>IF(X387&lt;&gt;"",VLOOKUP(X387,game_rosters!$C$43:$E$64,3,FALSE))</f>
        <v>0</v>
      </c>
      <c r="Z387" t="e" cm="1" vm="1">
        <f t="array" aca="1" ref="Z387" ca="1">IFERROR(IF(_xlfn._xlws.FILTER(game_rosters!$J:$J,(game_rosters!$G:$G=events!$AN387)*(game_rosters!$J:$J=events!$X387))&gt;0,1,""),"")</f>
        <v>#VALUE!</v>
      </c>
      <c r="AA387" t="e">
        <f t="shared" si="73"/>
        <v>#VALUE!</v>
      </c>
      <c r="AB387" t="str">
        <f t="shared" si="74"/>
        <v/>
      </c>
      <c r="AC387" t="e">
        <f t="shared" si="79"/>
        <v>#VALUE!</v>
      </c>
      <c r="AD387" s="6"/>
      <c r="BJ387" s="39"/>
      <c r="BM387" s="39"/>
      <c r="BO387" s="19"/>
      <c r="BQ387" s="17"/>
    </row>
    <row r="388" spans="1:69" x14ac:dyDescent="0.2">
      <c r="A388" t="str">
        <f t="shared" si="75"/>
        <v/>
      </c>
      <c r="E388" s="4"/>
      <c r="F388" s="44"/>
      <c r="G388" s="4"/>
      <c r="H388" s="47"/>
      <c r="J388" s="45" t="str">
        <f t="shared" si="76"/>
        <v/>
      </c>
      <c r="N388" t="str">
        <f t="shared" si="78"/>
        <v/>
      </c>
      <c r="Q388" t="str">
        <f t="shared" si="77"/>
        <v/>
      </c>
      <c r="S388" t="str">
        <f>IF(A388=1,MAX(S$2:S387)+1,IF(OR(I388&lt;&gt;"",A388="x"),S387,""))</f>
        <v/>
      </c>
      <c r="T388" t="str">
        <f>IF(D388=1,MAX($T$2:$T387)+1,IF(S388=$S387,$S387,IF($D388="x",T387,IF($D387="x","",""))))</f>
        <v/>
      </c>
      <c r="U388" t="str">
        <f>IF(B388=1,MAX($U$2:$U387)+1,IF(AND($T388&lt;&gt;"",$T388=$T387),$U387,IF(B388="x",U387,"")))</f>
        <v/>
      </c>
      <c r="V388" t="str">
        <f>IF(C388=1,MAX($V$2:$V387)+1,IF(AND($T388&lt;&gt;"",$T388=$T387),$U387,IF(C388="x",V387,"")))</f>
        <v/>
      </c>
      <c r="W388" t="str" cm="1">
        <f t="array" ref="W388">IFERROR(_xlfn._xlws.FILTER(game_rosters!AB:AB,(game_rosters!J:J=events!X388)*(K388&lt;&gt;"")),"")</f>
        <v/>
      </c>
      <c r="X388" t="str" cm="1">
        <f t="array" ref="X388">IF(S388="","",IF($I388&lt;&gt;"",$I388,INDEX($I$2:$I387,ROW()-COUNTIFS($T$2:$T387,"="&amp;$T388,$S$2:$S387,"&lt;&gt;"&amp;$S388)-1)))</f>
        <v/>
      </c>
      <c r="Y388" t="b">
        <f>IF(X388&lt;&gt;"",VLOOKUP(X388,game_rosters!$C$43:$E$64,3,FALSE))</f>
        <v>0</v>
      </c>
      <c r="Z388" t="e" cm="1" vm="1">
        <f t="array" aca="1" ref="Z388" ca="1">IFERROR(IF(_xlfn._xlws.FILTER(game_rosters!$J:$J,(game_rosters!$G:$G=events!$AN388)*(game_rosters!$J:$J=events!$X388))&gt;0,1,""),"")</f>
        <v>#VALUE!</v>
      </c>
      <c r="AA388" t="e">
        <f t="shared" ref="AA388:AA451" si="80">S388+1000</f>
        <v>#VALUE!</v>
      </c>
      <c r="AB388" t="str">
        <f t="shared" ref="AB388:AB451" si="81">IF(T388&lt;&gt;"",9000+T388,"")</f>
        <v/>
      </c>
      <c r="AC388" t="e">
        <f t="shared" si="79"/>
        <v>#VALUE!</v>
      </c>
      <c r="AD388" s="6"/>
      <c r="BJ388" s="39"/>
      <c r="BM388" s="39"/>
      <c r="BO388" s="19"/>
      <c r="BQ388" s="17"/>
    </row>
    <row r="389" spans="1:69" x14ac:dyDescent="0.2">
      <c r="A389" t="str">
        <f t="shared" ref="A389:A452" si="82">IF(K389&lt;&gt;"",1,IF(D389="x","x",""))</f>
        <v/>
      </c>
      <c r="E389" s="4"/>
      <c r="F389" s="44"/>
      <c r="G389" s="4"/>
      <c r="H389" s="47"/>
      <c r="J389" s="45" t="str">
        <f t="shared" si="76"/>
        <v/>
      </c>
      <c r="N389" t="str">
        <f t="shared" si="78"/>
        <v/>
      </c>
      <c r="Q389" t="str">
        <f t="shared" si="77"/>
        <v/>
      </c>
      <c r="S389" t="str">
        <f>IF(A389=1,MAX(S$2:S388)+1,IF(OR(I389&lt;&gt;"",A389="x"),S388,""))</f>
        <v/>
      </c>
      <c r="T389" t="str">
        <f>IF(D389=1,MAX($T$2:$T388)+1,IF(S389=$S388,$S388,IF($D389="x",T388,IF($D388="x","",""))))</f>
        <v/>
      </c>
      <c r="U389" t="str">
        <f>IF(B389=1,MAX($U$2:$U388)+1,IF(AND($T389&lt;&gt;"",$T389=$T388),$U388,IF(B389="x",U388,"")))</f>
        <v/>
      </c>
      <c r="V389" t="str">
        <f>IF(C389=1,MAX($V$2:$V388)+1,IF(AND($T389&lt;&gt;"",$T389=$T388),$U388,IF(C389="x",V388,"")))</f>
        <v/>
      </c>
      <c r="W389" t="str" cm="1">
        <f t="array" ref="W389">IFERROR(_xlfn._xlws.FILTER(game_rosters!AB:AB,(game_rosters!J:J=events!X389)*(K389&lt;&gt;"")),"")</f>
        <v/>
      </c>
      <c r="X389" t="str" cm="1">
        <f t="array" ref="X389">IF(S389="","",IF($I389&lt;&gt;"",$I389,INDEX($I$2:$I388,ROW()-COUNTIFS($T$2:$T388,"="&amp;$T389,$S$2:$S388,"&lt;&gt;"&amp;$S389)-1)))</f>
        <v/>
      </c>
      <c r="Y389" t="b">
        <f>IF(X389&lt;&gt;"",VLOOKUP(X389,game_rosters!$C$43:$E$64,3,FALSE))</f>
        <v>0</v>
      </c>
      <c r="Z389" t="e" cm="1" vm="1">
        <f t="array" aca="1" ref="Z389" ca="1">IFERROR(IF(_xlfn._xlws.FILTER(game_rosters!$J:$J,(game_rosters!$G:$G=events!$AN389)*(game_rosters!$J:$J=events!$X389))&gt;0,1,""),"")</f>
        <v>#VALUE!</v>
      </c>
      <c r="AA389" t="e">
        <f t="shared" si="80"/>
        <v>#VALUE!</v>
      </c>
      <c r="AB389" t="str">
        <f t="shared" si="81"/>
        <v/>
      </c>
      <c r="AC389" t="e">
        <f t="shared" si="79"/>
        <v>#VALUE!</v>
      </c>
      <c r="AD389" s="6"/>
      <c r="BJ389" s="39"/>
      <c r="BM389" s="39"/>
      <c r="BO389" s="19"/>
      <c r="BQ389" s="17"/>
    </row>
    <row r="390" spans="1:69" x14ac:dyDescent="0.2">
      <c r="A390" t="str">
        <f t="shared" si="82"/>
        <v/>
      </c>
      <c r="E390" s="4"/>
      <c r="F390" s="44"/>
      <c r="G390" s="4"/>
      <c r="H390" s="47"/>
      <c r="J390" s="45" t="str">
        <f t="shared" ref="J390:J453" si="83">IF(OR(K390="Goal",K390="Shot",L390="Zone_Entry",M390="Stoppage-Goal",M389="Stoppage-Goal"),"o",IF(OR(K390="Save",K390="Rebound",L390="Zone_Exit",M390="Stoppage-GoalieStoppage",M389="Stoppage-GoalieStoppage"),"d",IF(OR(L390="Faceoff_AfterGoal",L390="Faceoff_PeriodStart",698="Faceoff_GameStart",M389="Stoppage-Goal"),"n","")))</f>
        <v/>
      </c>
      <c r="N390" t="str">
        <f t="shared" si="78"/>
        <v/>
      </c>
      <c r="Q390" t="str">
        <f t="shared" si="77"/>
        <v/>
      </c>
      <c r="S390" t="str">
        <f>IF(A390=1,MAX(S$2:S389)+1,IF(OR(I390&lt;&gt;"",A390="x"),S389,""))</f>
        <v/>
      </c>
      <c r="T390" t="str">
        <f>IF(D390=1,MAX($T$2:$T389)+1,IF(S390=$S389,$S389,IF($D390="x",T389,IF($D389="x","",""))))</f>
        <v/>
      </c>
      <c r="U390" t="str">
        <f>IF(B390=1,MAX($U$2:$U389)+1,IF(AND($T390&lt;&gt;"",$T390=$T389),$U389,IF(B390="x",U389,"")))</f>
        <v/>
      </c>
      <c r="V390" t="str">
        <f>IF(C390=1,MAX($V$2:$V389)+1,IF(AND($T390&lt;&gt;"",$T390=$T389),$U389,IF(C390="x",V389,"")))</f>
        <v/>
      </c>
      <c r="W390" t="str" cm="1">
        <f t="array" ref="W390">IFERROR(_xlfn._xlws.FILTER(game_rosters!AB:AB,(game_rosters!J:J=events!X390)*(K390&lt;&gt;"")),"")</f>
        <v/>
      </c>
      <c r="X390" t="str" cm="1">
        <f t="array" ref="X390">IF(S390="","",IF($I390&lt;&gt;"",$I390,INDEX($I$2:$I389,ROW()-COUNTIFS($T$2:$T389,"="&amp;$T390,$S$2:$S389,"&lt;&gt;"&amp;$S390)-1)))</f>
        <v/>
      </c>
      <c r="Y390" t="b">
        <f>IF(X390&lt;&gt;"",VLOOKUP(X390,game_rosters!$C$43:$E$64,3,FALSE))</f>
        <v>0</v>
      </c>
      <c r="Z390" t="e" cm="1" vm="1">
        <f t="array" aca="1" ref="Z390" ca="1">IFERROR(IF(_xlfn._xlws.FILTER(game_rosters!$J:$J,(game_rosters!$G:$G=events!$AN390)*(game_rosters!$J:$J=events!$X390))&gt;0,1,""),"")</f>
        <v>#VALUE!</v>
      </c>
      <c r="AA390" t="e">
        <f t="shared" si="80"/>
        <v>#VALUE!</v>
      </c>
      <c r="AB390" t="str">
        <f t="shared" si="81"/>
        <v/>
      </c>
      <c r="AC390" t="e">
        <f t="shared" si="79"/>
        <v>#VALUE!</v>
      </c>
      <c r="AD390" s="6"/>
      <c r="BJ390" s="39"/>
      <c r="BM390" s="39"/>
      <c r="BO390" s="19"/>
      <c r="BQ390" s="17"/>
    </row>
    <row r="391" spans="1:69" x14ac:dyDescent="0.2">
      <c r="A391" t="str">
        <f t="shared" si="82"/>
        <v/>
      </c>
      <c r="E391" s="4"/>
      <c r="F391" s="44"/>
      <c r="G391" s="4"/>
      <c r="H391" s="47"/>
      <c r="J391" s="45" t="str">
        <f t="shared" si="83"/>
        <v/>
      </c>
      <c r="N391" t="str">
        <f t="shared" si="78"/>
        <v/>
      </c>
      <c r="Q391" t="str">
        <f t="shared" si="77"/>
        <v/>
      </c>
      <c r="S391" t="str">
        <f>IF(A391=1,MAX(S$2:S390)+1,IF(OR(I391&lt;&gt;"",A391="x"),S390,""))</f>
        <v/>
      </c>
      <c r="T391" t="str">
        <f>IF(D391=1,MAX($T$2:$T390)+1,IF(S391=$S390,$S390,IF($D391="x",T390,IF($D390="x","",""))))</f>
        <v/>
      </c>
      <c r="U391" t="str">
        <f>IF(B391=1,MAX($U$2:$U390)+1,IF(AND($T391&lt;&gt;"",$T391=$T390),$U390,IF(B391="x",U390,"")))</f>
        <v/>
      </c>
      <c r="V391" t="str">
        <f>IF(C391=1,MAX($V$2:$V390)+1,IF(AND($T391&lt;&gt;"",$T391=$T390),$U390,IF(C391="x",V390,"")))</f>
        <v/>
      </c>
      <c r="W391" t="str" cm="1">
        <f t="array" ref="W391">IFERROR(_xlfn._xlws.FILTER(game_rosters!AB:AB,(game_rosters!J:J=events!X391)*(K391&lt;&gt;"")),"")</f>
        <v/>
      </c>
      <c r="X391" t="str" cm="1">
        <f t="array" ref="X391">IF(S391="","",IF($I391&lt;&gt;"",$I391,INDEX($I$2:$I390,ROW()-COUNTIFS($T$2:$T390,"="&amp;$T391,$S$2:$S390,"&lt;&gt;"&amp;$S391)-1)))</f>
        <v/>
      </c>
      <c r="Y391" t="b">
        <f>IF(X391&lt;&gt;"",VLOOKUP(X391,game_rosters!$C$43:$E$64,3,FALSE))</f>
        <v>0</v>
      </c>
      <c r="Z391" t="e" cm="1" vm="1">
        <f t="array" aca="1" ref="Z391" ca="1">IFERROR(IF(_xlfn._xlws.FILTER(game_rosters!$J:$J,(game_rosters!$G:$G=events!$AN391)*(game_rosters!$J:$J=events!$X391))&gt;0,1,""),"")</f>
        <v>#VALUE!</v>
      </c>
      <c r="AA391" t="e">
        <f t="shared" si="80"/>
        <v>#VALUE!</v>
      </c>
      <c r="AB391" t="str">
        <f t="shared" si="81"/>
        <v/>
      </c>
      <c r="AC391" t="e">
        <f t="shared" si="79"/>
        <v>#VALUE!</v>
      </c>
      <c r="AD391" s="6"/>
      <c r="BJ391" s="39"/>
      <c r="BM391" s="39"/>
      <c r="BO391" s="19"/>
      <c r="BQ391" s="17"/>
    </row>
    <row r="392" spans="1:69" x14ac:dyDescent="0.2">
      <c r="A392" t="str">
        <f t="shared" si="82"/>
        <v/>
      </c>
      <c r="E392" s="4"/>
      <c r="F392" s="44"/>
      <c r="G392" s="4"/>
      <c r="H392" s="47"/>
      <c r="J392" s="45" t="str">
        <f t="shared" si="83"/>
        <v/>
      </c>
      <c r="N392" t="str">
        <f t="shared" si="78"/>
        <v/>
      </c>
      <c r="Q392" t="str">
        <f t="shared" si="77"/>
        <v/>
      </c>
      <c r="S392" t="str">
        <f>IF(A392=1,MAX(S$2:S391)+1,IF(OR(I392&lt;&gt;"",A392="x"),S391,""))</f>
        <v/>
      </c>
      <c r="T392" t="str">
        <f>IF(D392=1,MAX($T$2:$T391)+1,IF(S392=$S391,$S391,IF($D392="x",T391,IF($D391="x","",""))))</f>
        <v/>
      </c>
      <c r="U392" t="str">
        <f>IF(B392=1,MAX($U$2:$U391)+1,IF(AND($T392&lt;&gt;"",$T392=$T391),$U391,IF(B392="x",U391,"")))</f>
        <v/>
      </c>
      <c r="V392" t="str">
        <f>IF(C392=1,MAX($V$2:$V391)+1,IF(AND($T392&lt;&gt;"",$T392=$T391),$U391,IF(C392="x",V391,"")))</f>
        <v/>
      </c>
      <c r="W392" t="str" cm="1">
        <f t="array" ref="W392">IFERROR(_xlfn._xlws.FILTER(game_rosters!AB:AB,(game_rosters!J:J=events!X392)*(K392&lt;&gt;"")),"")</f>
        <v/>
      </c>
      <c r="X392" t="str" cm="1">
        <f t="array" ref="X392">IF(S392="","",IF($I392&lt;&gt;"",$I392,INDEX($I$2:$I391,ROW()-COUNTIFS($T$2:$T391,"="&amp;$T392,$S$2:$S391,"&lt;&gt;"&amp;$S392)-1)))</f>
        <v/>
      </c>
      <c r="Y392" t="b">
        <f>IF(X392&lt;&gt;"",VLOOKUP(X392,game_rosters!$C$43:$E$64,3,FALSE))</f>
        <v>0</v>
      </c>
      <c r="Z392" t="e" cm="1" vm="1">
        <f t="array" aca="1" ref="Z392" ca="1">IFERROR(IF(_xlfn._xlws.FILTER(game_rosters!$J:$J,(game_rosters!$G:$G=events!$AN392)*(game_rosters!$J:$J=events!$X392))&gt;0,1,""),"")</f>
        <v>#VALUE!</v>
      </c>
      <c r="AA392" t="e">
        <f t="shared" si="80"/>
        <v>#VALUE!</v>
      </c>
      <c r="AB392" t="str">
        <f t="shared" si="81"/>
        <v/>
      </c>
      <c r="AC392" t="e">
        <f t="shared" si="79"/>
        <v>#VALUE!</v>
      </c>
      <c r="AD392" s="6"/>
      <c r="BJ392" s="39"/>
      <c r="BM392" s="39"/>
      <c r="BO392" s="19"/>
      <c r="BQ392" s="17"/>
    </row>
    <row r="393" spans="1:69" x14ac:dyDescent="0.2">
      <c r="A393" t="str">
        <f t="shared" si="82"/>
        <v/>
      </c>
      <c r="E393" s="4"/>
      <c r="F393" s="44"/>
      <c r="G393" s="4"/>
      <c r="H393" s="47"/>
      <c r="J393" s="45" t="str">
        <f t="shared" si="83"/>
        <v/>
      </c>
      <c r="N393" t="str">
        <f t="shared" si="78"/>
        <v/>
      </c>
      <c r="Q393" t="str">
        <f t="shared" si="77"/>
        <v/>
      </c>
      <c r="S393" t="str">
        <f>IF(A393=1,MAX(S$2:S392)+1,IF(OR(I393&lt;&gt;"",A393="x"),S392,""))</f>
        <v/>
      </c>
      <c r="T393" t="str">
        <f>IF(D393=1,MAX($T$2:$T392)+1,IF(S393=$S392,$S392,IF($D393="x",T392,IF($D392="x","",""))))</f>
        <v/>
      </c>
      <c r="U393" t="str">
        <f>IF(B393=1,MAX($U$2:$U392)+1,IF(AND($T393&lt;&gt;"",$T393=$T392),$U392,IF(B393="x",U392,"")))</f>
        <v/>
      </c>
      <c r="V393" t="str">
        <f>IF(C393=1,MAX($V$2:$V392)+1,IF(AND($T393&lt;&gt;"",$T393=$T392),$U392,IF(C393="x",V392,"")))</f>
        <v/>
      </c>
      <c r="W393" t="str" cm="1">
        <f t="array" ref="W393">IFERROR(_xlfn._xlws.FILTER(game_rosters!AB:AB,(game_rosters!J:J=events!X393)*(K393&lt;&gt;"")),"")</f>
        <v/>
      </c>
      <c r="X393" t="str" cm="1">
        <f t="array" ref="X393">IF(S393="","",IF($I393&lt;&gt;"",$I393,INDEX($I$2:$I392,ROW()-COUNTIFS($T$2:$T392,"="&amp;$T393,$S$2:$S392,"&lt;&gt;"&amp;$S393)-1)))</f>
        <v/>
      </c>
      <c r="Y393" t="b">
        <f>IF(X393&lt;&gt;"",VLOOKUP(X393,game_rosters!$C$43:$E$64,3,FALSE))</f>
        <v>0</v>
      </c>
      <c r="Z393" t="e" cm="1" vm="1">
        <f t="array" aca="1" ref="Z393" ca="1">IFERROR(IF(_xlfn._xlws.FILTER(game_rosters!$J:$J,(game_rosters!$G:$G=events!$AN393)*(game_rosters!$J:$J=events!$X393))&gt;0,1,""),"")</f>
        <v>#VALUE!</v>
      </c>
      <c r="AA393" t="e">
        <f t="shared" si="80"/>
        <v>#VALUE!</v>
      </c>
      <c r="AB393" t="str">
        <f t="shared" si="81"/>
        <v/>
      </c>
      <c r="AC393" t="e">
        <f t="shared" si="79"/>
        <v>#VALUE!</v>
      </c>
      <c r="AD393" s="6"/>
      <c r="BJ393" s="39"/>
      <c r="BM393" s="39"/>
      <c r="BO393" s="19"/>
      <c r="BQ393" s="17"/>
    </row>
    <row r="394" spans="1:69" x14ac:dyDescent="0.2">
      <c r="A394" t="str">
        <f t="shared" si="82"/>
        <v/>
      </c>
      <c r="E394" s="4"/>
      <c r="F394" s="44"/>
      <c r="G394" s="4"/>
      <c r="H394" s="47"/>
      <c r="J394" s="45" t="str">
        <f t="shared" si="83"/>
        <v/>
      </c>
      <c r="N394" t="str">
        <f t="shared" si="78"/>
        <v/>
      </c>
      <c r="Q394" t="str">
        <f t="shared" si="77"/>
        <v/>
      </c>
      <c r="S394" t="str">
        <f>IF(A394=1,MAX(S$2:S393)+1,IF(OR(I394&lt;&gt;"",A394="x"),S393,""))</f>
        <v/>
      </c>
      <c r="T394" t="str">
        <f>IF(D394=1,MAX($T$2:$T393)+1,IF(S394=$S393,$S393,IF($D394="x",T393,IF($D393="x","",""))))</f>
        <v/>
      </c>
      <c r="U394" t="str">
        <f>IF(B394=1,MAX($U$2:$U393)+1,IF(AND($T394&lt;&gt;"",$T394=$T393),$U393,IF(B394="x",U393,"")))</f>
        <v/>
      </c>
      <c r="V394" t="str">
        <f>IF(C394=1,MAX($V$2:$V393)+1,IF(AND($T394&lt;&gt;"",$T394=$T393),$U393,IF(C394="x",V393,"")))</f>
        <v/>
      </c>
      <c r="W394" t="str" cm="1">
        <f t="array" ref="W394">IFERROR(_xlfn._xlws.FILTER(game_rosters!AB:AB,(game_rosters!J:J=events!X394)*(K394&lt;&gt;"")),"")</f>
        <v/>
      </c>
      <c r="X394" t="str" cm="1">
        <f t="array" ref="X394">IF(S394="","",IF($I394&lt;&gt;"",$I394,INDEX($I$2:$I393,ROW()-COUNTIFS($T$2:$T393,"="&amp;$T394,$S$2:$S393,"&lt;&gt;"&amp;$S394)-1)))</f>
        <v/>
      </c>
      <c r="Y394" t="b">
        <f>IF(X394&lt;&gt;"",VLOOKUP(X394,game_rosters!$C$43:$E$64,3,FALSE))</f>
        <v>0</v>
      </c>
      <c r="Z394" t="e" cm="1" vm="1">
        <f t="array" aca="1" ref="Z394" ca="1">IFERROR(IF(_xlfn._xlws.FILTER(game_rosters!$J:$J,(game_rosters!$G:$G=events!$AN394)*(game_rosters!$J:$J=events!$X394))&gt;0,1,""),"")</f>
        <v>#VALUE!</v>
      </c>
      <c r="AA394" t="e">
        <f t="shared" si="80"/>
        <v>#VALUE!</v>
      </c>
      <c r="AB394" t="str">
        <f t="shared" si="81"/>
        <v/>
      </c>
      <c r="AC394" t="e">
        <f t="shared" si="79"/>
        <v>#VALUE!</v>
      </c>
      <c r="AD394" s="6"/>
      <c r="BJ394" s="39"/>
      <c r="BM394" s="39"/>
      <c r="BO394" s="19"/>
      <c r="BQ394" s="17"/>
    </row>
    <row r="395" spans="1:69" x14ac:dyDescent="0.2">
      <c r="A395" t="str">
        <f t="shared" si="82"/>
        <v/>
      </c>
      <c r="E395" s="4"/>
      <c r="F395" s="44"/>
      <c r="G395" s="4"/>
      <c r="H395" s="47"/>
      <c r="J395" s="45" t="str">
        <f t="shared" si="83"/>
        <v/>
      </c>
      <c r="N395" t="str">
        <f t="shared" si="78"/>
        <v/>
      </c>
      <c r="Q395" t="str">
        <f t="shared" si="77"/>
        <v/>
      </c>
      <c r="S395" t="str">
        <f>IF(A395=1,MAX(S$2:S394)+1,IF(OR(I395&lt;&gt;"",A395="x"),S394,""))</f>
        <v/>
      </c>
      <c r="T395" t="str">
        <f>IF(D395=1,MAX($T$2:$T394)+1,IF(S395=$S394,$S394,IF($D395="x",T394,IF($D394="x","",""))))</f>
        <v/>
      </c>
      <c r="U395" t="str">
        <f>IF(B395=1,MAX($U$2:$U394)+1,IF(AND($T395&lt;&gt;"",$T395=$T394),$U394,IF(B395="x",U394,"")))</f>
        <v/>
      </c>
      <c r="V395" t="str">
        <f>IF(C395=1,MAX($V$2:$V394)+1,IF(AND($T395&lt;&gt;"",$T395=$T394),$U394,IF(C395="x",V394,"")))</f>
        <v/>
      </c>
      <c r="W395" t="str" cm="1">
        <f t="array" ref="W395">IFERROR(_xlfn._xlws.FILTER(game_rosters!AB:AB,(game_rosters!J:J=events!X395)*(K395&lt;&gt;"")),"")</f>
        <v/>
      </c>
      <c r="X395" t="str" cm="1">
        <f t="array" ref="X395">IF(S395="","",IF($I395&lt;&gt;"",$I395,INDEX($I$2:$I394,ROW()-COUNTIFS($T$2:$T394,"="&amp;$T395,$S$2:$S394,"&lt;&gt;"&amp;$S395)-1)))</f>
        <v/>
      </c>
      <c r="Y395" t="b">
        <f>IF(X395&lt;&gt;"",VLOOKUP(X395,game_rosters!$C$43:$E$64,3,FALSE))</f>
        <v>0</v>
      </c>
      <c r="Z395" t="e" cm="1" vm="1">
        <f t="array" aca="1" ref="Z395" ca="1">IFERROR(IF(_xlfn._xlws.FILTER(game_rosters!$J:$J,(game_rosters!$G:$G=events!$AN395)*(game_rosters!$J:$J=events!$X395))&gt;0,1,""),"")</f>
        <v>#VALUE!</v>
      </c>
      <c r="AA395" t="e">
        <f t="shared" si="80"/>
        <v>#VALUE!</v>
      </c>
      <c r="AB395" t="str">
        <f t="shared" si="81"/>
        <v/>
      </c>
      <c r="AC395" t="e">
        <f t="shared" si="79"/>
        <v>#VALUE!</v>
      </c>
      <c r="AD395" s="6"/>
      <c r="BJ395" s="39"/>
      <c r="BM395" s="39"/>
      <c r="BO395" s="19"/>
      <c r="BQ395" s="17"/>
    </row>
    <row r="396" spans="1:69" x14ac:dyDescent="0.2">
      <c r="A396" t="str">
        <f t="shared" si="82"/>
        <v/>
      </c>
      <c r="E396" s="4"/>
      <c r="F396" s="44"/>
      <c r="G396" s="4"/>
      <c r="H396" s="47"/>
      <c r="J396" s="45" t="str">
        <f t="shared" si="83"/>
        <v/>
      </c>
      <c r="N396" t="str">
        <f t="shared" si="78"/>
        <v/>
      </c>
      <c r="Q396" t="str">
        <f t="shared" si="77"/>
        <v/>
      </c>
      <c r="S396" t="str">
        <f>IF(A396=1,MAX(S$2:S395)+1,IF(OR(I396&lt;&gt;"",A396="x"),S395,""))</f>
        <v/>
      </c>
      <c r="T396" t="str">
        <f>IF(D396=1,MAX($T$2:$T395)+1,IF(S396=$S395,$S395,IF($D396="x",T395,IF($D395="x","",""))))</f>
        <v/>
      </c>
      <c r="U396" t="str">
        <f>IF(B396=1,MAX($U$2:$U395)+1,IF(AND($T396&lt;&gt;"",$T396=$T395),$U395,IF(B396="x",U395,"")))</f>
        <v/>
      </c>
      <c r="V396" t="str">
        <f>IF(C396=1,MAX($V$2:$V395)+1,IF(AND($T396&lt;&gt;"",$T396=$T395),$U395,IF(C396="x",V395,"")))</f>
        <v/>
      </c>
      <c r="W396" t="str" cm="1">
        <f t="array" ref="W396">IFERROR(_xlfn._xlws.FILTER(game_rosters!AB:AB,(game_rosters!J:J=events!X396)*(K396&lt;&gt;"")),"")</f>
        <v/>
      </c>
      <c r="X396" t="str" cm="1">
        <f t="array" ref="X396">IF(S396="","",IF($I396&lt;&gt;"",$I396,INDEX($I$2:$I395,ROW()-COUNTIFS($T$2:$T395,"="&amp;$T396,$S$2:$S395,"&lt;&gt;"&amp;$S396)-1)))</f>
        <v/>
      </c>
      <c r="Y396" t="b">
        <f>IF(X396&lt;&gt;"",VLOOKUP(X396,game_rosters!$C$43:$E$64,3,FALSE))</f>
        <v>0</v>
      </c>
      <c r="Z396" t="e" cm="1" vm="1">
        <f t="array" aca="1" ref="Z396" ca="1">IFERROR(IF(_xlfn._xlws.FILTER(game_rosters!$J:$J,(game_rosters!$G:$G=events!$AN396)*(game_rosters!$J:$J=events!$X396))&gt;0,1,""),"")</f>
        <v>#VALUE!</v>
      </c>
      <c r="AA396" t="e">
        <f t="shared" si="80"/>
        <v>#VALUE!</v>
      </c>
      <c r="AB396" t="str">
        <f t="shared" si="81"/>
        <v/>
      </c>
      <c r="AC396" t="e">
        <f t="shared" si="79"/>
        <v>#VALUE!</v>
      </c>
      <c r="AD396" s="6"/>
      <c r="BJ396" s="39"/>
      <c r="BM396" s="39"/>
      <c r="BO396" s="19"/>
      <c r="BQ396" s="17"/>
    </row>
    <row r="397" spans="1:69" x14ac:dyDescent="0.2">
      <c r="A397" t="str">
        <f t="shared" si="82"/>
        <v/>
      </c>
      <c r="E397" s="4"/>
      <c r="F397" s="44"/>
      <c r="G397" s="4"/>
      <c r="H397" s="47"/>
      <c r="J397" s="45" t="str">
        <f t="shared" si="83"/>
        <v/>
      </c>
      <c r="N397" t="str">
        <f t="shared" si="78"/>
        <v/>
      </c>
      <c r="Q397" t="str">
        <f t="shared" si="77"/>
        <v/>
      </c>
      <c r="S397" t="str">
        <f>IF(A397=1,MAX(S$2:S396)+1,IF(OR(I397&lt;&gt;"",A397="x"),S396,""))</f>
        <v/>
      </c>
      <c r="T397" t="str">
        <f>IF(D397=1,MAX($T$2:$T396)+1,IF(S397=$S396,$S396,IF($D397="x",T396,IF($D396="x","",""))))</f>
        <v/>
      </c>
      <c r="U397" t="str">
        <f>IF(B397=1,MAX($U$2:$U396)+1,IF(AND($T397&lt;&gt;"",$T397=$T396),$U396,IF(B397="x",U396,"")))</f>
        <v/>
      </c>
      <c r="V397" t="str">
        <f>IF(C397=1,MAX($V$2:$V396)+1,IF(AND($T397&lt;&gt;"",$T397=$T396),$U396,IF(C397="x",V396,"")))</f>
        <v/>
      </c>
      <c r="W397" t="str" cm="1">
        <f t="array" ref="W397">IFERROR(_xlfn._xlws.FILTER(game_rosters!AB:AB,(game_rosters!J:J=events!X397)*(K397&lt;&gt;"")),"")</f>
        <v/>
      </c>
      <c r="X397" t="str" cm="1">
        <f t="array" ref="X397">IF(S397="","",IF($I397&lt;&gt;"",$I397,INDEX($I$2:$I396,ROW()-COUNTIFS($T$2:$T396,"="&amp;$T397,$S$2:$S396,"&lt;&gt;"&amp;$S397)-1)))</f>
        <v/>
      </c>
      <c r="Y397" t="b">
        <f>IF(X397&lt;&gt;"",VLOOKUP(X397,game_rosters!$C$43:$E$64,3,FALSE))</f>
        <v>0</v>
      </c>
      <c r="Z397" t="e" cm="1" vm="1">
        <f t="array" aca="1" ref="Z397" ca="1">IFERROR(IF(_xlfn._xlws.FILTER(game_rosters!$J:$J,(game_rosters!$G:$G=events!$AN397)*(game_rosters!$J:$J=events!$X397))&gt;0,1,""),"")</f>
        <v>#VALUE!</v>
      </c>
      <c r="AA397" t="e">
        <f t="shared" si="80"/>
        <v>#VALUE!</v>
      </c>
      <c r="AB397" t="str">
        <f t="shared" si="81"/>
        <v/>
      </c>
      <c r="AC397" t="e">
        <f t="shared" si="79"/>
        <v>#VALUE!</v>
      </c>
      <c r="AD397" s="6"/>
      <c r="BJ397" s="39"/>
      <c r="BM397" s="39"/>
      <c r="BO397" s="19"/>
      <c r="BQ397" s="17"/>
    </row>
    <row r="398" spans="1:69" x14ac:dyDescent="0.2">
      <c r="A398" t="str">
        <f t="shared" si="82"/>
        <v/>
      </c>
      <c r="E398" s="4"/>
      <c r="F398" s="44"/>
      <c r="G398" s="4"/>
      <c r="H398" s="47"/>
      <c r="J398" s="45" t="str">
        <f t="shared" si="83"/>
        <v/>
      </c>
      <c r="N398" t="str">
        <f t="shared" si="78"/>
        <v/>
      </c>
      <c r="Q398" t="str">
        <f t="shared" si="77"/>
        <v/>
      </c>
      <c r="S398" t="str">
        <f>IF(A398=1,MAX(S$2:S397)+1,IF(OR(I398&lt;&gt;"",A398="x"),S397,""))</f>
        <v/>
      </c>
      <c r="T398" t="str">
        <f>IF(D398=1,MAX($T$2:$T397)+1,IF(S398=$S397,$S397,IF($D398="x",T397,IF($D397="x","",""))))</f>
        <v/>
      </c>
      <c r="U398" t="str">
        <f>IF(B398=1,MAX($U$2:$U397)+1,IF(AND($T398&lt;&gt;"",$T398=$T397),$U397,IF(B398="x",U397,"")))</f>
        <v/>
      </c>
      <c r="V398" t="str">
        <f>IF(C398=1,MAX($V$2:$V397)+1,IF(AND($T398&lt;&gt;"",$T398=$T397),$U397,IF(C398="x",V397,"")))</f>
        <v/>
      </c>
      <c r="W398" t="str" cm="1">
        <f t="array" ref="W398">IFERROR(_xlfn._xlws.FILTER(game_rosters!AB:AB,(game_rosters!J:J=events!X398)*(K398&lt;&gt;"")),"")</f>
        <v/>
      </c>
      <c r="X398" t="str" cm="1">
        <f t="array" ref="X398">IF(S398="","",IF($I398&lt;&gt;"",$I398,INDEX($I$2:$I397,ROW()-COUNTIFS($T$2:$T397,"="&amp;$T398,$S$2:$S397,"&lt;&gt;"&amp;$S398)-1)))</f>
        <v/>
      </c>
      <c r="Y398" t="b">
        <f>IF(X398&lt;&gt;"",VLOOKUP(X398,game_rosters!$C$43:$E$64,3,FALSE))</f>
        <v>0</v>
      </c>
      <c r="Z398" t="e" cm="1" vm="1">
        <f t="array" aca="1" ref="Z398" ca="1">IFERROR(IF(_xlfn._xlws.FILTER(game_rosters!$J:$J,(game_rosters!$G:$G=events!$AN398)*(game_rosters!$J:$J=events!$X398))&gt;0,1,""),"")</f>
        <v>#VALUE!</v>
      </c>
      <c r="AA398" t="e">
        <f t="shared" si="80"/>
        <v>#VALUE!</v>
      </c>
      <c r="AB398" t="str">
        <f t="shared" si="81"/>
        <v/>
      </c>
      <c r="AC398" t="e">
        <f t="shared" si="79"/>
        <v>#VALUE!</v>
      </c>
      <c r="AD398" s="6"/>
      <c r="BJ398" s="39"/>
      <c r="BM398" s="39"/>
      <c r="BO398" s="19"/>
      <c r="BQ398" s="17"/>
    </row>
    <row r="399" spans="1:69" x14ac:dyDescent="0.2">
      <c r="A399" t="str">
        <f t="shared" si="82"/>
        <v/>
      </c>
      <c r="E399" s="4"/>
      <c r="F399" s="44"/>
      <c r="G399" s="4"/>
      <c r="H399" s="47"/>
      <c r="J399" s="45" t="str">
        <f t="shared" si="83"/>
        <v/>
      </c>
      <c r="N399" t="str">
        <f t="shared" si="78"/>
        <v/>
      </c>
      <c r="Q399" t="str">
        <f t="shared" si="77"/>
        <v/>
      </c>
      <c r="S399" t="str">
        <f>IF(A399=1,MAX(S$2:S398)+1,IF(OR(I399&lt;&gt;"",A399="x"),S398,""))</f>
        <v/>
      </c>
      <c r="T399" t="str">
        <f>IF(D399=1,MAX($T$2:$T398)+1,IF(S399=$S398,$S398,IF($D399="x",T398,IF($D398="x","",""))))</f>
        <v/>
      </c>
      <c r="U399" t="str">
        <f>IF(B399=1,MAX($U$2:$U398)+1,IF(AND($T399&lt;&gt;"",$T399=$T398),$U398,IF(B399="x",U398,"")))</f>
        <v/>
      </c>
      <c r="V399" t="str">
        <f>IF(C399=1,MAX($V$2:$V398)+1,IF(AND($T399&lt;&gt;"",$T399=$T398),$U398,IF(C399="x",V398,"")))</f>
        <v/>
      </c>
      <c r="W399" t="str" cm="1">
        <f t="array" ref="W399">IFERROR(_xlfn._xlws.FILTER(game_rosters!AB:AB,(game_rosters!J:J=events!X399)*(K399&lt;&gt;"")),"")</f>
        <v/>
      </c>
      <c r="X399" t="str" cm="1">
        <f t="array" ref="X399">IF(S399="","",IF($I399&lt;&gt;"",$I399,INDEX($I$2:$I398,ROW()-COUNTIFS($T$2:$T398,"="&amp;$T399,$S$2:$S398,"&lt;&gt;"&amp;$S399)-1)))</f>
        <v/>
      </c>
      <c r="Y399" t="b">
        <f>IF(X399&lt;&gt;"",VLOOKUP(X399,game_rosters!$C$43:$E$64,3,FALSE))</f>
        <v>0</v>
      </c>
      <c r="Z399" t="e" cm="1" vm="1">
        <f t="array" aca="1" ref="Z399" ca="1">IFERROR(IF(_xlfn._xlws.FILTER(game_rosters!$J:$J,(game_rosters!$G:$G=events!$AN399)*(game_rosters!$J:$J=events!$X399))&gt;0,1,""),"")</f>
        <v>#VALUE!</v>
      </c>
      <c r="AA399" t="e">
        <f t="shared" si="80"/>
        <v>#VALUE!</v>
      </c>
      <c r="AB399" t="str">
        <f t="shared" si="81"/>
        <v/>
      </c>
      <c r="AC399" t="e">
        <f t="shared" si="79"/>
        <v>#VALUE!</v>
      </c>
      <c r="AD399" s="6"/>
      <c r="BJ399" s="39"/>
      <c r="BM399" s="39"/>
      <c r="BO399" s="19"/>
      <c r="BQ399" s="17"/>
    </row>
    <row r="400" spans="1:69" x14ac:dyDescent="0.2">
      <c r="A400" t="str">
        <f t="shared" si="82"/>
        <v/>
      </c>
      <c r="E400" s="4"/>
      <c r="F400" s="44"/>
      <c r="G400" s="4"/>
      <c r="H400" s="47"/>
      <c r="J400" s="45" t="str">
        <f t="shared" si="83"/>
        <v/>
      </c>
      <c r="N400" t="str">
        <f t="shared" si="78"/>
        <v/>
      </c>
      <c r="Q400" t="str">
        <f t="shared" ref="Q400:Q463" si="84">IF(O400="","",IF(AND(N400&lt;&gt;"",OR(O400&lt;&gt;"",P400&lt;&gt;"")),N400,IF(OR(ISNUMBER(SEARCH("attemp",O400)),ISNUMBER(SEARCH("beat",O400)),ISNUMBER(SEARCH("mis",O400)),ISNUMBER(SEARCH("fail",O400)),ISNUMBER(SEARCH("loss",O400)),ISNUMBER(SEARCH("lost",O400)),ISNUMBER(SEARCH("attemp",P400)),ISNUMBER(SEARCH("mis",P400)),ISNUMBER(SEARCH("fail",P400)),ISNUMBER(SEARCH("loss",P400)),ISNUMBER(SEARCH("beat",P400)),ISNUMBER(SEARCH("lost",P400))),"u","")))</f>
        <v/>
      </c>
      <c r="S400" t="str">
        <f>IF(A400=1,MAX(S$2:S399)+1,IF(OR(I400&lt;&gt;"",A400="x"),S399,""))</f>
        <v/>
      </c>
      <c r="T400" t="str">
        <f>IF(D400=1,MAX($T$2:$T399)+1,IF(S400=$S399,$S399,IF($D400="x",T399,IF($D399="x","",""))))</f>
        <v/>
      </c>
      <c r="U400" t="str">
        <f>IF(B400=1,MAX($U$2:$U399)+1,IF(AND($T400&lt;&gt;"",$T400=$T399),$U399,IF(B400="x",U399,"")))</f>
        <v/>
      </c>
      <c r="V400" t="str">
        <f>IF(C400=1,MAX($V$2:$V399)+1,IF(AND($T400&lt;&gt;"",$T400=$T399),$U399,IF(C400="x",V399,"")))</f>
        <v/>
      </c>
      <c r="W400" t="str" cm="1">
        <f t="array" ref="W400">IFERROR(_xlfn._xlws.FILTER(game_rosters!AB:AB,(game_rosters!J:J=events!X400)*(K400&lt;&gt;"")),"")</f>
        <v/>
      </c>
      <c r="X400" t="str" cm="1">
        <f t="array" ref="X400">IF(S400="","",IF($I400&lt;&gt;"",$I400,INDEX($I$2:$I399,ROW()-COUNTIFS($T$2:$T399,"="&amp;$T400,$S$2:$S399,"&lt;&gt;"&amp;$S400)-1)))</f>
        <v/>
      </c>
      <c r="Y400" t="b">
        <f>IF(X400&lt;&gt;"",VLOOKUP(X400,game_rosters!$C$43:$E$64,3,FALSE))</f>
        <v>0</v>
      </c>
      <c r="Z400" t="e" cm="1" vm="1">
        <f t="array" aca="1" ref="Z400" ca="1">IFERROR(IF(_xlfn._xlws.FILTER(game_rosters!$J:$J,(game_rosters!$G:$G=events!$AN400)*(game_rosters!$J:$J=events!$X400))&gt;0,1,""),"")</f>
        <v>#VALUE!</v>
      </c>
      <c r="AA400" t="e">
        <f t="shared" si="80"/>
        <v>#VALUE!</v>
      </c>
      <c r="AB400" t="str">
        <f t="shared" si="81"/>
        <v/>
      </c>
      <c r="AC400" t="e">
        <f t="shared" si="79"/>
        <v>#VALUE!</v>
      </c>
      <c r="AD400" s="6"/>
      <c r="BJ400" s="39"/>
      <c r="BM400" s="39"/>
      <c r="BO400" s="19"/>
      <c r="BQ400" s="17"/>
    </row>
    <row r="401" spans="1:69" x14ac:dyDescent="0.2">
      <c r="A401" t="str">
        <f t="shared" si="82"/>
        <v/>
      </c>
      <c r="E401" s="4"/>
      <c r="F401" s="44"/>
      <c r="G401" s="4"/>
      <c r="H401" s="47"/>
      <c r="J401" s="45" t="str">
        <f t="shared" si="83"/>
        <v/>
      </c>
      <c r="N401" t="str">
        <f t="shared" si="78"/>
        <v/>
      </c>
      <c r="Q401" t="str">
        <f t="shared" si="84"/>
        <v/>
      </c>
      <c r="S401" t="str">
        <f>IF(A401=1,MAX(S$2:S400)+1,IF(OR(I401&lt;&gt;"",A401="x"),S400,""))</f>
        <v/>
      </c>
      <c r="T401" t="str">
        <f>IF(D401=1,MAX($T$2:$T400)+1,IF(S401=$S400,$S400,IF($D401="x",T400,IF($D400="x","",""))))</f>
        <v/>
      </c>
      <c r="U401" t="str">
        <f>IF(B401=1,MAX($U$2:$U400)+1,IF(AND($T401&lt;&gt;"",$T401=$T400),$U400,IF(B401="x",U400,"")))</f>
        <v/>
      </c>
      <c r="V401" t="str">
        <f>IF(C401=1,MAX($V$2:$V400)+1,IF(AND($T401&lt;&gt;"",$T401=$T400),$U400,IF(C401="x",V400,"")))</f>
        <v/>
      </c>
      <c r="W401" t="str" cm="1">
        <f t="array" ref="W401">IFERROR(_xlfn._xlws.FILTER(game_rosters!AB:AB,(game_rosters!J:J=events!X401)*(K401&lt;&gt;"")),"")</f>
        <v/>
      </c>
      <c r="X401" t="str" cm="1">
        <f t="array" ref="X401">IF(S401="","",IF($I401&lt;&gt;"",$I401,INDEX($I$2:$I400,ROW()-COUNTIFS($T$2:$T400,"="&amp;$T401,$S$2:$S400,"&lt;&gt;"&amp;$S401)-1)))</f>
        <v/>
      </c>
      <c r="Y401" t="b">
        <f>IF(X401&lt;&gt;"",VLOOKUP(X401,game_rosters!$C$43:$E$64,3,FALSE))</f>
        <v>0</v>
      </c>
      <c r="Z401" t="e" cm="1" vm="1">
        <f t="array" aca="1" ref="Z401" ca="1">IFERROR(IF(_xlfn._xlws.FILTER(game_rosters!$J:$J,(game_rosters!$G:$G=events!$AN401)*(game_rosters!$J:$J=events!$X401))&gt;0,1,""),"")</f>
        <v>#VALUE!</v>
      </c>
      <c r="AA401" t="e">
        <f t="shared" si="80"/>
        <v>#VALUE!</v>
      </c>
      <c r="AB401" t="str">
        <f t="shared" si="81"/>
        <v/>
      </c>
      <c r="AC401" t="e">
        <f t="shared" si="79"/>
        <v>#VALUE!</v>
      </c>
      <c r="AD401" s="6"/>
      <c r="BJ401" s="39"/>
      <c r="BM401" s="39"/>
      <c r="BO401" s="19"/>
      <c r="BQ401" s="17"/>
    </row>
    <row r="402" spans="1:69" x14ac:dyDescent="0.2">
      <c r="A402" t="str">
        <f t="shared" si="82"/>
        <v/>
      </c>
      <c r="E402" s="4"/>
      <c r="F402" s="44"/>
      <c r="G402" s="4"/>
      <c r="H402" s="47"/>
      <c r="J402" s="45" t="str">
        <f t="shared" si="83"/>
        <v/>
      </c>
      <c r="N402" t="str">
        <f t="shared" si="78"/>
        <v/>
      </c>
      <c r="Q402" t="str">
        <f t="shared" si="84"/>
        <v/>
      </c>
      <c r="S402" t="str">
        <f>IF(A402=1,MAX(S$2:S401)+1,IF(OR(I402&lt;&gt;"",A402="x"),S401,""))</f>
        <v/>
      </c>
      <c r="T402" t="str">
        <f>IF(D402=1,MAX($T$2:$T401)+1,IF(S402=$S401,$S401,IF($D402="x",T401,IF($D401="x","",""))))</f>
        <v/>
      </c>
      <c r="U402" t="str">
        <f>IF(B402=1,MAX($U$2:$U401)+1,IF(AND($T402&lt;&gt;"",$T402=$T401),$U401,IF(B402="x",U401,"")))</f>
        <v/>
      </c>
      <c r="V402" t="str">
        <f>IF(C402=1,MAX($V$2:$V401)+1,IF(AND($T402&lt;&gt;"",$T402=$T401),$U401,IF(C402="x",V401,"")))</f>
        <v/>
      </c>
      <c r="W402" t="str" cm="1">
        <f t="array" ref="W402">IFERROR(_xlfn._xlws.FILTER(game_rosters!AB:AB,(game_rosters!J:J=events!X402)*(K402&lt;&gt;"")),"")</f>
        <v/>
      </c>
      <c r="X402" t="str" cm="1">
        <f t="array" ref="X402">IF(S402="","",IF($I402&lt;&gt;"",$I402,INDEX($I$2:$I401,ROW()-COUNTIFS($T$2:$T401,"="&amp;$T402,$S$2:$S401,"&lt;&gt;"&amp;$S402)-1)))</f>
        <v/>
      </c>
      <c r="Y402" t="b">
        <f>IF(X402&lt;&gt;"",VLOOKUP(X402,game_rosters!$C$43:$E$64,3,FALSE))</f>
        <v>0</v>
      </c>
      <c r="Z402" t="e" cm="1" vm="1">
        <f t="array" aca="1" ref="Z402" ca="1">IFERROR(IF(_xlfn._xlws.FILTER(game_rosters!$J:$J,(game_rosters!$G:$G=events!$AN402)*(game_rosters!$J:$J=events!$X402))&gt;0,1,""),"")</f>
        <v>#VALUE!</v>
      </c>
      <c r="AA402" t="e">
        <f t="shared" si="80"/>
        <v>#VALUE!</v>
      </c>
      <c r="AB402" t="str">
        <f t="shared" si="81"/>
        <v/>
      </c>
      <c r="AC402" t="e">
        <f t="shared" si="79"/>
        <v>#VALUE!</v>
      </c>
      <c r="AD402" s="6"/>
      <c r="BJ402" s="39"/>
      <c r="BM402" s="39"/>
      <c r="BO402" s="19"/>
      <c r="BQ402" s="17"/>
    </row>
    <row r="403" spans="1:69" x14ac:dyDescent="0.2">
      <c r="A403" t="str">
        <f t="shared" si="82"/>
        <v/>
      </c>
      <c r="E403" s="4"/>
      <c r="F403" s="44"/>
      <c r="G403" s="4"/>
      <c r="H403" s="47"/>
      <c r="J403" s="45" t="str">
        <f t="shared" si="83"/>
        <v/>
      </c>
      <c r="N403" t="str">
        <f t="shared" si="78"/>
        <v/>
      </c>
      <c r="Q403" t="str">
        <f t="shared" si="84"/>
        <v/>
      </c>
      <c r="S403" t="str">
        <f>IF(A403=1,MAX(S$2:S402)+1,IF(OR(I403&lt;&gt;"",A403="x"),S402,""))</f>
        <v/>
      </c>
      <c r="T403" t="str">
        <f>IF(D403=1,MAX($T$2:$T402)+1,IF(S403=$S402,$S402,IF($D403="x",T402,IF($D402="x","",""))))</f>
        <v/>
      </c>
      <c r="U403" t="str">
        <f>IF(B403=1,MAX($U$2:$U402)+1,IF(AND($T403&lt;&gt;"",$T403=$T402),$U402,IF(B403="x",U402,"")))</f>
        <v/>
      </c>
      <c r="V403" t="str">
        <f>IF(C403=1,MAX($V$2:$V402)+1,IF(AND($T403&lt;&gt;"",$T403=$T402),$U402,IF(C403="x",V402,"")))</f>
        <v/>
      </c>
      <c r="W403" t="str" cm="1">
        <f t="array" ref="W403">IFERROR(_xlfn._xlws.FILTER(game_rosters!AB:AB,(game_rosters!J:J=events!X403)*(K403&lt;&gt;"")),"")</f>
        <v/>
      </c>
      <c r="X403" t="str" cm="1">
        <f t="array" ref="X403">IF(S403="","",IF($I403&lt;&gt;"",$I403,INDEX($I$2:$I402,ROW()-COUNTIFS($T$2:$T402,"="&amp;$T403,$S$2:$S402,"&lt;&gt;"&amp;$S403)-1)))</f>
        <v/>
      </c>
      <c r="Y403" t="b">
        <f>IF(X403&lt;&gt;"",VLOOKUP(X403,game_rosters!$C$43:$E$64,3,FALSE))</f>
        <v>0</v>
      </c>
      <c r="Z403" t="e" cm="1" vm="1">
        <f t="array" aca="1" ref="Z403" ca="1">IFERROR(IF(_xlfn._xlws.FILTER(game_rosters!$J:$J,(game_rosters!$G:$G=events!$AN403)*(game_rosters!$J:$J=events!$X403))&gt;0,1,""),"")</f>
        <v>#VALUE!</v>
      </c>
      <c r="AA403" t="e">
        <f t="shared" si="80"/>
        <v>#VALUE!</v>
      </c>
      <c r="AB403" t="str">
        <f t="shared" si="81"/>
        <v/>
      </c>
      <c r="AC403" t="e">
        <f t="shared" si="79"/>
        <v>#VALUE!</v>
      </c>
      <c r="AD403" s="6"/>
      <c r="BJ403" s="39"/>
      <c r="BM403" s="39"/>
      <c r="BO403" s="19"/>
      <c r="BQ403" s="17"/>
    </row>
    <row r="404" spans="1:69" x14ac:dyDescent="0.2">
      <c r="A404" t="str">
        <f t="shared" si="82"/>
        <v/>
      </c>
      <c r="E404" s="4"/>
      <c r="F404" s="44"/>
      <c r="G404" s="4"/>
      <c r="H404" s="47"/>
      <c r="J404" s="45" t="str">
        <f t="shared" si="83"/>
        <v/>
      </c>
      <c r="N404" t="str">
        <f t="shared" si="78"/>
        <v/>
      </c>
      <c r="Q404" t="str">
        <f t="shared" si="84"/>
        <v/>
      </c>
      <c r="S404" t="str">
        <f>IF(A404=1,MAX(S$2:S403)+1,IF(OR(I404&lt;&gt;"",A404="x"),S403,""))</f>
        <v/>
      </c>
      <c r="T404" t="str">
        <f>IF(D404=1,MAX($T$2:$T403)+1,IF(S404=$S403,$S403,IF($D404="x",T403,IF($D403="x","",""))))</f>
        <v/>
      </c>
      <c r="U404" t="str">
        <f>IF(B404=1,MAX($U$2:$U403)+1,IF(AND($T404&lt;&gt;"",$T404=$T403),$U403,IF(B404="x",U403,"")))</f>
        <v/>
      </c>
      <c r="V404" t="str">
        <f>IF(C404=1,MAX($V$2:$V403)+1,IF(AND($T404&lt;&gt;"",$T404=$T403),$U403,IF(C404="x",V403,"")))</f>
        <v/>
      </c>
      <c r="W404" t="str" cm="1">
        <f t="array" ref="W404">IFERROR(_xlfn._xlws.FILTER(game_rosters!AB:AB,(game_rosters!J:J=events!X404)*(K404&lt;&gt;"")),"")</f>
        <v/>
      </c>
      <c r="X404" t="str" cm="1">
        <f t="array" ref="X404">IF(S404="","",IF($I404&lt;&gt;"",$I404,INDEX($I$2:$I403,ROW()-COUNTIFS($T$2:$T403,"="&amp;$T404,$S$2:$S403,"&lt;&gt;"&amp;$S404)-1)))</f>
        <v/>
      </c>
      <c r="Y404" t="b">
        <f>IF(X404&lt;&gt;"",VLOOKUP(X404,game_rosters!$C$43:$E$64,3,FALSE))</f>
        <v>0</v>
      </c>
      <c r="Z404" t="e" cm="1" vm="1">
        <f t="array" aca="1" ref="Z404" ca="1">IFERROR(IF(_xlfn._xlws.FILTER(game_rosters!$J:$J,(game_rosters!$G:$G=events!$AN404)*(game_rosters!$J:$J=events!$X404))&gt;0,1,""),"")</f>
        <v>#VALUE!</v>
      </c>
      <c r="AA404" t="e">
        <f t="shared" si="80"/>
        <v>#VALUE!</v>
      </c>
      <c r="AB404" t="str">
        <f t="shared" si="81"/>
        <v/>
      </c>
      <c r="AC404" t="e">
        <f t="shared" si="79"/>
        <v>#VALUE!</v>
      </c>
      <c r="AD404" s="6"/>
      <c r="BJ404" s="39"/>
      <c r="BM404" s="39"/>
      <c r="BO404" s="19"/>
      <c r="BQ404" s="17"/>
    </row>
    <row r="405" spans="1:69" x14ac:dyDescent="0.2">
      <c r="A405" t="str">
        <f t="shared" si="82"/>
        <v/>
      </c>
      <c r="E405" s="4"/>
      <c r="F405" s="44"/>
      <c r="G405" s="4"/>
      <c r="H405" s="47"/>
      <c r="J405" s="45" t="str">
        <f t="shared" si="83"/>
        <v/>
      </c>
      <c r="N405" t="str">
        <f t="shared" ref="N405:N468" si="85">IF(K405="","",IF(K405="Goal","s",IF(AND(K405="Zone_Entry_Exit",OR(ISNUMBER(SEARCH("fail",L405)),ISNUMBER(SEARCH("FromExitClear",M405)),ISNUMBER(SEARCH("miss",M405)))),"u",IF(AND(K405="Zone_Entry_Exit",OR(NOT(ISNUMBER(SEARCH("fail",L405))),NOT(ISNUMBER(SEARCH("FromExitClear",M405))),NOT(ISNUMBER(SEARCH("miss",M405))))),"s",IF(AND(OR(K405="Shot",K405="Pass"),OR(ISNUMBER(SEARCH("complete",L405)),ISNUMBER(SEARCH("goal",L405)),ISNUMBER(SEARCH("OnNet",L405)))),"s",IF(L405="Turnover_Giveaway","u",IF(AND(OR(K405="Shot",K405="Pass"),OR(ISNUMBER(SEARCH("fail",L405)),NOT(ISNUMBER(SEARCH("complete",L405))),NOT(ISNUMBER(SEARCH("OnNet",L405))))),"u","")))))))</f>
        <v/>
      </c>
      <c r="Q405" t="str">
        <f t="shared" si="84"/>
        <v/>
      </c>
      <c r="S405" t="str">
        <f>IF(A405=1,MAX(S$2:S404)+1,IF(OR(I405&lt;&gt;"",A405="x"),S404,""))</f>
        <v/>
      </c>
      <c r="T405" t="str">
        <f>IF(D405=1,MAX($T$2:$T404)+1,IF(S405=$S404,$S404,IF($D405="x",T404,IF($D404="x","",""))))</f>
        <v/>
      </c>
      <c r="U405" t="str">
        <f>IF(B405=1,MAX($U$2:$U404)+1,IF(AND($T405&lt;&gt;"",$T405=$T404),$U404,IF(B405="x",U404,"")))</f>
        <v/>
      </c>
      <c r="V405" t="str">
        <f>IF(C405=1,MAX($V$2:$V404)+1,IF(AND($T405&lt;&gt;"",$T405=$T404),$U404,IF(C405="x",V404,"")))</f>
        <v/>
      </c>
      <c r="W405" t="str" cm="1">
        <f t="array" ref="W405">IFERROR(_xlfn._xlws.FILTER(game_rosters!AB:AB,(game_rosters!J:J=events!X405)*(K405&lt;&gt;"")),"")</f>
        <v/>
      </c>
      <c r="X405" t="str" cm="1">
        <f t="array" ref="X405">IF(S405="","",IF($I405&lt;&gt;"",$I405,INDEX($I$2:$I404,ROW()-COUNTIFS($T$2:$T404,"="&amp;$T405,$S$2:$S404,"&lt;&gt;"&amp;$S405)-1)))</f>
        <v/>
      </c>
      <c r="Y405" t="b">
        <f>IF(X405&lt;&gt;"",VLOOKUP(X405,game_rosters!$C$43:$E$64,3,FALSE))</f>
        <v>0</v>
      </c>
      <c r="Z405" t="e" cm="1" vm="1">
        <f t="array" aca="1" ref="Z405" ca="1">IFERROR(IF(_xlfn._xlws.FILTER(game_rosters!$J:$J,(game_rosters!$G:$G=events!$AN405)*(game_rosters!$J:$J=events!$X405))&gt;0,1,""),"")</f>
        <v>#VALUE!</v>
      </c>
      <c r="AA405" t="e">
        <f t="shared" si="80"/>
        <v>#VALUE!</v>
      </c>
      <c r="AB405" t="str">
        <f t="shared" si="81"/>
        <v/>
      </c>
      <c r="AC405" t="e">
        <f t="shared" si="79"/>
        <v>#VALUE!</v>
      </c>
      <c r="AD405" s="6"/>
      <c r="BJ405" s="39"/>
      <c r="BM405" s="39"/>
      <c r="BO405" s="19"/>
      <c r="BQ405" s="17"/>
    </row>
    <row r="406" spans="1:69" x14ac:dyDescent="0.2">
      <c r="A406" t="str">
        <f t="shared" si="82"/>
        <v/>
      </c>
      <c r="E406" s="4"/>
      <c r="F406" s="44"/>
      <c r="G406" s="4"/>
      <c r="H406" s="47"/>
      <c r="J406" s="45" t="str">
        <f t="shared" si="83"/>
        <v/>
      </c>
      <c r="N406" t="str">
        <f t="shared" si="85"/>
        <v/>
      </c>
      <c r="Q406" t="str">
        <f t="shared" si="84"/>
        <v/>
      </c>
      <c r="S406" t="str">
        <f>IF(A406=1,MAX(S$2:S405)+1,IF(OR(I406&lt;&gt;"",A406="x"),S405,""))</f>
        <v/>
      </c>
      <c r="T406" t="str">
        <f>IF(D406=1,MAX($T$2:$T405)+1,IF(S406=$S405,$S405,IF($D406="x",T405,IF($D405="x","",""))))</f>
        <v/>
      </c>
      <c r="U406" t="str">
        <f>IF(B406=1,MAX($U$2:$U405)+1,IF(AND($T406&lt;&gt;"",$T406=$T405),$U405,IF(B406="x",U405,"")))</f>
        <v/>
      </c>
      <c r="V406" t="str">
        <f>IF(C406=1,MAX($V$2:$V405)+1,IF(AND($T406&lt;&gt;"",$T406=$T405),$U405,IF(C406="x",V405,"")))</f>
        <v/>
      </c>
      <c r="W406" t="str" cm="1">
        <f t="array" ref="W406">IFERROR(_xlfn._xlws.FILTER(game_rosters!AB:AB,(game_rosters!J:J=events!X406)*(K406&lt;&gt;"")),"")</f>
        <v/>
      </c>
      <c r="X406" t="str" cm="1">
        <f t="array" ref="X406">IF(S406="","",IF($I406&lt;&gt;"",$I406,INDEX($I$2:$I405,ROW()-COUNTIFS($T$2:$T405,"="&amp;$T406,$S$2:$S405,"&lt;&gt;"&amp;$S406)-1)))</f>
        <v/>
      </c>
      <c r="Y406" t="b">
        <f>IF(X406&lt;&gt;"",VLOOKUP(X406,game_rosters!$C$43:$E$64,3,FALSE))</f>
        <v>0</v>
      </c>
      <c r="Z406" t="e" cm="1" vm="1">
        <f t="array" aca="1" ref="Z406" ca="1">IFERROR(IF(_xlfn._xlws.FILTER(game_rosters!$J:$J,(game_rosters!$G:$G=events!$AN406)*(game_rosters!$J:$J=events!$X406))&gt;0,1,""),"")</f>
        <v>#VALUE!</v>
      </c>
      <c r="AA406" t="e">
        <f t="shared" si="80"/>
        <v>#VALUE!</v>
      </c>
      <c r="AB406" t="str">
        <f t="shared" si="81"/>
        <v/>
      </c>
      <c r="AC406" t="e">
        <f t="shared" si="79"/>
        <v>#VALUE!</v>
      </c>
      <c r="AD406" s="6"/>
      <c r="BJ406" s="39"/>
      <c r="BM406" s="39"/>
      <c r="BO406" s="19"/>
      <c r="BQ406" s="17"/>
    </row>
    <row r="407" spans="1:69" x14ac:dyDescent="0.2">
      <c r="A407" t="str">
        <f t="shared" si="82"/>
        <v/>
      </c>
      <c r="E407" s="4"/>
      <c r="F407" s="44"/>
      <c r="G407" s="4"/>
      <c r="H407" s="47"/>
      <c r="J407" s="45" t="str">
        <f t="shared" si="83"/>
        <v/>
      </c>
      <c r="N407" t="str">
        <f t="shared" si="85"/>
        <v/>
      </c>
      <c r="Q407" t="str">
        <f t="shared" si="84"/>
        <v/>
      </c>
      <c r="S407" t="str">
        <f>IF(A407=1,MAX(S$2:S406)+1,IF(OR(I407&lt;&gt;"",A407="x"),S406,""))</f>
        <v/>
      </c>
      <c r="T407" t="str">
        <f>IF(D407=1,MAX($T$2:$T406)+1,IF(S407=$S406,$S406,IF($D407="x",T406,IF($D406="x","",""))))</f>
        <v/>
      </c>
      <c r="U407" t="str">
        <f>IF(B407=1,MAX($U$2:$U406)+1,IF(AND($T407&lt;&gt;"",$T407=$T406),$U406,IF(B407="x",U406,"")))</f>
        <v/>
      </c>
      <c r="V407" t="str">
        <f>IF(C407=1,MAX($V$2:$V406)+1,IF(AND($T407&lt;&gt;"",$T407=$T406),$U406,IF(C407="x",V406,"")))</f>
        <v/>
      </c>
      <c r="W407" t="str" cm="1">
        <f t="array" ref="W407">IFERROR(_xlfn._xlws.FILTER(game_rosters!AB:AB,(game_rosters!J:J=events!X407)*(K407&lt;&gt;"")),"")</f>
        <v/>
      </c>
      <c r="X407" t="str" cm="1">
        <f t="array" ref="X407">IF(S407="","",IF($I407&lt;&gt;"",$I407,INDEX($I$2:$I406,ROW()-COUNTIFS($T$2:$T406,"="&amp;$T407,$S$2:$S406,"&lt;&gt;"&amp;$S407)-1)))</f>
        <v/>
      </c>
      <c r="Y407" t="b">
        <f>IF(X407&lt;&gt;"",VLOOKUP(X407,game_rosters!$C$43:$E$64,3,FALSE))</f>
        <v>0</v>
      </c>
      <c r="Z407" t="e" cm="1" vm="1">
        <f t="array" aca="1" ref="Z407" ca="1">IFERROR(IF(_xlfn._xlws.FILTER(game_rosters!$J:$J,(game_rosters!$G:$G=events!$AN407)*(game_rosters!$J:$J=events!$X407))&gt;0,1,""),"")</f>
        <v>#VALUE!</v>
      </c>
      <c r="AA407" t="e">
        <f t="shared" si="80"/>
        <v>#VALUE!</v>
      </c>
      <c r="AB407" t="str">
        <f t="shared" si="81"/>
        <v/>
      </c>
      <c r="AC407" t="e">
        <f t="shared" si="79"/>
        <v>#VALUE!</v>
      </c>
      <c r="AD407" s="6"/>
      <c r="BJ407" s="39"/>
      <c r="BM407" s="39"/>
      <c r="BO407" s="19"/>
      <c r="BQ407" s="17"/>
    </row>
    <row r="408" spans="1:69" x14ac:dyDescent="0.2">
      <c r="A408" t="str">
        <f t="shared" si="82"/>
        <v/>
      </c>
      <c r="E408" s="4"/>
      <c r="F408" s="44"/>
      <c r="G408" s="4"/>
      <c r="H408" s="47"/>
      <c r="J408" s="45" t="str">
        <f t="shared" si="83"/>
        <v/>
      </c>
      <c r="N408" t="str">
        <f t="shared" si="85"/>
        <v/>
      </c>
      <c r="Q408" t="str">
        <f t="shared" si="84"/>
        <v/>
      </c>
      <c r="S408" t="str">
        <f>IF(A408=1,MAX(S$2:S407)+1,IF(OR(I408&lt;&gt;"",A408="x"),S407,""))</f>
        <v/>
      </c>
      <c r="T408" t="str">
        <f>IF(D408=1,MAX($T$2:$T407)+1,IF(S408=$S407,$S407,IF($D408="x",T407,IF($D407="x","",""))))</f>
        <v/>
      </c>
      <c r="U408" t="str">
        <f>IF(B408=1,MAX($U$2:$U407)+1,IF(AND($T408&lt;&gt;"",$T408=$T407),$U407,IF(B408="x",U407,"")))</f>
        <v/>
      </c>
      <c r="V408" t="str">
        <f>IF(C408=1,MAX($V$2:$V407)+1,IF(AND($T408&lt;&gt;"",$T408=$T407),$U407,IF(C408="x",V407,"")))</f>
        <v/>
      </c>
      <c r="W408" t="str" cm="1">
        <f t="array" ref="W408">IFERROR(_xlfn._xlws.FILTER(game_rosters!AB:AB,(game_rosters!J:J=events!X408)*(K408&lt;&gt;"")),"")</f>
        <v/>
      </c>
      <c r="X408" t="str" cm="1">
        <f t="array" ref="X408">IF(S408="","",IF($I408&lt;&gt;"",$I408,INDEX($I$2:$I407,ROW()-COUNTIFS($T$2:$T407,"="&amp;$T408,$S$2:$S407,"&lt;&gt;"&amp;$S408)-1)))</f>
        <v/>
      </c>
      <c r="Y408" t="b">
        <f>IF(X408&lt;&gt;"",VLOOKUP(X408,game_rosters!$C$43:$E$64,3,FALSE))</f>
        <v>0</v>
      </c>
      <c r="Z408" t="e" cm="1" vm="1">
        <f t="array" aca="1" ref="Z408" ca="1">IFERROR(IF(_xlfn._xlws.FILTER(game_rosters!$J:$J,(game_rosters!$G:$G=events!$AN408)*(game_rosters!$J:$J=events!$X408))&gt;0,1,""),"")</f>
        <v>#VALUE!</v>
      </c>
      <c r="AA408" t="e">
        <f t="shared" si="80"/>
        <v>#VALUE!</v>
      </c>
      <c r="AB408" t="str">
        <f t="shared" si="81"/>
        <v/>
      </c>
      <c r="AC408" t="e">
        <f t="shared" si="79"/>
        <v>#VALUE!</v>
      </c>
      <c r="AD408" s="6"/>
      <c r="BJ408" s="39"/>
      <c r="BM408" s="39"/>
      <c r="BO408" s="19"/>
      <c r="BQ408" s="17"/>
    </row>
    <row r="409" spans="1:69" x14ac:dyDescent="0.2">
      <c r="A409" t="str">
        <f t="shared" si="82"/>
        <v/>
      </c>
      <c r="E409" s="4"/>
      <c r="F409" s="44"/>
      <c r="G409" s="4"/>
      <c r="H409" s="47"/>
      <c r="J409" s="45" t="str">
        <f t="shared" si="83"/>
        <v/>
      </c>
      <c r="N409" t="str">
        <f t="shared" si="85"/>
        <v/>
      </c>
      <c r="Q409" t="str">
        <f t="shared" si="84"/>
        <v/>
      </c>
      <c r="S409" t="str">
        <f>IF(A409=1,MAX(S$2:S408)+1,IF(OR(I409&lt;&gt;"",A409="x"),S408,""))</f>
        <v/>
      </c>
      <c r="T409" t="str">
        <f>IF(D409=1,MAX($T$2:$T408)+1,IF(S409=$S408,$S408,IF($D409="x",T408,IF($D408="x","",""))))</f>
        <v/>
      </c>
      <c r="U409" t="str">
        <f>IF(B409=1,MAX($U$2:$U408)+1,IF(AND($T409&lt;&gt;"",$T409=$T408),$U408,IF(B409="x",U408,"")))</f>
        <v/>
      </c>
      <c r="V409" t="str">
        <f>IF(C409=1,MAX($V$2:$V408)+1,IF(AND($T409&lt;&gt;"",$T409=$T408),$U408,IF(C409="x",V408,"")))</f>
        <v/>
      </c>
      <c r="W409" t="str" cm="1">
        <f t="array" ref="W409">IFERROR(_xlfn._xlws.FILTER(game_rosters!AB:AB,(game_rosters!J:J=events!X409)*(K409&lt;&gt;"")),"")</f>
        <v/>
      </c>
      <c r="X409" t="str" cm="1">
        <f t="array" ref="X409">IF(S409="","",IF($I409&lt;&gt;"",$I409,INDEX($I$2:$I408,ROW()-COUNTIFS($T$2:$T408,"="&amp;$T409,$S$2:$S408,"&lt;&gt;"&amp;$S409)-1)))</f>
        <v/>
      </c>
      <c r="Y409" t="b">
        <f>IF(X409&lt;&gt;"",VLOOKUP(X409,game_rosters!$C$43:$E$64,3,FALSE))</f>
        <v>0</v>
      </c>
      <c r="Z409" t="e" cm="1" vm="1">
        <f t="array" aca="1" ref="Z409" ca="1">IFERROR(IF(_xlfn._xlws.FILTER(game_rosters!$J:$J,(game_rosters!$G:$G=events!$AN409)*(game_rosters!$J:$J=events!$X409))&gt;0,1,""),"")</f>
        <v>#VALUE!</v>
      </c>
      <c r="AA409" t="e">
        <f t="shared" si="80"/>
        <v>#VALUE!</v>
      </c>
      <c r="AB409" t="str">
        <f t="shared" si="81"/>
        <v/>
      </c>
      <c r="AC409" t="e">
        <f t="shared" si="79"/>
        <v>#VALUE!</v>
      </c>
      <c r="AD409" s="6"/>
      <c r="BJ409" s="39"/>
      <c r="BM409" s="39"/>
      <c r="BO409" s="19"/>
      <c r="BQ409" s="17"/>
    </row>
    <row r="410" spans="1:69" x14ac:dyDescent="0.2">
      <c r="A410" t="str">
        <f t="shared" si="82"/>
        <v/>
      </c>
      <c r="E410" s="4"/>
      <c r="F410" s="44"/>
      <c r="G410" s="4"/>
      <c r="H410" s="47"/>
      <c r="J410" s="45" t="str">
        <f t="shared" si="83"/>
        <v/>
      </c>
      <c r="N410" t="str">
        <f t="shared" si="85"/>
        <v/>
      </c>
      <c r="Q410" t="str">
        <f t="shared" si="84"/>
        <v/>
      </c>
      <c r="S410" t="str">
        <f>IF(A410=1,MAX(S$2:S409)+1,IF(OR(I410&lt;&gt;"",A410="x"),S409,""))</f>
        <v/>
      </c>
      <c r="T410" t="str">
        <f>IF(D410=1,MAX($T$2:$T409)+1,IF(S410=$S409,$S409,IF($D410="x",T409,IF($D409="x","",""))))</f>
        <v/>
      </c>
      <c r="U410" t="str">
        <f>IF(B410=1,MAX($U$2:$U409)+1,IF(AND($T410&lt;&gt;"",$T410=$T409),$U409,IF(B410="x",U409,"")))</f>
        <v/>
      </c>
      <c r="V410" t="str">
        <f>IF(C410=1,MAX($V$2:$V409)+1,IF(AND($T410&lt;&gt;"",$T410=$T409),$U409,IF(C410="x",V409,"")))</f>
        <v/>
      </c>
      <c r="W410" t="str" cm="1">
        <f t="array" ref="W410">IFERROR(_xlfn._xlws.FILTER(game_rosters!AB:AB,(game_rosters!J:J=events!X410)*(K410&lt;&gt;"")),"")</f>
        <v/>
      </c>
      <c r="X410" t="str" cm="1">
        <f t="array" ref="X410">IF(S410="","",IF($I410&lt;&gt;"",$I410,INDEX($I$2:$I409,ROW()-COUNTIFS($T$2:$T409,"="&amp;$T410,$S$2:$S409,"&lt;&gt;"&amp;$S410)-1)))</f>
        <v/>
      </c>
      <c r="Y410" t="b">
        <f>IF(X410&lt;&gt;"",VLOOKUP(X410,game_rosters!$C$43:$E$64,3,FALSE))</f>
        <v>0</v>
      </c>
      <c r="Z410" t="e" cm="1" vm="1">
        <f t="array" aca="1" ref="Z410" ca="1">IFERROR(IF(_xlfn._xlws.FILTER(game_rosters!$J:$J,(game_rosters!$G:$G=events!$AN410)*(game_rosters!$J:$J=events!$X410))&gt;0,1,""),"")</f>
        <v>#VALUE!</v>
      </c>
      <c r="AA410" t="e">
        <f t="shared" si="80"/>
        <v>#VALUE!</v>
      </c>
      <c r="AB410" t="str">
        <f t="shared" si="81"/>
        <v/>
      </c>
      <c r="AC410" t="e">
        <f t="shared" si="79"/>
        <v>#VALUE!</v>
      </c>
      <c r="AD410" s="6"/>
      <c r="BJ410" s="39"/>
      <c r="BM410" s="39"/>
      <c r="BO410" s="19"/>
      <c r="BQ410" s="17"/>
    </row>
    <row r="411" spans="1:69" x14ac:dyDescent="0.2">
      <c r="A411" t="str">
        <f t="shared" si="82"/>
        <v/>
      </c>
      <c r="E411" s="4"/>
      <c r="F411" s="44"/>
      <c r="G411" s="4"/>
      <c r="H411" s="47"/>
      <c r="J411" s="45" t="str">
        <f t="shared" si="83"/>
        <v/>
      </c>
      <c r="N411" t="str">
        <f t="shared" si="85"/>
        <v/>
      </c>
      <c r="Q411" t="str">
        <f t="shared" si="84"/>
        <v/>
      </c>
      <c r="S411" t="str">
        <f>IF(A411=1,MAX(S$2:S410)+1,IF(OR(I411&lt;&gt;"",A411="x"),S410,""))</f>
        <v/>
      </c>
      <c r="T411" t="str">
        <f>IF(D411=1,MAX($T$2:$T410)+1,IF(S411=$S410,$S410,IF($D411="x",T410,IF($D410="x","",""))))</f>
        <v/>
      </c>
      <c r="U411" t="str">
        <f>IF(B411=1,MAX($U$2:$U410)+1,IF(AND($T411&lt;&gt;"",$T411=$T410),$U410,IF(B411="x",U410,"")))</f>
        <v/>
      </c>
      <c r="V411" t="str">
        <f>IF(C411=1,MAX($V$2:$V410)+1,IF(AND($T411&lt;&gt;"",$T411=$T410),$U410,IF(C411="x",V410,"")))</f>
        <v/>
      </c>
      <c r="W411" t="str" cm="1">
        <f t="array" ref="W411">IFERROR(_xlfn._xlws.FILTER(game_rosters!AB:AB,(game_rosters!J:J=events!X411)*(K411&lt;&gt;"")),"")</f>
        <v/>
      </c>
      <c r="X411" t="str" cm="1">
        <f t="array" ref="X411">IF(S411="","",IF($I411&lt;&gt;"",$I411,INDEX($I$2:$I410,ROW()-COUNTIFS($T$2:$T410,"="&amp;$T411,$S$2:$S410,"&lt;&gt;"&amp;$S411)-1)))</f>
        <v/>
      </c>
      <c r="Y411" t="b">
        <f>IF(X411&lt;&gt;"",VLOOKUP(X411,game_rosters!$C$43:$E$64,3,FALSE))</f>
        <v>0</v>
      </c>
      <c r="Z411" t="e" cm="1" vm="1">
        <f t="array" aca="1" ref="Z411" ca="1">IFERROR(IF(_xlfn._xlws.FILTER(game_rosters!$J:$J,(game_rosters!$G:$G=events!$AN411)*(game_rosters!$J:$J=events!$X411))&gt;0,1,""),"")</f>
        <v>#VALUE!</v>
      </c>
      <c r="AA411" t="e">
        <f t="shared" si="80"/>
        <v>#VALUE!</v>
      </c>
      <c r="AB411" t="str">
        <f t="shared" si="81"/>
        <v/>
      </c>
      <c r="AC411" t="e">
        <f t="shared" si="79"/>
        <v>#VALUE!</v>
      </c>
      <c r="AD411" s="6"/>
      <c r="BJ411" s="39"/>
      <c r="BM411" s="39"/>
      <c r="BO411" s="19"/>
      <c r="BQ411" s="17"/>
    </row>
    <row r="412" spans="1:69" x14ac:dyDescent="0.2">
      <c r="A412" t="str">
        <f t="shared" si="82"/>
        <v/>
      </c>
      <c r="E412" s="4"/>
      <c r="F412" s="44"/>
      <c r="G412" s="4"/>
      <c r="H412" s="47"/>
      <c r="J412" s="45" t="str">
        <f t="shared" si="83"/>
        <v/>
      </c>
      <c r="N412" t="str">
        <f t="shared" si="85"/>
        <v/>
      </c>
      <c r="Q412" t="str">
        <f t="shared" si="84"/>
        <v/>
      </c>
      <c r="S412" t="str">
        <f>IF(A412=1,MAX(S$2:S411)+1,IF(OR(I412&lt;&gt;"",A412="x"),S411,""))</f>
        <v/>
      </c>
      <c r="T412" t="str">
        <f>IF(D412=1,MAX($T$2:$T411)+1,IF(S412=$S411,$S411,IF($D412="x",T411,IF($D411="x","",""))))</f>
        <v/>
      </c>
      <c r="U412" t="str">
        <f>IF(B412=1,MAX($U$2:$U411)+1,IF(AND($T412&lt;&gt;"",$T412=$T411),$U411,IF(B412="x",U411,"")))</f>
        <v/>
      </c>
      <c r="V412" t="str">
        <f>IF(C412=1,MAX($V$2:$V411)+1,IF(AND($T412&lt;&gt;"",$T412=$T411),$U411,IF(C412="x",V411,"")))</f>
        <v/>
      </c>
      <c r="W412" t="str" cm="1">
        <f t="array" ref="W412">IFERROR(_xlfn._xlws.FILTER(game_rosters!AB:AB,(game_rosters!J:J=events!X412)*(K412&lt;&gt;"")),"")</f>
        <v/>
      </c>
      <c r="X412" t="str" cm="1">
        <f t="array" ref="X412">IF(S412="","",IF($I412&lt;&gt;"",$I412,INDEX($I$2:$I411,ROW()-COUNTIFS($T$2:$T411,"="&amp;$T412,$S$2:$S411,"&lt;&gt;"&amp;$S412)-1)))</f>
        <v/>
      </c>
      <c r="Y412" t="b">
        <f>IF(X412&lt;&gt;"",VLOOKUP(X412,game_rosters!$C$43:$E$64,3,FALSE))</f>
        <v>0</v>
      </c>
      <c r="Z412" t="e" cm="1" vm="1">
        <f t="array" aca="1" ref="Z412" ca="1">IFERROR(IF(_xlfn._xlws.FILTER(game_rosters!$J:$J,(game_rosters!$G:$G=events!$AN412)*(game_rosters!$J:$J=events!$X412))&gt;0,1,""),"")</f>
        <v>#VALUE!</v>
      </c>
      <c r="AA412" t="e">
        <f t="shared" si="80"/>
        <v>#VALUE!</v>
      </c>
      <c r="AB412" t="str">
        <f t="shared" si="81"/>
        <v/>
      </c>
      <c r="AC412" t="e">
        <f t="shared" si="79"/>
        <v>#VALUE!</v>
      </c>
      <c r="AD412" s="6"/>
      <c r="BJ412" s="39"/>
      <c r="BM412" s="39"/>
      <c r="BO412" s="19"/>
      <c r="BQ412" s="17"/>
    </row>
    <row r="413" spans="1:69" x14ac:dyDescent="0.2">
      <c r="A413" t="str">
        <f t="shared" si="82"/>
        <v/>
      </c>
      <c r="E413" s="4"/>
      <c r="F413" s="44"/>
      <c r="G413" s="4"/>
      <c r="H413" s="47"/>
      <c r="J413" s="45" t="str">
        <f t="shared" si="83"/>
        <v/>
      </c>
      <c r="N413" t="str">
        <f t="shared" si="85"/>
        <v/>
      </c>
      <c r="Q413" t="str">
        <f t="shared" si="84"/>
        <v/>
      </c>
      <c r="S413" t="str">
        <f>IF(A413=1,MAX(S$2:S412)+1,IF(OR(I413&lt;&gt;"",A413="x"),S412,""))</f>
        <v/>
      </c>
      <c r="T413" t="str">
        <f>IF(D413=1,MAX($T$2:$T412)+1,IF(S413=$S412,$S412,IF($D413="x",T412,IF($D412="x","",""))))</f>
        <v/>
      </c>
      <c r="U413" t="str">
        <f>IF(B413=1,MAX($U$2:$U412)+1,IF(AND($T413&lt;&gt;"",$T413=$T412),$U412,IF(B413="x",U412,"")))</f>
        <v/>
      </c>
      <c r="V413" t="str">
        <f>IF(C413=1,MAX($V$2:$V412)+1,IF(AND($T413&lt;&gt;"",$T413=$T412),$U412,IF(C413="x",V412,"")))</f>
        <v/>
      </c>
      <c r="W413" t="str" cm="1">
        <f t="array" ref="W413">IFERROR(_xlfn._xlws.FILTER(game_rosters!AB:AB,(game_rosters!J:J=events!X413)*(K413&lt;&gt;"")),"")</f>
        <v/>
      </c>
      <c r="X413" t="str" cm="1">
        <f t="array" ref="X413">IF(S413="","",IF($I413&lt;&gt;"",$I413,INDEX($I$2:$I412,ROW()-COUNTIFS($T$2:$T412,"="&amp;$T413,$S$2:$S412,"&lt;&gt;"&amp;$S413)-1)))</f>
        <v/>
      </c>
      <c r="Y413" t="b">
        <f>IF(X413&lt;&gt;"",VLOOKUP(X413,game_rosters!$C$43:$E$64,3,FALSE))</f>
        <v>0</v>
      </c>
      <c r="Z413" t="e" cm="1" vm="1">
        <f t="array" aca="1" ref="Z413" ca="1">IFERROR(IF(_xlfn._xlws.FILTER(game_rosters!$J:$J,(game_rosters!$G:$G=events!$AN413)*(game_rosters!$J:$J=events!$X413))&gt;0,1,""),"")</f>
        <v>#VALUE!</v>
      </c>
      <c r="AA413" t="e">
        <f t="shared" si="80"/>
        <v>#VALUE!</v>
      </c>
      <c r="AB413" t="str">
        <f t="shared" si="81"/>
        <v/>
      </c>
      <c r="AC413" t="e">
        <f t="shared" si="79"/>
        <v>#VALUE!</v>
      </c>
      <c r="AD413" s="6"/>
      <c r="BJ413" s="39"/>
      <c r="BM413" s="39"/>
      <c r="BO413" s="19"/>
      <c r="BQ413" s="17"/>
    </row>
    <row r="414" spans="1:69" x14ac:dyDescent="0.2">
      <c r="A414" t="str">
        <f t="shared" si="82"/>
        <v/>
      </c>
      <c r="E414" s="4"/>
      <c r="F414" s="44"/>
      <c r="G414" s="4"/>
      <c r="H414" s="47"/>
      <c r="J414" s="45" t="str">
        <f t="shared" si="83"/>
        <v/>
      </c>
      <c r="N414" t="str">
        <f t="shared" si="85"/>
        <v/>
      </c>
      <c r="Q414" t="str">
        <f t="shared" si="84"/>
        <v/>
      </c>
      <c r="S414" t="str">
        <f>IF(A414=1,MAX(S$2:S413)+1,IF(OR(I414&lt;&gt;"",A414="x"),S413,""))</f>
        <v/>
      </c>
      <c r="T414" t="str">
        <f>IF(D414=1,MAX($T$2:$T413)+1,IF(S414=$S413,$S413,IF($D414="x",T413,IF($D413="x","",""))))</f>
        <v/>
      </c>
      <c r="U414" t="str">
        <f>IF(B414=1,MAX($U$2:$U413)+1,IF(AND($T414&lt;&gt;"",$T414=$T413),$U413,IF(B414="x",U413,"")))</f>
        <v/>
      </c>
      <c r="V414" t="str">
        <f>IF(C414=1,MAX($V$2:$V413)+1,IF(AND($T414&lt;&gt;"",$T414=$T413),$U413,IF(C414="x",V413,"")))</f>
        <v/>
      </c>
      <c r="W414" t="str" cm="1">
        <f t="array" ref="W414">IFERROR(_xlfn._xlws.FILTER(game_rosters!AB:AB,(game_rosters!J:J=events!X414)*(K414&lt;&gt;"")),"")</f>
        <v/>
      </c>
      <c r="X414" t="str" cm="1">
        <f t="array" ref="X414">IF(S414="","",IF($I414&lt;&gt;"",$I414,INDEX($I$2:$I413,ROW()-COUNTIFS($T$2:$T413,"="&amp;$T414,$S$2:$S413,"&lt;&gt;"&amp;$S414)-1)))</f>
        <v/>
      </c>
      <c r="Y414" t="b">
        <f>IF(X414&lt;&gt;"",VLOOKUP(X414,game_rosters!$C$43:$E$64,3,FALSE))</f>
        <v>0</v>
      </c>
      <c r="Z414" t="e" cm="1" vm="1">
        <f t="array" aca="1" ref="Z414" ca="1">IFERROR(IF(_xlfn._xlws.FILTER(game_rosters!$J:$J,(game_rosters!$G:$G=events!$AN414)*(game_rosters!$J:$J=events!$X414))&gt;0,1,""),"")</f>
        <v>#VALUE!</v>
      </c>
      <c r="AA414" t="e">
        <f t="shared" si="80"/>
        <v>#VALUE!</v>
      </c>
      <c r="AB414" t="str">
        <f t="shared" si="81"/>
        <v/>
      </c>
      <c r="AC414" t="e">
        <f t="shared" si="79"/>
        <v>#VALUE!</v>
      </c>
      <c r="AD414" s="6"/>
      <c r="BJ414" s="39"/>
      <c r="BM414" s="39"/>
      <c r="BO414" s="19"/>
      <c r="BQ414" s="17"/>
    </row>
    <row r="415" spans="1:69" x14ac:dyDescent="0.2">
      <c r="A415" t="str">
        <f t="shared" si="82"/>
        <v/>
      </c>
      <c r="E415" s="4"/>
      <c r="F415" s="44"/>
      <c r="G415" s="4"/>
      <c r="H415" s="47"/>
      <c r="J415" s="45" t="str">
        <f t="shared" si="83"/>
        <v/>
      </c>
      <c r="N415" t="str">
        <f t="shared" si="85"/>
        <v/>
      </c>
      <c r="Q415" t="str">
        <f t="shared" si="84"/>
        <v/>
      </c>
      <c r="S415" t="str">
        <f>IF(A415=1,MAX(S$2:S414)+1,IF(OR(I415&lt;&gt;"",A415="x"),S414,""))</f>
        <v/>
      </c>
      <c r="T415" t="str">
        <f>IF(D415=1,MAX($T$2:$T414)+1,IF(S415=$S414,$S414,IF($D415="x",T414,IF($D414="x","",""))))</f>
        <v/>
      </c>
      <c r="U415" t="str">
        <f>IF(B415=1,MAX($U$2:$U414)+1,IF(AND($T415&lt;&gt;"",$T415=$T414),$U414,IF(B415="x",U414,"")))</f>
        <v/>
      </c>
      <c r="V415" t="str">
        <f>IF(C415=1,MAX($V$2:$V414)+1,IF(AND($T415&lt;&gt;"",$T415=$T414),$U414,IF(C415="x",V414,"")))</f>
        <v/>
      </c>
      <c r="W415" t="str" cm="1">
        <f t="array" ref="W415">IFERROR(_xlfn._xlws.FILTER(game_rosters!AB:AB,(game_rosters!J:J=events!X415)*(K415&lt;&gt;"")),"")</f>
        <v/>
      </c>
      <c r="X415" t="str" cm="1">
        <f t="array" ref="X415">IF(S415="","",IF($I415&lt;&gt;"",$I415,INDEX($I$2:$I414,ROW()-COUNTIFS($T$2:$T414,"="&amp;$T415,$S$2:$S414,"&lt;&gt;"&amp;$S415)-1)))</f>
        <v/>
      </c>
      <c r="Y415" t="b">
        <f>IF(X415&lt;&gt;"",VLOOKUP(X415,game_rosters!$C$43:$E$64,3,FALSE))</f>
        <v>0</v>
      </c>
      <c r="Z415" t="e" cm="1" vm="1">
        <f t="array" aca="1" ref="Z415" ca="1">IFERROR(IF(_xlfn._xlws.FILTER(game_rosters!$J:$J,(game_rosters!$G:$G=events!$AN415)*(game_rosters!$J:$J=events!$X415))&gt;0,1,""),"")</f>
        <v>#VALUE!</v>
      </c>
      <c r="AA415" t="e">
        <f t="shared" si="80"/>
        <v>#VALUE!</v>
      </c>
      <c r="AB415" t="str">
        <f t="shared" si="81"/>
        <v/>
      </c>
      <c r="AC415" t="e">
        <f t="shared" si="79"/>
        <v>#VALUE!</v>
      </c>
      <c r="AD415" s="6"/>
      <c r="BJ415" s="39"/>
      <c r="BM415" s="39"/>
      <c r="BO415" s="19"/>
      <c r="BQ415" s="17"/>
    </row>
    <row r="416" spans="1:69" x14ac:dyDescent="0.2">
      <c r="A416" t="str">
        <f t="shared" si="82"/>
        <v/>
      </c>
      <c r="E416" s="4"/>
      <c r="F416" s="44"/>
      <c r="G416" s="4"/>
      <c r="H416" s="47"/>
      <c r="J416" s="45" t="str">
        <f t="shared" si="83"/>
        <v/>
      </c>
      <c r="N416" t="str">
        <f t="shared" si="85"/>
        <v/>
      </c>
      <c r="Q416" t="str">
        <f t="shared" si="84"/>
        <v/>
      </c>
      <c r="S416" t="str">
        <f>IF(A416=1,MAX(S$2:S415)+1,IF(OR(I416&lt;&gt;"",A416="x"),S415,""))</f>
        <v/>
      </c>
      <c r="T416" t="str">
        <f>IF(D416=1,MAX($T$2:$T415)+1,IF(S416=$S415,$S415,IF($D416="x",T415,IF($D415="x","",""))))</f>
        <v/>
      </c>
      <c r="U416" t="str">
        <f>IF(B416=1,MAX($U$2:$U415)+1,IF(AND($T416&lt;&gt;"",$T416=$T415),$U415,IF(B416="x",U415,"")))</f>
        <v/>
      </c>
      <c r="V416" t="str">
        <f>IF(C416=1,MAX($V$2:$V415)+1,IF(AND($T416&lt;&gt;"",$T416=$T415),$U415,IF(C416="x",V415,"")))</f>
        <v/>
      </c>
      <c r="W416" t="str" cm="1">
        <f t="array" ref="W416">IFERROR(_xlfn._xlws.FILTER(game_rosters!AB:AB,(game_rosters!J:J=events!X416)*(K416&lt;&gt;"")),"")</f>
        <v/>
      </c>
      <c r="X416" t="str" cm="1">
        <f t="array" ref="X416">IF(S416="","",IF($I416&lt;&gt;"",$I416,INDEX($I$2:$I415,ROW()-COUNTIFS($T$2:$T415,"="&amp;$T416,$S$2:$S415,"&lt;&gt;"&amp;$S416)-1)))</f>
        <v/>
      </c>
      <c r="Y416" t="b">
        <f>IF(X416&lt;&gt;"",VLOOKUP(X416,game_rosters!$C$43:$E$64,3,FALSE))</f>
        <v>0</v>
      </c>
      <c r="Z416" t="e" cm="1" vm="1">
        <f t="array" aca="1" ref="Z416" ca="1">IFERROR(IF(_xlfn._xlws.FILTER(game_rosters!$J:$J,(game_rosters!$G:$G=events!$AN416)*(game_rosters!$J:$J=events!$X416))&gt;0,1,""),"")</f>
        <v>#VALUE!</v>
      </c>
      <c r="AA416" t="e">
        <f t="shared" si="80"/>
        <v>#VALUE!</v>
      </c>
      <c r="AB416" t="str">
        <f t="shared" si="81"/>
        <v/>
      </c>
      <c r="AC416" t="e">
        <f t="shared" si="79"/>
        <v>#VALUE!</v>
      </c>
      <c r="AD416" s="6"/>
      <c r="BJ416" s="39"/>
      <c r="BM416" s="39"/>
      <c r="BO416" s="19"/>
      <c r="BQ416" s="17"/>
    </row>
    <row r="417" spans="1:69" x14ac:dyDescent="0.2">
      <c r="A417" t="str">
        <f t="shared" si="82"/>
        <v/>
      </c>
      <c r="E417" s="4"/>
      <c r="F417" s="44"/>
      <c r="G417" s="4"/>
      <c r="H417" s="47"/>
      <c r="J417" s="45" t="str">
        <f t="shared" si="83"/>
        <v/>
      </c>
      <c r="N417" t="str">
        <f t="shared" si="85"/>
        <v/>
      </c>
      <c r="Q417" t="str">
        <f t="shared" si="84"/>
        <v/>
      </c>
      <c r="S417" t="str">
        <f>IF(A417=1,MAX(S$2:S416)+1,IF(OR(I417&lt;&gt;"",A417="x"),S416,""))</f>
        <v/>
      </c>
      <c r="T417" t="str">
        <f>IF(D417=1,MAX($T$2:$T416)+1,IF(S417=$S416,$S416,IF($D417="x",T416,IF($D416="x","",""))))</f>
        <v/>
      </c>
      <c r="U417" t="str">
        <f>IF(B417=1,MAX($U$2:$U416)+1,IF(AND($T417&lt;&gt;"",$T417=$T416),$U416,IF(B417="x",U416,"")))</f>
        <v/>
      </c>
      <c r="V417" t="str">
        <f>IF(C417=1,MAX($V$2:$V416)+1,IF(AND($T417&lt;&gt;"",$T417=$T416),$U416,IF(C417="x",V416,"")))</f>
        <v/>
      </c>
      <c r="W417" t="str" cm="1">
        <f t="array" ref="W417">IFERROR(_xlfn._xlws.FILTER(game_rosters!AB:AB,(game_rosters!J:J=events!X417)*(K417&lt;&gt;"")),"")</f>
        <v/>
      </c>
      <c r="X417" t="str" cm="1">
        <f t="array" ref="X417">IF(S417="","",IF($I417&lt;&gt;"",$I417,INDEX($I$2:$I416,ROW()-COUNTIFS($T$2:$T416,"="&amp;$T417,$S$2:$S416,"&lt;&gt;"&amp;$S417)-1)))</f>
        <v/>
      </c>
      <c r="Y417" t="b">
        <f>IF(X417&lt;&gt;"",VLOOKUP(X417,game_rosters!$C$43:$E$64,3,FALSE))</f>
        <v>0</v>
      </c>
      <c r="Z417" t="e" cm="1" vm="1">
        <f t="array" aca="1" ref="Z417" ca="1">IFERROR(IF(_xlfn._xlws.FILTER(game_rosters!$J:$J,(game_rosters!$G:$G=events!$AN417)*(game_rosters!$J:$J=events!$X417))&gt;0,1,""),"")</f>
        <v>#VALUE!</v>
      </c>
      <c r="AA417" t="e">
        <f t="shared" si="80"/>
        <v>#VALUE!</v>
      </c>
      <c r="AB417" t="str">
        <f t="shared" si="81"/>
        <v/>
      </c>
      <c r="AC417" t="e">
        <f t="shared" si="79"/>
        <v>#VALUE!</v>
      </c>
      <c r="AD417" s="6"/>
      <c r="BJ417" s="39"/>
      <c r="BM417" s="39"/>
      <c r="BO417" s="19"/>
      <c r="BQ417" s="17"/>
    </row>
    <row r="418" spans="1:69" x14ac:dyDescent="0.2">
      <c r="A418" t="str">
        <f t="shared" si="82"/>
        <v/>
      </c>
      <c r="E418" s="4"/>
      <c r="F418" s="44"/>
      <c r="G418" s="4"/>
      <c r="H418" s="47"/>
      <c r="J418" s="45" t="str">
        <f t="shared" si="83"/>
        <v/>
      </c>
      <c r="N418" t="str">
        <f t="shared" si="85"/>
        <v/>
      </c>
      <c r="Q418" t="str">
        <f t="shared" si="84"/>
        <v/>
      </c>
      <c r="S418" t="str">
        <f>IF(A418=1,MAX(S$2:S417)+1,IF(OR(I418&lt;&gt;"",A418="x"),S417,""))</f>
        <v/>
      </c>
      <c r="T418" t="str">
        <f>IF(D418=1,MAX($T$2:$T417)+1,IF(S418=$S417,$S417,IF($D418="x",T417,IF($D417="x","",""))))</f>
        <v/>
      </c>
      <c r="U418" t="str">
        <f>IF(B418=1,MAX($U$2:$U417)+1,IF(AND($T418&lt;&gt;"",$T418=$T417),$U417,IF(B418="x",U417,"")))</f>
        <v/>
      </c>
      <c r="V418" t="str">
        <f>IF(C418=1,MAX($V$2:$V417)+1,IF(AND($T418&lt;&gt;"",$T418=$T417),$U417,IF(C418="x",V417,"")))</f>
        <v/>
      </c>
      <c r="W418" t="str" cm="1">
        <f t="array" ref="W418">IFERROR(_xlfn._xlws.FILTER(game_rosters!AB:AB,(game_rosters!J:J=events!X418)*(K418&lt;&gt;"")),"")</f>
        <v/>
      </c>
      <c r="X418" t="str" cm="1">
        <f t="array" ref="X418">IF(S418="","",IF($I418&lt;&gt;"",$I418,INDEX($I$2:$I417,ROW()-COUNTIFS($T$2:$T417,"="&amp;$T418,$S$2:$S417,"&lt;&gt;"&amp;$S418)-1)))</f>
        <v/>
      </c>
      <c r="Y418" t="b">
        <f>IF(X418&lt;&gt;"",VLOOKUP(X418,game_rosters!$C$43:$E$64,3,FALSE))</f>
        <v>0</v>
      </c>
      <c r="Z418" t="e" cm="1" vm="1">
        <f t="array" aca="1" ref="Z418" ca="1">IFERROR(IF(_xlfn._xlws.FILTER(game_rosters!$J:$J,(game_rosters!$G:$G=events!$AN418)*(game_rosters!$J:$J=events!$X418))&gt;0,1,""),"")</f>
        <v>#VALUE!</v>
      </c>
      <c r="AA418" t="e">
        <f t="shared" si="80"/>
        <v>#VALUE!</v>
      </c>
      <c r="AB418" t="str">
        <f t="shared" si="81"/>
        <v/>
      </c>
      <c r="AC418" t="e">
        <f t="shared" si="79"/>
        <v>#VALUE!</v>
      </c>
      <c r="AD418" s="6"/>
      <c r="BJ418" s="39"/>
      <c r="BM418" s="39"/>
      <c r="BO418" s="19"/>
      <c r="BQ418" s="17"/>
    </row>
    <row r="419" spans="1:69" x14ac:dyDescent="0.2">
      <c r="A419" t="str">
        <f t="shared" si="82"/>
        <v/>
      </c>
      <c r="E419" s="4"/>
      <c r="F419" s="44"/>
      <c r="G419" s="4"/>
      <c r="H419" s="47"/>
      <c r="J419" s="45" t="str">
        <f t="shared" si="83"/>
        <v/>
      </c>
      <c r="N419" t="str">
        <f t="shared" si="85"/>
        <v/>
      </c>
      <c r="Q419" t="str">
        <f t="shared" si="84"/>
        <v/>
      </c>
      <c r="S419" t="str">
        <f>IF(A419=1,MAX(S$2:S418)+1,IF(OR(I419&lt;&gt;"",A419="x"),S418,""))</f>
        <v/>
      </c>
      <c r="T419" t="str">
        <f>IF(D419=1,MAX($T$2:$T418)+1,IF(S419=$S418,$S418,IF($D419="x",T418,IF($D418="x","",""))))</f>
        <v/>
      </c>
      <c r="U419" t="str">
        <f>IF(B419=1,MAX($U$2:$U418)+1,IF(AND($T419&lt;&gt;"",$T419=$T418),$U418,IF(B419="x",U418,"")))</f>
        <v/>
      </c>
      <c r="V419" t="str">
        <f>IF(C419=1,MAX($V$2:$V418)+1,IF(AND($T419&lt;&gt;"",$T419=$T418),$U418,IF(C419="x",V418,"")))</f>
        <v/>
      </c>
      <c r="W419" t="str" cm="1">
        <f t="array" ref="W419">IFERROR(_xlfn._xlws.FILTER(game_rosters!AB:AB,(game_rosters!J:J=events!X419)*(K419&lt;&gt;"")),"")</f>
        <v/>
      </c>
      <c r="X419" t="str" cm="1">
        <f t="array" ref="X419">IF(S419="","",IF($I419&lt;&gt;"",$I419,INDEX($I$2:$I418,ROW()-COUNTIFS($T$2:$T418,"="&amp;$T419,$S$2:$S418,"&lt;&gt;"&amp;$S419)-1)))</f>
        <v/>
      </c>
      <c r="Y419" t="b">
        <f>IF(X419&lt;&gt;"",VLOOKUP(X419,game_rosters!$C$43:$E$64,3,FALSE))</f>
        <v>0</v>
      </c>
      <c r="Z419" t="e" cm="1" vm="1">
        <f t="array" aca="1" ref="Z419" ca="1">IFERROR(IF(_xlfn._xlws.FILTER(game_rosters!$J:$J,(game_rosters!$G:$G=events!$AN419)*(game_rosters!$J:$J=events!$X419))&gt;0,1,""),"")</f>
        <v>#VALUE!</v>
      </c>
      <c r="AA419" t="e">
        <f t="shared" si="80"/>
        <v>#VALUE!</v>
      </c>
      <c r="AB419" t="str">
        <f t="shared" si="81"/>
        <v/>
      </c>
      <c r="AC419" t="e">
        <f t="shared" si="79"/>
        <v>#VALUE!</v>
      </c>
      <c r="AD419" s="6"/>
      <c r="BJ419" s="39"/>
      <c r="BM419" s="39"/>
      <c r="BO419" s="19"/>
      <c r="BQ419" s="17"/>
    </row>
    <row r="420" spans="1:69" x14ac:dyDescent="0.2">
      <c r="A420" t="str">
        <f t="shared" si="82"/>
        <v/>
      </c>
      <c r="E420" s="4"/>
      <c r="F420" s="44"/>
      <c r="G420" s="4"/>
      <c r="H420" s="47"/>
      <c r="J420" s="45" t="str">
        <f t="shared" si="83"/>
        <v/>
      </c>
      <c r="N420" t="str">
        <f t="shared" si="85"/>
        <v/>
      </c>
      <c r="Q420" t="str">
        <f t="shared" si="84"/>
        <v/>
      </c>
      <c r="S420" t="str">
        <f>IF(A420=1,MAX(S$2:S419)+1,IF(OR(I420&lt;&gt;"",A420="x"),S419,""))</f>
        <v/>
      </c>
      <c r="T420" t="str">
        <f>IF(D420=1,MAX($T$2:$T419)+1,IF(S420=$S419,$S419,IF($D420="x",T419,IF($D419="x","",""))))</f>
        <v/>
      </c>
      <c r="U420" t="str">
        <f>IF(B420=1,MAX($U$2:$U419)+1,IF(AND($T420&lt;&gt;"",$T420=$T419),$U419,IF(B420="x",U419,"")))</f>
        <v/>
      </c>
      <c r="V420" t="str">
        <f>IF(C420=1,MAX($V$2:$V419)+1,IF(AND($T420&lt;&gt;"",$T420=$T419),$U419,IF(C420="x",V419,"")))</f>
        <v/>
      </c>
      <c r="W420" t="str" cm="1">
        <f t="array" ref="W420">IFERROR(_xlfn._xlws.FILTER(game_rosters!AB:AB,(game_rosters!J:J=events!X420)*(K420&lt;&gt;"")),"")</f>
        <v/>
      </c>
      <c r="X420" t="str" cm="1">
        <f t="array" ref="X420">IF(S420="","",IF($I420&lt;&gt;"",$I420,INDEX($I$2:$I419,ROW()-COUNTIFS($T$2:$T419,"="&amp;$T420,$S$2:$S419,"&lt;&gt;"&amp;$S420)-1)))</f>
        <v/>
      </c>
      <c r="Y420" t="b">
        <f>IF(X420&lt;&gt;"",VLOOKUP(X420,game_rosters!$C$43:$E$64,3,FALSE))</f>
        <v>0</v>
      </c>
      <c r="Z420" t="e" cm="1" vm="1">
        <f t="array" aca="1" ref="Z420" ca="1">IFERROR(IF(_xlfn._xlws.FILTER(game_rosters!$J:$J,(game_rosters!$G:$G=events!$AN420)*(game_rosters!$J:$J=events!$X420))&gt;0,1,""),"")</f>
        <v>#VALUE!</v>
      </c>
      <c r="AA420" t="e">
        <f t="shared" si="80"/>
        <v>#VALUE!</v>
      </c>
      <c r="AB420" t="str">
        <f t="shared" si="81"/>
        <v/>
      </c>
      <c r="AC420" t="e">
        <f t="shared" si="79"/>
        <v>#VALUE!</v>
      </c>
      <c r="AD420" s="6"/>
      <c r="BJ420" s="39"/>
      <c r="BM420" s="39"/>
      <c r="BO420" s="19"/>
      <c r="BQ420" s="17"/>
    </row>
    <row r="421" spans="1:69" x14ac:dyDescent="0.2">
      <c r="A421" t="str">
        <f t="shared" si="82"/>
        <v/>
      </c>
      <c r="E421" s="4"/>
      <c r="F421" s="44"/>
      <c r="G421" s="4"/>
      <c r="H421" s="47"/>
      <c r="J421" s="45" t="str">
        <f t="shared" si="83"/>
        <v/>
      </c>
      <c r="N421" t="str">
        <f t="shared" si="85"/>
        <v/>
      </c>
      <c r="Q421" t="str">
        <f t="shared" si="84"/>
        <v/>
      </c>
      <c r="S421" t="str">
        <f>IF(A421=1,MAX(S$2:S420)+1,IF(OR(I421&lt;&gt;"",A421="x"),S420,""))</f>
        <v/>
      </c>
      <c r="T421" t="str">
        <f>IF(D421=1,MAX($T$2:$T420)+1,IF(S421=$S420,$S420,IF($D421="x",T420,IF($D420="x","",""))))</f>
        <v/>
      </c>
      <c r="U421" t="str">
        <f>IF(B421=1,MAX($U$2:$U420)+1,IF(AND($T421&lt;&gt;"",$T421=$T420),$U420,IF(B421="x",U420,"")))</f>
        <v/>
      </c>
      <c r="V421" t="str">
        <f>IF(C421=1,MAX($V$2:$V420)+1,IF(AND($T421&lt;&gt;"",$T421=$T420),$U420,IF(C421="x",V420,"")))</f>
        <v/>
      </c>
      <c r="W421" t="str" cm="1">
        <f t="array" ref="W421">IFERROR(_xlfn._xlws.FILTER(game_rosters!AB:AB,(game_rosters!J:J=events!X421)*(K421&lt;&gt;"")),"")</f>
        <v/>
      </c>
      <c r="X421" t="str" cm="1">
        <f t="array" ref="X421">IF(S421="","",IF($I421&lt;&gt;"",$I421,INDEX($I$2:$I420,ROW()-COUNTIFS($T$2:$T420,"="&amp;$T421,$S$2:$S420,"&lt;&gt;"&amp;$S421)-1)))</f>
        <v/>
      </c>
      <c r="Y421" t="b">
        <f>IF(X421&lt;&gt;"",VLOOKUP(X421,game_rosters!$C$43:$E$64,3,FALSE))</f>
        <v>0</v>
      </c>
      <c r="Z421" t="e" cm="1" vm="1">
        <f t="array" aca="1" ref="Z421" ca="1">IFERROR(IF(_xlfn._xlws.FILTER(game_rosters!$J:$J,(game_rosters!$G:$G=events!$AN421)*(game_rosters!$J:$J=events!$X421))&gt;0,1,""),"")</f>
        <v>#VALUE!</v>
      </c>
      <c r="AA421" t="e">
        <f t="shared" si="80"/>
        <v>#VALUE!</v>
      </c>
      <c r="AB421" t="str">
        <f t="shared" si="81"/>
        <v/>
      </c>
      <c r="AC421" t="e">
        <f t="shared" si="79"/>
        <v>#VALUE!</v>
      </c>
      <c r="AD421" s="6"/>
      <c r="BJ421" s="39"/>
      <c r="BM421" s="39"/>
      <c r="BO421" s="19"/>
      <c r="BQ421" s="17"/>
    </row>
    <row r="422" spans="1:69" x14ac:dyDescent="0.2">
      <c r="A422" t="str">
        <f t="shared" si="82"/>
        <v/>
      </c>
      <c r="E422" s="4"/>
      <c r="F422" s="44"/>
      <c r="G422" s="4"/>
      <c r="H422" s="47"/>
      <c r="J422" s="45" t="str">
        <f t="shared" si="83"/>
        <v/>
      </c>
      <c r="N422" t="str">
        <f t="shared" si="85"/>
        <v/>
      </c>
      <c r="Q422" t="str">
        <f t="shared" si="84"/>
        <v/>
      </c>
      <c r="S422" t="str">
        <f>IF(A422=1,MAX(S$2:S421)+1,IF(OR(I422&lt;&gt;"",A422="x"),S421,""))</f>
        <v/>
      </c>
      <c r="T422" t="str">
        <f>IF(D422=1,MAX($T$2:$T421)+1,IF(S422=$S421,$S421,IF($D422="x",T421,IF($D421="x","",""))))</f>
        <v/>
      </c>
      <c r="U422" t="str">
        <f>IF(B422=1,MAX($U$2:$U421)+1,IF(AND($T422&lt;&gt;"",$T422=$T421),$U421,IF(B422="x",U421,"")))</f>
        <v/>
      </c>
      <c r="V422" t="str">
        <f>IF(C422=1,MAX($V$2:$V421)+1,IF(AND($T422&lt;&gt;"",$T422=$T421),$U421,IF(C422="x",V421,"")))</f>
        <v/>
      </c>
      <c r="W422" t="str" cm="1">
        <f t="array" ref="W422">IFERROR(_xlfn._xlws.FILTER(game_rosters!AB:AB,(game_rosters!J:J=events!X422)*(K422&lt;&gt;"")),"")</f>
        <v/>
      </c>
      <c r="X422" t="str" cm="1">
        <f t="array" ref="X422">IF(S422="","",IF($I422&lt;&gt;"",$I422,INDEX($I$2:$I421,ROW()-COUNTIFS($T$2:$T421,"="&amp;$T422,$S$2:$S421,"&lt;&gt;"&amp;$S422)-1)))</f>
        <v/>
      </c>
      <c r="Y422" t="b">
        <f>IF(X422&lt;&gt;"",VLOOKUP(X422,game_rosters!$C$43:$E$64,3,FALSE))</f>
        <v>0</v>
      </c>
      <c r="Z422" t="e" cm="1" vm="1">
        <f t="array" aca="1" ref="Z422" ca="1">IFERROR(IF(_xlfn._xlws.FILTER(game_rosters!$J:$J,(game_rosters!$G:$G=events!$AN422)*(game_rosters!$J:$J=events!$X422))&gt;0,1,""),"")</f>
        <v>#VALUE!</v>
      </c>
      <c r="AA422" t="e">
        <f t="shared" si="80"/>
        <v>#VALUE!</v>
      </c>
      <c r="AB422" t="str">
        <f t="shared" si="81"/>
        <v/>
      </c>
      <c r="AC422" t="e">
        <f t="shared" si="79"/>
        <v>#VALUE!</v>
      </c>
      <c r="AD422" s="6"/>
      <c r="BJ422" s="39"/>
      <c r="BM422" s="39"/>
      <c r="BO422" s="19"/>
      <c r="BQ422" s="17"/>
    </row>
    <row r="423" spans="1:69" x14ac:dyDescent="0.2">
      <c r="A423" t="str">
        <f t="shared" si="82"/>
        <v/>
      </c>
      <c r="E423" s="4"/>
      <c r="F423" s="44"/>
      <c r="G423" s="4"/>
      <c r="H423" s="47"/>
      <c r="J423" s="45" t="str">
        <f t="shared" si="83"/>
        <v/>
      </c>
      <c r="N423" t="str">
        <f t="shared" si="85"/>
        <v/>
      </c>
      <c r="Q423" t="str">
        <f t="shared" si="84"/>
        <v/>
      </c>
      <c r="S423" t="str">
        <f>IF(A423=1,MAX(S$2:S422)+1,IF(OR(I423&lt;&gt;"",A423="x"),S422,""))</f>
        <v/>
      </c>
      <c r="T423" t="str">
        <f>IF(D423=1,MAX($T$2:$T422)+1,IF(S423=$S422,$S422,IF($D423="x",T422,IF($D422="x","",""))))</f>
        <v/>
      </c>
      <c r="U423" t="str">
        <f>IF(B423=1,MAX($U$2:$U422)+1,IF(AND($T423&lt;&gt;"",$T423=$T422),$U422,IF(B423="x",U422,"")))</f>
        <v/>
      </c>
      <c r="V423" t="str">
        <f>IF(C423=1,MAX($V$2:$V422)+1,IF(AND($T423&lt;&gt;"",$T423=$T422),$U422,IF(C423="x",V422,"")))</f>
        <v/>
      </c>
      <c r="W423" t="str" cm="1">
        <f t="array" ref="W423">IFERROR(_xlfn._xlws.FILTER(game_rosters!AB:AB,(game_rosters!J:J=events!X423)*(K423&lt;&gt;"")),"")</f>
        <v/>
      </c>
      <c r="X423" t="str" cm="1">
        <f t="array" ref="X423">IF(S423="","",IF($I423&lt;&gt;"",$I423,INDEX($I$2:$I422,ROW()-COUNTIFS($T$2:$T422,"="&amp;$T423,$S$2:$S422,"&lt;&gt;"&amp;$S423)-1)))</f>
        <v/>
      </c>
      <c r="Y423" t="b">
        <f>IF(X423&lt;&gt;"",VLOOKUP(X423,game_rosters!$C$43:$E$64,3,FALSE))</f>
        <v>0</v>
      </c>
      <c r="Z423" t="e" cm="1" vm="1">
        <f t="array" aca="1" ref="Z423" ca="1">IFERROR(IF(_xlfn._xlws.FILTER(game_rosters!$J:$J,(game_rosters!$G:$G=events!$AN423)*(game_rosters!$J:$J=events!$X423))&gt;0,1,""),"")</f>
        <v>#VALUE!</v>
      </c>
      <c r="AA423" t="e">
        <f t="shared" si="80"/>
        <v>#VALUE!</v>
      </c>
      <c r="AB423" t="str">
        <f t="shared" si="81"/>
        <v/>
      </c>
      <c r="AC423" t="e">
        <f t="shared" si="79"/>
        <v>#VALUE!</v>
      </c>
      <c r="AD423" s="6"/>
      <c r="BJ423" s="39"/>
      <c r="BM423" s="39"/>
      <c r="BO423" s="19"/>
      <c r="BQ423" s="17"/>
    </row>
    <row r="424" spans="1:69" x14ac:dyDescent="0.2">
      <c r="A424" t="str">
        <f t="shared" si="82"/>
        <v/>
      </c>
      <c r="E424" s="4"/>
      <c r="F424" s="44"/>
      <c r="G424" s="4"/>
      <c r="H424" s="47"/>
      <c r="J424" s="45" t="str">
        <f t="shared" si="83"/>
        <v/>
      </c>
      <c r="N424" t="str">
        <f t="shared" si="85"/>
        <v/>
      </c>
      <c r="Q424" t="str">
        <f t="shared" si="84"/>
        <v/>
      </c>
      <c r="S424" t="str">
        <f>IF(A424=1,MAX(S$2:S423)+1,IF(OR(I424&lt;&gt;"",A424="x"),S423,""))</f>
        <v/>
      </c>
      <c r="T424" t="str">
        <f>IF(D424=1,MAX($T$2:$T423)+1,IF(S424=$S423,$S423,IF($D424="x",T423,IF($D423="x","",""))))</f>
        <v/>
      </c>
      <c r="U424" t="str">
        <f>IF(B424=1,MAX($U$2:$U423)+1,IF(AND($T424&lt;&gt;"",$T424=$T423),$U423,IF(B424="x",U423,"")))</f>
        <v/>
      </c>
      <c r="V424" t="str">
        <f>IF(C424=1,MAX($V$2:$V423)+1,IF(AND($T424&lt;&gt;"",$T424=$T423),$U423,IF(C424="x",V423,"")))</f>
        <v/>
      </c>
      <c r="W424" t="str" cm="1">
        <f t="array" ref="W424">IFERROR(_xlfn._xlws.FILTER(game_rosters!AB:AB,(game_rosters!J:J=events!X424)*(K424&lt;&gt;"")),"")</f>
        <v/>
      </c>
      <c r="X424" t="str" cm="1">
        <f t="array" ref="X424">IF(S424="","",IF($I424&lt;&gt;"",$I424,INDEX($I$2:$I423,ROW()-COUNTIFS($T$2:$T423,"="&amp;$T424,$S$2:$S423,"&lt;&gt;"&amp;$S424)-1)))</f>
        <v/>
      </c>
      <c r="Y424" t="b">
        <f>IF(X424&lt;&gt;"",VLOOKUP(X424,game_rosters!$C$43:$E$64,3,FALSE))</f>
        <v>0</v>
      </c>
      <c r="Z424" t="e" cm="1" vm="1">
        <f t="array" aca="1" ref="Z424" ca="1">IFERROR(IF(_xlfn._xlws.FILTER(game_rosters!$J:$J,(game_rosters!$G:$G=events!$AN424)*(game_rosters!$J:$J=events!$X424))&gt;0,1,""),"")</f>
        <v>#VALUE!</v>
      </c>
      <c r="AA424" t="e">
        <f t="shared" si="80"/>
        <v>#VALUE!</v>
      </c>
      <c r="AB424" t="str">
        <f t="shared" si="81"/>
        <v/>
      </c>
      <c r="AC424" t="e">
        <f t="shared" si="79"/>
        <v>#VALUE!</v>
      </c>
      <c r="AD424" s="6"/>
      <c r="BJ424" s="39"/>
      <c r="BM424" s="39"/>
      <c r="BO424" s="19"/>
      <c r="BQ424" s="17"/>
    </row>
    <row r="425" spans="1:69" x14ac:dyDescent="0.2">
      <c r="A425" t="str">
        <f t="shared" si="82"/>
        <v/>
      </c>
      <c r="E425" s="4"/>
      <c r="F425" s="44"/>
      <c r="G425" s="4"/>
      <c r="H425" s="47"/>
      <c r="J425" s="45" t="str">
        <f t="shared" si="83"/>
        <v/>
      </c>
      <c r="N425" t="str">
        <f t="shared" si="85"/>
        <v/>
      </c>
      <c r="Q425" t="str">
        <f t="shared" si="84"/>
        <v/>
      </c>
      <c r="S425" t="str">
        <f>IF(A425=1,MAX(S$2:S424)+1,IF(OR(I425&lt;&gt;"",A425="x"),S424,""))</f>
        <v/>
      </c>
      <c r="T425" t="str">
        <f>IF(D425=1,MAX($T$2:$T424)+1,IF(S425=$S424,$S424,IF($D425="x",T424,IF($D424="x","",""))))</f>
        <v/>
      </c>
      <c r="U425" t="str">
        <f>IF(B425=1,MAX($U$2:$U424)+1,IF(AND($T425&lt;&gt;"",$T425=$T424),$U424,IF(B425="x",U424,"")))</f>
        <v/>
      </c>
      <c r="V425" t="str">
        <f>IF(C425=1,MAX($V$2:$V424)+1,IF(AND($T425&lt;&gt;"",$T425=$T424),$U424,IF(C425="x",V424,"")))</f>
        <v/>
      </c>
      <c r="W425" t="str" cm="1">
        <f t="array" ref="W425">IFERROR(_xlfn._xlws.FILTER(game_rosters!AB:AB,(game_rosters!J:J=events!X425)*(K425&lt;&gt;"")),"")</f>
        <v/>
      </c>
      <c r="X425" t="str" cm="1">
        <f t="array" ref="X425">IF(S425="","",IF($I425&lt;&gt;"",$I425,INDEX($I$2:$I424,ROW()-COUNTIFS($T$2:$T424,"="&amp;$T425,$S$2:$S424,"&lt;&gt;"&amp;$S425)-1)))</f>
        <v/>
      </c>
      <c r="Y425" t="b">
        <f>IF(X425&lt;&gt;"",VLOOKUP(X425,game_rosters!$C$43:$E$64,3,FALSE))</f>
        <v>0</v>
      </c>
      <c r="Z425" t="e" cm="1" vm="1">
        <f t="array" aca="1" ref="Z425" ca="1">IFERROR(IF(_xlfn._xlws.FILTER(game_rosters!$J:$J,(game_rosters!$G:$G=events!$AN425)*(game_rosters!$J:$J=events!$X425))&gt;0,1,""),"")</f>
        <v>#VALUE!</v>
      </c>
      <c r="AA425" t="e">
        <f t="shared" si="80"/>
        <v>#VALUE!</v>
      </c>
      <c r="AB425" t="str">
        <f t="shared" si="81"/>
        <v/>
      </c>
      <c r="AC425" t="e">
        <f t="shared" si="79"/>
        <v>#VALUE!</v>
      </c>
      <c r="AD425" s="6"/>
      <c r="BJ425" s="39"/>
      <c r="BM425" s="39"/>
      <c r="BO425" s="19"/>
      <c r="BQ425" s="17"/>
    </row>
    <row r="426" spans="1:69" x14ac:dyDescent="0.2">
      <c r="A426" t="str">
        <f t="shared" si="82"/>
        <v/>
      </c>
      <c r="E426" s="4"/>
      <c r="F426" s="44"/>
      <c r="G426" s="4"/>
      <c r="H426" s="47"/>
      <c r="J426" s="45" t="str">
        <f t="shared" si="83"/>
        <v/>
      </c>
      <c r="N426" t="str">
        <f t="shared" si="85"/>
        <v/>
      </c>
      <c r="Q426" t="str">
        <f t="shared" si="84"/>
        <v/>
      </c>
      <c r="S426" t="str">
        <f>IF(A426=1,MAX(S$2:S425)+1,IF(OR(I426&lt;&gt;"",A426="x"),S425,""))</f>
        <v/>
      </c>
      <c r="T426" t="str">
        <f>IF(D426=1,MAX($T$2:$T425)+1,IF(S426=$S425,$S425,IF($D426="x",T425,IF($D425="x","",""))))</f>
        <v/>
      </c>
      <c r="U426" t="str">
        <f>IF(B426=1,MAX($U$2:$U425)+1,IF(AND($T426&lt;&gt;"",$T426=$T425),$U425,IF(B426="x",U425,"")))</f>
        <v/>
      </c>
      <c r="V426" t="str">
        <f>IF(C426=1,MAX($V$2:$V425)+1,IF(AND($T426&lt;&gt;"",$T426=$T425),$U425,IF(C426="x",V425,"")))</f>
        <v/>
      </c>
      <c r="W426" t="str" cm="1">
        <f t="array" ref="W426">IFERROR(_xlfn._xlws.FILTER(game_rosters!AB:AB,(game_rosters!J:J=events!X426)*(K426&lt;&gt;"")),"")</f>
        <v/>
      </c>
      <c r="X426" t="str" cm="1">
        <f t="array" ref="X426">IF(S426="","",IF($I426&lt;&gt;"",$I426,INDEX($I$2:$I425,ROW()-COUNTIFS($T$2:$T425,"="&amp;$T426,$S$2:$S425,"&lt;&gt;"&amp;$S426)-1)))</f>
        <v/>
      </c>
      <c r="Y426" t="b">
        <f>IF(X426&lt;&gt;"",VLOOKUP(X426,game_rosters!$C$43:$E$64,3,FALSE))</f>
        <v>0</v>
      </c>
      <c r="Z426" t="e" cm="1" vm="1">
        <f t="array" aca="1" ref="Z426" ca="1">IFERROR(IF(_xlfn._xlws.FILTER(game_rosters!$J:$J,(game_rosters!$G:$G=events!$AN426)*(game_rosters!$J:$J=events!$X426))&gt;0,1,""),"")</f>
        <v>#VALUE!</v>
      </c>
      <c r="AA426" t="e">
        <f t="shared" si="80"/>
        <v>#VALUE!</v>
      </c>
      <c r="AB426" t="str">
        <f t="shared" si="81"/>
        <v/>
      </c>
      <c r="AC426" t="e">
        <f t="shared" si="79"/>
        <v>#VALUE!</v>
      </c>
      <c r="AD426" s="6"/>
      <c r="BJ426" s="39"/>
      <c r="BM426" s="39"/>
      <c r="BO426" s="19"/>
      <c r="BQ426" s="17"/>
    </row>
    <row r="427" spans="1:69" x14ac:dyDescent="0.2">
      <c r="A427" t="str">
        <f t="shared" si="82"/>
        <v/>
      </c>
      <c r="E427" s="4"/>
      <c r="F427" s="44"/>
      <c r="G427" s="4"/>
      <c r="H427" s="47"/>
      <c r="J427" s="45" t="str">
        <f t="shared" si="83"/>
        <v/>
      </c>
      <c r="N427" t="str">
        <f t="shared" si="85"/>
        <v/>
      </c>
      <c r="Q427" t="str">
        <f t="shared" si="84"/>
        <v/>
      </c>
      <c r="S427" t="str">
        <f>IF(A427=1,MAX(S$2:S426)+1,IF(OR(I427&lt;&gt;"",A427="x"),S426,""))</f>
        <v/>
      </c>
      <c r="T427" t="str">
        <f>IF(D427=1,MAX($T$2:$T426)+1,IF(S427=$S426,$S426,IF($D427="x",T426,IF($D426="x","",""))))</f>
        <v/>
      </c>
      <c r="U427" t="str">
        <f>IF(B427=1,MAX($U$2:$U426)+1,IF(AND($T427&lt;&gt;"",$T427=$T426),$U426,IF(B427="x",U426,"")))</f>
        <v/>
      </c>
      <c r="V427" t="str">
        <f>IF(C427=1,MAX($V$2:$V426)+1,IF(AND($T427&lt;&gt;"",$T427=$T426),$U426,IF(C427="x",V426,"")))</f>
        <v/>
      </c>
      <c r="W427" t="str" cm="1">
        <f t="array" ref="W427">IFERROR(_xlfn._xlws.FILTER(game_rosters!AB:AB,(game_rosters!J:J=events!X427)*(K427&lt;&gt;"")),"")</f>
        <v/>
      </c>
      <c r="X427" t="str" cm="1">
        <f t="array" ref="X427">IF(S427="","",IF($I427&lt;&gt;"",$I427,INDEX($I$2:$I426,ROW()-COUNTIFS($T$2:$T426,"="&amp;$T427,$S$2:$S426,"&lt;&gt;"&amp;$S427)-1)))</f>
        <v/>
      </c>
      <c r="Y427" t="b">
        <f>IF(X427&lt;&gt;"",VLOOKUP(X427,game_rosters!$C$43:$E$64,3,FALSE))</f>
        <v>0</v>
      </c>
      <c r="Z427" t="e" cm="1" vm="1">
        <f t="array" aca="1" ref="Z427" ca="1">IFERROR(IF(_xlfn._xlws.FILTER(game_rosters!$J:$J,(game_rosters!$G:$G=events!$AN427)*(game_rosters!$J:$J=events!$X427))&gt;0,1,""),"")</f>
        <v>#VALUE!</v>
      </c>
      <c r="AA427" t="e">
        <f t="shared" si="80"/>
        <v>#VALUE!</v>
      </c>
      <c r="AB427" t="str">
        <f t="shared" si="81"/>
        <v/>
      </c>
      <c r="AC427" t="e">
        <f t="shared" si="79"/>
        <v>#VALUE!</v>
      </c>
      <c r="AD427" s="6"/>
      <c r="BJ427" s="39"/>
      <c r="BM427" s="39"/>
      <c r="BO427" s="19"/>
      <c r="BQ427" s="17"/>
    </row>
    <row r="428" spans="1:69" x14ac:dyDescent="0.2">
      <c r="A428" t="str">
        <f t="shared" si="82"/>
        <v/>
      </c>
      <c r="E428" s="4"/>
      <c r="F428" s="44"/>
      <c r="G428" s="4"/>
      <c r="H428" s="47"/>
      <c r="J428" s="45" t="str">
        <f t="shared" si="83"/>
        <v/>
      </c>
      <c r="N428" t="str">
        <f t="shared" si="85"/>
        <v/>
      </c>
      <c r="Q428" t="str">
        <f t="shared" si="84"/>
        <v/>
      </c>
      <c r="S428" t="str">
        <f>IF(A428=1,MAX(S$2:S427)+1,IF(OR(I428&lt;&gt;"",A428="x"),S427,""))</f>
        <v/>
      </c>
      <c r="T428" t="str">
        <f>IF(D428=1,MAX($T$2:$T427)+1,IF(S428=$S427,$S427,IF($D428="x",T427,IF($D427="x","",""))))</f>
        <v/>
      </c>
      <c r="U428" t="str">
        <f>IF(B428=1,MAX($U$2:$U427)+1,IF(AND($T428&lt;&gt;"",$T428=$T427),$U427,IF(B428="x",U427,"")))</f>
        <v/>
      </c>
      <c r="V428" t="str">
        <f>IF(C428=1,MAX($V$2:$V427)+1,IF(AND($T428&lt;&gt;"",$T428=$T427),$U427,IF(C428="x",V427,"")))</f>
        <v/>
      </c>
      <c r="W428" t="str" cm="1">
        <f t="array" ref="W428">IFERROR(_xlfn._xlws.FILTER(game_rosters!AB:AB,(game_rosters!J:J=events!X428)*(K428&lt;&gt;"")),"")</f>
        <v/>
      </c>
      <c r="X428" t="str" cm="1">
        <f t="array" ref="X428">IF(S428="","",IF($I428&lt;&gt;"",$I428,INDEX($I$2:$I427,ROW()-COUNTIFS($T$2:$T427,"="&amp;$T428,$S$2:$S427,"&lt;&gt;"&amp;$S428)-1)))</f>
        <v/>
      </c>
      <c r="Y428" t="b">
        <f>IF(X428&lt;&gt;"",VLOOKUP(X428,game_rosters!$C$43:$E$64,3,FALSE))</f>
        <v>0</v>
      </c>
      <c r="Z428" t="e" cm="1" vm="1">
        <f t="array" aca="1" ref="Z428" ca="1">IFERROR(IF(_xlfn._xlws.FILTER(game_rosters!$J:$J,(game_rosters!$G:$G=events!$AN428)*(game_rosters!$J:$J=events!$X428))&gt;0,1,""),"")</f>
        <v>#VALUE!</v>
      </c>
      <c r="AA428" t="e">
        <f t="shared" si="80"/>
        <v>#VALUE!</v>
      </c>
      <c r="AB428" t="str">
        <f t="shared" si="81"/>
        <v/>
      </c>
      <c r="AC428" t="e">
        <f t="shared" si="79"/>
        <v>#VALUE!</v>
      </c>
      <c r="AD428" s="6"/>
      <c r="BJ428" s="39"/>
      <c r="BM428" s="39"/>
      <c r="BO428" s="19"/>
      <c r="BQ428" s="17"/>
    </row>
    <row r="429" spans="1:69" x14ac:dyDescent="0.2">
      <c r="A429" t="str">
        <f t="shared" si="82"/>
        <v/>
      </c>
      <c r="E429" s="4"/>
      <c r="F429" s="44"/>
      <c r="G429" s="4"/>
      <c r="H429" s="47"/>
      <c r="J429" s="45" t="str">
        <f t="shared" si="83"/>
        <v/>
      </c>
      <c r="N429" t="str">
        <f t="shared" si="85"/>
        <v/>
      </c>
      <c r="Q429" t="str">
        <f t="shared" si="84"/>
        <v/>
      </c>
      <c r="S429" t="str">
        <f>IF(A429=1,MAX(S$2:S428)+1,IF(OR(I429&lt;&gt;"",A429="x"),S428,""))</f>
        <v/>
      </c>
      <c r="T429" t="str">
        <f>IF(D429=1,MAX($T$2:$T428)+1,IF(S429=$S428,$S428,IF($D429="x",T428,IF($D428="x","",""))))</f>
        <v/>
      </c>
      <c r="U429" t="str">
        <f>IF(B429=1,MAX($U$2:$U428)+1,IF(AND($T429&lt;&gt;"",$T429=$T428),$U428,IF(B429="x",U428,"")))</f>
        <v/>
      </c>
      <c r="V429" t="str">
        <f>IF(C429=1,MAX($V$2:$V428)+1,IF(AND($T429&lt;&gt;"",$T429=$T428),$U428,IF(C429="x",V428,"")))</f>
        <v/>
      </c>
      <c r="W429" t="str" cm="1">
        <f t="array" ref="W429">IFERROR(_xlfn._xlws.FILTER(game_rosters!AB:AB,(game_rosters!J:J=events!X429)*(K429&lt;&gt;"")),"")</f>
        <v/>
      </c>
      <c r="X429" t="str" cm="1">
        <f t="array" ref="X429">IF(S429="","",IF($I429&lt;&gt;"",$I429,INDEX($I$2:$I428,ROW()-COUNTIFS($T$2:$T428,"="&amp;$T429,$S$2:$S428,"&lt;&gt;"&amp;$S429)-1)))</f>
        <v/>
      </c>
      <c r="Y429" t="b">
        <f>IF(X429&lt;&gt;"",VLOOKUP(X429,game_rosters!$C$43:$E$64,3,FALSE))</f>
        <v>0</v>
      </c>
      <c r="Z429" t="e" cm="1" vm="1">
        <f t="array" aca="1" ref="Z429" ca="1">IFERROR(IF(_xlfn._xlws.FILTER(game_rosters!$J:$J,(game_rosters!$G:$G=events!$AN429)*(game_rosters!$J:$J=events!$X429))&gt;0,1,""),"")</f>
        <v>#VALUE!</v>
      </c>
      <c r="AA429" t="e">
        <f t="shared" si="80"/>
        <v>#VALUE!</v>
      </c>
      <c r="AB429" t="str">
        <f t="shared" si="81"/>
        <v/>
      </c>
      <c r="AC429" t="e">
        <f t="shared" si="79"/>
        <v>#VALUE!</v>
      </c>
      <c r="AD429" s="6"/>
      <c r="BJ429" s="39"/>
      <c r="BM429" s="39"/>
      <c r="BO429" s="19"/>
      <c r="BQ429" s="17"/>
    </row>
    <row r="430" spans="1:69" x14ac:dyDescent="0.2">
      <c r="A430" t="str">
        <f t="shared" si="82"/>
        <v/>
      </c>
      <c r="E430" s="4"/>
      <c r="F430" s="44"/>
      <c r="G430" s="4"/>
      <c r="H430" s="47"/>
      <c r="J430" s="45" t="str">
        <f t="shared" si="83"/>
        <v/>
      </c>
      <c r="N430" t="str">
        <f t="shared" si="85"/>
        <v/>
      </c>
      <c r="Q430" t="str">
        <f t="shared" si="84"/>
        <v/>
      </c>
      <c r="S430" t="str">
        <f>IF(A430=1,MAX(S$2:S429)+1,IF(OR(I430&lt;&gt;"",A430="x"),S429,""))</f>
        <v/>
      </c>
      <c r="T430" t="str">
        <f>IF(D430=1,MAX($T$2:$T429)+1,IF(S430=$S429,$S429,IF($D430="x",T429,IF($D429="x","",""))))</f>
        <v/>
      </c>
      <c r="U430" t="str">
        <f>IF(B430=1,MAX($U$2:$U429)+1,IF(AND($T430&lt;&gt;"",$T430=$T429),$U429,IF(B430="x",U429,"")))</f>
        <v/>
      </c>
      <c r="V430" t="str">
        <f>IF(C430=1,MAX($V$2:$V429)+1,IF(AND($T430&lt;&gt;"",$T430=$T429),$U429,IF(C430="x",V429,"")))</f>
        <v/>
      </c>
      <c r="W430" t="str" cm="1">
        <f t="array" ref="W430">IFERROR(_xlfn._xlws.FILTER(game_rosters!AB:AB,(game_rosters!J:J=events!X430)*(K430&lt;&gt;"")),"")</f>
        <v/>
      </c>
      <c r="X430" t="str" cm="1">
        <f t="array" ref="X430">IF(S430="","",IF($I430&lt;&gt;"",$I430,INDEX($I$2:$I429,ROW()-COUNTIFS($T$2:$T429,"="&amp;$T430,$S$2:$S429,"&lt;&gt;"&amp;$S430)-1)))</f>
        <v/>
      </c>
      <c r="Y430" t="b">
        <f>IF(X430&lt;&gt;"",VLOOKUP(X430,game_rosters!$C$43:$E$64,3,FALSE))</f>
        <v>0</v>
      </c>
      <c r="Z430" t="e" cm="1" vm="1">
        <f t="array" aca="1" ref="Z430" ca="1">IFERROR(IF(_xlfn._xlws.FILTER(game_rosters!$J:$J,(game_rosters!$G:$G=events!$AN430)*(game_rosters!$J:$J=events!$X430))&gt;0,1,""),"")</f>
        <v>#VALUE!</v>
      </c>
      <c r="AA430" t="e">
        <f t="shared" si="80"/>
        <v>#VALUE!</v>
      </c>
      <c r="AB430" t="str">
        <f t="shared" si="81"/>
        <v/>
      </c>
      <c r="AC430" t="e">
        <f t="shared" si="79"/>
        <v>#VALUE!</v>
      </c>
      <c r="AD430" s="6"/>
      <c r="BJ430" s="39"/>
      <c r="BM430" s="39"/>
      <c r="BO430" s="19"/>
      <c r="BQ430" s="17"/>
    </row>
    <row r="431" spans="1:69" x14ac:dyDescent="0.2">
      <c r="A431" t="str">
        <f t="shared" si="82"/>
        <v/>
      </c>
      <c r="E431" s="4"/>
      <c r="F431" s="44"/>
      <c r="G431" s="4"/>
      <c r="H431" s="47"/>
      <c r="J431" s="45" t="str">
        <f t="shared" si="83"/>
        <v/>
      </c>
      <c r="N431" t="str">
        <f t="shared" si="85"/>
        <v/>
      </c>
      <c r="Q431" t="str">
        <f t="shared" si="84"/>
        <v/>
      </c>
      <c r="S431" t="str">
        <f>IF(A431=1,MAX(S$2:S430)+1,IF(OR(I431&lt;&gt;"",A431="x"),S430,""))</f>
        <v/>
      </c>
      <c r="T431" t="str">
        <f>IF(D431=1,MAX($T$2:$T430)+1,IF(S431=$S430,$S430,IF($D431="x",T430,IF($D430="x","",""))))</f>
        <v/>
      </c>
      <c r="U431" t="str">
        <f>IF(B431=1,MAX($U$2:$U430)+1,IF(AND($T431&lt;&gt;"",$T431=$T430),$U430,IF(B431="x",U430,"")))</f>
        <v/>
      </c>
      <c r="V431" t="str">
        <f>IF(C431=1,MAX($V$2:$V430)+1,IF(AND($T431&lt;&gt;"",$T431=$T430),$U430,IF(C431="x",V430,"")))</f>
        <v/>
      </c>
      <c r="W431" t="str" cm="1">
        <f t="array" ref="W431">IFERROR(_xlfn._xlws.FILTER(game_rosters!AB:AB,(game_rosters!J:J=events!X431)*(K431&lt;&gt;"")),"")</f>
        <v/>
      </c>
      <c r="X431" t="str" cm="1">
        <f t="array" ref="X431">IF(S431="","",IF($I431&lt;&gt;"",$I431,INDEX($I$2:$I430,ROW()-COUNTIFS($T$2:$T430,"="&amp;$T431,$S$2:$S430,"&lt;&gt;"&amp;$S431)-1)))</f>
        <v/>
      </c>
      <c r="Y431" t="b">
        <f>IF(X431&lt;&gt;"",VLOOKUP(X431,game_rosters!$C$43:$E$64,3,FALSE))</f>
        <v>0</v>
      </c>
      <c r="Z431" t="e" cm="1" vm="1">
        <f t="array" aca="1" ref="Z431" ca="1">IFERROR(IF(_xlfn._xlws.FILTER(game_rosters!$J:$J,(game_rosters!$G:$G=events!$AN431)*(game_rosters!$J:$J=events!$X431))&gt;0,1,""),"")</f>
        <v>#VALUE!</v>
      </c>
      <c r="AA431" t="e">
        <f t="shared" si="80"/>
        <v>#VALUE!</v>
      </c>
      <c r="AB431" t="str">
        <f t="shared" si="81"/>
        <v/>
      </c>
      <c r="AC431" t="e">
        <f t="shared" si="79"/>
        <v>#VALUE!</v>
      </c>
      <c r="AD431" s="6"/>
      <c r="BJ431" s="39"/>
      <c r="BM431" s="39"/>
      <c r="BO431" s="19"/>
      <c r="BQ431" s="17"/>
    </row>
    <row r="432" spans="1:69" x14ac:dyDescent="0.2">
      <c r="A432" t="str">
        <f t="shared" si="82"/>
        <v/>
      </c>
      <c r="E432" s="4"/>
      <c r="F432" s="44"/>
      <c r="G432" s="4"/>
      <c r="H432" s="47"/>
      <c r="J432" s="45" t="str">
        <f t="shared" si="83"/>
        <v/>
      </c>
      <c r="N432" t="str">
        <f t="shared" si="85"/>
        <v/>
      </c>
      <c r="Q432" t="str">
        <f t="shared" si="84"/>
        <v/>
      </c>
      <c r="S432" t="str">
        <f>IF(A432=1,MAX(S$2:S431)+1,IF(OR(I432&lt;&gt;"",A432="x"),S431,""))</f>
        <v/>
      </c>
      <c r="T432" t="str">
        <f>IF(D432=1,MAX($T$2:$T431)+1,IF(S432=$S431,$S431,IF($D432="x",T431,IF($D431="x","",""))))</f>
        <v/>
      </c>
      <c r="U432" t="str">
        <f>IF(B432=1,MAX($U$2:$U431)+1,IF(AND($T432&lt;&gt;"",$T432=$T431),$U431,IF(B432="x",U431,"")))</f>
        <v/>
      </c>
      <c r="V432" t="str">
        <f>IF(C432=1,MAX($V$2:$V431)+1,IF(AND($T432&lt;&gt;"",$T432=$T431),$U431,IF(C432="x",V431,"")))</f>
        <v/>
      </c>
      <c r="W432" t="str" cm="1">
        <f t="array" ref="W432">IFERROR(_xlfn._xlws.FILTER(game_rosters!AB:AB,(game_rosters!J:J=events!X432)*(K432&lt;&gt;"")),"")</f>
        <v/>
      </c>
      <c r="X432" t="str" cm="1">
        <f t="array" ref="X432">IF(S432="","",IF($I432&lt;&gt;"",$I432,INDEX($I$2:$I431,ROW()-COUNTIFS($T$2:$T431,"="&amp;$T432,$S$2:$S431,"&lt;&gt;"&amp;$S432)-1)))</f>
        <v/>
      </c>
      <c r="Y432" t="b">
        <f>IF(X432&lt;&gt;"",VLOOKUP(X432,game_rosters!$C$43:$E$64,3,FALSE))</f>
        <v>0</v>
      </c>
      <c r="Z432" t="e" cm="1" vm="1">
        <f t="array" aca="1" ref="Z432" ca="1">IFERROR(IF(_xlfn._xlws.FILTER(game_rosters!$J:$J,(game_rosters!$G:$G=events!$AN432)*(game_rosters!$J:$J=events!$X432))&gt;0,1,""),"")</f>
        <v>#VALUE!</v>
      </c>
      <c r="AA432" t="e">
        <f t="shared" si="80"/>
        <v>#VALUE!</v>
      </c>
      <c r="AB432" t="str">
        <f t="shared" si="81"/>
        <v/>
      </c>
      <c r="AC432" t="e">
        <f t="shared" si="79"/>
        <v>#VALUE!</v>
      </c>
      <c r="AD432" s="6"/>
      <c r="BJ432" s="39"/>
      <c r="BM432" s="39"/>
      <c r="BO432" s="19"/>
      <c r="BQ432" s="17"/>
    </row>
    <row r="433" spans="1:69" x14ac:dyDescent="0.2">
      <c r="A433" t="str">
        <f t="shared" si="82"/>
        <v/>
      </c>
      <c r="E433" s="4"/>
      <c r="F433" s="44"/>
      <c r="G433" s="4"/>
      <c r="H433" s="47"/>
      <c r="J433" s="45" t="str">
        <f t="shared" si="83"/>
        <v/>
      </c>
      <c r="N433" t="str">
        <f t="shared" si="85"/>
        <v/>
      </c>
      <c r="Q433" t="str">
        <f t="shared" si="84"/>
        <v/>
      </c>
      <c r="S433" t="str">
        <f>IF(A433=1,MAX(S$2:S432)+1,IF(OR(I433&lt;&gt;"",A433="x"),S432,""))</f>
        <v/>
      </c>
      <c r="T433" t="str">
        <f>IF(D433=1,MAX($T$2:$T432)+1,IF(S433=$S432,$S432,IF($D433="x",T432,IF($D432="x","",""))))</f>
        <v/>
      </c>
      <c r="U433" t="str">
        <f>IF(B433=1,MAX($U$2:$U432)+1,IF(AND($T433&lt;&gt;"",$T433=$T432),$U432,IF(B433="x",U432,"")))</f>
        <v/>
      </c>
      <c r="V433" t="str">
        <f>IF(C433=1,MAX($V$2:$V432)+1,IF(AND($T433&lt;&gt;"",$T433=$T432),$U432,IF(C433="x",V432,"")))</f>
        <v/>
      </c>
      <c r="W433" t="str" cm="1">
        <f t="array" ref="W433">IFERROR(_xlfn._xlws.FILTER(game_rosters!AB:AB,(game_rosters!J:J=events!X433)*(K433&lt;&gt;"")),"")</f>
        <v/>
      </c>
      <c r="X433" t="str" cm="1">
        <f t="array" ref="X433">IF(S433="","",IF($I433&lt;&gt;"",$I433,INDEX($I$2:$I432,ROW()-COUNTIFS($T$2:$T432,"="&amp;$T433,$S$2:$S432,"&lt;&gt;"&amp;$S433)-1)))</f>
        <v/>
      </c>
      <c r="Y433" t="b">
        <f>IF(X433&lt;&gt;"",VLOOKUP(X433,game_rosters!$C$43:$E$64,3,FALSE))</f>
        <v>0</v>
      </c>
      <c r="Z433" t="e" cm="1" vm="1">
        <f t="array" aca="1" ref="Z433" ca="1">IFERROR(IF(_xlfn._xlws.FILTER(game_rosters!$J:$J,(game_rosters!$G:$G=events!$AN433)*(game_rosters!$J:$J=events!$X433))&gt;0,1,""),"")</f>
        <v>#VALUE!</v>
      </c>
      <c r="AA433" t="e">
        <f t="shared" si="80"/>
        <v>#VALUE!</v>
      </c>
      <c r="AB433" t="str">
        <f t="shared" si="81"/>
        <v/>
      </c>
      <c r="AC433" t="e">
        <f t="shared" si="79"/>
        <v>#VALUE!</v>
      </c>
      <c r="AD433" s="6"/>
      <c r="BJ433" s="39"/>
      <c r="BM433" s="39"/>
      <c r="BO433" s="19"/>
      <c r="BQ433" s="17"/>
    </row>
    <row r="434" spans="1:69" x14ac:dyDescent="0.2">
      <c r="A434" t="str">
        <f t="shared" si="82"/>
        <v/>
      </c>
      <c r="E434" s="4"/>
      <c r="F434" s="44"/>
      <c r="G434" s="4"/>
      <c r="H434" s="47"/>
      <c r="J434" s="45" t="str">
        <f t="shared" si="83"/>
        <v/>
      </c>
      <c r="N434" t="str">
        <f t="shared" si="85"/>
        <v/>
      </c>
      <c r="Q434" t="str">
        <f t="shared" si="84"/>
        <v/>
      </c>
      <c r="S434" t="str">
        <f>IF(A434=1,MAX(S$2:S433)+1,IF(OR(I434&lt;&gt;"",A434="x"),S433,""))</f>
        <v/>
      </c>
      <c r="T434" t="str">
        <f>IF(D434=1,MAX($T$2:$T433)+1,IF(S434=$S433,$S433,IF($D434="x",T433,IF($D433="x","",""))))</f>
        <v/>
      </c>
      <c r="U434" t="str">
        <f>IF(B434=1,MAX($U$2:$U433)+1,IF(AND($T434&lt;&gt;"",$T434=$T433),$U433,IF(B434="x",U433,"")))</f>
        <v/>
      </c>
      <c r="V434" t="str">
        <f>IF(C434=1,MAX($V$2:$V433)+1,IF(AND($T434&lt;&gt;"",$T434=$T433),$U433,IF(C434="x",V433,"")))</f>
        <v/>
      </c>
      <c r="W434" t="str" cm="1">
        <f t="array" ref="W434">IFERROR(_xlfn._xlws.FILTER(game_rosters!AB:AB,(game_rosters!J:J=events!X434)*(K434&lt;&gt;"")),"")</f>
        <v/>
      </c>
      <c r="X434" t="str" cm="1">
        <f t="array" ref="X434">IF(S434="","",IF($I434&lt;&gt;"",$I434,INDEX($I$2:$I433,ROW()-COUNTIFS($T$2:$T433,"="&amp;$T434,$S$2:$S433,"&lt;&gt;"&amp;$S434)-1)))</f>
        <v/>
      </c>
      <c r="Y434" t="b">
        <f>IF(X434&lt;&gt;"",VLOOKUP(X434,game_rosters!$C$43:$E$64,3,FALSE))</f>
        <v>0</v>
      </c>
      <c r="Z434" t="e" cm="1" vm="1">
        <f t="array" aca="1" ref="Z434" ca="1">IFERROR(IF(_xlfn._xlws.FILTER(game_rosters!$J:$J,(game_rosters!$G:$G=events!$AN434)*(game_rosters!$J:$J=events!$X434))&gt;0,1,""),"")</f>
        <v>#VALUE!</v>
      </c>
      <c r="AA434" t="e">
        <f t="shared" si="80"/>
        <v>#VALUE!</v>
      </c>
      <c r="AB434" t="str">
        <f t="shared" si="81"/>
        <v/>
      </c>
      <c r="AC434" t="e">
        <f t="shared" si="79"/>
        <v>#VALUE!</v>
      </c>
      <c r="AD434" s="6"/>
      <c r="BJ434" s="39"/>
      <c r="BM434" s="39"/>
      <c r="BO434" s="19"/>
      <c r="BQ434" s="17"/>
    </row>
    <row r="435" spans="1:69" x14ac:dyDescent="0.2">
      <c r="A435" t="str">
        <f t="shared" si="82"/>
        <v/>
      </c>
      <c r="E435" s="4"/>
      <c r="F435" s="44"/>
      <c r="G435" s="4"/>
      <c r="H435" s="47"/>
      <c r="J435" s="45" t="str">
        <f t="shared" si="83"/>
        <v/>
      </c>
      <c r="N435" t="str">
        <f t="shared" si="85"/>
        <v/>
      </c>
      <c r="Q435" t="str">
        <f t="shared" si="84"/>
        <v/>
      </c>
      <c r="S435" t="str">
        <f>IF(A435=1,MAX(S$2:S434)+1,IF(OR(I435&lt;&gt;"",A435="x"),S434,""))</f>
        <v/>
      </c>
      <c r="T435" t="str">
        <f>IF(D435=1,MAX($T$2:$T434)+1,IF(S435=$S434,$S434,IF($D435="x",T434,IF($D434="x","",""))))</f>
        <v/>
      </c>
      <c r="U435" t="str">
        <f>IF(B435=1,MAX($U$2:$U434)+1,IF(AND($T435&lt;&gt;"",$T435=$T434),$U434,IF(B435="x",U434,"")))</f>
        <v/>
      </c>
      <c r="V435" t="str">
        <f>IF(C435=1,MAX($V$2:$V434)+1,IF(AND($T435&lt;&gt;"",$T435=$T434),$U434,IF(C435="x",V434,"")))</f>
        <v/>
      </c>
      <c r="W435" t="str" cm="1">
        <f t="array" ref="W435">IFERROR(_xlfn._xlws.FILTER(game_rosters!AB:AB,(game_rosters!J:J=events!X435)*(K435&lt;&gt;"")),"")</f>
        <v/>
      </c>
      <c r="X435" t="str" cm="1">
        <f t="array" ref="X435">IF(S435="","",IF($I435&lt;&gt;"",$I435,INDEX($I$2:$I434,ROW()-COUNTIFS($T$2:$T434,"="&amp;$T435,$S$2:$S434,"&lt;&gt;"&amp;$S435)-1)))</f>
        <v/>
      </c>
      <c r="Y435" t="b">
        <f>IF(X435&lt;&gt;"",VLOOKUP(X435,game_rosters!$C$43:$E$64,3,FALSE))</f>
        <v>0</v>
      </c>
      <c r="Z435" t="e" cm="1" vm="1">
        <f t="array" aca="1" ref="Z435" ca="1">IFERROR(IF(_xlfn._xlws.FILTER(game_rosters!$J:$J,(game_rosters!$G:$G=events!$AN435)*(game_rosters!$J:$J=events!$X435))&gt;0,1,""),"")</f>
        <v>#VALUE!</v>
      </c>
      <c r="AA435" t="e">
        <f t="shared" si="80"/>
        <v>#VALUE!</v>
      </c>
      <c r="AB435" t="str">
        <f t="shared" si="81"/>
        <v/>
      </c>
      <c r="AC435" t="e">
        <f t="shared" si="79"/>
        <v>#VALUE!</v>
      </c>
      <c r="AD435" s="6"/>
      <c r="BJ435" s="39"/>
      <c r="BM435" s="39"/>
      <c r="BO435" s="19"/>
      <c r="BQ435" s="17"/>
    </row>
    <row r="436" spans="1:69" x14ac:dyDescent="0.2">
      <c r="A436" t="str">
        <f t="shared" si="82"/>
        <v/>
      </c>
      <c r="E436" s="4"/>
      <c r="F436" s="44"/>
      <c r="G436" s="4"/>
      <c r="H436" s="47"/>
      <c r="J436" s="45" t="str">
        <f t="shared" si="83"/>
        <v/>
      </c>
      <c r="N436" t="str">
        <f t="shared" si="85"/>
        <v/>
      </c>
      <c r="Q436" t="str">
        <f t="shared" si="84"/>
        <v/>
      </c>
      <c r="S436" t="str">
        <f>IF(A436=1,MAX(S$2:S435)+1,IF(OR(I436&lt;&gt;"",A436="x"),S435,""))</f>
        <v/>
      </c>
      <c r="T436" t="str">
        <f>IF(D436=1,MAX($T$2:$T435)+1,IF(S436=$S435,$S435,IF($D436="x",T435,IF($D435="x","",""))))</f>
        <v/>
      </c>
      <c r="U436" t="str">
        <f>IF(B436=1,MAX($U$2:$U435)+1,IF(AND($T436&lt;&gt;"",$T436=$T435),$U435,IF(B436="x",U435,"")))</f>
        <v/>
      </c>
      <c r="V436" t="str">
        <f>IF(C436=1,MAX($V$2:$V435)+1,IF(AND($T436&lt;&gt;"",$T436=$T435),$U435,IF(C436="x",V435,"")))</f>
        <v/>
      </c>
      <c r="W436" t="str" cm="1">
        <f t="array" ref="W436">IFERROR(_xlfn._xlws.FILTER(game_rosters!AB:AB,(game_rosters!J:J=events!X436)*(K436&lt;&gt;"")),"")</f>
        <v/>
      </c>
      <c r="X436" t="str" cm="1">
        <f t="array" ref="X436">IF(S436="","",IF($I436&lt;&gt;"",$I436,INDEX($I$2:$I435,ROW()-COUNTIFS($T$2:$T435,"="&amp;$T436,$S$2:$S435,"&lt;&gt;"&amp;$S436)-1)))</f>
        <v/>
      </c>
      <c r="Y436" t="b">
        <f>IF(X436&lt;&gt;"",VLOOKUP(X436,game_rosters!$C$43:$E$64,3,FALSE))</f>
        <v>0</v>
      </c>
      <c r="Z436" t="e" cm="1" vm="1">
        <f t="array" aca="1" ref="Z436" ca="1">IFERROR(IF(_xlfn._xlws.FILTER(game_rosters!$J:$J,(game_rosters!$G:$G=events!$AN436)*(game_rosters!$J:$J=events!$X436))&gt;0,1,""),"")</f>
        <v>#VALUE!</v>
      </c>
      <c r="AA436" t="e">
        <f t="shared" si="80"/>
        <v>#VALUE!</v>
      </c>
      <c r="AB436" t="str">
        <f t="shared" si="81"/>
        <v/>
      </c>
      <c r="AC436" t="e">
        <f t="shared" si="79"/>
        <v>#VALUE!</v>
      </c>
      <c r="AD436" s="6"/>
      <c r="BJ436" s="39"/>
      <c r="BM436" s="39"/>
      <c r="BO436" s="19"/>
      <c r="BQ436" s="17"/>
    </row>
    <row r="437" spans="1:69" x14ac:dyDescent="0.2">
      <c r="A437" t="str">
        <f t="shared" si="82"/>
        <v/>
      </c>
      <c r="E437" s="4"/>
      <c r="F437" s="44"/>
      <c r="G437" s="4"/>
      <c r="H437" s="47"/>
      <c r="J437" s="45" t="str">
        <f t="shared" si="83"/>
        <v/>
      </c>
      <c r="N437" t="str">
        <f t="shared" si="85"/>
        <v/>
      </c>
      <c r="Q437" t="str">
        <f t="shared" si="84"/>
        <v/>
      </c>
      <c r="S437" t="str">
        <f>IF(A437=1,MAX(S$2:S436)+1,IF(OR(I437&lt;&gt;"",A437="x"),S436,""))</f>
        <v/>
      </c>
      <c r="T437" t="str">
        <f>IF(D437=1,MAX($T$2:$T436)+1,IF(S437=$S436,$S436,IF($D437="x",T436,IF($D436="x","",""))))</f>
        <v/>
      </c>
      <c r="U437" t="str">
        <f>IF(B437=1,MAX($U$2:$U436)+1,IF(AND($T437&lt;&gt;"",$T437=$T436),$U436,IF(B437="x",U436,"")))</f>
        <v/>
      </c>
      <c r="V437" t="str">
        <f>IF(C437=1,MAX($V$2:$V436)+1,IF(AND($T437&lt;&gt;"",$T437=$T436),$U436,IF(C437="x",V436,"")))</f>
        <v/>
      </c>
      <c r="W437" t="str" cm="1">
        <f t="array" ref="W437">IFERROR(_xlfn._xlws.FILTER(game_rosters!AB:AB,(game_rosters!J:J=events!X437)*(K437&lt;&gt;"")),"")</f>
        <v/>
      </c>
      <c r="X437" t="str" cm="1">
        <f t="array" ref="X437">IF(S437="","",IF($I437&lt;&gt;"",$I437,INDEX($I$2:$I436,ROW()-COUNTIFS($T$2:$T436,"="&amp;$T437,$S$2:$S436,"&lt;&gt;"&amp;$S437)-1)))</f>
        <v/>
      </c>
      <c r="Y437" t="b">
        <f>IF(X437&lt;&gt;"",VLOOKUP(X437,game_rosters!$C$43:$E$64,3,FALSE))</f>
        <v>0</v>
      </c>
      <c r="Z437" t="e" cm="1" vm="1">
        <f t="array" aca="1" ref="Z437" ca="1">IFERROR(IF(_xlfn._xlws.FILTER(game_rosters!$J:$J,(game_rosters!$G:$G=events!$AN437)*(game_rosters!$J:$J=events!$X437))&gt;0,1,""),"")</f>
        <v>#VALUE!</v>
      </c>
      <c r="AA437" t="e">
        <f t="shared" si="80"/>
        <v>#VALUE!</v>
      </c>
      <c r="AB437" t="str">
        <f t="shared" si="81"/>
        <v/>
      </c>
      <c r="AC437" t="e">
        <f t="shared" si="79"/>
        <v>#VALUE!</v>
      </c>
      <c r="AD437" s="6"/>
      <c r="BJ437" s="39"/>
      <c r="BM437" s="39"/>
      <c r="BO437" s="19"/>
      <c r="BQ437" s="17"/>
    </row>
    <row r="438" spans="1:69" x14ac:dyDescent="0.2">
      <c r="A438" t="str">
        <f t="shared" si="82"/>
        <v/>
      </c>
      <c r="E438" s="4"/>
      <c r="F438" s="44"/>
      <c r="G438" s="4"/>
      <c r="H438" s="47"/>
      <c r="J438" s="45" t="str">
        <f t="shared" si="83"/>
        <v/>
      </c>
      <c r="N438" t="str">
        <f t="shared" si="85"/>
        <v/>
      </c>
      <c r="Q438" t="str">
        <f t="shared" si="84"/>
        <v/>
      </c>
      <c r="S438" t="str">
        <f>IF(A438=1,MAX(S$2:S437)+1,IF(OR(I438&lt;&gt;"",A438="x"),S437,""))</f>
        <v/>
      </c>
      <c r="T438" t="str">
        <f>IF(D438=1,MAX($T$2:$T437)+1,IF(S438=$S437,$S437,IF($D438="x",T437,IF($D437="x","",""))))</f>
        <v/>
      </c>
      <c r="U438" t="str">
        <f>IF(B438=1,MAX($U$2:$U437)+1,IF(AND($T438&lt;&gt;"",$T438=$T437),$U437,IF(B438="x",U437,"")))</f>
        <v/>
      </c>
      <c r="V438" t="str">
        <f>IF(C438=1,MAX($V$2:$V437)+1,IF(AND($T438&lt;&gt;"",$T438=$T437),$U437,IF(C438="x",V437,"")))</f>
        <v/>
      </c>
      <c r="W438" t="str" cm="1">
        <f t="array" ref="W438">IFERROR(_xlfn._xlws.FILTER(game_rosters!AB:AB,(game_rosters!J:J=events!X438)*(K438&lt;&gt;"")),"")</f>
        <v/>
      </c>
      <c r="X438" t="str" cm="1">
        <f t="array" ref="X438">IF(S438="","",IF($I438&lt;&gt;"",$I438,INDEX($I$2:$I437,ROW()-COUNTIFS($T$2:$T437,"="&amp;$T438,$S$2:$S437,"&lt;&gt;"&amp;$S438)-1)))</f>
        <v/>
      </c>
      <c r="Y438" t="b">
        <f>IF(X438&lt;&gt;"",VLOOKUP(X438,game_rosters!$C$43:$E$64,3,FALSE))</f>
        <v>0</v>
      </c>
      <c r="Z438" t="e" cm="1" vm="1">
        <f t="array" aca="1" ref="Z438" ca="1">IFERROR(IF(_xlfn._xlws.FILTER(game_rosters!$J:$J,(game_rosters!$G:$G=events!$AN438)*(game_rosters!$J:$J=events!$X438))&gt;0,1,""),"")</f>
        <v>#VALUE!</v>
      </c>
      <c r="AA438" t="e">
        <f t="shared" si="80"/>
        <v>#VALUE!</v>
      </c>
      <c r="AB438" t="str">
        <f t="shared" si="81"/>
        <v/>
      </c>
      <c r="AC438" t="e">
        <f t="shared" si="79"/>
        <v>#VALUE!</v>
      </c>
      <c r="AD438" s="6"/>
      <c r="BJ438" s="39"/>
      <c r="BM438" s="39"/>
      <c r="BO438" s="19"/>
      <c r="BQ438" s="17"/>
    </row>
    <row r="439" spans="1:69" x14ac:dyDescent="0.2">
      <c r="A439" t="str">
        <f t="shared" si="82"/>
        <v/>
      </c>
      <c r="E439" s="4"/>
      <c r="F439" s="44"/>
      <c r="G439" s="4"/>
      <c r="H439" s="47"/>
      <c r="J439" s="45" t="str">
        <f t="shared" si="83"/>
        <v/>
      </c>
      <c r="N439" t="str">
        <f t="shared" si="85"/>
        <v/>
      </c>
      <c r="Q439" t="str">
        <f t="shared" si="84"/>
        <v/>
      </c>
      <c r="S439" t="str">
        <f>IF(A439=1,MAX(S$2:S438)+1,IF(OR(I439&lt;&gt;"",A439="x"),S438,""))</f>
        <v/>
      </c>
      <c r="T439" t="str">
        <f>IF(D439=1,MAX($T$2:$T438)+1,IF(S439=$S438,$S438,IF($D439="x",T438,IF($D438="x","",""))))</f>
        <v/>
      </c>
      <c r="U439" t="str">
        <f>IF(B439=1,MAX($U$2:$U438)+1,IF(AND($T439&lt;&gt;"",$T439=$T438),$U438,IF(B439="x",U438,"")))</f>
        <v/>
      </c>
      <c r="V439" t="str">
        <f>IF(C439=1,MAX($V$2:$V438)+1,IF(AND($T439&lt;&gt;"",$T439=$T438),$U438,IF(C439="x",V438,"")))</f>
        <v/>
      </c>
      <c r="W439" t="str" cm="1">
        <f t="array" ref="W439">IFERROR(_xlfn._xlws.FILTER(game_rosters!AB:AB,(game_rosters!J:J=events!X439)*(K439&lt;&gt;"")),"")</f>
        <v/>
      </c>
      <c r="X439" t="str" cm="1">
        <f t="array" ref="X439">IF(S439="","",IF($I439&lt;&gt;"",$I439,INDEX($I$2:$I438,ROW()-COUNTIFS($T$2:$T438,"="&amp;$T439,$S$2:$S438,"&lt;&gt;"&amp;$S439)-1)))</f>
        <v/>
      </c>
      <c r="Y439" t="b">
        <f>IF(X439&lt;&gt;"",VLOOKUP(X439,game_rosters!$C$43:$E$64,3,FALSE))</f>
        <v>0</v>
      </c>
      <c r="Z439" t="e" cm="1" vm="1">
        <f t="array" aca="1" ref="Z439" ca="1">IFERROR(IF(_xlfn._xlws.FILTER(game_rosters!$J:$J,(game_rosters!$G:$G=events!$AN439)*(game_rosters!$J:$J=events!$X439))&gt;0,1,""),"")</f>
        <v>#VALUE!</v>
      </c>
      <c r="AA439" t="e">
        <f t="shared" si="80"/>
        <v>#VALUE!</v>
      </c>
      <c r="AB439" t="str">
        <f t="shared" si="81"/>
        <v/>
      </c>
      <c r="AC439" t="e">
        <f t="shared" si="79"/>
        <v>#VALUE!</v>
      </c>
      <c r="AD439" s="6"/>
      <c r="BJ439" s="39"/>
      <c r="BM439" s="39"/>
      <c r="BO439" s="19"/>
      <c r="BQ439" s="17"/>
    </row>
    <row r="440" spans="1:69" x14ac:dyDescent="0.2">
      <c r="A440" t="str">
        <f t="shared" si="82"/>
        <v/>
      </c>
      <c r="E440" s="4"/>
      <c r="F440" s="44"/>
      <c r="G440" s="4"/>
      <c r="H440" s="47"/>
      <c r="J440" s="45" t="str">
        <f t="shared" si="83"/>
        <v/>
      </c>
      <c r="N440" t="str">
        <f t="shared" si="85"/>
        <v/>
      </c>
      <c r="Q440" t="str">
        <f t="shared" si="84"/>
        <v/>
      </c>
      <c r="S440" t="str">
        <f>IF(A440=1,MAX(S$2:S439)+1,IF(OR(I440&lt;&gt;"",A440="x"),S439,""))</f>
        <v/>
      </c>
      <c r="T440" t="str">
        <f>IF(D440=1,MAX($T$2:$T439)+1,IF(S440=$S439,$S439,IF($D440="x",T439,IF($D439="x","",""))))</f>
        <v/>
      </c>
      <c r="U440" t="str">
        <f>IF(B440=1,MAX($U$2:$U439)+1,IF(AND($T440&lt;&gt;"",$T440=$T439),$U439,IF(B440="x",U439,"")))</f>
        <v/>
      </c>
      <c r="V440" t="str">
        <f>IF(C440=1,MAX($V$2:$V439)+1,IF(AND($T440&lt;&gt;"",$T440=$T439),$U439,IF(C440="x",V439,"")))</f>
        <v/>
      </c>
      <c r="W440" t="str" cm="1">
        <f t="array" ref="W440">IFERROR(_xlfn._xlws.FILTER(game_rosters!AB:AB,(game_rosters!J:J=events!X440)*(K440&lt;&gt;"")),"")</f>
        <v/>
      </c>
      <c r="X440" t="str" cm="1">
        <f t="array" ref="X440">IF(S440="","",IF($I440&lt;&gt;"",$I440,INDEX($I$2:$I439,ROW()-COUNTIFS($T$2:$T439,"="&amp;$T440,$S$2:$S439,"&lt;&gt;"&amp;$S440)-1)))</f>
        <v/>
      </c>
      <c r="Y440" t="b">
        <f>IF(X440&lt;&gt;"",VLOOKUP(X440,game_rosters!$C$43:$E$64,3,FALSE))</f>
        <v>0</v>
      </c>
      <c r="Z440" t="e" cm="1" vm="1">
        <f t="array" aca="1" ref="Z440" ca="1">IFERROR(IF(_xlfn._xlws.FILTER(game_rosters!$J:$J,(game_rosters!$G:$G=events!$AN440)*(game_rosters!$J:$J=events!$X440))&gt;0,1,""),"")</f>
        <v>#VALUE!</v>
      </c>
      <c r="AA440" t="e">
        <f t="shared" si="80"/>
        <v>#VALUE!</v>
      </c>
      <c r="AB440" t="str">
        <f t="shared" si="81"/>
        <v/>
      </c>
      <c r="AC440" t="e">
        <f t="shared" si="79"/>
        <v>#VALUE!</v>
      </c>
      <c r="AD440" s="6"/>
      <c r="BJ440" s="39"/>
      <c r="BM440" s="39"/>
      <c r="BO440" s="19"/>
      <c r="BQ440" s="17"/>
    </row>
    <row r="441" spans="1:69" x14ac:dyDescent="0.2">
      <c r="A441" t="str">
        <f t="shared" si="82"/>
        <v/>
      </c>
      <c r="E441" s="4"/>
      <c r="F441" s="44"/>
      <c r="G441" s="4"/>
      <c r="H441" s="47"/>
      <c r="J441" s="45" t="str">
        <f t="shared" si="83"/>
        <v/>
      </c>
      <c r="N441" t="str">
        <f t="shared" si="85"/>
        <v/>
      </c>
      <c r="Q441" t="str">
        <f t="shared" si="84"/>
        <v/>
      </c>
      <c r="S441" t="str">
        <f>IF(A441=1,MAX(S$2:S440)+1,IF(OR(I441&lt;&gt;"",A441="x"),S440,""))</f>
        <v/>
      </c>
      <c r="T441" t="str">
        <f>IF(D441=1,MAX($T$2:$T440)+1,IF(S441=$S440,$S440,IF($D441="x",T440,IF($D440="x","",""))))</f>
        <v/>
      </c>
      <c r="U441" t="str">
        <f>IF(B441=1,MAX($U$2:$U440)+1,IF(AND($T441&lt;&gt;"",$T441=$T440),$U440,IF(B441="x",U440,"")))</f>
        <v/>
      </c>
      <c r="V441" t="str">
        <f>IF(C441=1,MAX($V$2:$V440)+1,IF(AND($T441&lt;&gt;"",$T441=$T440),$U440,IF(C441="x",V440,"")))</f>
        <v/>
      </c>
      <c r="W441" t="str" cm="1">
        <f t="array" ref="W441">IFERROR(_xlfn._xlws.FILTER(game_rosters!AB:AB,(game_rosters!J:J=events!X441)*(K441&lt;&gt;"")),"")</f>
        <v/>
      </c>
      <c r="X441" t="str" cm="1">
        <f t="array" ref="X441">IF(S441="","",IF($I441&lt;&gt;"",$I441,INDEX($I$2:$I440,ROW()-COUNTIFS($T$2:$T440,"="&amp;$T441,$S$2:$S440,"&lt;&gt;"&amp;$S441)-1)))</f>
        <v/>
      </c>
      <c r="Y441" t="b">
        <f>IF(X441&lt;&gt;"",VLOOKUP(X441,game_rosters!$C$43:$E$64,3,FALSE))</f>
        <v>0</v>
      </c>
      <c r="Z441" t="e" cm="1" vm="1">
        <f t="array" aca="1" ref="Z441" ca="1">IFERROR(IF(_xlfn._xlws.FILTER(game_rosters!$J:$J,(game_rosters!$G:$G=events!$AN441)*(game_rosters!$J:$J=events!$X441))&gt;0,1,""),"")</f>
        <v>#VALUE!</v>
      </c>
      <c r="AA441" t="e">
        <f t="shared" si="80"/>
        <v>#VALUE!</v>
      </c>
      <c r="AB441" t="str">
        <f t="shared" si="81"/>
        <v/>
      </c>
      <c r="AC441" t="e">
        <f t="shared" si="79"/>
        <v>#VALUE!</v>
      </c>
      <c r="AD441" s="6"/>
      <c r="BJ441" s="39"/>
      <c r="BM441" s="39"/>
      <c r="BO441" s="19"/>
      <c r="BQ441" s="17"/>
    </row>
    <row r="442" spans="1:69" x14ac:dyDescent="0.2">
      <c r="A442" t="str">
        <f t="shared" si="82"/>
        <v/>
      </c>
      <c r="E442" s="4"/>
      <c r="F442" s="44"/>
      <c r="G442" s="4"/>
      <c r="H442" s="47"/>
      <c r="J442" s="45" t="str">
        <f t="shared" si="83"/>
        <v/>
      </c>
      <c r="N442" t="str">
        <f t="shared" si="85"/>
        <v/>
      </c>
      <c r="Q442" t="str">
        <f t="shared" si="84"/>
        <v/>
      </c>
      <c r="S442" t="str">
        <f>IF(A442=1,MAX(S$2:S441)+1,IF(OR(I442&lt;&gt;"",A442="x"),S441,""))</f>
        <v/>
      </c>
      <c r="T442" t="str">
        <f>IF(D442=1,MAX($T$2:$T441)+1,IF(S442=$S441,$S441,IF($D442="x",T441,IF($D441="x","",""))))</f>
        <v/>
      </c>
      <c r="U442" t="str">
        <f>IF(B442=1,MAX($U$2:$U441)+1,IF(AND($T442&lt;&gt;"",$T442=$T441),$U441,IF(B442="x",U441,"")))</f>
        <v/>
      </c>
      <c r="V442" t="str">
        <f>IF(C442=1,MAX($V$2:$V441)+1,IF(AND($T442&lt;&gt;"",$T442=$T441),$U441,IF(C442="x",V441,"")))</f>
        <v/>
      </c>
      <c r="W442" t="str" cm="1">
        <f t="array" ref="W442">IFERROR(_xlfn._xlws.FILTER(game_rosters!AB:AB,(game_rosters!J:J=events!X442)*(K442&lt;&gt;"")),"")</f>
        <v/>
      </c>
      <c r="X442" t="str" cm="1">
        <f t="array" ref="X442">IF(S442="","",IF($I442&lt;&gt;"",$I442,INDEX($I$2:$I441,ROW()-COUNTIFS($T$2:$T441,"="&amp;$T442,$S$2:$S441,"&lt;&gt;"&amp;$S442)-1)))</f>
        <v/>
      </c>
      <c r="Y442" t="b">
        <f>IF(X442&lt;&gt;"",VLOOKUP(X442,game_rosters!$C$43:$E$64,3,FALSE))</f>
        <v>0</v>
      </c>
      <c r="Z442" t="e" cm="1" vm="1">
        <f t="array" aca="1" ref="Z442" ca="1">IFERROR(IF(_xlfn._xlws.FILTER(game_rosters!$J:$J,(game_rosters!$G:$G=events!$AN442)*(game_rosters!$J:$J=events!$X442))&gt;0,1,""),"")</f>
        <v>#VALUE!</v>
      </c>
      <c r="AA442" t="e">
        <f t="shared" si="80"/>
        <v>#VALUE!</v>
      </c>
      <c r="AB442" t="str">
        <f t="shared" si="81"/>
        <v/>
      </c>
      <c r="AC442" t="e">
        <f t="shared" si="79"/>
        <v>#VALUE!</v>
      </c>
      <c r="AD442" s="6"/>
      <c r="BJ442" s="39"/>
      <c r="BM442" s="39"/>
      <c r="BO442" s="19"/>
      <c r="BQ442" s="17"/>
    </row>
    <row r="443" spans="1:69" x14ac:dyDescent="0.2">
      <c r="A443" t="str">
        <f t="shared" si="82"/>
        <v/>
      </c>
      <c r="E443" s="4"/>
      <c r="F443" s="44"/>
      <c r="G443" s="4"/>
      <c r="H443" s="47"/>
      <c r="J443" s="45" t="str">
        <f t="shared" si="83"/>
        <v/>
      </c>
      <c r="N443" t="str">
        <f t="shared" si="85"/>
        <v/>
      </c>
      <c r="Q443" t="str">
        <f t="shared" si="84"/>
        <v/>
      </c>
      <c r="S443" t="str">
        <f>IF(A443=1,MAX(S$2:S442)+1,IF(OR(I443&lt;&gt;"",A443="x"),S442,""))</f>
        <v/>
      </c>
      <c r="T443" t="str">
        <f>IF(D443=1,MAX($T$2:$T442)+1,IF(S443=$S442,$S442,IF($D443="x",T442,IF($D442="x","",""))))</f>
        <v/>
      </c>
      <c r="U443" t="str">
        <f>IF(B443=1,MAX($U$2:$U442)+1,IF(AND($T443&lt;&gt;"",$T443=$T442),$U442,IF(B443="x",U442,"")))</f>
        <v/>
      </c>
      <c r="V443" t="str">
        <f>IF(C443=1,MAX($V$2:$V442)+1,IF(AND($T443&lt;&gt;"",$T443=$T442),$U442,IF(C443="x",V442,"")))</f>
        <v/>
      </c>
      <c r="W443" t="str" cm="1">
        <f t="array" ref="W443">IFERROR(_xlfn._xlws.FILTER(game_rosters!AB:AB,(game_rosters!J:J=events!X443)*(K443&lt;&gt;"")),"")</f>
        <v/>
      </c>
      <c r="X443" t="str" cm="1">
        <f t="array" ref="X443">IF(S443="","",IF($I443&lt;&gt;"",$I443,INDEX($I$2:$I442,ROW()-COUNTIFS($T$2:$T442,"="&amp;$T443,$S$2:$S442,"&lt;&gt;"&amp;$S443)-1)))</f>
        <v/>
      </c>
      <c r="Y443" t="b">
        <f>IF(X443&lt;&gt;"",VLOOKUP(X443,game_rosters!$C$43:$E$64,3,FALSE))</f>
        <v>0</v>
      </c>
      <c r="Z443" t="e" cm="1" vm="1">
        <f t="array" aca="1" ref="Z443" ca="1">IFERROR(IF(_xlfn._xlws.FILTER(game_rosters!$J:$J,(game_rosters!$G:$G=events!$AN443)*(game_rosters!$J:$J=events!$X443))&gt;0,1,""),"")</f>
        <v>#VALUE!</v>
      </c>
      <c r="AA443" t="e">
        <f t="shared" si="80"/>
        <v>#VALUE!</v>
      </c>
      <c r="AB443" t="str">
        <f t="shared" si="81"/>
        <v/>
      </c>
      <c r="AC443" t="e">
        <f t="shared" si="79"/>
        <v>#VALUE!</v>
      </c>
      <c r="AD443" s="6"/>
      <c r="BJ443" s="39"/>
      <c r="BM443" s="39"/>
      <c r="BO443" s="19"/>
      <c r="BQ443" s="17"/>
    </row>
    <row r="444" spans="1:69" x14ac:dyDescent="0.2">
      <c r="A444" t="str">
        <f t="shared" si="82"/>
        <v/>
      </c>
      <c r="E444" s="4"/>
      <c r="F444" s="44"/>
      <c r="G444" s="4"/>
      <c r="H444" s="47"/>
      <c r="J444" s="45" t="str">
        <f t="shared" si="83"/>
        <v/>
      </c>
      <c r="N444" t="str">
        <f t="shared" si="85"/>
        <v/>
      </c>
      <c r="Q444" t="str">
        <f t="shared" si="84"/>
        <v/>
      </c>
      <c r="S444" t="str">
        <f>IF(A444=1,MAX(S$2:S443)+1,IF(OR(I444&lt;&gt;"",A444="x"),S443,""))</f>
        <v/>
      </c>
      <c r="T444" t="str">
        <f>IF(D444=1,MAX($T$2:$T443)+1,IF(S444=$S443,$S443,IF($D444="x",T443,IF($D443="x","",""))))</f>
        <v/>
      </c>
      <c r="U444" t="str">
        <f>IF(B444=1,MAX($U$2:$U443)+1,IF(AND($T444&lt;&gt;"",$T444=$T443),$U443,IF(B444="x",U443,"")))</f>
        <v/>
      </c>
      <c r="V444" t="str">
        <f>IF(C444=1,MAX($V$2:$V443)+1,IF(AND($T444&lt;&gt;"",$T444=$T443),$U443,IF(C444="x",V443,"")))</f>
        <v/>
      </c>
      <c r="W444" t="str" cm="1">
        <f t="array" ref="W444">IFERROR(_xlfn._xlws.FILTER(game_rosters!AB:AB,(game_rosters!J:J=events!X444)*(K444&lt;&gt;"")),"")</f>
        <v/>
      </c>
      <c r="X444" t="str" cm="1">
        <f t="array" ref="X444">IF(S444="","",IF($I444&lt;&gt;"",$I444,INDEX($I$2:$I443,ROW()-COUNTIFS($T$2:$T443,"="&amp;$T444,$S$2:$S443,"&lt;&gt;"&amp;$S444)-1)))</f>
        <v/>
      </c>
      <c r="Y444" t="b">
        <f>IF(X444&lt;&gt;"",VLOOKUP(X444,game_rosters!$C$43:$E$64,3,FALSE))</f>
        <v>0</v>
      </c>
      <c r="Z444" t="e" cm="1" vm="1">
        <f t="array" aca="1" ref="Z444" ca="1">IFERROR(IF(_xlfn._xlws.FILTER(game_rosters!$J:$J,(game_rosters!$G:$G=events!$AN444)*(game_rosters!$J:$J=events!$X444))&gt;0,1,""),"")</f>
        <v>#VALUE!</v>
      </c>
      <c r="AA444" t="e">
        <f t="shared" si="80"/>
        <v>#VALUE!</v>
      </c>
      <c r="AB444" t="str">
        <f t="shared" si="81"/>
        <v/>
      </c>
      <c r="AC444" t="e">
        <f t="shared" si="79"/>
        <v>#VALUE!</v>
      </c>
      <c r="AD444" s="6"/>
      <c r="BJ444" s="39"/>
      <c r="BM444" s="39"/>
      <c r="BO444" s="19"/>
      <c r="BQ444" s="17"/>
    </row>
    <row r="445" spans="1:69" x14ac:dyDescent="0.2">
      <c r="A445" t="str">
        <f t="shared" si="82"/>
        <v/>
      </c>
      <c r="E445" s="4"/>
      <c r="F445" s="44"/>
      <c r="G445" s="4"/>
      <c r="H445" s="47"/>
      <c r="J445" s="45" t="str">
        <f t="shared" si="83"/>
        <v/>
      </c>
      <c r="N445" t="str">
        <f t="shared" si="85"/>
        <v/>
      </c>
      <c r="Q445" t="str">
        <f t="shared" si="84"/>
        <v/>
      </c>
      <c r="S445" t="str">
        <f>IF(A445=1,MAX(S$2:S444)+1,IF(OR(I445&lt;&gt;"",A445="x"),S444,""))</f>
        <v/>
      </c>
      <c r="T445" t="str">
        <f>IF(D445=1,MAX($T$2:$T444)+1,IF(S445=$S444,$S444,IF($D445="x",T444,IF($D444="x","",""))))</f>
        <v/>
      </c>
      <c r="U445" t="str">
        <f>IF(B445=1,MAX($U$2:$U444)+1,IF(AND($T445&lt;&gt;"",$T445=$T444),$U444,IF(B445="x",U444,"")))</f>
        <v/>
      </c>
      <c r="V445" t="str">
        <f>IF(C445=1,MAX($V$2:$V444)+1,IF(AND($T445&lt;&gt;"",$T445=$T444),$U444,IF(C445="x",V444,"")))</f>
        <v/>
      </c>
      <c r="W445" t="str" cm="1">
        <f t="array" ref="W445">IFERROR(_xlfn._xlws.FILTER(game_rosters!AB:AB,(game_rosters!J:J=events!X445)*(K445&lt;&gt;"")),"")</f>
        <v/>
      </c>
      <c r="X445" t="str" cm="1">
        <f t="array" ref="X445">IF(S445="","",IF($I445&lt;&gt;"",$I445,INDEX($I$2:$I444,ROW()-COUNTIFS($T$2:$T444,"="&amp;$T445,$S$2:$S444,"&lt;&gt;"&amp;$S445)-1)))</f>
        <v/>
      </c>
      <c r="Y445" t="b">
        <f>IF(X445&lt;&gt;"",VLOOKUP(X445,game_rosters!$C$43:$E$64,3,FALSE))</f>
        <v>0</v>
      </c>
      <c r="Z445" t="e" cm="1" vm="1">
        <f t="array" aca="1" ref="Z445" ca="1">IFERROR(IF(_xlfn._xlws.FILTER(game_rosters!$J:$J,(game_rosters!$G:$G=events!$AN445)*(game_rosters!$J:$J=events!$X445))&gt;0,1,""),"")</f>
        <v>#VALUE!</v>
      </c>
      <c r="AA445" t="e">
        <f t="shared" si="80"/>
        <v>#VALUE!</v>
      </c>
      <c r="AB445" t="str">
        <f t="shared" si="81"/>
        <v/>
      </c>
      <c r="AC445" t="e">
        <f t="shared" si="79"/>
        <v>#VALUE!</v>
      </c>
      <c r="AD445" s="6"/>
      <c r="BJ445" s="39"/>
      <c r="BM445" s="39"/>
      <c r="BO445" s="19"/>
      <c r="BQ445" s="17"/>
    </row>
    <row r="446" spans="1:69" x14ac:dyDescent="0.2">
      <c r="A446" t="str">
        <f t="shared" si="82"/>
        <v/>
      </c>
      <c r="E446" s="4"/>
      <c r="F446" s="44"/>
      <c r="G446" s="4"/>
      <c r="H446" s="47"/>
      <c r="J446" s="45" t="str">
        <f t="shared" si="83"/>
        <v/>
      </c>
      <c r="N446" t="str">
        <f t="shared" si="85"/>
        <v/>
      </c>
      <c r="Q446" t="str">
        <f t="shared" si="84"/>
        <v/>
      </c>
      <c r="S446" t="str">
        <f>IF(A446=1,MAX(S$2:S445)+1,IF(OR(I446&lt;&gt;"",A446="x"),S445,""))</f>
        <v/>
      </c>
      <c r="T446" t="str">
        <f>IF(D446=1,MAX($T$2:$T445)+1,IF(S446=$S445,$S445,IF($D446="x",T445,IF($D445="x","",""))))</f>
        <v/>
      </c>
      <c r="U446" t="str">
        <f>IF(B446=1,MAX($U$2:$U445)+1,IF(AND($T446&lt;&gt;"",$T446=$T445),$U445,IF(B446="x",U445,"")))</f>
        <v/>
      </c>
      <c r="V446" t="str">
        <f>IF(C446=1,MAX($V$2:$V445)+1,IF(AND($T446&lt;&gt;"",$T446=$T445),$U445,IF(C446="x",V445,"")))</f>
        <v/>
      </c>
      <c r="W446" t="str" cm="1">
        <f t="array" ref="W446">IFERROR(_xlfn._xlws.FILTER(game_rosters!AB:AB,(game_rosters!J:J=events!X446)*(K446&lt;&gt;"")),"")</f>
        <v/>
      </c>
      <c r="X446" t="str" cm="1">
        <f t="array" ref="X446">IF(S446="","",IF($I446&lt;&gt;"",$I446,INDEX($I$2:$I445,ROW()-COUNTIFS($T$2:$T445,"="&amp;$T446,$S$2:$S445,"&lt;&gt;"&amp;$S446)-1)))</f>
        <v/>
      </c>
      <c r="Y446" t="b">
        <f>IF(X446&lt;&gt;"",VLOOKUP(X446,game_rosters!$C$43:$E$64,3,FALSE))</f>
        <v>0</v>
      </c>
      <c r="Z446" t="e" cm="1" vm="1">
        <f t="array" aca="1" ref="Z446" ca="1">IFERROR(IF(_xlfn._xlws.FILTER(game_rosters!$J:$J,(game_rosters!$G:$G=events!$AN446)*(game_rosters!$J:$J=events!$X446))&gt;0,1,""),"")</f>
        <v>#VALUE!</v>
      </c>
      <c r="AA446" t="e">
        <f t="shared" si="80"/>
        <v>#VALUE!</v>
      </c>
      <c r="AB446" t="str">
        <f t="shared" si="81"/>
        <v/>
      </c>
      <c r="AC446" t="e">
        <f t="shared" si="79"/>
        <v>#VALUE!</v>
      </c>
      <c r="AD446" s="6"/>
      <c r="BJ446" s="39"/>
      <c r="BM446" s="39"/>
      <c r="BO446" s="19"/>
      <c r="BQ446" s="17"/>
    </row>
    <row r="447" spans="1:69" x14ac:dyDescent="0.2">
      <c r="A447" t="str">
        <f t="shared" si="82"/>
        <v/>
      </c>
      <c r="E447" s="4"/>
      <c r="F447" s="44"/>
      <c r="G447" s="4"/>
      <c r="H447" s="47"/>
      <c r="J447" s="45" t="str">
        <f t="shared" si="83"/>
        <v/>
      </c>
      <c r="N447" t="str">
        <f t="shared" si="85"/>
        <v/>
      </c>
      <c r="Q447" t="str">
        <f t="shared" si="84"/>
        <v/>
      </c>
      <c r="S447" t="str">
        <f>IF(A447=1,MAX(S$2:S446)+1,IF(OR(I447&lt;&gt;"",A447="x"),S446,""))</f>
        <v/>
      </c>
      <c r="T447" t="str">
        <f>IF(D447=1,MAX($T$2:$T446)+1,IF(S447=$S446,$S446,IF($D447="x",T446,IF($D446="x","",""))))</f>
        <v/>
      </c>
      <c r="U447" t="str">
        <f>IF(B447=1,MAX($U$2:$U446)+1,IF(AND($T447&lt;&gt;"",$T447=$T446),$U446,IF(B447="x",U446,"")))</f>
        <v/>
      </c>
      <c r="V447" t="str">
        <f>IF(C447=1,MAX($V$2:$V446)+1,IF(AND($T447&lt;&gt;"",$T447=$T446),$U446,IF(C447="x",V446,"")))</f>
        <v/>
      </c>
      <c r="W447" t="str" cm="1">
        <f t="array" ref="W447">IFERROR(_xlfn._xlws.FILTER(game_rosters!AB:AB,(game_rosters!J:J=events!X447)*(K447&lt;&gt;"")),"")</f>
        <v/>
      </c>
      <c r="X447" t="str" cm="1">
        <f t="array" ref="X447">IF(S447="","",IF($I447&lt;&gt;"",$I447,INDEX($I$2:$I446,ROW()-COUNTIFS($T$2:$T446,"="&amp;$T447,$S$2:$S446,"&lt;&gt;"&amp;$S447)-1)))</f>
        <v/>
      </c>
      <c r="Y447" t="b">
        <f>IF(X447&lt;&gt;"",VLOOKUP(X447,game_rosters!$C$43:$E$64,3,FALSE))</f>
        <v>0</v>
      </c>
      <c r="Z447" t="e" cm="1" vm="1">
        <f t="array" aca="1" ref="Z447" ca="1">IFERROR(IF(_xlfn._xlws.FILTER(game_rosters!$J:$J,(game_rosters!$G:$G=events!$AN447)*(game_rosters!$J:$J=events!$X447))&gt;0,1,""),"")</f>
        <v>#VALUE!</v>
      </c>
      <c r="AA447" t="e">
        <f t="shared" si="80"/>
        <v>#VALUE!</v>
      </c>
      <c r="AB447" t="str">
        <f t="shared" si="81"/>
        <v/>
      </c>
      <c r="AC447" t="e">
        <f t="shared" si="79"/>
        <v>#VALUE!</v>
      </c>
      <c r="AD447" s="6"/>
      <c r="BJ447" s="39"/>
      <c r="BM447" s="39"/>
      <c r="BO447" s="19"/>
      <c r="BQ447" s="17"/>
    </row>
    <row r="448" spans="1:69" x14ac:dyDescent="0.2">
      <c r="A448" t="str">
        <f t="shared" si="82"/>
        <v/>
      </c>
      <c r="E448" s="4"/>
      <c r="F448" s="44"/>
      <c r="G448" s="4"/>
      <c r="H448" s="47"/>
      <c r="J448" s="45" t="str">
        <f t="shared" si="83"/>
        <v/>
      </c>
      <c r="N448" t="str">
        <f t="shared" si="85"/>
        <v/>
      </c>
      <c r="Q448" t="str">
        <f t="shared" si="84"/>
        <v/>
      </c>
      <c r="S448" t="str">
        <f>IF(A448=1,MAX(S$2:S447)+1,IF(OR(I448&lt;&gt;"",A448="x"),S447,""))</f>
        <v/>
      </c>
      <c r="T448" t="str">
        <f>IF(D448=1,MAX($T$2:$T447)+1,IF(S448=$S447,$S447,IF($D448="x",T447,IF($D447="x","",""))))</f>
        <v/>
      </c>
      <c r="U448" t="str">
        <f>IF(B448=1,MAX($U$2:$U447)+1,IF(AND($T448&lt;&gt;"",$T448=$T447),$U447,IF(B448="x",U447,"")))</f>
        <v/>
      </c>
      <c r="V448" t="str">
        <f>IF(C448=1,MAX($V$2:$V447)+1,IF(AND($T448&lt;&gt;"",$T448=$T447),$U447,IF(C448="x",V447,"")))</f>
        <v/>
      </c>
      <c r="W448" t="str" cm="1">
        <f t="array" ref="W448">IFERROR(_xlfn._xlws.FILTER(game_rosters!AB:AB,(game_rosters!J:J=events!X448)*(K448&lt;&gt;"")),"")</f>
        <v/>
      </c>
      <c r="X448" t="str" cm="1">
        <f t="array" ref="X448">IF(S448="","",IF($I448&lt;&gt;"",$I448,INDEX($I$2:$I447,ROW()-COUNTIFS($T$2:$T447,"="&amp;$T448,$S$2:$S447,"&lt;&gt;"&amp;$S448)-1)))</f>
        <v/>
      </c>
      <c r="Y448" t="b">
        <f>IF(X448&lt;&gt;"",VLOOKUP(X448,game_rosters!$C$43:$E$64,3,FALSE))</f>
        <v>0</v>
      </c>
      <c r="Z448" t="e" cm="1" vm="1">
        <f t="array" aca="1" ref="Z448" ca="1">IFERROR(IF(_xlfn._xlws.FILTER(game_rosters!$J:$J,(game_rosters!$G:$G=events!$AN448)*(game_rosters!$J:$J=events!$X448))&gt;0,1,""),"")</f>
        <v>#VALUE!</v>
      </c>
      <c r="AA448" t="e">
        <f t="shared" si="80"/>
        <v>#VALUE!</v>
      </c>
      <c r="AB448" t="str">
        <f t="shared" si="81"/>
        <v/>
      </c>
      <c r="AC448" t="e">
        <f t="shared" si="79"/>
        <v>#VALUE!</v>
      </c>
      <c r="AD448" s="6"/>
      <c r="BJ448" s="39"/>
      <c r="BM448" s="39"/>
      <c r="BO448" s="19"/>
      <c r="BQ448" s="17"/>
    </row>
    <row r="449" spans="1:69" x14ac:dyDescent="0.2">
      <c r="A449" t="str">
        <f t="shared" si="82"/>
        <v/>
      </c>
      <c r="E449" s="4"/>
      <c r="F449" s="44"/>
      <c r="G449" s="4"/>
      <c r="H449" s="47"/>
      <c r="J449" s="45" t="str">
        <f t="shared" si="83"/>
        <v/>
      </c>
      <c r="N449" t="str">
        <f t="shared" si="85"/>
        <v/>
      </c>
      <c r="Q449" t="str">
        <f t="shared" si="84"/>
        <v/>
      </c>
      <c r="S449" t="str">
        <f>IF(A449=1,MAX(S$2:S448)+1,IF(OR(I449&lt;&gt;"",A449="x"),S448,""))</f>
        <v/>
      </c>
      <c r="T449" t="str">
        <f>IF(D449=1,MAX($T$2:$T448)+1,IF(S449=$S448,$S448,IF($D449="x",T448,IF($D448="x","",""))))</f>
        <v/>
      </c>
      <c r="U449" t="str">
        <f>IF(B449=1,MAX($U$2:$U448)+1,IF(AND($T449&lt;&gt;"",$T449=$T448),$U448,IF(B449="x",U448,"")))</f>
        <v/>
      </c>
      <c r="V449" t="str">
        <f>IF(C449=1,MAX($V$2:$V448)+1,IF(AND($T449&lt;&gt;"",$T449=$T448),$U448,IF(C449="x",V448,"")))</f>
        <v/>
      </c>
      <c r="W449" t="str" cm="1">
        <f t="array" ref="W449">IFERROR(_xlfn._xlws.FILTER(game_rosters!AB:AB,(game_rosters!J:J=events!X449)*(K449&lt;&gt;"")),"")</f>
        <v/>
      </c>
      <c r="X449" t="str" cm="1">
        <f t="array" ref="X449">IF(S449="","",IF($I449&lt;&gt;"",$I449,INDEX($I$2:$I448,ROW()-COUNTIFS($T$2:$T448,"="&amp;$T449,$S$2:$S448,"&lt;&gt;"&amp;$S449)-1)))</f>
        <v/>
      </c>
      <c r="Y449" t="b">
        <f>IF(X449&lt;&gt;"",VLOOKUP(X449,game_rosters!$C$43:$E$64,3,FALSE))</f>
        <v>0</v>
      </c>
      <c r="Z449" t="e" cm="1" vm="1">
        <f t="array" aca="1" ref="Z449" ca="1">IFERROR(IF(_xlfn._xlws.FILTER(game_rosters!$J:$J,(game_rosters!$G:$G=events!$AN449)*(game_rosters!$J:$J=events!$X449))&gt;0,1,""),"")</f>
        <v>#VALUE!</v>
      </c>
      <c r="AA449" t="e">
        <f t="shared" si="80"/>
        <v>#VALUE!</v>
      </c>
      <c r="AB449" t="str">
        <f t="shared" si="81"/>
        <v/>
      </c>
      <c r="AC449" t="e">
        <f t="shared" si="79"/>
        <v>#VALUE!</v>
      </c>
      <c r="AD449" s="6"/>
      <c r="BJ449" s="39"/>
      <c r="BM449" s="39"/>
      <c r="BO449" s="19"/>
      <c r="BQ449" s="17"/>
    </row>
    <row r="450" spans="1:69" x14ac:dyDescent="0.2">
      <c r="A450" t="str">
        <f t="shared" si="82"/>
        <v/>
      </c>
      <c r="E450" s="4"/>
      <c r="F450" s="44"/>
      <c r="G450" s="4"/>
      <c r="H450" s="47"/>
      <c r="J450" s="45" t="str">
        <f t="shared" si="83"/>
        <v/>
      </c>
      <c r="N450" t="str">
        <f t="shared" si="85"/>
        <v/>
      </c>
      <c r="Q450" t="str">
        <f t="shared" si="84"/>
        <v/>
      </c>
      <c r="S450" t="str">
        <f>IF(A450=1,MAX(S$2:S449)+1,IF(OR(I450&lt;&gt;"",A450="x"),S449,""))</f>
        <v/>
      </c>
      <c r="T450" t="str">
        <f>IF(D450=1,MAX($T$2:$T449)+1,IF(S450=$S449,$S449,IF($D450="x",T449,IF($D449="x","",""))))</f>
        <v/>
      </c>
      <c r="U450" t="str">
        <f>IF(B450=1,MAX($U$2:$U449)+1,IF(AND($T450&lt;&gt;"",$T450=$T449),$U449,IF(B450="x",U449,"")))</f>
        <v/>
      </c>
      <c r="V450" t="str">
        <f>IF(C450=1,MAX($V$2:$V449)+1,IF(AND($T450&lt;&gt;"",$T450=$T449),$U449,IF(C450="x",V449,"")))</f>
        <v/>
      </c>
      <c r="W450" t="str" cm="1">
        <f t="array" ref="W450">IFERROR(_xlfn._xlws.FILTER(game_rosters!AB:AB,(game_rosters!J:J=events!X450)*(K450&lt;&gt;"")),"")</f>
        <v/>
      </c>
      <c r="X450" t="str" cm="1">
        <f t="array" ref="X450">IF(S450="","",IF($I450&lt;&gt;"",$I450,INDEX($I$2:$I449,ROW()-COUNTIFS($T$2:$T449,"="&amp;$T450,$S$2:$S449,"&lt;&gt;"&amp;$S450)-1)))</f>
        <v/>
      </c>
      <c r="Y450" t="b">
        <f>IF(X450&lt;&gt;"",VLOOKUP(X450,game_rosters!$C$43:$E$64,3,FALSE))</f>
        <v>0</v>
      </c>
      <c r="Z450" t="e" cm="1" vm="1">
        <f t="array" aca="1" ref="Z450" ca="1">IFERROR(IF(_xlfn._xlws.FILTER(game_rosters!$J:$J,(game_rosters!$G:$G=events!$AN450)*(game_rosters!$J:$J=events!$X450))&gt;0,1,""),"")</f>
        <v>#VALUE!</v>
      </c>
      <c r="AA450" t="e">
        <f t="shared" si="80"/>
        <v>#VALUE!</v>
      </c>
      <c r="AB450" t="str">
        <f t="shared" si="81"/>
        <v/>
      </c>
      <c r="AC450" t="e">
        <f t="shared" ref="AC450:AC513" si="86">IF(AB450&lt;&gt;"",AB450,S450+1000)</f>
        <v>#VALUE!</v>
      </c>
      <c r="AD450" s="6"/>
      <c r="BJ450" s="39"/>
      <c r="BM450" s="39"/>
      <c r="BO450" s="19"/>
      <c r="BQ450" s="17"/>
    </row>
    <row r="451" spans="1:69" x14ac:dyDescent="0.2">
      <c r="A451" t="str">
        <f t="shared" si="82"/>
        <v/>
      </c>
      <c r="E451" s="4"/>
      <c r="F451" s="44"/>
      <c r="G451" s="4"/>
      <c r="H451" s="47"/>
      <c r="J451" s="45" t="str">
        <f t="shared" si="83"/>
        <v/>
      </c>
      <c r="N451" t="str">
        <f t="shared" si="85"/>
        <v/>
      </c>
      <c r="Q451" t="str">
        <f t="shared" si="84"/>
        <v/>
      </c>
      <c r="S451" t="str">
        <f>IF(A451=1,MAX(S$2:S450)+1,IF(OR(I451&lt;&gt;"",A451="x"),S450,""))</f>
        <v/>
      </c>
      <c r="T451" t="str">
        <f>IF(D451=1,MAX($T$2:$T450)+1,IF(S451=$S450,$S450,IF($D451="x",T450,IF($D450="x","",""))))</f>
        <v/>
      </c>
      <c r="U451" t="str">
        <f>IF(B451=1,MAX($U$2:$U450)+1,IF(AND($T451&lt;&gt;"",$T451=$T450),$U450,IF(B451="x",U450,"")))</f>
        <v/>
      </c>
      <c r="V451" t="str">
        <f>IF(C451=1,MAX($V$2:$V450)+1,IF(AND($T451&lt;&gt;"",$T451=$T450),$U450,IF(C451="x",V450,"")))</f>
        <v/>
      </c>
      <c r="W451" t="str" cm="1">
        <f t="array" ref="W451">IFERROR(_xlfn._xlws.FILTER(game_rosters!AB:AB,(game_rosters!J:J=events!X451)*(K451&lt;&gt;"")),"")</f>
        <v/>
      </c>
      <c r="X451" t="str" cm="1">
        <f t="array" ref="X451">IF(S451="","",IF($I451&lt;&gt;"",$I451,INDEX($I$2:$I450,ROW()-COUNTIFS($T$2:$T450,"="&amp;$T451,$S$2:$S450,"&lt;&gt;"&amp;$S451)-1)))</f>
        <v/>
      </c>
      <c r="Y451" t="b">
        <f>IF(X451&lt;&gt;"",VLOOKUP(X451,game_rosters!$C$43:$E$64,3,FALSE))</f>
        <v>0</v>
      </c>
      <c r="Z451" t="e" cm="1" vm="1">
        <f t="array" aca="1" ref="Z451" ca="1">IFERROR(IF(_xlfn._xlws.FILTER(game_rosters!$J:$J,(game_rosters!$G:$G=events!$AN451)*(game_rosters!$J:$J=events!$X451))&gt;0,1,""),"")</f>
        <v>#VALUE!</v>
      </c>
      <c r="AA451" t="e">
        <f t="shared" si="80"/>
        <v>#VALUE!</v>
      </c>
      <c r="AB451" t="str">
        <f t="shared" si="81"/>
        <v/>
      </c>
      <c r="AC451" t="e">
        <f t="shared" si="86"/>
        <v>#VALUE!</v>
      </c>
      <c r="AD451" s="6"/>
      <c r="BJ451" s="39"/>
      <c r="BM451" s="39"/>
      <c r="BO451" s="19"/>
      <c r="BQ451" s="17"/>
    </row>
    <row r="452" spans="1:69" x14ac:dyDescent="0.2">
      <c r="A452" t="str">
        <f t="shared" si="82"/>
        <v/>
      </c>
      <c r="E452" s="4"/>
      <c r="F452" s="44"/>
      <c r="G452" s="4"/>
      <c r="H452" s="47"/>
      <c r="J452" s="45" t="str">
        <f t="shared" si="83"/>
        <v/>
      </c>
      <c r="N452" t="str">
        <f t="shared" si="85"/>
        <v/>
      </c>
      <c r="Q452" t="str">
        <f t="shared" si="84"/>
        <v/>
      </c>
      <c r="S452" t="str">
        <f>IF(A452=1,MAX(S$2:S451)+1,IF(OR(I452&lt;&gt;"",A452="x"),S451,""))</f>
        <v/>
      </c>
      <c r="T452" t="str">
        <f>IF(D452=1,MAX($T$2:$T451)+1,IF(S452=$S451,$S451,IF($D452="x",T451,IF($D451="x","",""))))</f>
        <v/>
      </c>
      <c r="U452" t="str">
        <f>IF(B452=1,MAX($U$2:$U451)+1,IF(AND($T452&lt;&gt;"",$T452=$T451),$U451,IF(B452="x",U451,"")))</f>
        <v/>
      </c>
      <c r="V452" t="str">
        <f>IF(C452=1,MAX($V$2:$V451)+1,IF(AND($T452&lt;&gt;"",$T452=$T451),$U451,IF(C452="x",V451,"")))</f>
        <v/>
      </c>
      <c r="W452" t="str" cm="1">
        <f t="array" ref="W452">IFERROR(_xlfn._xlws.FILTER(game_rosters!AB:AB,(game_rosters!J:J=events!X452)*(K452&lt;&gt;"")),"")</f>
        <v/>
      </c>
      <c r="X452" t="str" cm="1">
        <f t="array" ref="X452">IF(S452="","",IF($I452&lt;&gt;"",$I452,INDEX($I$2:$I451,ROW()-COUNTIFS($T$2:$T451,"="&amp;$T452,$S$2:$S451,"&lt;&gt;"&amp;$S452)-1)))</f>
        <v/>
      </c>
      <c r="Y452" t="b">
        <f>IF(X452&lt;&gt;"",VLOOKUP(X452,game_rosters!$C$43:$E$64,3,FALSE))</f>
        <v>0</v>
      </c>
      <c r="Z452" t="e" cm="1" vm="1">
        <f t="array" aca="1" ref="Z452" ca="1">IFERROR(IF(_xlfn._xlws.FILTER(game_rosters!$J:$J,(game_rosters!$G:$G=events!$AN452)*(game_rosters!$J:$J=events!$X452))&gt;0,1,""),"")</f>
        <v>#VALUE!</v>
      </c>
      <c r="AA452" t="e">
        <f t="shared" ref="AA452:AA515" si="87">S452+1000</f>
        <v>#VALUE!</v>
      </c>
      <c r="AB452" t="str">
        <f t="shared" ref="AB452:AB515" si="88">IF(T452&lt;&gt;"",9000+T452,"")</f>
        <v/>
      </c>
      <c r="AC452" t="e">
        <f t="shared" si="86"/>
        <v>#VALUE!</v>
      </c>
      <c r="AD452" s="6"/>
      <c r="BJ452" s="39"/>
      <c r="BM452" s="39"/>
      <c r="BO452" s="19"/>
      <c r="BQ452" s="17"/>
    </row>
    <row r="453" spans="1:69" x14ac:dyDescent="0.2">
      <c r="A453" t="str">
        <f t="shared" ref="A453:A516" si="89">IF(K453&lt;&gt;"",1,IF(D453="x","x",""))</f>
        <v/>
      </c>
      <c r="E453" s="4"/>
      <c r="F453" s="44"/>
      <c r="G453" s="4"/>
      <c r="H453" s="47"/>
      <c r="J453" s="45" t="str">
        <f t="shared" si="83"/>
        <v/>
      </c>
      <c r="N453" t="str">
        <f t="shared" si="85"/>
        <v/>
      </c>
      <c r="Q453" t="str">
        <f t="shared" si="84"/>
        <v/>
      </c>
      <c r="S453" t="str">
        <f>IF(A453=1,MAX(S$2:S452)+1,IF(OR(I453&lt;&gt;"",A453="x"),S452,""))</f>
        <v/>
      </c>
      <c r="T453" t="str">
        <f>IF(D453=1,MAX($T$2:$T452)+1,IF(S453=$S452,$S452,IF($D453="x",T452,IF($D452="x","",""))))</f>
        <v/>
      </c>
      <c r="U453" t="str">
        <f>IF(B453=1,MAX($U$2:$U452)+1,IF(AND($T453&lt;&gt;"",$T453=$T452),$U452,IF(B453="x",U452,"")))</f>
        <v/>
      </c>
      <c r="V453" t="str">
        <f>IF(C453=1,MAX($V$2:$V452)+1,IF(AND($T453&lt;&gt;"",$T453=$T452),$U452,IF(C453="x",V452,"")))</f>
        <v/>
      </c>
      <c r="W453" t="str" cm="1">
        <f t="array" ref="W453">IFERROR(_xlfn._xlws.FILTER(game_rosters!AB:AB,(game_rosters!J:J=events!X453)*(K453&lt;&gt;"")),"")</f>
        <v/>
      </c>
      <c r="X453" t="str" cm="1">
        <f t="array" ref="X453">IF(S453="","",IF($I453&lt;&gt;"",$I453,INDEX($I$2:$I452,ROW()-COUNTIFS($T$2:$T452,"="&amp;$T453,$S$2:$S452,"&lt;&gt;"&amp;$S453)-1)))</f>
        <v/>
      </c>
      <c r="Y453" t="b">
        <f>IF(X453&lt;&gt;"",VLOOKUP(X453,game_rosters!$C$43:$E$64,3,FALSE))</f>
        <v>0</v>
      </c>
      <c r="Z453" t="e" cm="1" vm="1">
        <f t="array" aca="1" ref="Z453" ca="1">IFERROR(IF(_xlfn._xlws.FILTER(game_rosters!$J:$J,(game_rosters!$G:$G=events!$AN453)*(game_rosters!$J:$J=events!$X453))&gt;0,1,""),"")</f>
        <v>#VALUE!</v>
      </c>
      <c r="AA453" t="e">
        <f t="shared" si="87"/>
        <v>#VALUE!</v>
      </c>
      <c r="AB453" t="str">
        <f t="shared" si="88"/>
        <v/>
      </c>
      <c r="AC453" t="e">
        <f t="shared" si="86"/>
        <v>#VALUE!</v>
      </c>
      <c r="AD453" s="6"/>
      <c r="BJ453" s="39"/>
      <c r="BM453" s="39"/>
      <c r="BO453" s="19"/>
      <c r="BQ453" s="17"/>
    </row>
    <row r="454" spans="1:69" x14ac:dyDescent="0.2">
      <c r="A454" t="str">
        <f t="shared" si="89"/>
        <v/>
      </c>
      <c r="E454" s="4"/>
      <c r="F454" s="44"/>
      <c r="G454" s="4"/>
      <c r="H454" s="47"/>
      <c r="J454" s="45" t="str">
        <f t="shared" ref="J454:J517" si="90">IF(OR(K454="Goal",K454="Shot",L454="Zone_Entry",M454="Stoppage-Goal",M453="Stoppage-Goal"),"o",IF(OR(K454="Save",K454="Rebound",L454="Zone_Exit",M454="Stoppage-GoalieStoppage",M453="Stoppage-GoalieStoppage"),"d",IF(OR(L454="Faceoff_AfterGoal",L454="Faceoff_PeriodStart",698="Faceoff_GameStart",M453="Stoppage-Goal"),"n","")))</f>
        <v/>
      </c>
      <c r="N454" t="str">
        <f t="shared" si="85"/>
        <v/>
      </c>
      <c r="Q454" t="str">
        <f t="shared" si="84"/>
        <v/>
      </c>
      <c r="S454" t="str">
        <f>IF(A454=1,MAX(S$2:S453)+1,IF(OR(I454&lt;&gt;"",A454="x"),S453,""))</f>
        <v/>
      </c>
      <c r="T454" t="str">
        <f>IF(D454=1,MAX($T$2:$T453)+1,IF(S454=$S453,$S453,IF($D454="x",T453,IF($D453="x","",""))))</f>
        <v/>
      </c>
      <c r="U454" t="str">
        <f>IF(B454=1,MAX($U$2:$U453)+1,IF(AND($T454&lt;&gt;"",$T454=$T453),$U453,IF(B454="x",U453,"")))</f>
        <v/>
      </c>
      <c r="V454" t="str">
        <f>IF(C454=1,MAX($V$2:$V453)+1,IF(AND($T454&lt;&gt;"",$T454=$T453),$U453,IF(C454="x",V453,"")))</f>
        <v/>
      </c>
      <c r="W454" t="str" cm="1">
        <f t="array" ref="W454">IFERROR(_xlfn._xlws.FILTER(game_rosters!AB:AB,(game_rosters!J:J=events!X454)*(K454&lt;&gt;"")),"")</f>
        <v/>
      </c>
      <c r="X454" t="str" cm="1">
        <f t="array" ref="X454">IF(S454="","",IF($I454&lt;&gt;"",$I454,INDEX($I$2:$I453,ROW()-COUNTIFS($T$2:$T453,"="&amp;$T454,$S$2:$S453,"&lt;&gt;"&amp;$S454)-1)))</f>
        <v/>
      </c>
      <c r="Y454" t="b">
        <f>IF(X454&lt;&gt;"",VLOOKUP(X454,game_rosters!$C$43:$E$64,3,FALSE))</f>
        <v>0</v>
      </c>
      <c r="Z454" t="e" cm="1" vm="1">
        <f t="array" aca="1" ref="Z454" ca="1">IFERROR(IF(_xlfn._xlws.FILTER(game_rosters!$J:$J,(game_rosters!$G:$G=events!$AN454)*(game_rosters!$J:$J=events!$X454))&gt;0,1,""),"")</f>
        <v>#VALUE!</v>
      </c>
      <c r="AA454" t="e">
        <f t="shared" si="87"/>
        <v>#VALUE!</v>
      </c>
      <c r="AB454" t="str">
        <f t="shared" si="88"/>
        <v/>
      </c>
      <c r="AC454" t="e">
        <f t="shared" si="86"/>
        <v>#VALUE!</v>
      </c>
      <c r="AD454" s="6"/>
      <c r="BJ454" s="39"/>
      <c r="BM454" s="39"/>
      <c r="BO454" s="19"/>
      <c r="BQ454" s="17"/>
    </row>
    <row r="455" spans="1:69" x14ac:dyDescent="0.2">
      <c r="A455" t="str">
        <f t="shared" si="89"/>
        <v/>
      </c>
      <c r="E455" s="4"/>
      <c r="F455" s="44"/>
      <c r="G455" s="4"/>
      <c r="H455" s="47"/>
      <c r="J455" s="45" t="str">
        <f t="shared" si="90"/>
        <v/>
      </c>
      <c r="N455" t="str">
        <f t="shared" si="85"/>
        <v/>
      </c>
      <c r="Q455" t="str">
        <f t="shared" si="84"/>
        <v/>
      </c>
      <c r="S455" t="str">
        <f>IF(A455=1,MAX(S$2:S454)+1,IF(OR(I455&lt;&gt;"",A455="x"),S454,""))</f>
        <v/>
      </c>
      <c r="T455" t="str">
        <f>IF(D455=1,MAX($T$2:$T454)+1,IF(S455=$S454,$S454,IF($D455="x",T454,IF($D454="x","",""))))</f>
        <v/>
      </c>
      <c r="U455" t="str">
        <f>IF(B455=1,MAX($U$2:$U454)+1,IF(AND($T455&lt;&gt;"",$T455=$T454),$U454,IF(B455="x",U454,"")))</f>
        <v/>
      </c>
      <c r="V455" t="str">
        <f>IF(C455=1,MAX($V$2:$V454)+1,IF(AND($T455&lt;&gt;"",$T455=$T454),$U454,IF(C455="x",V454,"")))</f>
        <v/>
      </c>
      <c r="W455" t="str" cm="1">
        <f t="array" ref="W455">IFERROR(_xlfn._xlws.FILTER(game_rosters!AB:AB,(game_rosters!J:J=events!X455)*(K455&lt;&gt;"")),"")</f>
        <v/>
      </c>
      <c r="X455" t="str" cm="1">
        <f t="array" ref="X455">IF(S455="","",IF($I455&lt;&gt;"",$I455,INDEX($I$2:$I454,ROW()-COUNTIFS($T$2:$T454,"="&amp;$T455,$S$2:$S454,"&lt;&gt;"&amp;$S455)-1)))</f>
        <v/>
      </c>
      <c r="Y455" t="b">
        <f>IF(X455&lt;&gt;"",VLOOKUP(X455,game_rosters!$C$43:$E$64,3,FALSE))</f>
        <v>0</v>
      </c>
      <c r="Z455" t="e" cm="1" vm="1">
        <f t="array" aca="1" ref="Z455" ca="1">IFERROR(IF(_xlfn._xlws.FILTER(game_rosters!$J:$J,(game_rosters!$G:$G=events!$AN455)*(game_rosters!$J:$J=events!$X455))&gt;0,1,""),"")</f>
        <v>#VALUE!</v>
      </c>
      <c r="AA455" t="e">
        <f t="shared" si="87"/>
        <v>#VALUE!</v>
      </c>
      <c r="AB455" t="str">
        <f t="shared" si="88"/>
        <v/>
      </c>
      <c r="AC455" t="e">
        <f t="shared" si="86"/>
        <v>#VALUE!</v>
      </c>
      <c r="AD455" s="6"/>
      <c r="BJ455" s="39"/>
      <c r="BM455" s="39"/>
      <c r="BO455" s="19"/>
      <c r="BQ455" s="17"/>
    </row>
    <row r="456" spans="1:69" x14ac:dyDescent="0.2">
      <c r="A456" t="str">
        <f t="shared" si="89"/>
        <v/>
      </c>
      <c r="E456" s="4"/>
      <c r="F456" s="44"/>
      <c r="G456" s="4"/>
      <c r="H456" s="47"/>
      <c r="J456" s="45" t="str">
        <f t="shared" si="90"/>
        <v/>
      </c>
      <c r="N456" t="str">
        <f t="shared" si="85"/>
        <v/>
      </c>
      <c r="Q456" t="str">
        <f t="shared" si="84"/>
        <v/>
      </c>
      <c r="S456" t="str">
        <f>IF(A456=1,MAX(S$2:S455)+1,IF(OR(I456&lt;&gt;"",A456="x"),S455,""))</f>
        <v/>
      </c>
      <c r="T456" t="str">
        <f>IF(D456=1,MAX($T$2:$T455)+1,IF(S456=$S455,$S455,IF($D456="x",T455,IF($D455="x","",""))))</f>
        <v/>
      </c>
      <c r="U456" t="str">
        <f>IF(B456=1,MAX($U$2:$U455)+1,IF(AND($T456&lt;&gt;"",$T456=$T455),$U455,IF(B456="x",U455,"")))</f>
        <v/>
      </c>
      <c r="V456" t="str">
        <f>IF(C456=1,MAX($V$2:$V455)+1,IF(AND($T456&lt;&gt;"",$T456=$T455),$U455,IF(C456="x",V455,"")))</f>
        <v/>
      </c>
      <c r="W456" t="str" cm="1">
        <f t="array" ref="W456">IFERROR(_xlfn._xlws.FILTER(game_rosters!AB:AB,(game_rosters!J:J=events!X456)*(K456&lt;&gt;"")),"")</f>
        <v/>
      </c>
      <c r="X456" t="str" cm="1">
        <f t="array" ref="X456">IF(S456="","",IF($I456&lt;&gt;"",$I456,INDEX($I$2:$I455,ROW()-COUNTIFS($T$2:$T455,"="&amp;$T456,$S$2:$S455,"&lt;&gt;"&amp;$S456)-1)))</f>
        <v/>
      </c>
      <c r="Y456" t="b">
        <f>IF(X456&lt;&gt;"",VLOOKUP(X456,game_rosters!$C$43:$E$64,3,FALSE))</f>
        <v>0</v>
      </c>
      <c r="Z456" t="e" cm="1" vm="1">
        <f t="array" aca="1" ref="Z456" ca="1">IFERROR(IF(_xlfn._xlws.FILTER(game_rosters!$J:$J,(game_rosters!$G:$G=events!$AN456)*(game_rosters!$J:$J=events!$X456))&gt;0,1,""),"")</f>
        <v>#VALUE!</v>
      </c>
      <c r="AA456" t="e">
        <f t="shared" si="87"/>
        <v>#VALUE!</v>
      </c>
      <c r="AB456" t="str">
        <f t="shared" si="88"/>
        <v/>
      </c>
      <c r="AC456" t="e">
        <f t="shared" si="86"/>
        <v>#VALUE!</v>
      </c>
      <c r="AD456" s="6"/>
      <c r="BJ456" s="39"/>
      <c r="BM456" s="39"/>
      <c r="BO456" s="19"/>
      <c r="BQ456" s="17"/>
    </row>
    <row r="457" spans="1:69" x14ac:dyDescent="0.2">
      <c r="A457" t="str">
        <f t="shared" si="89"/>
        <v/>
      </c>
      <c r="E457" s="4"/>
      <c r="F457" s="44"/>
      <c r="G457" s="4"/>
      <c r="H457" s="47"/>
      <c r="J457" s="45" t="str">
        <f t="shared" si="90"/>
        <v/>
      </c>
      <c r="N457" t="str">
        <f t="shared" si="85"/>
        <v/>
      </c>
      <c r="Q457" t="str">
        <f t="shared" si="84"/>
        <v/>
      </c>
      <c r="S457" t="str">
        <f>IF(A457=1,MAX(S$2:S456)+1,IF(OR(I457&lt;&gt;"",A457="x"),S456,""))</f>
        <v/>
      </c>
      <c r="T457" t="str">
        <f>IF(D457=1,MAX($T$2:$T456)+1,IF(S457=$S456,$S456,IF($D457="x",T456,IF($D456="x","",""))))</f>
        <v/>
      </c>
      <c r="U457" t="str">
        <f>IF(B457=1,MAX($U$2:$U456)+1,IF(AND($T457&lt;&gt;"",$T457=$T456),$U456,IF(B457="x",U456,"")))</f>
        <v/>
      </c>
      <c r="V457" t="str">
        <f>IF(C457=1,MAX($V$2:$V456)+1,IF(AND($T457&lt;&gt;"",$T457=$T456),$U456,IF(C457="x",V456,"")))</f>
        <v/>
      </c>
      <c r="W457" t="str" cm="1">
        <f t="array" ref="W457">IFERROR(_xlfn._xlws.FILTER(game_rosters!AB:AB,(game_rosters!J:J=events!X457)*(K457&lt;&gt;"")),"")</f>
        <v/>
      </c>
      <c r="X457" t="str" cm="1">
        <f t="array" ref="X457">IF(S457="","",IF($I457&lt;&gt;"",$I457,INDEX($I$2:$I456,ROW()-COUNTIFS($T$2:$T456,"="&amp;$T457,$S$2:$S456,"&lt;&gt;"&amp;$S457)-1)))</f>
        <v/>
      </c>
      <c r="Y457" t="b">
        <f>IF(X457&lt;&gt;"",VLOOKUP(X457,game_rosters!$C$43:$E$64,3,FALSE))</f>
        <v>0</v>
      </c>
      <c r="Z457" t="e" cm="1" vm="1">
        <f t="array" aca="1" ref="Z457" ca="1">IFERROR(IF(_xlfn._xlws.FILTER(game_rosters!$J:$J,(game_rosters!$G:$G=events!$AN457)*(game_rosters!$J:$J=events!$X457))&gt;0,1,""),"")</f>
        <v>#VALUE!</v>
      </c>
      <c r="AA457" t="e">
        <f t="shared" si="87"/>
        <v>#VALUE!</v>
      </c>
      <c r="AB457" t="str">
        <f t="shared" si="88"/>
        <v/>
      </c>
      <c r="AC457" t="e">
        <f t="shared" si="86"/>
        <v>#VALUE!</v>
      </c>
      <c r="AD457" s="6"/>
      <c r="BJ457" s="39"/>
      <c r="BM457" s="39"/>
      <c r="BO457" s="19"/>
      <c r="BQ457" s="17"/>
    </row>
    <row r="458" spans="1:69" x14ac:dyDescent="0.2">
      <c r="A458" t="str">
        <f t="shared" si="89"/>
        <v/>
      </c>
      <c r="E458" s="4"/>
      <c r="F458" s="44"/>
      <c r="G458" s="4"/>
      <c r="H458" s="47"/>
      <c r="J458" s="45" t="str">
        <f t="shared" si="90"/>
        <v/>
      </c>
      <c r="N458" t="str">
        <f t="shared" si="85"/>
        <v/>
      </c>
      <c r="Q458" t="str">
        <f t="shared" si="84"/>
        <v/>
      </c>
      <c r="S458" t="str">
        <f>IF(A458=1,MAX(S$2:S457)+1,IF(OR(I458&lt;&gt;"",A458="x"),S457,""))</f>
        <v/>
      </c>
      <c r="T458" t="str">
        <f>IF(D458=1,MAX($T$2:$T457)+1,IF(S458=$S457,$S457,IF($D458="x",T457,IF($D457="x","",""))))</f>
        <v/>
      </c>
      <c r="U458" t="str">
        <f>IF(B458=1,MAX($U$2:$U457)+1,IF(AND($T458&lt;&gt;"",$T458=$T457),$U457,IF(B458="x",U457,"")))</f>
        <v/>
      </c>
      <c r="V458" t="str">
        <f>IF(C458=1,MAX($V$2:$V457)+1,IF(AND($T458&lt;&gt;"",$T458=$T457),$U457,IF(C458="x",V457,"")))</f>
        <v/>
      </c>
      <c r="W458" t="str" cm="1">
        <f t="array" ref="W458">IFERROR(_xlfn._xlws.FILTER(game_rosters!AB:AB,(game_rosters!J:J=events!X458)*(K458&lt;&gt;"")),"")</f>
        <v/>
      </c>
      <c r="X458" t="str" cm="1">
        <f t="array" ref="X458">IF(S458="","",IF($I458&lt;&gt;"",$I458,INDEX($I$2:$I457,ROW()-COUNTIFS($T$2:$T457,"="&amp;$T458,$S$2:$S457,"&lt;&gt;"&amp;$S458)-1)))</f>
        <v/>
      </c>
      <c r="Y458" t="b">
        <f>IF(X458&lt;&gt;"",VLOOKUP(X458,game_rosters!$C$43:$E$64,3,FALSE))</f>
        <v>0</v>
      </c>
      <c r="Z458" t="e" cm="1" vm="1">
        <f t="array" aca="1" ref="Z458" ca="1">IFERROR(IF(_xlfn._xlws.FILTER(game_rosters!$J:$J,(game_rosters!$G:$G=events!$AN458)*(game_rosters!$J:$J=events!$X458))&gt;0,1,""),"")</f>
        <v>#VALUE!</v>
      </c>
      <c r="AA458" t="e">
        <f t="shared" si="87"/>
        <v>#VALUE!</v>
      </c>
      <c r="AB458" t="str">
        <f t="shared" si="88"/>
        <v/>
      </c>
      <c r="AC458" t="e">
        <f t="shared" si="86"/>
        <v>#VALUE!</v>
      </c>
      <c r="AD458" s="6"/>
      <c r="BJ458" s="39"/>
      <c r="BM458" s="39"/>
      <c r="BO458" s="19"/>
      <c r="BQ458" s="17"/>
    </row>
    <row r="459" spans="1:69" x14ac:dyDescent="0.2">
      <c r="A459" t="str">
        <f t="shared" si="89"/>
        <v/>
      </c>
      <c r="E459" s="4"/>
      <c r="F459" s="44"/>
      <c r="G459" s="4"/>
      <c r="H459" s="47"/>
      <c r="J459" s="45" t="str">
        <f t="shared" si="90"/>
        <v/>
      </c>
      <c r="N459" t="str">
        <f t="shared" si="85"/>
        <v/>
      </c>
      <c r="Q459" t="str">
        <f t="shared" si="84"/>
        <v/>
      </c>
      <c r="S459" t="str">
        <f>IF(A459=1,MAX(S$2:S458)+1,IF(OR(I459&lt;&gt;"",A459="x"),S458,""))</f>
        <v/>
      </c>
      <c r="T459" t="str">
        <f>IF(D459=1,MAX($T$2:$T458)+1,IF(S459=$S458,$S458,IF($D459="x",T458,IF($D458="x","",""))))</f>
        <v/>
      </c>
      <c r="U459" t="str">
        <f>IF(B459=1,MAX($U$2:$U458)+1,IF(AND($T459&lt;&gt;"",$T459=$T458),$U458,IF(B459="x",U458,"")))</f>
        <v/>
      </c>
      <c r="V459" t="str">
        <f>IF(C459=1,MAX($V$2:$V458)+1,IF(AND($T459&lt;&gt;"",$T459=$T458),$U458,IF(C459="x",V458,"")))</f>
        <v/>
      </c>
      <c r="W459" t="str" cm="1">
        <f t="array" ref="W459">IFERROR(_xlfn._xlws.FILTER(game_rosters!AB:AB,(game_rosters!J:J=events!X459)*(K459&lt;&gt;"")),"")</f>
        <v/>
      </c>
      <c r="X459" t="str" cm="1">
        <f t="array" ref="X459">IF(S459="","",IF($I459&lt;&gt;"",$I459,INDEX($I$2:$I458,ROW()-COUNTIFS($T$2:$T458,"="&amp;$T459,$S$2:$S458,"&lt;&gt;"&amp;$S459)-1)))</f>
        <v/>
      </c>
      <c r="Y459" t="b">
        <f>IF(X459&lt;&gt;"",VLOOKUP(X459,game_rosters!$C$43:$E$64,3,FALSE))</f>
        <v>0</v>
      </c>
      <c r="Z459" t="e" cm="1" vm="1">
        <f t="array" aca="1" ref="Z459" ca="1">IFERROR(IF(_xlfn._xlws.FILTER(game_rosters!$J:$J,(game_rosters!$G:$G=events!$AN459)*(game_rosters!$J:$J=events!$X459))&gt;0,1,""),"")</f>
        <v>#VALUE!</v>
      </c>
      <c r="AA459" t="e">
        <f t="shared" si="87"/>
        <v>#VALUE!</v>
      </c>
      <c r="AB459" t="str">
        <f t="shared" si="88"/>
        <v/>
      </c>
      <c r="AC459" t="e">
        <f t="shared" si="86"/>
        <v>#VALUE!</v>
      </c>
      <c r="AD459" s="6"/>
      <c r="BJ459" s="39"/>
      <c r="BM459" s="39"/>
      <c r="BO459" s="19"/>
      <c r="BQ459" s="17"/>
    </row>
    <row r="460" spans="1:69" x14ac:dyDescent="0.2">
      <c r="A460" t="str">
        <f t="shared" si="89"/>
        <v/>
      </c>
      <c r="E460" s="4"/>
      <c r="F460" s="44"/>
      <c r="G460" s="4"/>
      <c r="H460" s="47"/>
      <c r="J460" s="45" t="str">
        <f t="shared" si="90"/>
        <v/>
      </c>
      <c r="N460" t="str">
        <f t="shared" si="85"/>
        <v/>
      </c>
      <c r="Q460" t="str">
        <f t="shared" si="84"/>
        <v/>
      </c>
      <c r="S460" t="str">
        <f>IF(A460=1,MAX(S$2:S459)+1,IF(OR(I460&lt;&gt;"",A460="x"),S459,""))</f>
        <v/>
      </c>
      <c r="T460" t="str">
        <f>IF(D460=1,MAX($T$2:$T459)+1,IF(S460=$S459,$S459,IF($D460="x",T459,IF($D459="x","",""))))</f>
        <v/>
      </c>
      <c r="U460" t="str">
        <f>IF(B460=1,MAX($U$2:$U459)+1,IF(AND($T460&lt;&gt;"",$T460=$T459),$U459,IF(B460="x",U459,"")))</f>
        <v/>
      </c>
      <c r="V460" t="str">
        <f>IF(C460=1,MAX($V$2:$V459)+1,IF(AND($T460&lt;&gt;"",$T460=$T459),$U459,IF(C460="x",V459,"")))</f>
        <v/>
      </c>
      <c r="W460" t="str" cm="1">
        <f t="array" ref="W460">IFERROR(_xlfn._xlws.FILTER(game_rosters!AB:AB,(game_rosters!J:J=events!X460)*(K460&lt;&gt;"")),"")</f>
        <v/>
      </c>
      <c r="X460" t="str" cm="1">
        <f t="array" ref="X460">IF(S460="","",IF($I460&lt;&gt;"",$I460,INDEX($I$2:$I459,ROW()-COUNTIFS($T$2:$T459,"="&amp;$T460,$S$2:$S459,"&lt;&gt;"&amp;$S460)-1)))</f>
        <v/>
      </c>
      <c r="Y460" t="b">
        <f>IF(X460&lt;&gt;"",VLOOKUP(X460,game_rosters!$C$43:$E$64,3,FALSE))</f>
        <v>0</v>
      </c>
      <c r="Z460" t="e" cm="1" vm="1">
        <f t="array" aca="1" ref="Z460" ca="1">IFERROR(IF(_xlfn._xlws.FILTER(game_rosters!$J:$J,(game_rosters!$G:$G=events!$AN460)*(game_rosters!$J:$J=events!$X460))&gt;0,1,""),"")</f>
        <v>#VALUE!</v>
      </c>
      <c r="AA460" t="e">
        <f t="shared" si="87"/>
        <v>#VALUE!</v>
      </c>
      <c r="AB460" t="str">
        <f t="shared" si="88"/>
        <v/>
      </c>
      <c r="AC460" t="e">
        <f t="shared" si="86"/>
        <v>#VALUE!</v>
      </c>
      <c r="AD460" s="6"/>
      <c r="BJ460" s="39"/>
      <c r="BM460" s="39"/>
      <c r="BO460" s="19"/>
      <c r="BQ460" s="17"/>
    </row>
    <row r="461" spans="1:69" x14ac:dyDescent="0.2">
      <c r="A461" t="str">
        <f t="shared" si="89"/>
        <v/>
      </c>
      <c r="E461" s="4"/>
      <c r="F461" s="44"/>
      <c r="G461" s="4"/>
      <c r="H461" s="47"/>
      <c r="J461" s="45" t="str">
        <f t="shared" si="90"/>
        <v/>
      </c>
      <c r="N461" t="str">
        <f t="shared" si="85"/>
        <v/>
      </c>
      <c r="Q461" t="str">
        <f t="shared" si="84"/>
        <v/>
      </c>
      <c r="S461" t="str">
        <f>IF(A461=1,MAX(S$2:S460)+1,IF(OR(I461&lt;&gt;"",A461="x"),S460,""))</f>
        <v/>
      </c>
      <c r="T461" t="str">
        <f>IF(D461=1,MAX($T$2:$T460)+1,IF(S461=$S460,$S460,IF($D461="x",T460,IF($D460="x","",""))))</f>
        <v/>
      </c>
      <c r="U461" t="str">
        <f>IF(B461=1,MAX($U$2:$U460)+1,IF(AND($T461&lt;&gt;"",$T461=$T460),$U460,IF(B461="x",U460,"")))</f>
        <v/>
      </c>
      <c r="V461" t="str">
        <f>IF(C461=1,MAX($V$2:$V460)+1,IF(AND($T461&lt;&gt;"",$T461=$T460),$U460,IF(C461="x",V460,"")))</f>
        <v/>
      </c>
      <c r="W461" t="str" cm="1">
        <f t="array" ref="W461">IFERROR(_xlfn._xlws.FILTER(game_rosters!AB:AB,(game_rosters!J:J=events!X461)*(K461&lt;&gt;"")),"")</f>
        <v/>
      </c>
      <c r="X461" t="str" cm="1">
        <f t="array" ref="X461">IF(S461="","",IF($I461&lt;&gt;"",$I461,INDEX($I$2:$I460,ROW()-COUNTIFS($T$2:$T460,"="&amp;$T461,$S$2:$S460,"&lt;&gt;"&amp;$S461)-1)))</f>
        <v/>
      </c>
      <c r="Y461" t="b">
        <f>IF(X461&lt;&gt;"",VLOOKUP(X461,game_rosters!$C$43:$E$64,3,FALSE))</f>
        <v>0</v>
      </c>
      <c r="Z461" t="e" cm="1" vm="1">
        <f t="array" aca="1" ref="Z461" ca="1">IFERROR(IF(_xlfn._xlws.FILTER(game_rosters!$J:$J,(game_rosters!$G:$G=events!$AN461)*(game_rosters!$J:$J=events!$X461))&gt;0,1,""),"")</f>
        <v>#VALUE!</v>
      </c>
      <c r="AA461" t="e">
        <f t="shared" si="87"/>
        <v>#VALUE!</v>
      </c>
      <c r="AB461" t="str">
        <f t="shared" si="88"/>
        <v/>
      </c>
      <c r="AC461" t="e">
        <f t="shared" si="86"/>
        <v>#VALUE!</v>
      </c>
      <c r="AD461" s="6"/>
      <c r="BJ461" s="39"/>
      <c r="BM461" s="39"/>
      <c r="BO461" s="19"/>
      <c r="BQ461" s="17"/>
    </row>
    <row r="462" spans="1:69" x14ac:dyDescent="0.2">
      <c r="A462" t="str">
        <f t="shared" si="89"/>
        <v/>
      </c>
      <c r="E462" s="4"/>
      <c r="F462" s="44"/>
      <c r="G462" s="4"/>
      <c r="H462" s="47"/>
      <c r="J462" s="45" t="str">
        <f t="shared" si="90"/>
        <v/>
      </c>
      <c r="N462" t="str">
        <f t="shared" si="85"/>
        <v/>
      </c>
      <c r="Q462" t="str">
        <f t="shared" si="84"/>
        <v/>
      </c>
      <c r="S462" t="str">
        <f>IF(A462=1,MAX(S$2:S461)+1,IF(OR(I462&lt;&gt;"",A462="x"),S461,""))</f>
        <v/>
      </c>
      <c r="T462" t="str">
        <f>IF(D462=1,MAX($T$2:$T461)+1,IF(S462=$S461,$S461,IF($D462="x",T461,IF($D461="x","",""))))</f>
        <v/>
      </c>
      <c r="U462" t="str">
        <f>IF(B462=1,MAX($U$2:$U461)+1,IF(AND($T462&lt;&gt;"",$T462=$T461),$U461,IF(B462="x",U461,"")))</f>
        <v/>
      </c>
      <c r="V462" t="str">
        <f>IF(C462=1,MAX($V$2:$V461)+1,IF(AND($T462&lt;&gt;"",$T462=$T461),$U461,IF(C462="x",V461,"")))</f>
        <v/>
      </c>
      <c r="W462" t="str" cm="1">
        <f t="array" ref="W462">IFERROR(_xlfn._xlws.FILTER(game_rosters!AB:AB,(game_rosters!J:J=events!X462)*(K462&lt;&gt;"")),"")</f>
        <v/>
      </c>
      <c r="X462" t="str" cm="1">
        <f t="array" ref="X462">IF(S462="","",IF($I462&lt;&gt;"",$I462,INDEX($I$2:$I461,ROW()-COUNTIFS($T$2:$T461,"="&amp;$T462,$S$2:$S461,"&lt;&gt;"&amp;$S462)-1)))</f>
        <v/>
      </c>
      <c r="Y462" t="b">
        <f>IF(X462&lt;&gt;"",VLOOKUP(X462,game_rosters!$C$43:$E$64,3,FALSE))</f>
        <v>0</v>
      </c>
      <c r="Z462" t="e" cm="1" vm="1">
        <f t="array" aca="1" ref="Z462" ca="1">IFERROR(IF(_xlfn._xlws.FILTER(game_rosters!$J:$J,(game_rosters!$G:$G=events!$AN462)*(game_rosters!$J:$J=events!$X462))&gt;0,1,""),"")</f>
        <v>#VALUE!</v>
      </c>
      <c r="AA462" t="e">
        <f t="shared" si="87"/>
        <v>#VALUE!</v>
      </c>
      <c r="AB462" t="str">
        <f t="shared" si="88"/>
        <v/>
      </c>
      <c r="AC462" t="e">
        <f t="shared" si="86"/>
        <v>#VALUE!</v>
      </c>
      <c r="AD462" s="6"/>
      <c r="BJ462" s="39"/>
      <c r="BM462" s="39"/>
      <c r="BO462" s="19"/>
      <c r="BQ462" s="17"/>
    </row>
    <row r="463" spans="1:69" x14ac:dyDescent="0.2">
      <c r="A463" t="str">
        <f t="shared" si="89"/>
        <v/>
      </c>
      <c r="E463" s="4"/>
      <c r="F463" s="44"/>
      <c r="G463" s="4"/>
      <c r="H463" s="47"/>
      <c r="J463" s="45" t="str">
        <f t="shared" si="90"/>
        <v/>
      </c>
      <c r="N463" t="str">
        <f t="shared" si="85"/>
        <v/>
      </c>
      <c r="Q463" t="str">
        <f t="shared" si="84"/>
        <v/>
      </c>
      <c r="S463" t="str">
        <f>IF(A463=1,MAX(S$2:S462)+1,IF(OR(I463&lt;&gt;"",A463="x"),S462,""))</f>
        <v/>
      </c>
      <c r="T463" t="str">
        <f>IF(D463=1,MAX($T$2:$T462)+1,IF(S463=$S462,$S462,IF($D463="x",T462,IF($D462="x","",""))))</f>
        <v/>
      </c>
      <c r="U463" t="str">
        <f>IF(B463=1,MAX($U$2:$U462)+1,IF(AND($T463&lt;&gt;"",$T463=$T462),$U462,IF(B463="x",U462,"")))</f>
        <v/>
      </c>
      <c r="V463" t="str">
        <f>IF(C463=1,MAX($V$2:$V462)+1,IF(AND($T463&lt;&gt;"",$T463=$T462),$U462,IF(C463="x",V462,"")))</f>
        <v/>
      </c>
      <c r="W463" t="str" cm="1">
        <f t="array" ref="W463">IFERROR(_xlfn._xlws.FILTER(game_rosters!AB:AB,(game_rosters!J:J=events!X463)*(K463&lt;&gt;"")),"")</f>
        <v/>
      </c>
      <c r="X463" t="str" cm="1">
        <f t="array" ref="X463">IF(S463="","",IF($I463&lt;&gt;"",$I463,INDEX($I$2:$I462,ROW()-COUNTIFS($T$2:$T462,"="&amp;$T463,$S$2:$S462,"&lt;&gt;"&amp;$S463)-1)))</f>
        <v/>
      </c>
      <c r="Y463" t="b">
        <f>IF(X463&lt;&gt;"",VLOOKUP(X463,game_rosters!$C$43:$E$64,3,FALSE))</f>
        <v>0</v>
      </c>
      <c r="Z463" t="e" cm="1" vm="1">
        <f t="array" aca="1" ref="Z463" ca="1">IFERROR(IF(_xlfn._xlws.FILTER(game_rosters!$J:$J,(game_rosters!$G:$G=events!$AN463)*(game_rosters!$J:$J=events!$X463))&gt;0,1,""),"")</f>
        <v>#VALUE!</v>
      </c>
      <c r="AA463" t="e">
        <f t="shared" si="87"/>
        <v>#VALUE!</v>
      </c>
      <c r="AB463" t="str">
        <f t="shared" si="88"/>
        <v/>
      </c>
      <c r="AC463" t="e">
        <f t="shared" si="86"/>
        <v>#VALUE!</v>
      </c>
      <c r="AD463" s="6"/>
      <c r="BJ463" s="39"/>
      <c r="BM463" s="39"/>
      <c r="BO463" s="19"/>
      <c r="BQ463" s="17"/>
    </row>
    <row r="464" spans="1:69" x14ac:dyDescent="0.2">
      <c r="A464" t="str">
        <f t="shared" si="89"/>
        <v/>
      </c>
      <c r="E464" s="4"/>
      <c r="F464" s="44"/>
      <c r="G464" s="4"/>
      <c r="H464" s="47"/>
      <c r="J464" s="45" t="str">
        <f t="shared" si="90"/>
        <v/>
      </c>
      <c r="N464" t="str">
        <f t="shared" si="85"/>
        <v/>
      </c>
      <c r="Q464" t="str">
        <f t="shared" ref="Q464:Q527" si="91">IF(O464="","",IF(AND(N464&lt;&gt;"",OR(O464&lt;&gt;"",P464&lt;&gt;"")),N464,IF(OR(ISNUMBER(SEARCH("attemp",O464)),ISNUMBER(SEARCH("beat",O464)),ISNUMBER(SEARCH("mis",O464)),ISNUMBER(SEARCH("fail",O464)),ISNUMBER(SEARCH("loss",O464)),ISNUMBER(SEARCH("lost",O464)),ISNUMBER(SEARCH("attemp",P464)),ISNUMBER(SEARCH("mis",P464)),ISNUMBER(SEARCH("fail",P464)),ISNUMBER(SEARCH("loss",P464)),ISNUMBER(SEARCH("beat",P464)),ISNUMBER(SEARCH("lost",P464))),"u","")))</f>
        <v/>
      </c>
      <c r="S464" t="str">
        <f>IF(A464=1,MAX(S$2:S463)+1,IF(OR(I464&lt;&gt;"",A464="x"),S463,""))</f>
        <v/>
      </c>
      <c r="T464" t="str">
        <f>IF(D464=1,MAX($T$2:$T463)+1,IF(S464=$S463,$S463,IF($D464="x",T463,IF($D463="x","",""))))</f>
        <v/>
      </c>
      <c r="U464" t="str">
        <f>IF(B464=1,MAX($U$2:$U463)+1,IF(AND($T464&lt;&gt;"",$T464=$T463),$U463,IF(B464="x",U463,"")))</f>
        <v/>
      </c>
      <c r="V464" t="str">
        <f>IF(C464=1,MAX($V$2:$V463)+1,IF(AND($T464&lt;&gt;"",$T464=$T463),$U463,IF(C464="x",V463,"")))</f>
        <v/>
      </c>
      <c r="W464" t="str" cm="1">
        <f t="array" ref="W464">IFERROR(_xlfn._xlws.FILTER(game_rosters!AB:AB,(game_rosters!J:J=events!X464)*(K464&lt;&gt;"")),"")</f>
        <v/>
      </c>
      <c r="X464" t="str" cm="1">
        <f t="array" ref="X464">IF(S464="","",IF($I464&lt;&gt;"",$I464,INDEX($I$2:$I463,ROW()-COUNTIFS($T$2:$T463,"="&amp;$T464,$S$2:$S463,"&lt;&gt;"&amp;$S464)-1)))</f>
        <v/>
      </c>
      <c r="Y464" t="b">
        <f>IF(X464&lt;&gt;"",VLOOKUP(X464,game_rosters!$C$43:$E$64,3,FALSE))</f>
        <v>0</v>
      </c>
      <c r="Z464" t="e" cm="1" vm="1">
        <f t="array" aca="1" ref="Z464" ca="1">IFERROR(IF(_xlfn._xlws.FILTER(game_rosters!$J:$J,(game_rosters!$G:$G=events!$AN464)*(game_rosters!$J:$J=events!$X464))&gt;0,1,""),"")</f>
        <v>#VALUE!</v>
      </c>
      <c r="AA464" t="e">
        <f t="shared" si="87"/>
        <v>#VALUE!</v>
      </c>
      <c r="AB464" t="str">
        <f t="shared" si="88"/>
        <v/>
      </c>
      <c r="AC464" t="e">
        <f t="shared" si="86"/>
        <v>#VALUE!</v>
      </c>
      <c r="AD464" s="6"/>
      <c r="BJ464" s="39"/>
      <c r="BM464" s="39"/>
      <c r="BO464" s="19"/>
      <c r="BQ464" s="17"/>
    </row>
    <row r="465" spans="1:69" x14ac:dyDescent="0.2">
      <c r="A465" t="str">
        <f t="shared" si="89"/>
        <v/>
      </c>
      <c r="E465" s="4"/>
      <c r="F465" s="44"/>
      <c r="G465" s="4"/>
      <c r="H465" s="47"/>
      <c r="J465" s="45" t="str">
        <f t="shared" si="90"/>
        <v/>
      </c>
      <c r="N465" t="str">
        <f t="shared" si="85"/>
        <v/>
      </c>
      <c r="Q465" t="str">
        <f t="shared" si="91"/>
        <v/>
      </c>
      <c r="S465" t="str">
        <f>IF(A465=1,MAX(S$2:S464)+1,IF(OR(I465&lt;&gt;"",A465="x"),S464,""))</f>
        <v/>
      </c>
      <c r="T465" t="str">
        <f>IF(D465=1,MAX($T$2:$T464)+1,IF(S465=$S464,$S464,IF($D465="x",T464,IF($D464="x","",""))))</f>
        <v/>
      </c>
      <c r="U465" t="str">
        <f>IF(B465=1,MAX($U$2:$U464)+1,IF(AND($T465&lt;&gt;"",$T465=$T464),$U464,IF(B465="x",U464,"")))</f>
        <v/>
      </c>
      <c r="V465" t="str">
        <f>IF(C465=1,MAX($V$2:$V464)+1,IF(AND($T465&lt;&gt;"",$T465=$T464),$U464,IF(C465="x",V464,"")))</f>
        <v/>
      </c>
      <c r="W465" t="str" cm="1">
        <f t="array" ref="W465">IFERROR(_xlfn._xlws.FILTER(game_rosters!AB:AB,(game_rosters!J:J=events!X465)*(K465&lt;&gt;"")),"")</f>
        <v/>
      </c>
      <c r="X465" t="str" cm="1">
        <f t="array" ref="X465">IF(S465="","",IF($I465&lt;&gt;"",$I465,INDEX($I$2:$I464,ROW()-COUNTIFS($T$2:$T464,"="&amp;$T465,$S$2:$S464,"&lt;&gt;"&amp;$S465)-1)))</f>
        <v/>
      </c>
      <c r="Y465" t="b">
        <f>IF(X465&lt;&gt;"",VLOOKUP(X465,game_rosters!$C$43:$E$64,3,FALSE))</f>
        <v>0</v>
      </c>
      <c r="Z465" t="e" cm="1" vm="1">
        <f t="array" aca="1" ref="Z465" ca="1">IFERROR(IF(_xlfn._xlws.FILTER(game_rosters!$J:$J,(game_rosters!$G:$G=events!$AN465)*(game_rosters!$J:$J=events!$X465))&gt;0,1,""),"")</f>
        <v>#VALUE!</v>
      </c>
      <c r="AA465" t="e">
        <f t="shared" si="87"/>
        <v>#VALUE!</v>
      </c>
      <c r="AB465" t="str">
        <f t="shared" si="88"/>
        <v/>
      </c>
      <c r="AC465" t="e">
        <f t="shared" si="86"/>
        <v>#VALUE!</v>
      </c>
      <c r="AD465" s="6"/>
      <c r="BJ465" s="39"/>
      <c r="BM465" s="39"/>
      <c r="BO465" s="19"/>
      <c r="BQ465" s="17"/>
    </row>
    <row r="466" spans="1:69" x14ac:dyDescent="0.2">
      <c r="A466" t="str">
        <f t="shared" si="89"/>
        <v/>
      </c>
      <c r="E466" s="4"/>
      <c r="F466" s="44"/>
      <c r="G466" s="4"/>
      <c r="H466" s="47"/>
      <c r="J466" s="45" t="str">
        <f t="shared" si="90"/>
        <v/>
      </c>
      <c r="N466" t="str">
        <f t="shared" si="85"/>
        <v/>
      </c>
      <c r="Q466" t="str">
        <f t="shared" si="91"/>
        <v/>
      </c>
      <c r="S466" t="str">
        <f>IF(A466=1,MAX(S$2:S465)+1,IF(OR(I466&lt;&gt;"",A466="x"),S465,""))</f>
        <v/>
      </c>
      <c r="T466" t="str">
        <f>IF(D466=1,MAX($T$2:$T465)+1,IF(S466=$S465,$S465,IF($D466="x",T465,IF($D465="x","",""))))</f>
        <v/>
      </c>
      <c r="U466" t="str">
        <f>IF(B466=1,MAX($U$2:$U465)+1,IF(AND($T466&lt;&gt;"",$T466=$T465),$U465,IF(B466="x",U465,"")))</f>
        <v/>
      </c>
      <c r="V466" t="str">
        <f>IF(C466=1,MAX($V$2:$V465)+1,IF(AND($T466&lt;&gt;"",$T466=$T465),$U465,IF(C466="x",V465,"")))</f>
        <v/>
      </c>
      <c r="W466" t="str" cm="1">
        <f t="array" ref="W466">IFERROR(_xlfn._xlws.FILTER(game_rosters!AB:AB,(game_rosters!J:J=events!X466)*(K466&lt;&gt;"")),"")</f>
        <v/>
      </c>
      <c r="X466" t="str" cm="1">
        <f t="array" ref="X466">IF(S466="","",IF($I466&lt;&gt;"",$I466,INDEX($I$2:$I465,ROW()-COUNTIFS($T$2:$T465,"="&amp;$T466,$S$2:$S465,"&lt;&gt;"&amp;$S466)-1)))</f>
        <v/>
      </c>
      <c r="Y466" t="b">
        <f>IF(X466&lt;&gt;"",VLOOKUP(X466,game_rosters!$C$43:$E$64,3,FALSE))</f>
        <v>0</v>
      </c>
      <c r="Z466" t="e" cm="1" vm="1">
        <f t="array" aca="1" ref="Z466" ca="1">IFERROR(IF(_xlfn._xlws.FILTER(game_rosters!$J:$J,(game_rosters!$G:$G=events!$AN466)*(game_rosters!$J:$J=events!$X466))&gt;0,1,""),"")</f>
        <v>#VALUE!</v>
      </c>
      <c r="AA466" t="e">
        <f t="shared" si="87"/>
        <v>#VALUE!</v>
      </c>
      <c r="AB466" t="str">
        <f t="shared" si="88"/>
        <v/>
      </c>
      <c r="AC466" t="e">
        <f t="shared" si="86"/>
        <v>#VALUE!</v>
      </c>
      <c r="AD466" s="6"/>
      <c r="BJ466" s="39"/>
      <c r="BM466" s="39"/>
      <c r="BO466" s="19"/>
      <c r="BQ466" s="17"/>
    </row>
    <row r="467" spans="1:69" x14ac:dyDescent="0.2">
      <c r="A467" t="str">
        <f t="shared" si="89"/>
        <v/>
      </c>
      <c r="E467" s="4"/>
      <c r="F467" s="44"/>
      <c r="G467" s="4"/>
      <c r="H467" s="47"/>
      <c r="J467" s="45" t="str">
        <f t="shared" si="90"/>
        <v/>
      </c>
      <c r="N467" t="str">
        <f t="shared" si="85"/>
        <v/>
      </c>
      <c r="Q467" t="str">
        <f t="shared" si="91"/>
        <v/>
      </c>
      <c r="S467" t="str">
        <f>IF(A467=1,MAX(S$2:S466)+1,IF(OR(I467&lt;&gt;"",A467="x"),S466,""))</f>
        <v/>
      </c>
      <c r="T467" t="str">
        <f>IF(D467=1,MAX($T$2:$T466)+1,IF(S467=$S466,$S466,IF($D467="x",T466,IF($D466="x","",""))))</f>
        <v/>
      </c>
      <c r="U467" t="str">
        <f>IF(B467=1,MAX($U$2:$U466)+1,IF(AND($T467&lt;&gt;"",$T467=$T466),$U466,IF(B467="x",U466,"")))</f>
        <v/>
      </c>
      <c r="V467" t="str">
        <f>IF(C467=1,MAX($V$2:$V466)+1,IF(AND($T467&lt;&gt;"",$T467=$T466),$U466,IF(C467="x",V466,"")))</f>
        <v/>
      </c>
      <c r="W467" t="str" cm="1">
        <f t="array" ref="W467">IFERROR(_xlfn._xlws.FILTER(game_rosters!AB:AB,(game_rosters!J:J=events!X467)*(K467&lt;&gt;"")),"")</f>
        <v/>
      </c>
      <c r="X467" t="str" cm="1">
        <f t="array" ref="X467">IF(S467="","",IF($I467&lt;&gt;"",$I467,INDEX($I$2:$I466,ROW()-COUNTIFS($T$2:$T466,"="&amp;$T467,$S$2:$S466,"&lt;&gt;"&amp;$S467)-1)))</f>
        <v/>
      </c>
      <c r="Y467" t="b">
        <f>IF(X467&lt;&gt;"",VLOOKUP(X467,game_rosters!$C$43:$E$64,3,FALSE))</f>
        <v>0</v>
      </c>
      <c r="Z467" t="e" cm="1" vm="1">
        <f t="array" aca="1" ref="Z467" ca="1">IFERROR(IF(_xlfn._xlws.FILTER(game_rosters!$J:$J,(game_rosters!$G:$G=events!$AN467)*(game_rosters!$J:$J=events!$X467))&gt;0,1,""),"")</f>
        <v>#VALUE!</v>
      </c>
      <c r="AA467" t="e">
        <f t="shared" si="87"/>
        <v>#VALUE!</v>
      </c>
      <c r="AB467" t="str">
        <f t="shared" si="88"/>
        <v/>
      </c>
      <c r="AC467" t="e">
        <f t="shared" si="86"/>
        <v>#VALUE!</v>
      </c>
      <c r="AD467" s="6"/>
      <c r="BJ467" s="39"/>
      <c r="BM467" s="39"/>
      <c r="BO467" s="19"/>
      <c r="BQ467" s="17"/>
    </row>
    <row r="468" spans="1:69" x14ac:dyDescent="0.2">
      <c r="A468" t="str">
        <f t="shared" si="89"/>
        <v/>
      </c>
      <c r="E468" s="4"/>
      <c r="F468" s="44"/>
      <c r="G468" s="4"/>
      <c r="H468" s="47"/>
      <c r="J468" s="45" t="str">
        <f t="shared" si="90"/>
        <v/>
      </c>
      <c r="N468" t="str">
        <f t="shared" si="85"/>
        <v/>
      </c>
      <c r="Q468" t="str">
        <f t="shared" si="91"/>
        <v/>
      </c>
      <c r="S468" t="str">
        <f>IF(A468=1,MAX(S$2:S467)+1,IF(OR(I468&lt;&gt;"",A468="x"),S467,""))</f>
        <v/>
      </c>
      <c r="T468" t="str">
        <f>IF(D468=1,MAX($T$2:$T467)+1,IF(S468=$S467,$S467,IF($D468="x",T467,IF($D467="x","",""))))</f>
        <v/>
      </c>
      <c r="U468" t="str">
        <f>IF(B468=1,MAX($U$2:$U467)+1,IF(AND($T468&lt;&gt;"",$T468=$T467),$U467,IF(B468="x",U467,"")))</f>
        <v/>
      </c>
      <c r="V468" t="str">
        <f>IF(C468=1,MAX($V$2:$V467)+1,IF(AND($T468&lt;&gt;"",$T468=$T467),$U467,IF(C468="x",V467,"")))</f>
        <v/>
      </c>
      <c r="W468" t="str" cm="1">
        <f t="array" ref="W468">IFERROR(_xlfn._xlws.FILTER(game_rosters!AB:AB,(game_rosters!J:J=events!X468)*(K468&lt;&gt;"")),"")</f>
        <v/>
      </c>
      <c r="X468" t="str" cm="1">
        <f t="array" ref="X468">IF(S468="","",IF($I468&lt;&gt;"",$I468,INDEX($I$2:$I467,ROW()-COUNTIFS($T$2:$T467,"="&amp;$T468,$S$2:$S467,"&lt;&gt;"&amp;$S468)-1)))</f>
        <v/>
      </c>
      <c r="Y468" t="b">
        <f>IF(X468&lt;&gt;"",VLOOKUP(X468,game_rosters!$C$43:$E$64,3,FALSE))</f>
        <v>0</v>
      </c>
      <c r="Z468" t="e" cm="1" vm="1">
        <f t="array" aca="1" ref="Z468" ca="1">IFERROR(IF(_xlfn._xlws.FILTER(game_rosters!$J:$J,(game_rosters!$G:$G=events!$AN468)*(game_rosters!$J:$J=events!$X468))&gt;0,1,""),"")</f>
        <v>#VALUE!</v>
      </c>
      <c r="AA468" t="e">
        <f t="shared" si="87"/>
        <v>#VALUE!</v>
      </c>
      <c r="AB468" t="str">
        <f t="shared" si="88"/>
        <v/>
      </c>
      <c r="AC468" t="e">
        <f t="shared" si="86"/>
        <v>#VALUE!</v>
      </c>
      <c r="AD468" s="6"/>
      <c r="BJ468" s="39"/>
      <c r="BM468" s="39"/>
      <c r="BO468" s="19"/>
      <c r="BQ468" s="17"/>
    </row>
    <row r="469" spans="1:69" x14ac:dyDescent="0.2">
      <c r="A469" t="str">
        <f t="shared" si="89"/>
        <v/>
      </c>
      <c r="E469" s="4"/>
      <c r="F469" s="44"/>
      <c r="G469" s="4"/>
      <c r="H469" s="47"/>
      <c r="J469" s="45" t="str">
        <f t="shared" si="90"/>
        <v/>
      </c>
      <c r="N469" t="str">
        <f t="shared" ref="N469:N532" si="92">IF(K469="","",IF(K469="Goal","s",IF(AND(K469="Zone_Entry_Exit",OR(ISNUMBER(SEARCH("fail",L469)),ISNUMBER(SEARCH("FromExitClear",M469)),ISNUMBER(SEARCH("miss",M469)))),"u",IF(AND(K469="Zone_Entry_Exit",OR(NOT(ISNUMBER(SEARCH("fail",L469))),NOT(ISNUMBER(SEARCH("FromExitClear",M469))),NOT(ISNUMBER(SEARCH("miss",M469))))),"s",IF(AND(OR(K469="Shot",K469="Pass"),OR(ISNUMBER(SEARCH("complete",L469)),ISNUMBER(SEARCH("goal",L469)),ISNUMBER(SEARCH("OnNet",L469)))),"s",IF(L469="Turnover_Giveaway","u",IF(AND(OR(K469="Shot",K469="Pass"),OR(ISNUMBER(SEARCH("fail",L469)),NOT(ISNUMBER(SEARCH("complete",L469))),NOT(ISNUMBER(SEARCH("OnNet",L469))))),"u","")))))))</f>
        <v/>
      </c>
      <c r="Q469" t="str">
        <f t="shared" si="91"/>
        <v/>
      </c>
      <c r="S469" t="str">
        <f>IF(A469=1,MAX(S$2:S468)+1,IF(OR(I469&lt;&gt;"",A469="x"),S468,""))</f>
        <v/>
      </c>
      <c r="T469" t="str">
        <f>IF(D469=1,MAX($T$2:$T468)+1,IF(S469=$S468,$S468,IF($D469="x",T468,IF($D468="x","",""))))</f>
        <v/>
      </c>
      <c r="U469" t="str">
        <f>IF(B469=1,MAX($U$2:$U468)+1,IF(AND($T469&lt;&gt;"",$T469=$T468),$U468,IF(B469="x",U468,"")))</f>
        <v/>
      </c>
      <c r="V469" t="str">
        <f>IF(C469=1,MAX($V$2:$V468)+1,IF(AND($T469&lt;&gt;"",$T469=$T468),$U468,IF(C469="x",V468,"")))</f>
        <v/>
      </c>
      <c r="W469" t="str" cm="1">
        <f t="array" ref="W469">IFERROR(_xlfn._xlws.FILTER(game_rosters!AB:AB,(game_rosters!J:J=events!X469)*(K469&lt;&gt;"")),"")</f>
        <v/>
      </c>
      <c r="X469" t="str" cm="1">
        <f t="array" ref="X469">IF(S469="","",IF($I469&lt;&gt;"",$I469,INDEX($I$2:$I468,ROW()-COUNTIFS($T$2:$T468,"="&amp;$T469,$S$2:$S468,"&lt;&gt;"&amp;$S469)-1)))</f>
        <v/>
      </c>
      <c r="Y469" t="b">
        <f>IF(X469&lt;&gt;"",VLOOKUP(X469,game_rosters!$C$43:$E$64,3,FALSE))</f>
        <v>0</v>
      </c>
      <c r="Z469" t="e" cm="1" vm="1">
        <f t="array" aca="1" ref="Z469" ca="1">IFERROR(IF(_xlfn._xlws.FILTER(game_rosters!$J:$J,(game_rosters!$G:$G=events!$AN469)*(game_rosters!$J:$J=events!$X469))&gt;0,1,""),"")</f>
        <v>#VALUE!</v>
      </c>
      <c r="AA469" t="e">
        <f t="shared" si="87"/>
        <v>#VALUE!</v>
      </c>
      <c r="AB469" t="str">
        <f t="shared" si="88"/>
        <v/>
      </c>
      <c r="AC469" t="e">
        <f t="shared" si="86"/>
        <v>#VALUE!</v>
      </c>
      <c r="AD469" s="6"/>
      <c r="BJ469" s="39"/>
      <c r="BM469" s="39"/>
      <c r="BO469" s="19"/>
      <c r="BQ469" s="17"/>
    </row>
    <row r="470" spans="1:69" x14ac:dyDescent="0.2">
      <c r="A470" t="str">
        <f t="shared" si="89"/>
        <v/>
      </c>
      <c r="E470" s="4"/>
      <c r="F470" s="44"/>
      <c r="G470" s="4"/>
      <c r="H470" s="47"/>
      <c r="J470" s="45" t="str">
        <f t="shared" si="90"/>
        <v/>
      </c>
      <c r="N470" t="str">
        <f t="shared" si="92"/>
        <v/>
      </c>
      <c r="Q470" t="str">
        <f t="shared" si="91"/>
        <v/>
      </c>
      <c r="S470" t="str">
        <f>IF(A470=1,MAX(S$2:S469)+1,IF(OR(I470&lt;&gt;"",A470="x"),S469,""))</f>
        <v/>
      </c>
      <c r="T470" t="str">
        <f>IF(D470=1,MAX($T$2:$T469)+1,IF(S470=$S469,$S469,IF($D470="x",T469,IF($D469="x","",""))))</f>
        <v/>
      </c>
      <c r="U470" t="str">
        <f>IF(B470=1,MAX($U$2:$U469)+1,IF(AND($T470&lt;&gt;"",$T470=$T469),$U469,IF(B470="x",U469,"")))</f>
        <v/>
      </c>
      <c r="V470" t="str">
        <f>IF(C470=1,MAX($V$2:$V469)+1,IF(AND($T470&lt;&gt;"",$T470=$T469),$U469,IF(C470="x",V469,"")))</f>
        <v/>
      </c>
      <c r="W470" t="str" cm="1">
        <f t="array" ref="W470">IFERROR(_xlfn._xlws.FILTER(game_rosters!AB:AB,(game_rosters!J:J=events!X470)*(K470&lt;&gt;"")),"")</f>
        <v/>
      </c>
      <c r="X470" t="str" cm="1">
        <f t="array" ref="X470">IF(S470="","",IF($I470&lt;&gt;"",$I470,INDEX($I$2:$I469,ROW()-COUNTIFS($T$2:$T469,"="&amp;$T470,$S$2:$S469,"&lt;&gt;"&amp;$S470)-1)))</f>
        <v/>
      </c>
      <c r="Y470" t="b">
        <f>IF(X470&lt;&gt;"",VLOOKUP(X470,game_rosters!$C$43:$E$64,3,FALSE))</f>
        <v>0</v>
      </c>
      <c r="Z470" t="e" cm="1" vm="1">
        <f t="array" aca="1" ref="Z470" ca="1">IFERROR(IF(_xlfn._xlws.FILTER(game_rosters!$J:$J,(game_rosters!$G:$G=events!$AN470)*(game_rosters!$J:$J=events!$X470))&gt;0,1,""),"")</f>
        <v>#VALUE!</v>
      </c>
      <c r="AA470" t="e">
        <f t="shared" si="87"/>
        <v>#VALUE!</v>
      </c>
      <c r="AB470" t="str">
        <f t="shared" si="88"/>
        <v/>
      </c>
      <c r="AC470" t="e">
        <f t="shared" si="86"/>
        <v>#VALUE!</v>
      </c>
      <c r="AD470" s="6"/>
      <c r="BJ470" s="39"/>
      <c r="BM470" s="39"/>
      <c r="BO470" s="19"/>
      <c r="BQ470" s="17"/>
    </row>
    <row r="471" spans="1:69" x14ac:dyDescent="0.2">
      <c r="A471" t="str">
        <f t="shared" si="89"/>
        <v/>
      </c>
      <c r="E471" s="4"/>
      <c r="F471" s="44"/>
      <c r="G471" s="4"/>
      <c r="H471" s="47"/>
      <c r="J471" s="45" t="str">
        <f t="shared" si="90"/>
        <v/>
      </c>
      <c r="N471" t="str">
        <f t="shared" si="92"/>
        <v/>
      </c>
      <c r="Q471" t="str">
        <f t="shared" si="91"/>
        <v/>
      </c>
      <c r="S471" t="str">
        <f>IF(A471=1,MAX(S$2:S470)+1,IF(OR(I471&lt;&gt;"",A471="x"),S470,""))</f>
        <v/>
      </c>
      <c r="T471" t="str">
        <f>IF(D471=1,MAX($T$2:$T470)+1,IF(S471=$S470,$S470,IF($D471="x",T470,IF($D470="x","",""))))</f>
        <v/>
      </c>
      <c r="U471" t="str">
        <f>IF(B471=1,MAX($U$2:$U470)+1,IF(AND($T471&lt;&gt;"",$T471=$T470),$U470,IF(B471="x",U470,"")))</f>
        <v/>
      </c>
      <c r="V471" t="str">
        <f>IF(C471=1,MAX($V$2:$V470)+1,IF(AND($T471&lt;&gt;"",$T471=$T470),$U470,IF(C471="x",V470,"")))</f>
        <v/>
      </c>
      <c r="W471" t="str" cm="1">
        <f t="array" ref="W471">IFERROR(_xlfn._xlws.FILTER(game_rosters!AB:AB,(game_rosters!J:J=events!X471)*(K471&lt;&gt;"")),"")</f>
        <v/>
      </c>
      <c r="X471" t="str" cm="1">
        <f t="array" ref="X471">IF(S471="","",IF($I471&lt;&gt;"",$I471,INDEX($I$2:$I470,ROW()-COUNTIFS($T$2:$T470,"="&amp;$T471,$S$2:$S470,"&lt;&gt;"&amp;$S471)-1)))</f>
        <v/>
      </c>
      <c r="Y471" t="b">
        <f>IF(X471&lt;&gt;"",VLOOKUP(X471,game_rosters!$C$43:$E$64,3,FALSE))</f>
        <v>0</v>
      </c>
      <c r="Z471" t="e" cm="1" vm="1">
        <f t="array" aca="1" ref="Z471" ca="1">IFERROR(IF(_xlfn._xlws.FILTER(game_rosters!$J:$J,(game_rosters!$G:$G=events!$AN471)*(game_rosters!$J:$J=events!$X471))&gt;0,1,""),"")</f>
        <v>#VALUE!</v>
      </c>
      <c r="AA471" t="e">
        <f t="shared" si="87"/>
        <v>#VALUE!</v>
      </c>
      <c r="AB471" t="str">
        <f t="shared" si="88"/>
        <v/>
      </c>
      <c r="AC471" t="e">
        <f t="shared" si="86"/>
        <v>#VALUE!</v>
      </c>
      <c r="AD471" s="6"/>
      <c r="BJ471" s="39"/>
      <c r="BM471" s="39"/>
      <c r="BO471" s="19"/>
      <c r="BQ471" s="17"/>
    </row>
    <row r="472" spans="1:69" x14ac:dyDescent="0.2">
      <c r="A472" t="str">
        <f t="shared" si="89"/>
        <v/>
      </c>
      <c r="E472" s="4"/>
      <c r="F472" s="44"/>
      <c r="G472" s="4"/>
      <c r="H472" s="47"/>
      <c r="J472" s="45" t="str">
        <f t="shared" si="90"/>
        <v/>
      </c>
      <c r="N472" t="str">
        <f t="shared" si="92"/>
        <v/>
      </c>
      <c r="Q472" t="str">
        <f t="shared" si="91"/>
        <v/>
      </c>
      <c r="S472" t="str">
        <f>IF(A472=1,MAX(S$2:S471)+1,IF(OR(I472&lt;&gt;"",A472="x"),S471,""))</f>
        <v/>
      </c>
      <c r="T472" t="str">
        <f>IF(D472=1,MAX($T$2:$T471)+1,IF(S472=$S471,$S471,IF($D472="x",T471,IF($D471="x","",""))))</f>
        <v/>
      </c>
      <c r="U472" t="str">
        <f>IF(B472=1,MAX($U$2:$U471)+1,IF(AND($T472&lt;&gt;"",$T472=$T471),$U471,IF(B472="x",U471,"")))</f>
        <v/>
      </c>
      <c r="V472" t="str">
        <f>IF(C472=1,MAX($V$2:$V471)+1,IF(AND($T472&lt;&gt;"",$T472=$T471),$U471,IF(C472="x",V471,"")))</f>
        <v/>
      </c>
      <c r="W472" t="str" cm="1">
        <f t="array" ref="W472">IFERROR(_xlfn._xlws.FILTER(game_rosters!AB:AB,(game_rosters!J:J=events!X472)*(K472&lt;&gt;"")),"")</f>
        <v/>
      </c>
      <c r="X472" t="str" cm="1">
        <f t="array" ref="X472">IF(S472="","",IF($I472&lt;&gt;"",$I472,INDEX($I$2:$I471,ROW()-COUNTIFS($T$2:$T471,"="&amp;$T472,$S$2:$S471,"&lt;&gt;"&amp;$S472)-1)))</f>
        <v/>
      </c>
      <c r="Y472" t="b">
        <f>IF(X472&lt;&gt;"",VLOOKUP(X472,game_rosters!$C$43:$E$64,3,FALSE))</f>
        <v>0</v>
      </c>
      <c r="Z472" t="e" cm="1" vm="1">
        <f t="array" aca="1" ref="Z472" ca="1">IFERROR(IF(_xlfn._xlws.FILTER(game_rosters!$J:$J,(game_rosters!$G:$G=events!$AN472)*(game_rosters!$J:$J=events!$X472))&gt;0,1,""),"")</f>
        <v>#VALUE!</v>
      </c>
      <c r="AA472" t="e">
        <f t="shared" si="87"/>
        <v>#VALUE!</v>
      </c>
      <c r="AB472" t="str">
        <f t="shared" si="88"/>
        <v/>
      </c>
      <c r="AC472" t="e">
        <f t="shared" si="86"/>
        <v>#VALUE!</v>
      </c>
      <c r="AD472" s="6"/>
      <c r="BJ472" s="39"/>
      <c r="BM472" s="39"/>
      <c r="BO472" s="19"/>
      <c r="BQ472" s="17"/>
    </row>
    <row r="473" spans="1:69" x14ac:dyDescent="0.2">
      <c r="A473" t="str">
        <f t="shared" si="89"/>
        <v/>
      </c>
      <c r="E473" s="4"/>
      <c r="F473" s="44"/>
      <c r="G473" s="4"/>
      <c r="H473" s="47"/>
      <c r="J473" s="45" t="str">
        <f t="shared" si="90"/>
        <v/>
      </c>
      <c r="N473" t="str">
        <f t="shared" si="92"/>
        <v/>
      </c>
      <c r="Q473" t="str">
        <f t="shared" si="91"/>
        <v/>
      </c>
      <c r="S473" t="str">
        <f>IF(A473=1,MAX(S$2:S472)+1,IF(OR(I473&lt;&gt;"",A473="x"),S472,""))</f>
        <v/>
      </c>
      <c r="T473" t="str">
        <f>IF(D473=1,MAX($T$2:$T472)+1,IF(S473=$S472,$S472,IF($D473="x",T472,IF($D472="x","",""))))</f>
        <v/>
      </c>
      <c r="U473" t="str">
        <f>IF(B473=1,MAX($U$2:$U472)+1,IF(AND($T473&lt;&gt;"",$T473=$T472),$U472,IF(B473="x",U472,"")))</f>
        <v/>
      </c>
      <c r="V473" t="str">
        <f>IF(C473=1,MAX($V$2:$V472)+1,IF(AND($T473&lt;&gt;"",$T473=$T472),$U472,IF(C473="x",V472,"")))</f>
        <v/>
      </c>
      <c r="W473" t="str" cm="1">
        <f t="array" ref="W473">IFERROR(_xlfn._xlws.FILTER(game_rosters!AB:AB,(game_rosters!J:J=events!X473)*(K473&lt;&gt;"")),"")</f>
        <v/>
      </c>
      <c r="X473" t="str" cm="1">
        <f t="array" ref="X473">IF(S473="","",IF($I473&lt;&gt;"",$I473,INDEX($I$2:$I472,ROW()-COUNTIFS($T$2:$T472,"="&amp;$T473,$S$2:$S472,"&lt;&gt;"&amp;$S473)-1)))</f>
        <v/>
      </c>
      <c r="Y473" t="b">
        <f>IF(X473&lt;&gt;"",VLOOKUP(X473,game_rosters!$C$43:$E$64,3,FALSE))</f>
        <v>0</v>
      </c>
      <c r="Z473" t="e" cm="1" vm="1">
        <f t="array" aca="1" ref="Z473" ca="1">IFERROR(IF(_xlfn._xlws.FILTER(game_rosters!$J:$J,(game_rosters!$G:$G=events!$AN473)*(game_rosters!$J:$J=events!$X473))&gt;0,1,""),"")</f>
        <v>#VALUE!</v>
      </c>
      <c r="AA473" t="e">
        <f t="shared" si="87"/>
        <v>#VALUE!</v>
      </c>
      <c r="AB473" t="str">
        <f t="shared" si="88"/>
        <v/>
      </c>
      <c r="AC473" t="e">
        <f t="shared" si="86"/>
        <v>#VALUE!</v>
      </c>
      <c r="AD473" s="6"/>
      <c r="BJ473" s="39"/>
      <c r="BM473" s="39"/>
      <c r="BO473" s="19"/>
      <c r="BQ473" s="17"/>
    </row>
    <row r="474" spans="1:69" x14ac:dyDescent="0.2">
      <c r="A474" t="str">
        <f t="shared" si="89"/>
        <v/>
      </c>
      <c r="E474" s="4"/>
      <c r="F474" s="44"/>
      <c r="G474" s="4"/>
      <c r="H474" s="47"/>
      <c r="J474" s="45" t="str">
        <f t="shared" si="90"/>
        <v/>
      </c>
      <c r="N474" t="str">
        <f t="shared" si="92"/>
        <v/>
      </c>
      <c r="Q474" t="str">
        <f t="shared" si="91"/>
        <v/>
      </c>
      <c r="S474" t="str">
        <f>IF(A474=1,MAX(S$2:S473)+1,IF(OR(I474&lt;&gt;"",A474="x"),S473,""))</f>
        <v/>
      </c>
      <c r="T474" t="str">
        <f>IF(D474=1,MAX($T$2:$T473)+1,IF(S474=$S473,$S473,IF($D474="x",T473,IF($D473="x","",""))))</f>
        <v/>
      </c>
      <c r="U474" t="str">
        <f>IF(B474=1,MAX($U$2:$U473)+1,IF(AND($T474&lt;&gt;"",$T474=$T473),$U473,IF(B474="x",U473,"")))</f>
        <v/>
      </c>
      <c r="V474" t="str">
        <f>IF(C474=1,MAX($V$2:$V473)+1,IF(AND($T474&lt;&gt;"",$T474=$T473),$U473,IF(C474="x",V473,"")))</f>
        <v/>
      </c>
      <c r="W474" t="str" cm="1">
        <f t="array" ref="W474">IFERROR(_xlfn._xlws.FILTER(game_rosters!AB:AB,(game_rosters!J:J=events!X474)*(K474&lt;&gt;"")),"")</f>
        <v/>
      </c>
      <c r="X474" t="str" cm="1">
        <f t="array" ref="X474">IF(S474="","",IF($I474&lt;&gt;"",$I474,INDEX($I$2:$I473,ROW()-COUNTIFS($T$2:$T473,"="&amp;$T474,$S$2:$S473,"&lt;&gt;"&amp;$S474)-1)))</f>
        <v/>
      </c>
      <c r="Y474" t="b">
        <f>IF(X474&lt;&gt;"",VLOOKUP(X474,game_rosters!$C$43:$E$64,3,FALSE))</f>
        <v>0</v>
      </c>
      <c r="Z474" t="e" cm="1" vm="1">
        <f t="array" aca="1" ref="Z474" ca="1">IFERROR(IF(_xlfn._xlws.FILTER(game_rosters!$J:$J,(game_rosters!$G:$G=events!$AN474)*(game_rosters!$J:$J=events!$X474))&gt;0,1,""),"")</f>
        <v>#VALUE!</v>
      </c>
      <c r="AA474" t="e">
        <f t="shared" si="87"/>
        <v>#VALUE!</v>
      </c>
      <c r="AB474" t="str">
        <f t="shared" si="88"/>
        <v/>
      </c>
      <c r="AC474" t="e">
        <f t="shared" si="86"/>
        <v>#VALUE!</v>
      </c>
      <c r="AD474" s="6"/>
      <c r="BJ474" s="39"/>
      <c r="BM474" s="39"/>
      <c r="BO474" s="19"/>
      <c r="BQ474" s="17"/>
    </row>
    <row r="475" spans="1:69" x14ac:dyDescent="0.2">
      <c r="A475" t="str">
        <f t="shared" si="89"/>
        <v/>
      </c>
      <c r="E475" s="4"/>
      <c r="F475" s="44"/>
      <c r="G475" s="4"/>
      <c r="H475" s="47"/>
      <c r="J475" s="45" t="str">
        <f t="shared" si="90"/>
        <v/>
      </c>
      <c r="N475" t="str">
        <f t="shared" si="92"/>
        <v/>
      </c>
      <c r="Q475" t="str">
        <f t="shared" si="91"/>
        <v/>
      </c>
      <c r="S475" t="str">
        <f>IF(A475=1,MAX(S$2:S474)+1,IF(OR(I475&lt;&gt;"",A475="x"),S474,""))</f>
        <v/>
      </c>
      <c r="T475" t="str">
        <f>IF(D475=1,MAX($T$2:$T474)+1,IF(S475=$S474,$S474,IF($D475="x",T474,IF($D474="x","",""))))</f>
        <v/>
      </c>
      <c r="U475" t="str">
        <f>IF(B475=1,MAX($U$2:$U474)+1,IF(AND($T475&lt;&gt;"",$T475=$T474),$U474,IF(B475="x",U474,"")))</f>
        <v/>
      </c>
      <c r="V475" t="str">
        <f>IF(C475=1,MAX($V$2:$V474)+1,IF(AND($T475&lt;&gt;"",$T475=$T474),$U474,IF(C475="x",V474,"")))</f>
        <v/>
      </c>
      <c r="W475" t="str" cm="1">
        <f t="array" ref="W475">IFERROR(_xlfn._xlws.FILTER(game_rosters!AB:AB,(game_rosters!J:J=events!X475)*(K475&lt;&gt;"")),"")</f>
        <v/>
      </c>
      <c r="X475" t="str" cm="1">
        <f t="array" ref="X475">IF(S475="","",IF($I475&lt;&gt;"",$I475,INDEX($I$2:$I474,ROW()-COUNTIFS($T$2:$T474,"="&amp;$T475,$S$2:$S474,"&lt;&gt;"&amp;$S475)-1)))</f>
        <v/>
      </c>
      <c r="Y475" t="b">
        <f>IF(X475&lt;&gt;"",VLOOKUP(X475,game_rosters!$C$43:$E$64,3,FALSE))</f>
        <v>0</v>
      </c>
      <c r="Z475" t="e" cm="1" vm="1">
        <f t="array" aca="1" ref="Z475" ca="1">IFERROR(IF(_xlfn._xlws.FILTER(game_rosters!$J:$J,(game_rosters!$G:$G=events!$AN475)*(game_rosters!$J:$J=events!$X475))&gt;0,1,""),"")</f>
        <v>#VALUE!</v>
      </c>
      <c r="AA475" t="e">
        <f t="shared" si="87"/>
        <v>#VALUE!</v>
      </c>
      <c r="AB475" t="str">
        <f t="shared" si="88"/>
        <v/>
      </c>
      <c r="AC475" t="e">
        <f t="shared" si="86"/>
        <v>#VALUE!</v>
      </c>
      <c r="AD475" s="6"/>
      <c r="BJ475" s="39"/>
      <c r="BM475" s="39"/>
      <c r="BO475" s="19"/>
      <c r="BQ475" s="17"/>
    </row>
    <row r="476" spans="1:69" x14ac:dyDescent="0.2">
      <c r="A476" t="str">
        <f t="shared" si="89"/>
        <v/>
      </c>
      <c r="E476" s="4"/>
      <c r="F476" s="44"/>
      <c r="G476" s="4"/>
      <c r="H476" s="47"/>
      <c r="J476" s="45" t="str">
        <f t="shared" si="90"/>
        <v/>
      </c>
      <c r="N476" t="str">
        <f t="shared" si="92"/>
        <v/>
      </c>
      <c r="Q476" t="str">
        <f t="shared" si="91"/>
        <v/>
      </c>
      <c r="S476" t="str">
        <f>IF(A476=1,MAX(S$2:S475)+1,IF(OR(I476&lt;&gt;"",A476="x"),S475,""))</f>
        <v/>
      </c>
      <c r="T476" t="str">
        <f>IF(D476=1,MAX($T$2:$T475)+1,IF(S476=$S475,$S475,IF($D476="x",T475,IF($D475="x","",""))))</f>
        <v/>
      </c>
      <c r="U476" t="str">
        <f>IF(B476=1,MAX($U$2:$U475)+1,IF(AND($T476&lt;&gt;"",$T476=$T475),$U475,IF(B476="x",U475,"")))</f>
        <v/>
      </c>
      <c r="V476" t="str">
        <f>IF(C476=1,MAX($V$2:$V475)+1,IF(AND($T476&lt;&gt;"",$T476=$T475),$U475,IF(C476="x",V475,"")))</f>
        <v/>
      </c>
      <c r="W476" t="str" cm="1">
        <f t="array" ref="W476">IFERROR(_xlfn._xlws.FILTER(game_rosters!AB:AB,(game_rosters!J:J=events!X476)*(K476&lt;&gt;"")),"")</f>
        <v/>
      </c>
      <c r="X476" t="str" cm="1">
        <f t="array" ref="X476">IF(S476="","",IF($I476&lt;&gt;"",$I476,INDEX($I$2:$I475,ROW()-COUNTIFS($T$2:$T475,"="&amp;$T476,$S$2:$S475,"&lt;&gt;"&amp;$S476)-1)))</f>
        <v/>
      </c>
      <c r="Y476" t="b">
        <f>IF(X476&lt;&gt;"",VLOOKUP(X476,game_rosters!$C$43:$E$64,3,FALSE))</f>
        <v>0</v>
      </c>
      <c r="Z476" t="e" cm="1" vm="1">
        <f t="array" aca="1" ref="Z476" ca="1">IFERROR(IF(_xlfn._xlws.FILTER(game_rosters!$J:$J,(game_rosters!$G:$G=events!$AN476)*(game_rosters!$J:$J=events!$X476))&gt;0,1,""),"")</f>
        <v>#VALUE!</v>
      </c>
      <c r="AA476" t="e">
        <f t="shared" si="87"/>
        <v>#VALUE!</v>
      </c>
      <c r="AB476" t="str">
        <f t="shared" si="88"/>
        <v/>
      </c>
      <c r="AC476" t="e">
        <f t="shared" si="86"/>
        <v>#VALUE!</v>
      </c>
      <c r="AD476" s="6"/>
      <c r="BJ476" s="39"/>
      <c r="BM476" s="39"/>
      <c r="BO476" s="19"/>
      <c r="BQ476" s="17"/>
    </row>
    <row r="477" spans="1:69" x14ac:dyDescent="0.2">
      <c r="A477" t="str">
        <f t="shared" si="89"/>
        <v/>
      </c>
      <c r="E477" s="4"/>
      <c r="F477" s="44"/>
      <c r="G477" s="4"/>
      <c r="H477" s="47"/>
      <c r="J477" s="45" t="str">
        <f t="shared" si="90"/>
        <v/>
      </c>
      <c r="N477" t="str">
        <f t="shared" si="92"/>
        <v/>
      </c>
      <c r="Q477" t="str">
        <f t="shared" si="91"/>
        <v/>
      </c>
      <c r="S477" t="str">
        <f>IF(A477=1,MAX(S$2:S476)+1,IF(OR(I477&lt;&gt;"",A477="x"),S476,""))</f>
        <v/>
      </c>
      <c r="T477" t="str">
        <f>IF(D477=1,MAX($T$2:$T476)+1,IF(S477=$S476,$S476,IF($D477="x",T476,IF($D476="x","",""))))</f>
        <v/>
      </c>
      <c r="U477" t="str">
        <f>IF(B477=1,MAX($U$2:$U476)+1,IF(AND($T477&lt;&gt;"",$T477=$T476),$U476,IF(B477="x",U476,"")))</f>
        <v/>
      </c>
      <c r="V477" t="str">
        <f>IF(C477=1,MAX($V$2:$V476)+1,IF(AND($T477&lt;&gt;"",$T477=$T476),$U476,IF(C477="x",V476,"")))</f>
        <v/>
      </c>
      <c r="W477" t="str" cm="1">
        <f t="array" ref="W477">IFERROR(_xlfn._xlws.FILTER(game_rosters!AB:AB,(game_rosters!J:J=events!X477)*(K477&lt;&gt;"")),"")</f>
        <v/>
      </c>
      <c r="X477" t="str" cm="1">
        <f t="array" ref="X477">IF(S477="","",IF($I477&lt;&gt;"",$I477,INDEX($I$2:$I476,ROW()-COUNTIFS($T$2:$T476,"="&amp;$T477,$S$2:$S476,"&lt;&gt;"&amp;$S477)-1)))</f>
        <v/>
      </c>
      <c r="Y477" t="b">
        <f>IF(X477&lt;&gt;"",VLOOKUP(X477,game_rosters!$C$43:$E$64,3,FALSE))</f>
        <v>0</v>
      </c>
      <c r="Z477" t="e" cm="1" vm="1">
        <f t="array" aca="1" ref="Z477" ca="1">IFERROR(IF(_xlfn._xlws.FILTER(game_rosters!$J:$J,(game_rosters!$G:$G=events!$AN477)*(game_rosters!$J:$J=events!$X477))&gt;0,1,""),"")</f>
        <v>#VALUE!</v>
      </c>
      <c r="AA477" t="e">
        <f t="shared" si="87"/>
        <v>#VALUE!</v>
      </c>
      <c r="AB477" t="str">
        <f t="shared" si="88"/>
        <v/>
      </c>
      <c r="AC477" t="e">
        <f t="shared" si="86"/>
        <v>#VALUE!</v>
      </c>
      <c r="AD477" s="6"/>
      <c r="BJ477" s="39"/>
      <c r="BM477" s="39"/>
      <c r="BO477" s="19"/>
      <c r="BQ477" s="17"/>
    </row>
    <row r="478" spans="1:69" x14ac:dyDescent="0.2">
      <c r="A478" t="str">
        <f t="shared" si="89"/>
        <v/>
      </c>
      <c r="E478" s="4"/>
      <c r="F478" s="44"/>
      <c r="G478" s="4"/>
      <c r="H478" s="47"/>
      <c r="J478" s="45" t="str">
        <f t="shared" si="90"/>
        <v/>
      </c>
      <c r="N478" t="str">
        <f t="shared" si="92"/>
        <v/>
      </c>
      <c r="Q478" t="str">
        <f t="shared" si="91"/>
        <v/>
      </c>
      <c r="S478" t="str">
        <f>IF(A478=1,MAX(S$2:S477)+1,IF(OR(I478&lt;&gt;"",A478="x"),S477,""))</f>
        <v/>
      </c>
      <c r="T478" t="str">
        <f>IF(D478=1,MAX($T$2:$T477)+1,IF(S478=$S477,$S477,IF($D478="x",T477,IF($D477="x","",""))))</f>
        <v/>
      </c>
      <c r="U478" t="str">
        <f>IF(B478=1,MAX($U$2:$U477)+1,IF(AND($T478&lt;&gt;"",$T478=$T477),$U477,IF(B478="x",U477,"")))</f>
        <v/>
      </c>
      <c r="V478" t="str">
        <f>IF(C478=1,MAX($V$2:$V477)+1,IF(AND($T478&lt;&gt;"",$T478=$T477),$U477,IF(C478="x",V477,"")))</f>
        <v/>
      </c>
      <c r="W478" t="str" cm="1">
        <f t="array" ref="W478">IFERROR(_xlfn._xlws.FILTER(game_rosters!AB:AB,(game_rosters!J:J=events!X478)*(K478&lt;&gt;"")),"")</f>
        <v/>
      </c>
      <c r="X478" t="str" cm="1">
        <f t="array" ref="X478">IF(S478="","",IF($I478&lt;&gt;"",$I478,INDEX($I$2:$I477,ROW()-COUNTIFS($T$2:$T477,"="&amp;$T478,$S$2:$S477,"&lt;&gt;"&amp;$S478)-1)))</f>
        <v/>
      </c>
      <c r="Y478" t="b">
        <f>IF(X478&lt;&gt;"",VLOOKUP(X478,game_rosters!$C$43:$E$64,3,FALSE))</f>
        <v>0</v>
      </c>
      <c r="Z478" t="e" cm="1" vm="1">
        <f t="array" aca="1" ref="Z478" ca="1">IFERROR(IF(_xlfn._xlws.FILTER(game_rosters!$J:$J,(game_rosters!$G:$G=events!$AN478)*(game_rosters!$J:$J=events!$X478))&gt;0,1,""),"")</f>
        <v>#VALUE!</v>
      </c>
      <c r="AA478" t="e">
        <f t="shared" si="87"/>
        <v>#VALUE!</v>
      </c>
      <c r="AB478" t="str">
        <f t="shared" si="88"/>
        <v/>
      </c>
      <c r="AC478" t="e">
        <f t="shared" si="86"/>
        <v>#VALUE!</v>
      </c>
      <c r="AD478" s="6"/>
      <c r="BJ478" s="39"/>
      <c r="BM478" s="39"/>
      <c r="BO478" s="19"/>
      <c r="BQ478" s="17"/>
    </row>
    <row r="479" spans="1:69" x14ac:dyDescent="0.2">
      <c r="A479" t="str">
        <f t="shared" si="89"/>
        <v/>
      </c>
      <c r="E479" s="4"/>
      <c r="F479" s="44"/>
      <c r="G479" s="4"/>
      <c r="H479" s="47"/>
      <c r="J479" s="45" t="str">
        <f t="shared" si="90"/>
        <v/>
      </c>
      <c r="N479" t="str">
        <f t="shared" si="92"/>
        <v/>
      </c>
      <c r="Q479" t="str">
        <f t="shared" si="91"/>
        <v/>
      </c>
      <c r="S479" t="str">
        <f>IF(A479=1,MAX(S$2:S478)+1,IF(OR(I479&lt;&gt;"",A479="x"),S478,""))</f>
        <v/>
      </c>
      <c r="T479" t="str">
        <f>IF(D479=1,MAX($T$2:$T478)+1,IF(S479=$S478,$S478,IF($D479="x",T478,IF($D478="x","",""))))</f>
        <v/>
      </c>
      <c r="U479" t="str">
        <f>IF(B479=1,MAX($U$2:$U478)+1,IF(AND($T479&lt;&gt;"",$T479=$T478),$U478,IF(B479="x",U478,"")))</f>
        <v/>
      </c>
      <c r="V479" t="str">
        <f>IF(C479=1,MAX($V$2:$V478)+1,IF(AND($T479&lt;&gt;"",$T479=$T478),$U478,IF(C479="x",V478,"")))</f>
        <v/>
      </c>
      <c r="W479" t="str" cm="1">
        <f t="array" ref="W479">IFERROR(_xlfn._xlws.FILTER(game_rosters!AB:AB,(game_rosters!J:J=events!X479)*(K479&lt;&gt;"")),"")</f>
        <v/>
      </c>
      <c r="X479" t="str" cm="1">
        <f t="array" ref="X479">IF(S479="","",IF($I479&lt;&gt;"",$I479,INDEX($I$2:$I478,ROW()-COUNTIFS($T$2:$T478,"="&amp;$T479,$S$2:$S478,"&lt;&gt;"&amp;$S479)-1)))</f>
        <v/>
      </c>
      <c r="Y479" t="b">
        <f>IF(X479&lt;&gt;"",VLOOKUP(X479,game_rosters!$C$43:$E$64,3,FALSE))</f>
        <v>0</v>
      </c>
      <c r="Z479" t="e" cm="1" vm="1">
        <f t="array" aca="1" ref="Z479" ca="1">IFERROR(IF(_xlfn._xlws.FILTER(game_rosters!$J:$J,(game_rosters!$G:$G=events!$AN479)*(game_rosters!$J:$J=events!$X479))&gt;0,1,""),"")</f>
        <v>#VALUE!</v>
      </c>
      <c r="AA479" t="e">
        <f t="shared" si="87"/>
        <v>#VALUE!</v>
      </c>
      <c r="AB479" t="str">
        <f t="shared" si="88"/>
        <v/>
      </c>
      <c r="AC479" t="e">
        <f t="shared" si="86"/>
        <v>#VALUE!</v>
      </c>
      <c r="AD479" s="6"/>
      <c r="BJ479" s="39"/>
      <c r="BM479" s="39"/>
      <c r="BO479" s="19"/>
      <c r="BQ479" s="17"/>
    </row>
    <row r="480" spans="1:69" x14ac:dyDescent="0.2">
      <c r="A480" t="str">
        <f t="shared" si="89"/>
        <v/>
      </c>
      <c r="E480" s="4"/>
      <c r="F480" s="44"/>
      <c r="G480" s="4"/>
      <c r="H480" s="47"/>
      <c r="J480" s="45" t="str">
        <f t="shared" si="90"/>
        <v/>
      </c>
      <c r="N480" t="str">
        <f t="shared" si="92"/>
        <v/>
      </c>
      <c r="Q480" t="str">
        <f t="shared" si="91"/>
        <v/>
      </c>
      <c r="S480" t="str">
        <f>IF(A480=1,MAX(S$2:S479)+1,IF(OR(I480&lt;&gt;"",A480="x"),S479,""))</f>
        <v/>
      </c>
      <c r="T480" t="str">
        <f>IF(D480=1,MAX($T$2:$T479)+1,IF(S480=$S479,$S479,IF($D480="x",T479,IF($D479="x","",""))))</f>
        <v/>
      </c>
      <c r="U480" t="str">
        <f>IF(B480=1,MAX($U$2:$U479)+1,IF(AND($T480&lt;&gt;"",$T480=$T479),$U479,IF(B480="x",U479,"")))</f>
        <v/>
      </c>
      <c r="V480" t="str">
        <f>IF(C480=1,MAX($V$2:$V479)+1,IF(AND($T480&lt;&gt;"",$T480=$T479),$U479,IF(C480="x",V479,"")))</f>
        <v/>
      </c>
      <c r="W480" t="str" cm="1">
        <f t="array" ref="W480">IFERROR(_xlfn._xlws.FILTER(game_rosters!AB:AB,(game_rosters!J:J=events!X480)*(K480&lt;&gt;"")),"")</f>
        <v/>
      </c>
      <c r="X480" t="str" cm="1">
        <f t="array" ref="X480">IF(S480="","",IF($I480&lt;&gt;"",$I480,INDEX($I$2:$I479,ROW()-COUNTIFS($T$2:$T479,"="&amp;$T480,$S$2:$S479,"&lt;&gt;"&amp;$S480)-1)))</f>
        <v/>
      </c>
      <c r="Y480" t="b">
        <f>IF(X480&lt;&gt;"",VLOOKUP(X480,game_rosters!$C$43:$E$64,3,FALSE))</f>
        <v>0</v>
      </c>
      <c r="Z480" t="e" cm="1" vm="1">
        <f t="array" aca="1" ref="Z480" ca="1">IFERROR(IF(_xlfn._xlws.FILTER(game_rosters!$J:$J,(game_rosters!$G:$G=events!$AN480)*(game_rosters!$J:$J=events!$X480))&gt;0,1,""),"")</f>
        <v>#VALUE!</v>
      </c>
      <c r="AA480" t="e">
        <f t="shared" si="87"/>
        <v>#VALUE!</v>
      </c>
      <c r="AB480" t="str">
        <f t="shared" si="88"/>
        <v/>
      </c>
      <c r="AC480" t="e">
        <f t="shared" si="86"/>
        <v>#VALUE!</v>
      </c>
      <c r="AD480" s="6"/>
      <c r="BJ480" s="39"/>
      <c r="BM480" s="39"/>
      <c r="BO480" s="19"/>
      <c r="BQ480" s="17"/>
    </row>
    <row r="481" spans="1:69" x14ac:dyDescent="0.2">
      <c r="A481" t="str">
        <f t="shared" si="89"/>
        <v/>
      </c>
      <c r="E481" s="4"/>
      <c r="F481" s="44"/>
      <c r="G481" s="4"/>
      <c r="H481" s="47"/>
      <c r="J481" s="45" t="str">
        <f t="shared" si="90"/>
        <v/>
      </c>
      <c r="N481" t="str">
        <f t="shared" si="92"/>
        <v/>
      </c>
      <c r="Q481" t="str">
        <f t="shared" si="91"/>
        <v/>
      </c>
      <c r="S481" t="str">
        <f>IF(A481=1,MAX(S$2:S480)+1,IF(OR(I481&lt;&gt;"",A481="x"),S480,""))</f>
        <v/>
      </c>
      <c r="T481" t="str">
        <f>IF(D481=1,MAX($T$2:$T480)+1,IF(S481=$S480,$S480,IF($D481="x",T480,IF($D480="x","",""))))</f>
        <v/>
      </c>
      <c r="U481" t="str">
        <f>IF(B481=1,MAX($U$2:$U480)+1,IF(AND($T481&lt;&gt;"",$T481=$T480),$U480,IF(B481="x",U480,"")))</f>
        <v/>
      </c>
      <c r="V481" t="str">
        <f>IF(C481=1,MAX($V$2:$V480)+1,IF(AND($T481&lt;&gt;"",$T481=$T480),$U480,IF(C481="x",V480,"")))</f>
        <v/>
      </c>
      <c r="W481" t="str" cm="1">
        <f t="array" ref="W481">IFERROR(_xlfn._xlws.FILTER(game_rosters!AB:AB,(game_rosters!J:J=events!X481)*(K481&lt;&gt;"")),"")</f>
        <v/>
      </c>
      <c r="X481" t="str" cm="1">
        <f t="array" ref="X481">IF(S481="","",IF($I481&lt;&gt;"",$I481,INDEX($I$2:$I480,ROW()-COUNTIFS($T$2:$T480,"="&amp;$T481,$S$2:$S480,"&lt;&gt;"&amp;$S481)-1)))</f>
        <v/>
      </c>
      <c r="Y481" t="b">
        <f>IF(X481&lt;&gt;"",VLOOKUP(X481,game_rosters!$C$43:$E$64,3,FALSE))</f>
        <v>0</v>
      </c>
      <c r="Z481" t="e" cm="1" vm="1">
        <f t="array" aca="1" ref="Z481" ca="1">IFERROR(IF(_xlfn._xlws.FILTER(game_rosters!$J:$J,(game_rosters!$G:$G=events!$AN481)*(game_rosters!$J:$J=events!$X481))&gt;0,1,""),"")</f>
        <v>#VALUE!</v>
      </c>
      <c r="AA481" t="e">
        <f t="shared" si="87"/>
        <v>#VALUE!</v>
      </c>
      <c r="AB481" t="str">
        <f t="shared" si="88"/>
        <v/>
      </c>
      <c r="AC481" t="e">
        <f t="shared" si="86"/>
        <v>#VALUE!</v>
      </c>
      <c r="AD481" s="6"/>
      <c r="BJ481" s="39"/>
      <c r="BM481" s="39"/>
      <c r="BO481" s="19"/>
      <c r="BQ481" s="17"/>
    </row>
    <row r="482" spans="1:69" x14ac:dyDescent="0.2">
      <c r="A482" t="str">
        <f t="shared" si="89"/>
        <v/>
      </c>
      <c r="E482" s="4"/>
      <c r="F482" s="44"/>
      <c r="G482" s="4"/>
      <c r="H482" s="47"/>
      <c r="J482" s="45" t="str">
        <f t="shared" si="90"/>
        <v/>
      </c>
      <c r="N482" t="str">
        <f t="shared" si="92"/>
        <v/>
      </c>
      <c r="Q482" t="str">
        <f t="shared" si="91"/>
        <v/>
      </c>
      <c r="S482" t="str">
        <f>IF(A482=1,MAX(S$2:S481)+1,IF(OR(I482&lt;&gt;"",A482="x"),S481,""))</f>
        <v/>
      </c>
      <c r="T482" t="str">
        <f>IF(D482=1,MAX($T$2:$T481)+1,IF(S482=$S481,$S481,IF($D482="x",T481,IF($D481="x","",""))))</f>
        <v/>
      </c>
      <c r="U482" t="str">
        <f>IF(B482=1,MAX($U$2:$U481)+1,IF(AND($T482&lt;&gt;"",$T482=$T481),$U481,IF(B482="x",U481,"")))</f>
        <v/>
      </c>
      <c r="V482" t="str">
        <f>IF(C482=1,MAX($V$2:$V481)+1,IF(AND($T482&lt;&gt;"",$T482=$T481),$U481,IF(C482="x",V481,"")))</f>
        <v/>
      </c>
      <c r="W482" t="str" cm="1">
        <f t="array" ref="W482">IFERROR(_xlfn._xlws.FILTER(game_rosters!AB:AB,(game_rosters!J:J=events!X482)*(K482&lt;&gt;"")),"")</f>
        <v/>
      </c>
      <c r="X482" t="str" cm="1">
        <f t="array" ref="X482">IF(S482="","",IF($I482&lt;&gt;"",$I482,INDEX($I$2:$I481,ROW()-COUNTIFS($T$2:$T481,"="&amp;$T482,$S$2:$S481,"&lt;&gt;"&amp;$S482)-1)))</f>
        <v/>
      </c>
      <c r="Y482" t="b">
        <f>IF(X482&lt;&gt;"",VLOOKUP(X482,game_rosters!$C$43:$E$64,3,FALSE))</f>
        <v>0</v>
      </c>
      <c r="Z482" t="e" cm="1" vm="1">
        <f t="array" aca="1" ref="Z482" ca="1">IFERROR(IF(_xlfn._xlws.FILTER(game_rosters!$J:$J,(game_rosters!$G:$G=events!$AN482)*(game_rosters!$J:$J=events!$X482))&gt;0,1,""),"")</f>
        <v>#VALUE!</v>
      </c>
      <c r="AA482" t="e">
        <f t="shared" si="87"/>
        <v>#VALUE!</v>
      </c>
      <c r="AB482" t="str">
        <f t="shared" si="88"/>
        <v/>
      </c>
      <c r="AC482" t="e">
        <f t="shared" si="86"/>
        <v>#VALUE!</v>
      </c>
      <c r="AD482" s="6"/>
      <c r="BJ482" s="39"/>
      <c r="BM482" s="39"/>
      <c r="BO482" s="19"/>
      <c r="BQ482" s="17"/>
    </row>
    <row r="483" spans="1:69" x14ac:dyDescent="0.2">
      <c r="A483" t="str">
        <f t="shared" si="89"/>
        <v/>
      </c>
      <c r="E483" s="4"/>
      <c r="F483" s="44"/>
      <c r="G483" s="4"/>
      <c r="H483" s="47"/>
      <c r="J483" s="45" t="str">
        <f t="shared" si="90"/>
        <v/>
      </c>
      <c r="N483" t="str">
        <f t="shared" si="92"/>
        <v/>
      </c>
      <c r="Q483" t="str">
        <f t="shared" si="91"/>
        <v/>
      </c>
      <c r="S483" t="str">
        <f>IF(A483=1,MAX(S$2:S482)+1,IF(OR(I483&lt;&gt;"",A483="x"),S482,""))</f>
        <v/>
      </c>
      <c r="T483" t="str">
        <f>IF(D483=1,MAX($T$2:$T482)+1,IF(S483=$S482,$S482,IF($D483="x",T482,IF($D482="x","",""))))</f>
        <v/>
      </c>
      <c r="U483" t="str">
        <f>IF(B483=1,MAX($U$2:$U482)+1,IF(AND($T483&lt;&gt;"",$T483=$T482),$U482,IF(B483="x",U482,"")))</f>
        <v/>
      </c>
      <c r="V483" t="str">
        <f>IF(C483=1,MAX($V$2:$V482)+1,IF(AND($T483&lt;&gt;"",$T483=$T482),$U482,IF(C483="x",V482,"")))</f>
        <v/>
      </c>
      <c r="W483" t="str" cm="1">
        <f t="array" ref="W483">IFERROR(_xlfn._xlws.FILTER(game_rosters!AB:AB,(game_rosters!J:J=events!X483)*(K483&lt;&gt;"")),"")</f>
        <v/>
      </c>
      <c r="X483" t="str" cm="1">
        <f t="array" ref="X483">IF(S483="","",IF($I483&lt;&gt;"",$I483,INDEX($I$2:$I482,ROW()-COUNTIFS($T$2:$T482,"="&amp;$T483,$S$2:$S482,"&lt;&gt;"&amp;$S483)-1)))</f>
        <v/>
      </c>
      <c r="Y483" t="b">
        <f>IF(X483&lt;&gt;"",VLOOKUP(X483,game_rosters!$C$43:$E$64,3,FALSE))</f>
        <v>0</v>
      </c>
      <c r="Z483" t="e" cm="1" vm="1">
        <f t="array" aca="1" ref="Z483" ca="1">IFERROR(IF(_xlfn._xlws.FILTER(game_rosters!$J:$J,(game_rosters!$G:$G=events!$AN483)*(game_rosters!$J:$J=events!$X483))&gt;0,1,""),"")</f>
        <v>#VALUE!</v>
      </c>
      <c r="AA483" t="e">
        <f t="shared" si="87"/>
        <v>#VALUE!</v>
      </c>
      <c r="AB483" t="str">
        <f t="shared" si="88"/>
        <v/>
      </c>
      <c r="AC483" t="e">
        <f t="shared" si="86"/>
        <v>#VALUE!</v>
      </c>
      <c r="AD483" s="6"/>
      <c r="BJ483" s="39"/>
      <c r="BM483" s="39"/>
      <c r="BO483" s="19"/>
      <c r="BQ483" s="17"/>
    </row>
    <row r="484" spans="1:69" x14ac:dyDescent="0.2">
      <c r="A484" t="str">
        <f t="shared" si="89"/>
        <v/>
      </c>
      <c r="E484" s="4"/>
      <c r="F484" s="44"/>
      <c r="G484" s="4"/>
      <c r="H484" s="47"/>
      <c r="J484" s="45" t="str">
        <f t="shared" si="90"/>
        <v/>
      </c>
      <c r="N484" t="str">
        <f t="shared" si="92"/>
        <v/>
      </c>
      <c r="Q484" t="str">
        <f t="shared" si="91"/>
        <v/>
      </c>
      <c r="S484" t="str">
        <f>IF(A484=1,MAX(S$2:S483)+1,IF(OR(I484&lt;&gt;"",A484="x"),S483,""))</f>
        <v/>
      </c>
      <c r="T484" t="str">
        <f>IF(D484=1,MAX($T$2:$T483)+1,IF(S484=$S483,$S483,IF($D484="x",T483,IF($D483="x","",""))))</f>
        <v/>
      </c>
      <c r="U484" t="str">
        <f>IF(B484=1,MAX($U$2:$U483)+1,IF(AND($T484&lt;&gt;"",$T484=$T483),$U483,IF(B484="x",U483,"")))</f>
        <v/>
      </c>
      <c r="V484" t="str">
        <f>IF(C484=1,MAX($V$2:$V483)+1,IF(AND($T484&lt;&gt;"",$T484=$T483),$U483,IF(C484="x",V483,"")))</f>
        <v/>
      </c>
      <c r="W484" t="str" cm="1">
        <f t="array" ref="W484">IFERROR(_xlfn._xlws.FILTER(game_rosters!AB:AB,(game_rosters!J:J=events!X484)*(K484&lt;&gt;"")),"")</f>
        <v/>
      </c>
      <c r="X484" t="str" cm="1">
        <f t="array" ref="X484">IF(S484="","",IF($I484&lt;&gt;"",$I484,INDEX($I$2:$I483,ROW()-COUNTIFS($T$2:$T483,"="&amp;$T484,$S$2:$S483,"&lt;&gt;"&amp;$S484)-1)))</f>
        <v/>
      </c>
      <c r="Y484" t="b">
        <f>IF(X484&lt;&gt;"",VLOOKUP(X484,game_rosters!$C$43:$E$64,3,FALSE))</f>
        <v>0</v>
      </c>
      <c r="Z484" t="e" cm="1" vm="1">
        <f t="array" aca="1" ref="Z484" ca="1">IFERROR(IF(_xlfn._xlws.FILTER(game_rosters!$J:$J,(game_rosters!$G:$G=events!$AN484)*(game_rosters!$J:$J=events!$X484))&gt;0,1,""),"")</f>
        <v>#VALUE!</v>
      </c>
      <c r="AA484" t="e">
        <f t="shared" si="87"/>
        <v>#VALUE!</v>
      </c>
      <c r="AB484" t="str">
        <f t="shared" si="88"/>
        <v/>
      </c>
      <c r="AC484" t="e">
        <f t="shared" si="86"/>
        <v>#VALUE!</v>
      </c>
      <c r="AD484" s="6"/>
      <c r="BJ484" s="39"/>
      <c r="BM484" s="39"/>
      <c r="BO484" s="19"/>
      <c r="BQ484" s="17"/>
    </row>
    <row r="485" spans="1:69" x14ac:dyDescent="0.2">
      <c r="A485" t="str">
        <f t="shared" si="89"/>
        <v/>
      </c>
      <c r="E485" s="4"/>
      <c r="F485" s="44"/>
      <c r="G485" s="4"/>
      <c r="H485" s="47"/>
      <c r="J485" s="45" t="str">
        <f t="shared" si="90"/>
        <v/>
      </c>
      <c r="N485" t="str">
        <f t="shared" si="92"/>
        <v/>
      </c>
      <c r="Q485" t="str">
        <f t="shared" si="91"/>
        <v/>
      </c>
      <c r="S485" t="str">
        <f>IF(A485=1,MAX(S$2:S484)+1,IF(OR(I485&lt;&gt;"",A485="x"),S484,""))</f>
        <v/>
      </c>
      <c r="T485" t="str">
        <f>IF(D485=1,MAX($T$2:$T484)+1,IF(S485=$S484,$S484,IF($D485="x",T484,IF($D484="x","",""))))</f>
        <v/>
      </c>
      <c r="U485" t="str">
        <f>IF(B485=1,MAX($U$2:$U484)+1,IF(AND($T485&lt;&gt;"",$T485=$T484),$U484,IF(B485="x",U484,"")))</f>
        <v/>
      </c>
      <c r="V485" t="str">
        <f>IF(C485=1,MAX($V$2:$V484)+1,IF(AND($T485&lt;&gt;"",$T485=$T484),$U484,IF(C485="x",V484,"")))</f>
        <v/>
      </c>
      <c r="W485" t="str" cm="1">
        <f t="array" ref="W485">IFERROR(_xlfn._xlws.FILTER(game_rosters!AB:AB,(game_rosters!J:J=events!X485)*(K485&lt;&gt;"")),"")</f>
        <v/>
      </c>
      <c r="X485" t="str" cm="1">
        <f t="array" ref="X485">IF(S485="","",IF($I485&lt;&gt;"",$I485,INDEX($I$2:$I484,ROW()-COUNTIFS($T$2:$T484,"="&amp;$T485,$S$2:$S484,"&lt;&gt;"&amp;$S485)-1)))</f>
        <v/>
      </c>
      <c r="Y485" t="b">
        <f>IF(X485&lt;&gt;"",VLOOKUP(X485,game_rosters!$C$43:$E$64,3,FALSE))</f>
        <v>0</v>
      </c>
      <c r="Z485" t="e" cm="1" vm="1">
        <f t="array" aca="1" ref="Z485" ca="1">IFERROR(IF(_xlfn._xlws.FILTER(game_rosters!$J:$J,(game_rosters!$G:$G=events!$AN485)*(game_rosters!$J:$J=events!$X485))&gt;0,1,""),"")</f>
        <v>#VALUE!</v>
      </c>
      <c r="AA485" t="e">
        <f t="shared" si="87"/>
        <v>#VALUE!</v>
      </c>
      <c r="AB485" t="str">
        <f t="shared" si="88"/>
        <v/>
      </c>
      <c r="AC485" t="e">
        <f t="shared" si="86"/>
        <v>#VALUE!</v>
      </c>
      <c r="AD485" s="6"/>
      <c r="BJ485" s="39"/>
      <c r="BM485" s="39"/>
      <c r="BO485" s="19"/>
      <c r="BQ485" s="17"/>
    </row>
    <row r="486" spans="1:69" x14ac:dyDescent="0.2">
      <c r="A486" t="str">
        <f t="shared" si="89"/>
        <v/>
      </c>
      <c r="E486" s="4"/>
      <c r="F486" s="44"/>
      <c r="G486" s="4"/>
      <c r="H486" s="47"/>
      <c r="J486" s="45" t="str">
        <f t="shared" si="90"/>
        <v/>
      </c>
      <c r="N486" t="str">
        <f t="shared" si="92"/>
        <v/>
      </c>
      <c r="Q486" t="str">
        <f t="shared" si="91"/>
        <v/>
      </c>
      <c r="S486" t="str">
        <f>IF(A486=1,MAX(S$2:S485)+1,IF(OR(I486&lt;&gt;"",A486="x"),S485,""))</f>
        <v/>
      </c>
      <c r="T486" t="str">
        <f>IF(D486=1,MAX($T$2:$T485)+1,IF(S486=$S485,$S485,IF($D486="x",T485,IF($D485="x","",""))))</f>
        <v/>
      </c>
      <c r="U486" t="str">
        <f>IF(B486=1,MAX($U$2:$U485)+1,IF(AND($T486&lt;&gt;"",$T486=$T485),$U485,IF(B486="x",U485,"")))</f>
        <v/>
      </c>
      <c r="V486" t="str">
        <f>IF(C486=1,MAX($V$2:$V485)+1,IF(AND($T486&lt;&gt;"",$T486=$T485),$U485,IF(C486="x",V485,"")))</f>
        <v/>
      </c>
      <c r="W486" t="str" cm="1">
        <f t="array" ref="W486">IFERROR(_xlfn._xlws.FILTER(game_rosters!AB:AB,(game_rosters!J:J=events!X486)*(K486&lt;&gt;"")),"")</f>
        <v/>
      </c>
      <c r="X486" t="str" cm="1">
        <f t="array" ref="X486">IF(S486="","",IF($I486&lt;&gt;"",$I486,INDEX($I$2:$I485,ROW()-COUNTIFS($T$2:$T485,"="&amp;$T486,$S$2:$S485,"&lt;&gt;"&amp;$S486)-1)))</f>
        <v/>
      </c>
      <c r="Y486" t="b">
        <f>IF(X486&lt;&gt;"",VLOOKUP(X486,game_rosters!$C$43:$E$64,3,FALSE))</f>
        <v>0</v>
      </c>
      <c r="Z486" t="e" cm="1" vm="1">
        <f t="array" aca="1" ref="Z486" ca="1">IFERROR(IF(_xlfn._xlws.FILTER(game_rosters!$J:$J,(game_rosters!$G:$G=events!$AN486)*(game_rosters!$J:$J=events!$X486))&gt;0,1,""),"")</f>
        <v>#VALUE!</v>
      </c>
      <c r="AA486" t="e">
        <f t="shared" si="87"/>
        <v>#VALUE!</v>
      </c>
      <c r="AB486" t="str">
        <f t="shared" si="88"/>
        <v/>
      </c>
      <c r="AC486" t="e">
        <f t="shared" si="86"/>
        <v>#VALUE!</v>
      </c>
      <c r="AD486" s="6"/>
      <c r="BJ486" s="39"/>
      <c r="BM486" s="39"/>
      <c r="BO486" s="19"/>
      <c r="BQ486" s="17"/>
    </row>
    <row r="487" spans="1:69" x14ac:dyDescent="0.2">
      <c r="A487" t="str">
        <f t="shared" si="89"/>
        <v/>
      </c>
      <c r="E487" s="4"/>
      <c r="F487" s="44"/>
      <c r="G487" s="4"/>
      <c r="H487" s="47"/>
      <c r="J487" s="45" t="str">
        <f t="shared" si="90"/>
        <v/>
      </c>
      <c r="N487" t="str">
        <f t="shared" si="92"/>
        <v/>
      </c>
      <c r="Q487" t="str">
        <f t="shared" si="91"/>
        <v/>
      </c>
      <c r="S487" t="str">
        <f>IF(A487=1,MAX(S$2:S486)+1,IF(OR(I487&lt;&gt;"",A487="x"),S486,""))</f>
        <v/>
      </c>
      <c r="T487" t="str">
        <f>IF(D487=1,MAX($T$2:$T486)+1,IF(S487=$S486,$S486,IF($D487="x",T486,IF($D486="x","",""))))</f>
        <v/>
      </c>
      <c r="U487" t="str">
        <f>IF(B487=1,MAX($U$2:$U486)+1,IF(AND($T487&lt;&gt;"",$T487=$T486),$U486,IF(B487="x",U486,"")))</f>
        <v/>
      </c>
      <c r="V487" t="str">
        <f>IF(C487=1,MAX($V$2:$V486)+1,IF(AND($T487&lt;&gt;"",$T487=$T486),$U486,IF(C487="x",V486,"")))</f>
        <v/>
      </c>
      <c r="W487" t="str" cm="1">
        <f t="array" ref="W487">IFERROR(_xlfn._xlws.FILTER(game_rosters!AB:AB,(game_rosters!J:J=events!X487)*(K487&lt;&gt;"")),"")</f>
        <v/>
      </c>
      <c r="X487" t="str" cm="1">
        <f t="array" ref="X487">IF(S487="","",IF($I487&lt;&gt;"",$I487,INDEX($I$2:$I486,ROW()-COUNTIFS($T$2:$T486,"="&amp;$T487,$S$2:$S486,"&lt;&gt;"&amp;$S487)-1)))</f>
        <v/>
      </c>
      <c r="Y487" t="b">
        <f>IF(X487&lt;&gt;"",VLOOKUP(X487,game_rosters!$C$43:$E$64,3,FALSE))</f>
        <v>0</v>
      </c>
      <c r="Z487" t="e" cm="1" vm="1">
        <f t="array" aca="1" ref="Z487" ca="1">IFERROR(IF(_xlfn._xlws.FILTER(game_rosters!$J:$J,(game_rosters!$G:$G=events!$AN487)*(game_rosters!$J:$J=events!$X487))&gt;0,1,""),"")</f>
        <v>#VALUE!</v>
      </c>
      <c r="AA487" t="e">
        <f t="shared" si="87"/>
        <v>#VALUE!</v>
      </c>
      <c r="AB487" t="str">
        <f t="shared" si="88"/>
        <v/>
      </c>
      <c r="AC487" t="e">
        <f t="shared" si="86"/>
        <v>#VALUE!</v>
      </c>
      <c r="AD487" s="6"/>
      <c r="BJ487" s="39"/>
      <c r="BM487" s="39"/>
      <c r="BO487" s="19"/>
      <c r="BQ487" s="17"/>
    </row>
    <row r="488" spans="1:69" x14ac:dyDescent="0.2">
      <c r="A488" t="str">
        <f t="shared" si="89"/>
        <v/>
      </c>
      <c r="E488" s="4"/>
      <c r="F488" s="44"/>
      <c r="G488" s="4"/>
      <c r="H488" s="47"/>
      <c r="J488" s="45" t="str">
        <f t="shared" si="90"/>
        <v/>
      </c>
      <c r="N488" t="str">
        <f t="shared" si="92"/>
        <v/>
      </c>
      <c r="Q488" t="str">
        <f t="shared" si="91"/>
        <v/>
      </c>
      <c r="S488" t="str">
        <f>IF(A488=1,MAX(S$2:S487)+1,IF(OR(I488&lt;&gt;"",A488="x"),S487,""))</f>
        <v/>
      </c>
      <c r="T488" t="str">
        <f>IF(D488=1,MAX($T$2:$T487)+1,IF(S488=$S487,$S487,IF($D488="x",T487,IF($D487="x","",""))))</f>
        <v/>
      </c>
      <c r="U488" t="str">
        <f>IF(B488=1,MAX($U$2:$U487)+1,IF(AND($T488&lt;&gt;"",$T488=$T487),$U487,IF(B488="x",U487,"")))</f>
        <v/>
      </c>
      <c r="V488" t="str">
        <f>IF(C488=1,MAX($V$2:$V487)+1,IF(AND($T488&lt;&gt;"",$T488=$T487),$U487,IF(C488="x",V487,"")))</f>
        <v/>
      </c>
      <c r="W488" t="str" cm="1">
        <f t="array" ref="W488">IFERROR(_xlfn._xlws.FILTER(game_rosters!AB:AB,(game_rosters!J:J=events!X488)*(K488&lt;&gt;"")),"")</f>
        <v/>
      </c>
      <c r="X488" t="str" cm="1">
        <f t="array" ref="X488">IF(S488="","",IF($I488&lt;&gt;"",$I488,INDEX($I$2:$I487,ROW()-COUNTIFS($T$2:$T487,"="&amp;$T488,$S$2:$S487,"&lt;&gt;"&amp;$S488)-1)))</f>
        <v/>
      </c>
      <c r="Y488" t="b">
        <f>IF(X488&lt;&gt;"",VLOOKUP(X488,game_rosters!$C$43:$E$64,3,FALSE))</f>
        <v>0</v>
      </c>
      <c r="Z488" t="e" cm="1" vm="1">
        <f t="array" aca="1" ref="Z488" ca="1">IFERROR(IF(_xlfn._xlws.FILTER(game_rosters!$J:$J,(game_rosters!$G:$G=events!$AN488)*(game_rosters!$J:$J=events!$X488))&gt;0,1,""),"")</f>
        <v>#VALUE!</v>
      </c>
      <c r="AA488" t="e">
        <f t="shared" si="87"/>
        <v>#VALUE!</v>
      </c>
      <c r="AB488" t="str">
        <f t="shared" si="88"/>
        <v/>
      </c>
      <c r="AC488" t="e">
        <f t="shared" si="86"/>
        <v>#VALUE!</v>
      </c>
      <c r="AD488" s="6"/>
      <c r="BJ488" s="39"/>
      <c r="BM488" s="39"/>
      <c r="BO488" s="19"/>
      <c r="BQ488" s="17"/>
    </row>
    <row r="489" spans="1:69" x14ac:dyDescent="0.2">
      <c r="A489" t="str">
        <f t="shared" si="89"/>
        <v/>
      </c>
      <c r="E489" s="4"/>
      <c r="F489" s="44"/>
      <c r="G489" s="4"/>
      <c r="H489" s="47"/>
      <c r="J489" s="45" t="str">
        <f t="shared" si="90"/>
        <v/>
      </c>
      <c r="N489" t="str">
        <f t="shared" si="92"/>
        <v/>
      </c>
      <c r="Q489" t="str">
        <f t="shared" si="91"/>
        <v/>
      </c>
      <c r="S489" t="str">
        <f>IF(A489=1,MAX(S$2:S488)+1,IF(OR(I489&lt;&gt;"",A489="x"),S488,""))</f>
        <v/>
      </c>
      <c r="T489" t="str">
        <f>IF(D489=1,MAX($T$2:$T488)+1,IF(S489=$S488,$S488,IF($D489="x",T488,IF($D488="x","",""))))</f>
        <v/>
      </c>
      <c r="U489" t="str">
        <f>IF(B489=1,MAX($U$2:$U488)+1,IF(AND($T489&lt;&gt;"",$T489=$T488),$U488,IF(B489="x",U488,"")))</f>
        <v/>
      </c>
      <c r="V489" t="str">
        <f>IF(C489=1,MAX($V$2:$V488)+1,IF(AND($T489&lt;&gt;"",$T489=$T488),$U488,IF(C489="x",V488,"")))</f>
        <v/>
      </c>
      <c r="W489" t="str" cm="1">
        <f t="array" ref="W489">IFERROR(_xlfn._xlws.FILTER(game_rosters!AB:AB,(game_rosters!J:J=events!X489)*(K489&lt;&gt;"")),"")</f>
        <v/>
      </c>
      <c r="X489" t="str" cm="1">
        <f t="array" ref="X489">IF(S489="","",IF($I489&lt;&gt;"",$I489,INDEX($I$2:$I488,ROW()-COUNTIFS($T$2:$T488,"="&amp;$T489,$S$2:$S488,"&lt;&gt;"&amp;$S489)-1)))</f>
        <v/>
      </c>
      <c r="Y489" t="b">
        <f>IF(X489&lt;&gt;"",VLOOKUP(X489,game_rosters!$C$43:$E$64,3,FALSE))</f>
        <v>0</v>
      </c>
      <c r="Z489" t="e" cm="1" vm="1">
        <f t="array" aca="1" ref="Z489" ca="1">IFERROR(IF(_xlfn._xlws.FILTER(game_rosters!$J:$J,(game_rosters!$G:$G=events!$AN489)*(game_rosters!$J:$J=events!$X489))&gt;0,1,""),"")</f>
        <v>#VALUE!</v>
      </c>
      <c r="AA489" t="e">
        <f t="shared" si="87"/>
        <v>#VALUE!</v>
      </c>
      <c r="AB489" t="str">
        <f t="shared" si="88"/>
        <v/>
      </c>
      <c r="AC489" t="e">
        <f t="shared" si="86"/>
        <v>#VALUE!</v>
      </c>
      <c r="AD489" s="6"/>
      <c r="BJ489" s="39"/>
      <c r="BM489" s="39"/>
      <c r="BO489" s="19"/>
      <c r="BQ489" s="17"/>
    </row>
    <row r="490" spans="1:69" x14ac:dyDescent="0.2">
      <c r="A490" t="str">
        <f t="shared" si="89"/>
        <v/>
      </c>
      <c r="E490" s="4"/>
      <c r="F490" s="44"/>
      <c r="G490" s="4"/>
      <c r="H490" s="47"/>
      <c r="J490" s="45" t="str">
        <f t="shared" si="90"/>
        <v/>
      </c>
      <c r="N490" t="str">
        <f t="shared" si="92"/>
        <v/>
      </c>
      <c r="Q490" t="str">
        <f t="shared" si="91"/>
        <v/>
      </c>
      <c r="S490" t="str">
        <f>IF(A490=1,MAX(S$2:S489)+1,IF(OR(I490&lt;&gt;"",A490="x"),S489,""))</f>
        <v/>
      </c>
      <c r="T490" t="str">
        <f>IF(D490=1,MAX($T$2:$T489)+1,IF(S490=$S489,$S489,IF($D490="x",T489,IF($D489="x","",""))))</f>
        <v/>
      </c>
      <c r="U490" t="str">
        <f>IF(B490=1,MAX($U$2:$U489)+1,IF(AND($T490&lt;&gt;"",$T490=$T489),$U489,IF(B490="x",U489,"")))</f>
        <v/>
      </c>
      <c r="V490" t="str">
        <f>IF(C490=1,MAX($V$2:$V489)+1,IF(AND($T490&lt;&gt;"",$T490=$T489),$U489,IF(C490="x",V489,"")))</f>
        <v/>
      </c>
      <c r="W490" t="str" cm="1">
        <f t="array" ref="W490">IFERROR(_xlfn._xlws.FILTER(game_rosters!AB:AB,(game_rosters!J:J=events!X490)*(K490&lt;&gt;"")),"")</f>
        <v/>
      </c>
      <c r="X490" t="str" cm="1">
        <f t="array" ref="X490">IF(S490="","",IF($I490&lt;&gt;"",$I490,INDEX($I$2:$I489,ROW()-COUNTIFS($T$2:$T489,"="&amp;$T490,$S$2:$S489,"&lt;&gt;"&amp;$S490)-1)))</f>
        <v/>
      </c>
      <c r="Y490" t="b">
        <f>IF(X490&lt;&gt;"",VLOOKUP(X490,game_rosters!$C$43:$E$64,3,FALSE))</f>
        <v>0</v>
      </c>
      <c r="Z490" t="e" cm="1" vm="1">
        <f t="array" aca="1" ref="Z490" ca="1">IFERROR(IF(_xlfn._xlws.FILTER(game_rosters!$J:$J,(game_rosters!$G:$G=events!$AN490)*(game_rosters!$J:$J=events!$X490))&gt;0,1,""),"")</f>
        <v>#VALUE!</v>
      </c>
      <c r="AA490" t="e">
        <f t="shared" si="87"/>
        <v>#VALUE!</v>
      </c>
      <c r="AB490" t="str">
        <f t="shared" si="88"/>
        <v/>
      </c>
      <c r="AC490" t="e">
        <f t="shared" si="86"/>
        <v>#VALUE!</v>
      </c>
      <c r="AD490" s="6"/>
      <c r="BJ490" s="39"/>
      <c r="BM490" s="39"/>
      <c r="BO490" s="19"/>
      <c r="BQ490" s="17"/>
    </row>
    <row r="491" spans="1:69" x14ac:dyDescent="0.2">
      <c r="A491" t="str">
        <f t="shared" si="89"/>
        <v/>
      </c>
      <c r="E491" s="4"/>
      <c r="F491" s="44"/>
      <c r="G491" s="4"/>
      <c r="H491" s="47"/>
      <c r="J491" s="45" t="str">
        <f t="shared" si="90"/>
        <v/>
      </c>
      <c r="N491" t="str">
        <f t="shared" si="92"/>
        <v/>
      </c>
      <c r="Q491" t="str">
        <f t="shared" si="91"/>
        <v/>
      </c>
      <c r="S491" t="str">
        <f>IF(A491=1,MAX(S$2:S490)+1,IF(OR(I491&lt;&gt;"",A491="x"),S490,""))</f>
        <v/>
      </c>
      <c r="T491" t="str">
        <f>IF(D491=1,MAX($T$2:$T490)+1,IF(S491=$S490,$S490,IF($D491="x",T490,IF($D490="x","",""))))</f>
        <v/>
      </c>
      <c r="U491" t="str">
        <f>IF(B491=1,MAX($U$2:$U490)+1,IF(AND($T491&lt;&gt;"",$T491=$T490),$U490,IF(B491="x",U490,"")))</f>
        <v/>
      </c>
      <c r="V491" t="str">
        <f>IF(C491=1,MAX($V$2:$V490)+1,IF(AND($T491&lt;&gt;"",$T491=$T490),$U490,IF(C491="x",V490,"")))</f>
        <v/>
      </c>
      <c r="W491" t="str" cm="1">
        <f t="array" ref="W491">IFERROR(_xlfn._xlws.FILTER(game_rosters!AB:AB,(game_rosters!J:J=events!X491)*(K491&lt;&gt;"")),"")</f>
        <v/>
      </c>
      <c r="X491" t="str" cm="1">
        <f t="array" ref="X491">IF(S491="","",IF($I491&lt;&gt;"",$I491,INDEX($I$2:$I490,ROW()-COUNTIFS($T$2:$T490,"="&amp;$T491,$S$2:$S490,"&lt;&gt;"&amp;$S491)-1)))</f>
        <v/>
      </c>
      <c r="Y491" t="b">
        <f>IF(X491&lt;&gt;"",VLOOKUP(X491,game_rosters!$C$43:$E$64,3,FALSE))</f>
        <v>0</v>
      </c>
      <c r="Z491" t="e" cm="1" vm="1">
        <f t="array" aca="1" ref="Z491" ca="1">IFERROR(IF(_xlfn._xlws.FILTER(game_rosters!$J:$J,(game_rosters!$G:$G=events!$AN491)*(game_rosters!$J:$J=events!$X491))&gt;0,1,""),"")</f>
        <v>#VALUE!</v>
      </c>
      <c r="AA491" t="e">
        <f t="shared" si="87"/>
        <v>#VALUE!</v>
      </c>
      <c r="AB491" t="str">
        <f t="shared" si="88"/>
        <v/>
      </c>
      <c r="AC491" t="e">
        <f t="shared" si="86"/>
        <v>#VALUE!</v>
      </c>
      <c r="AD491" s="6"/>
      <c r="BJ491" s="39"/>
      <c r="BM491" s="39"/>
      <c r="BO491" s="19"/>
      <c r="BQ491" s="17"/>
    </row>
    <row r="492" spans="1:69" x14ac:dyDescent="0.2">
      <c r="A492" t="str">
        <f t="shared" si="89"/>
        <v/>
      </c>
      <c r="E492" s="4"/>
      <c r="F492" s="44"/>
      <c r="G492" s="4"/>
      <c r="H492" s="47"/>
      <c r="J492" s="45" t="str">
        <f t="shared" si="90"/>
        <v/>
      </c>
      <c r="N492" t="str">
        <f t="shared" si="92"/>
        <v/>
      </c>
      <c r="Q492" t="str">
        <f t="shared" si="91"/>
        <v/>
      </c>
      <c r="S492" t="str">
        <f>IF(A492=1,MAX(S$2:S491)+1,IF(OR(I492&lt;&gt;"",A492="x"),S491,""))</f>
        <v/>
      </c>
      <c r="T492" t="str">
        <f>IF(D492=1,MAX($T$2:$T491)+1,IF(S492=$S491,$S491,IF($D492="x",T491,IF($D491="x","",""))))</f>
        <v/>
      </c>
      <c r="U492" t="str">
        <f>IF(B492=1,MAX($U$2:$U491)+1,IF(AND($T492&lt;&gt;"",$T492=$T491),$U491,IF(B492="x",U491,"")))</f>
        <v/>
      </c>
      <c r="V492" t="str">
        <f>IF(C492=1,MAX($V$2:$V491)+1,IF(AND($T492&lt;&gt;"",$T492=$T491),$U491,IF(C492="x",V491,"")))</f>
        <v/>
      </c>
      <c r="W492" t="str" cm="1">
        <f t="array" ref="W492">IFERROR(_xlfn._xlws.FILTER(game_rosters!AB:AB,(game_rosters!J:J=events!X492)*(K492&lt;&gt;"")),"")</f>
        <v/>
      </c>
      <c r="X492" t="str" cm="1">
        <f t="array" ref="X492">IF(S492="","",IF($I492&lt;&gt;"",$I492,INDEX($I$2:$I491,ROW()-COUNTIFS($T$2:$T491,"="&amp;$T492,$S$2:$S491,"&lt;&gt;"&amp;$S492)-1)))</f>
        <v/>
      </c>
      <c r="Y492" t="b">
        <f>IF(X492&lt;&gt;"",VLOOKUP(X492,game_rosters!$C$43:$E$64,3,FALSE))</f>
        <v>0</v>
      </c>
      <c r="Z492" t="e" cm="1" vm="1">
        <f t="array" aca="1" ref="Z492" ca="1">IFERROR(IF(_xlfn._xlws.FILTER(game_rosters!$J:$J,(game_rosters!$G:$G=events!$AN492)*(game_rosters!$J:$J=events!$X492))&gt;0,1,""),"")</f>
        <v>#VALUE!</v>
      </c>
      <c r="AA492" t="e">
        <f t="shared" si="87"/>
        <v>#VALUE!</v>
      </c>
      <c r="AB492" t="str">
        <f t="shared" si="88"/>
        <v/>
      </c>
      <c r="AC492" t="e">
        <f t="shared" si="86"/>
        <v>#VALUE!</v>
      </c>
      <c r="AD492" s="6"/>
      <c r="BJ492" s="39"/>
      <c r="BM492" s="39"/>
      <c r="BO492" s="19"/>
      <c r="BQ492" s="17"/>
    </row>
    <row r="493" spans="1:69" x14ac:dyDescent="0.2">
      <c r="A493" t="str">
        <f t="shared" si="89"/>
        <v/>
      </c>
      <c r="E493" s="4"/>
      <c r="F493" s="44"/>
      <c r="G493" s="4"/>
      <c r="H493" s="47"/>
      <c r="J493" s="45" t="str">
        <f t="shared" si="90"/>
        <v/>
      </c>
      <c r="N493" t="str">
        <f t="shared" si="92"/>
        <v/>
      </c>
      <c r="Q493" t="str">
        <f t="shared" si="91"/>
        <v/>
      </c>
      <c r="S493" t="str">
        <f>IF(A493=1,MAX(S$2:S492)+1,IF(OR(I493&lt;&gt;"",A493="x"),S492,""))</f>
        <v/>
      </c>
      <c r="T493" t="str">
        <f>IF(D493=1,MAX($T$2:$T492)+1,IF(S493=$S492,$S492,IF($D493="x",T492,IF($D492="x","",""))))</f>
        <v/>
      </c>
      <c r="U493" t="str">
        <f>IF(B493=1,MAX($U$2:$U492)+1,IF(AND($T493&lt;&gt;"",$T493=$T492),$U492,IF(B493="x",U492,"")))</f>
        <v/>
      </c>
      <c r="V493" t="str">
        <f>IF(C493=1,MAX($V$2:$V492)+1,IF(AND($T493&lt;&gt;"",$T493=$T492),$U492,IF(C493="x",V492,"")))</f>
        <v/>
      </c>
      <c r="W493" t="str" cm="1">
        <f t="array" ref="W493">IFERROR(_xlfn._xlws.FILTER(game_rosters!AB:AB,(game_rosters!J:J=events!X493)*(K493&lt;&gt;"")),"")</f>
        <v/>
      </c>
      <c r="X493" t="str" cm="1">
        <f t="array" ref="X493">IF(S493="","",IF($I493&lt;&gt;"",$I493,INDEX($I$2:$I492,ROW()-COUNTIFS($T$2:$T492,"="&amp;$T493,$S$2:$S492,"&lt;&gt;"&amp;$S493)-1)))</f>
        <v/>
      </c>
      <c r="Y493" t="b">
        <f>IF(X493&lt;&gt;"",VLOOKUP(X493,game_rosters!$C$43:$E$64,3,FALSE))</f>
        <v>0</v>
      </c>
      <c r="Z493" t="e" cm="1" vm="1">
        <f t="array" aca="1" ref="Z493" ca="1">IFERROR(IF(_xlfn._xlws.FILTER(game_rosters!$J:$J,(game_rosters!$G:$G=events!$AN493)*(game_rosters!$J:$J=events!$X493))&gt;0,1,""),"")</f>
        <v>#VALUE!</v>
      </c>
      <c r="AA493" t="e">
        <f t="shared" si="87"/>
        <v>#VALUE!</v>
      </c>
      <c r="AB493" t="str">
        <f t="shared" si="88"/>
        <v/>
      </c>
      <c r="AC493" t="e">
        <f t="shared" si="86"/>
        <v>#VALUE!</v>
      </c>
      <c r="AD493" s="6"/>
      <c r="BJ493" s="39"/>
      <c r="BM493" s="39"/>
      <c r="BO493" s="19"/>
      <c r="BQ493" s="17"/>
    </row>
    <row r="494" spans="1:69" x14ac:dyDescent="0.2">
      <c r="A494" t="str">
        <f t="shared" si="89"/>
        <v/>
      </c>
      <c r="E494" s="4"/>
      <c r="F494" s="44"/>
      <c r="G494" s="4"/>
      <c r="H494" s="47"/>
      <c r="J494" s="45" t="str">
        <f t="shared" si="90"/>
        <v/>
      </c>
      <c r="N494" t="str">
        <f t="shared" si="92"/>
        <v/>
      </c>
      <c r="Q494" t="str">
        <f t="shared" si="91"/>
        <v/>
      </c>
      <c r="S494" t="str">
        <f>IF(A494=1,MAX(S$2:S493)+1,IF(OR(I494&lt;&gt;"",A494="x"),S493,""))</f>
        <v/>
      </c>
      <c r="T494" t="str">
        <f>IF(D494=1,MAX($T$2:$T493)+1,IF(S494=$S493,$S493,IF($D494="x",T493,IF($D493="x","",""))))</f>
        <v/>
      </c>
      <c r="U494" t="str">
        <f>IF(B494=1,MAX($U$2:$U493)+1,IF(AND($T494&lt;&gt;"",$T494=$T493),$U493,IF(B494="x",U493,"")))</f>
        <v/>
      </c>
      <c r="V494" t="str">
        <f>IF(C494=1,MAX($V$2:$V493)+1,IF(AND($T494&lt;&gt;"",$T494=$T493),$U493,IF(C494="x",V493,"")))</f>
        <v/>
      </c>
      <c r="W494" t="str" cm="1">
        <f t="array" ref="W494">IFERROR(_xlfn._xlws.FILTER(game_rosters!AB:AB,(game_rosters!J:J=events!X494)*(K494&lt;&gt;"")),"")</f>
        <v/>
      </c>
      <c r="X494" t="str" cm="1">
        <f t="array" ref="X494">IF(S494="","",IF($I494&lt;&gt;"",$I494,INDEX($I$2:$I493,ROW()-COUNTIFS($T$2:$T493,"="&amp;$T494,$S$2:$S493,"&lt;&gt;"&amp;$S494)-1)))</f>
        <v/>
      </c>
      <c r="Y494" t="b">
        <f>IF(X494&lt;&gt;"",VLOOKUP(X494,game_rosters!$C$43:$E$64,3,FALSE))</f>
        <v>0</v>
      </c>
      <c r="Z494" t="e" cm="1" vm="1">
        <f t="array" aca="1" ref="Z494" ca="1">IFERROR(IF(_xlfn._xlws.FILTER(game_rosters!$J:$J,(game_rosters!$G:$G=events!$AN494)*(game_rosters!$J:$J=events!$X494))&gt;0,1,""),"")</f>
        <v>#VALUE!</v>
      </c>
      <c r="AA494" t="e">
        <f t="shared" si="87"/>
        <v>#VALUE!</v>
      </c>
      <c r="AB494" t="str">
        <f t="shared" si="88"/>
        <v/>
      </c>
      <c r="AC494" t="e">
        <f t="shared" si="86"/>
        <v>#VALUE!</v>
      </c>
      <c r="AD494" s="6"/>
      <c r="BJ494" s="39"/>
      <c r="BM494" s="39"/>
      <c r="BO494" s="19"/>
      <c r="BQ494" s="17"/>
    </row>
    <row r="495" spans="1:69" x14ac:dyDescent="0.2">
      <c r="A495" t="str">
        <f t="shared" si="89"/>
        <v/>
      </c>
      <c r="E495" s="4"/>
      <c r="F495" s="44"/>
      <c r="G495" s="4"/>
      <c r="H495" s="47"/>
      <c r="J495" s="45" t="str">
        <f t="shared" si="90"/>
        <v/>
      </c>
      <c r="N495" t="str">
        <f t="shared" si="92"/>
        <v/>
      </c>
      <c r="Q495" t="str">
        <f t="shared" si="91"/>
        <v/>
      </c>
      <c r="S495" t="str">
        <f>IF(A495=1,MAX(S$2:S494)+1,IF(OR(I495&lt;&gt;"",A495="x"),S494,""))</f>
        <v/>
      </c>
      <c r="T495" t="str">
        <f>IF(D495=1,MAX($T$2:$T494)+1,IF(S495=$S494,$S494,IF($D495="x",T494,IF($D494="x","",""))))</f>
        <v/>
      </c>
      <c r="U495" t="str">
        <f>IF(B495=1,MAX($U$2:$U494)+1,IF(AND($T495&lt;&gt;"",$T495=$T494),$U494,IF(B495="x",U494,"")))</f>
        <v/>
      </c>
      <c r="V495" t="str">
        <f>IF(C495=1,MAX($V$2:$V494)+1,IF(AND($T495&lt;&gt;"",$T495=$T494),$U494,IF(C495="x",V494,"")))</f>
        <v/>
      </c>
      <c r="W495" t="str" cm="1">
        <f t="array" ref="W495">IFERROR(_xlfn._xlws.FILTER(game_rosters!AB:AB,(game_rosters!J:J=events!X495)*(K495&lt;&gt;"")),"")</f>
        <v/>
      </c>
      <c r="X495" t="str" cm="1">
        <f t="array" ref="X495">IF(S495="","",IF($I495&lt;&gt;"",$I495,INDEX($I$2:$I494,ROW()-COUNTIFS($T$2:$T494,"="&amp;$T495,$S$2:$S494,"&lt;&gt;"&amp;$S495)-1)))</f>
        <v/>
      </c>
      <c r="Y495" t="b">
        <f>IF(X495&lt;&gt;"",VLOOKUP(X495,game_rosters!$C$43:$E$64,3,FALSE))</f>
        <v>0</v>
      </c>
      <c r="Z495" t="e" cm="1" vm="1">
        <f t="array" aca="1" ref="Z495" ca="1">IFERROR(IF(_xlfn._xlws.FILTER(game_rosters!$J:$J,(game_rosters!$G:$G=events!$AN495)*(game_rosters!$J:$J=events!$X495))&gt;0,1,""),"")</f>
        <v>#VALUE!</v>
      </c>
      <c r="AA495" t="e">
        <f t="shared" si="87"/>
        <v>#VALUE!</v>
      </c>
      <c r="AB495" t="str">
        <f t="shared" si="88"/>
        <v/>
      </c>
      <c r="AC495" t="e">
        <f t="shared" si="86"/>
        <v>#VALUE!</v>
      </c>
      <c r="AD495" s="6"/>
      <c r="BJ495" s="39"/>
      <c r="BM495" s="39"/>
      <c r="BO495" s="19"/>
      <c r="BQ495" s="17"/>
    </row>
    <row r="496" spans="1:69" x14ac:dyDescent="0.2">
      <c r="A496" t="str">
        <f t="shared" si="89"/>
        <v/>
      </c>
      <c r="E496" s="4"/>
      <c r="F496" s="44"/>
      <c r="G496" s="4"/>
      <c r="H496" s="47"/>
      <c r="J496" s="45" t="str">
        <f t="shared" si="90"/>
        <v/>
      </c>
      <c r="N496" t="str">
        <f t="shared" si="92"/>
        <v/>
      </c>
      <c r="Q496" t="str">
        <f t="shared" si="91"/>
        <v/>
      </c>
      <c r="S496" t="str">
        <f>IF(A496=1,MAX(S$2:S495)+1,IF(OR(I496&lt;&gt;"",A496="x"),S495,""))</f>
        <v/>
      </c>
      <c r="T496" t="str">
        <f>IF(D496=1,MAX($T$2:$T495)+1,IF(S496=$S495,$S495,IF($D496="x",T495,IF($D495="x","",""))))</f>
        <v/>
      </c>
      <c r="U496" t="str">
        <f>IF(B496=1,MAX($U$2:$U495)+1,IF(AND($T496&lt;&gt;"",$T496=$T495),$U495,IF(B496="x",U495,"")))</f>
        <v/>
      </c>
      <c r="V496" t="str">
        <f>IF(C496=1,MAX($V$2:$V495)+1,IF(AND($T496&lt;&gt;"",$T496=$T495),$U495,IF(C496="x",V495,"")))</f>
        <v/>
      </c>
      <c r="W496" t="str" cm="1">
        <f t="array" ref="W496">IFERROR(_xlfn._xlws.FILTER(game_rosters!AB:AB,(game_rosters!J:J=events!X496)*(K496&lt;&gt;"")),"")</f>
        <v/>
      </c>
      <c r="X496" t="str" cm="1">
        <f t="array" ref="X496">IF(S496="","",IF($I496&lt;&gt;"",$I496,INDEX($I$2:$I495,ROW()-COUNTIFS($T$2:$T495,"="&amp;$T496,$S$2:$S495,"&lt;&gt;"&amp;$S496)-1)))</f>
        <v/>
      </c>
      <c r="Y496" t="b">
        <f>IF(X496&lt;&gt;"",VLOOKUP(X496,game_rosters!$C$43:$E$64,3,FALSE))</f>
        <v>0</v>
      </c>
      <c r="Z496" t="e" cm="1" vm="1">
        <f t="array" aca="1" ref="Z496" ca="1">IFERROR(IF(_xlfn._xlws.FILTER(game_rosters!$J:$J,(game_rosters!$G:$G=events!$AN496)*(game_rosters!$J:$J=events!$X496))&gt;0,1,""),"")</f>
        <v>#VALUE!</v>
      </c>
      <c r="AA496" t="e">
        <f t="shared" si="87"/>
        <v>#VALUE!</v>
      </c>
      <c r="AB496" t="str">
        <f t="shared" si="88"/>
        <v/>
      </c>
      <c r="AC496" t="e">
        <f t="shared" si="86"/>
        <v>#VALUE!</v>
      </c>
      <c r="AD496" s="6"/>
      <c r="BJ496" s="39"/>
      <c r="BM496" s="39"/>
      <c r="BO496" s="19"/>
      <c r="BQ496" s="17"/>
    </row>
    <row r="497" spans="1:69" x14ac:dyDescent="0.2">
      <c r="A497" t="str">
        <f t="shared" si="89"/>
        <v/>
      </c>
      <c r="E497" s="4"/>
      <c r="F497" s="44"/>
      <c r="G497" s="4"/>
      <c r="H497" s="47"/>
      <c r="J497" s="45" t="str">
        <f t="shared" si="90"/>
        <v/>
      </c>
      <c r="N497" t="str">
        <f t="shared" si="92"/>
        <v/>
      </c>
      <c r="Q497" t="str">
        <f t="shared" si="91"/>
        <v/>
      </c>
      <c r="S497" t="str">
        <f>IF(A497=1,MAX(S$2:S496)+1,IF(OR(I497&lt;&gt;"",A497="x"),S496,""))</f>
        <v/>
      </c>
      <c r="T497" t="str">
        <f>IF(D497=1,MAX($T$2:$T496)+1,IF(S497=$S496,$S496,IF($D497="x",T496,IF($D496="x","",""))))</f>
        <v/>
      </c>
      <c r="U497" t="str">
        <f>IF(B497=1,MAX($U$2:$U496)+1,IF(AND($T497&lt;&gt;"",$T497=$T496),$U496,IF(B497="x",U496,"")))</f>
        <v/>
      </c>
      <c r="V497" t="str">
        <f>IF(C497=1,MAX($V$2:$V496)+1,IF(AND($T497&lt;&gt;"",$T497=$T496),$U496,IF(C497="x",V496,"")))</f>
        <v/>
      </c>
      <c r="W497" t="str" cm="1">
        <f t="array" ref="W497">IFERROR(_xlfn._xlws.FILTER(game_rosters!AB:AB,(game_rosters!J:J=events!X497)*(K497&lt;&gt;"")),"")</f>
        <v/>
      </c>
      <c r="X497" t="str" cm="1">
        <f t="array" ref="X497">IF(S497="","",IF($I497&lt;&gt;"",$I497,INDEX($I$2:$I496,ROW()-COUNTIFS($T$2:$T496,"="&amp;$T497,$S$2:$S496,"&lt;&gt;"&amp;$S497)-1)))</f>
        <v/>
      </c>
      <c r="Y497" t="b">
        <f>IF(X497&lt;&gt;"",VLOOKUP(X497,game_rosters!$C$43:$E$64,3,FALSE))</f>
        <v>0</v>
      </c>
      <c r="Z497" t="e" cm="1" vm="1">
        <f t="array" aca="1" ref="Z497" ca="1">IFERROR(IF(_xlfn._xlws.FILTER(game_rosters!$J:$J,(game_rosters!$G:$G=events!$AN497)*(game_rosters!$J:$J=events!$X497))&gt;0,1,""),"")</f>
        <v>#VALUE!</v>
      </c>
      <c r="AA497" t="e">
        <f t="shared" si="87"/>
        <v>#VALUE!</v>
      </c>
      <c r="AB497" t="str">
        <f t="shared" si="88"/>
        <v/>
      </c>
      <c r="AC497" t="e">
        <f t="shared" si="86"/>
        <v>#VALUE!</v>
      </c>
      <c r="AD497" s="6"/>
      <c r="BJ497" s="39"/>
      <c r="BM497" s="39"/>
      <c r="BO497" s="19"/>
      <c r="BQ497" s="17"/>
    </row>
    <row r="498" spans="1:69" x14ac:dyDescent="0.2">
      <c r="A498" t="str">
        <f t="shared" si="89"/>
        <v/>
      </c>
      <c r="E498" s="4"/>
      <c r="F498" s="44"/>
      <c r="G498" s="4"/>
      <c r="H498" s="47"/>
      <c r="J498" s="45" t="str">
        <f t="shared" si="90"/>
        <v/>
      </c>
      <c r="N498" t="str">
        <f t="shared" si="92"/>
        <v/>
      </c>
      <c r="Q498" t="str">
        <f t="shared" si="91"/>
        <v/>
      </c>
      <c r="S498" t="str">
        <f>IF(A498=1,MAX(S$2:S497)+1,IF(OR(I498&lt;&gt;"",A498="x"),S497,""))</f>
        <v/>
      </c>
      <c r="T498" t="str">
        <f>IF(D498=1,MAX($T$2:$T497)+1,IF(S498=$S497,$S497,IF($D498="x",T497,IF($D497="x","",""))))</f>
        <v/>
      </c>
      <c r="U498" t="str">
        <f>IF(B498=1,MAX($U$2:$U497)+1,IF(AND($T498&lt;&gt;"",$T498=$T497),$U497,IF(B498="x",U497,"")))</f>
        <v/>
      </c>
      <c r="V498" t="str">
        <f>IF(C498=1,MAX($V$2:$V497)+1,IF(AND($T498&lt;&gt;"",$T498=$T497),$U497,IF(C498="x",V497,"")))</f>
        <v/>
      </c>
      <c r="W498" t="str" cm="1">
        <f t="array" ref="W498">IFERROR(_xlfn._xlws.FILTER(game_rosters!AB:AB,(game_rosters!J:J=events!X498)*(K498&lt;&gt;"")),"")</f>
        <v/>
      </c>
      <c r="X498" t="str" cm="1">
        <f t="array" ref="X498">IF(S498="","",IF($I498&lt;&gt;"",$I498,INDEX($I$2:$I497,ROW()-COUNTIFS($T$2:$T497,"="&amp;$T498,$S$2:$S497,"&lt;&gt;"&amp;$S498)-1)))</f>
        <v/>
      </c>
      <c r="Y498" t="b">
        <f>IF(X498&lt;&gt;"",VLOOKUP(X498,game_rosters!$C$43:$E$64,3,FALSE))</f>
        <v>0</v>
      </c>
      <c r="Z498" t="e" cm="1" vm="1">
        <f t="array" aca="1" ref="Z498" ca="1">IFERROR(IF(_xlfn._xlws.FILTER(game_rosters!$J:$J,(game_rosters!$G:$G=events!$AN498)*(game_rosters!$J:$J=events!$X498))&gt;0,1,""),"")</f>
        <v>#VALUE!</v>
      </c>
      <c r="AA498" t="e">
        <f t="shared" si="87"/>
        <v>#VALUE!</v>
      </c>
      <c r="AB498" t="str">
        <f t="shared" si="88"/>
        <v/>
      </c>
      <c r="AC498" t="e">
        <f t="shared" si="86"/>
        <v>#VALUE!</v>
      </c>
      <c r="AD498" s="6"/>
      <c r="BJ498" s="39"/>
      <c r="BM498" s="39"/>
      <c r="BO498" s="19"/>
      <c r="BQ498" s="17"/>
    </row>
    <row r="499" spans="1:69" x14ac:dyDescent="0.2">
      <c r="A499" t="str">
        <f t="shared" si="89"/>
        <v/>
      </c>
      <c r="E499" s="4"/>
      <c r="F499" s="44"/>
      <c r="G499" s="4"/>
      <c r="H499" s="47"/>
      <c r="J499" s="45" t="str">
        <f t="shared" si="90"/>
        <v/>
      </c>
      <c r="N499" t="str">
        <f t="shared" si="92"/>
        <v/>
      </c>
      <c r="Q499" t="str">
        <f t="shared" si="91"/>
        <v/>
      </c>
      <c r="S499" t="str">
        <f>IF(A499=1,MAX(S$2:S498)+1,IF(OR(I499&lt;&gt;"",A499="x"),S498,""))</f>
        <v/>
      </c>
      <c r="T499" t="str">
        <f>IF(D499=1,MAX($T$2:$T498)+1,IF(S499=$S498,$S498,IF($D499="x",T498,IF($D498="x","",""))))</f>
        <v/>
      </c>
      <c r="U499" t="str">
        <f>IF(B499=1,MAX($U$2:$U498)+1,IF(AND($T499&lt;&gt;"",$T499=$T498),$U498,IF(B499="x",U498,"")))</f>
        <v/>
      </c>
      <c r="V499" t="str">
        <f>IF(C499=1,MAX($V$2:$V498)+1,IF(AND($T499&lt;&gt;"",$T499=$T498),$U498,IF(C499="x",V498,"")))</f>
        <v/>
      </c>
      <c r="W499" t="str" cm="1">
        <f t="array" ref="W499">IFERROR(_xlfn._xlws.FILTER(game_rosters!AB:AB,(game_rosters!J:J=events!X499)*(K499&lt;&gt;"")),"")</f>
        <v/>
      </c>
      <c r="X499" t="str" cm="1">
        <f t="array" ref="X499">IF(S499="","",IF($I499&lt;&gt;"",$I499,INDEX($I$2:$I498,ROW()-COUNTIFS($T$2:$T498,"="&amp;$T499,$S$2:$S498,"&lt;&gt;"&amp;$S499)-1)))</f>
        <v/>
      </c>
      <c r="Y499" t="b">
        <f>IF(X499&lt;&gt;"",VLOOKUP(X499,game_rosters!$C$43:$E$64,3,FALSE))</f>
        <v>0</v>
      </c>
      <c r="Z499" t="e" cm="1" vm="1">
        <f t="array" aca="1" ref="Z499" ca="1">IFERROR(IF(_xlfn._xlws.FILTER(game_rosters!$J:$J,(game_rosters!$G:$G=events!$AN499)*(game_rosters!$J:$J=events!$X499))&gt;0,1,""),"")</f>
        <v>#VALUE!</v>
      </c>
      <c r="AA499" t="e">
        <f t="shared" si="87"/>
        <v>#VALUE!</v>
      </c>
      <c r="AB499" t="str">
        <f t="shared" si="88"/>
        <v/>
      </c>
      <c r="AC499" t="e">
        <f t="shared" si="86"/>
        <v>#VALUE!</v>
      </c>
      <c r="AD499" s="6"/>
      <c r="BJ499" s="39"/>
      <c r="BM499" s="39"/>
      <c r="BO499" s="19"/>
      <c r="BQ499" s="17"/>
    </row>
    <row r="500" spans="1:69" x14ac:dyDescent="0.2">
      <c r="A500" t="str">
        <f t="shared" si="89"/>
        <v/>
      </c>
      <c r="E500" s="4"/>
      <c r="F500" s="44"/>
      <c r="G500" s="4"/>
      <c r="H500" s="47"/>
      <c r="J500" s="45" t="str">
        <f t="shared" si="90"/>
        <v/>
      </c>
      <c r="N500" t="str">
        <f t="shared" si="92"/>
        <v/>
      </c>
      <c r="Q500" t="str">
        <f t="shared" si="91"/>
        <v/>
      </c>
      <c r="S500" t="str">
        <f>IF(A500=1,MAX(S$2:S499)+1,IF(OR(I500&lt;&gt;"",A500="x"),S499,""))</f>
        <v/>
      </c>
      <c r="T500" t="str">
        <f>IF(D500=1,MAX($T$2:$T499)+1,IF(S500=$S499,$S499,IF($D500="x",T499,IF($D499="x","",""))))</f>
        <v/>
      </c>
      <c r="U500" t="str">
        <f>IF(B500=1,MAX($U$2:$U499)+1,IF(AND($T500&lt;&gt;"",$T500=$T499),$U499,IF(B500="x",U499,"")))</f>
        <v/>
      </c>
      <c r="V500" t="str">
        <f>IF(C500=1,MAX($V$2:$V499)+1,IF(AND($T500&lt;&gt;"",$T500=$T499),$U499,IF(C500="x",V499,"")))</f>
        <v/>
      </c>
      <c r="W500" t="str" cm="1">
        <f t="array" ref="W500">IFERROR(_xlfn._xlws.FILTER(game_rosters!AB:AB,(game_rosters!J:J=events!X500)*(K500&lt;&gt;"")),"")</f>
        <v/>
      </c>
      <c r="X500" t="str" cm="1">
        <f t="array" ref="X500">IF(S500="","",IF($I500&lt;&gt;"",$I500,INDEX($I$2:$I499,ROW()-COUNTIFS($T$2:$T499,"="&amp;$T500,$S$2:$S499,"&lt;&gt;"&amp;$S500)-1)))</f>
        <v/>
      </c>
      <c r="Y500" t="b">
        <f>IF(X500&lt;&gt;"",VLOOKUP(X500,game_rosters!$C$43:$E$64,3,FALSE))</f>
        <v>0</v>
      </c>
      <c r="Z500" t="e" cm="1" vm="1">
        <f t="array" aca="1" ref="Z500" ca="1">IFERROR(IF(_xlfn._xlws.FILTER(game_rosters!$J:$J,(game_rosters!$G:$G=events!$AN500)*(game_rosters!$J:$J=events!$X500))&gt;0,1,""),"")</f>
        <v>#VALUE!</v>
      </c>
      <c r="AA500" t="e">
        <f t="shared" si="87"/>
        <v>#VALUE!</v>
      </c>
      <c r="AB500" t="str">
        <f t="shared" si="88"/>
        <v/>
      </c>
      <c r="AC500" t="e">
        <f t="shared" si="86"/>
        <v>#VALUE!</v>
      </c>
      <c r="AD500" s="6"/>
      <c r="BJ500" s="39"/>
      <c r="BM500" s="39"/>
      <c r="BO500" s="19"/>
      <c r="BQ500" s="17"/>
    </row>
    <row r="501" spans="1:69" x14ac:dyDescent="0.2">
      <c r="A501" t="str">
        <f t="shared" si="89"/>
        <v/>
      </c>
      <c r="E501" s="4"/>
      <c r="F501" s="44"/>
      <c r="G501" s="4"/>
      <c r="H501" s="47"/>
      <c r="J501" s="45" t="str">
        <f t="shared" si="90"/>
        <v/>
      </c>
      <c r="N501" t="str">
        <f t="shared" si="92"/>
        <v/>
      </c>
      <c r="Q501" t="str">
        <f t="shared" si="91"/>
        <v/>
      </c>
      <c r="S501" t="str">
        <f>IF(A501=1,MAX(S$2:S500)+1,IF(OR(I501&lt;&gt;"",A501="x"),S500,""))</f>
        <v/>
      </c>
      <c r="T501" t="str">
        <f>IF(D501=1,MAX($T$2:$T500)+1,IF(S501=$S500,$S500,IF($D501="x",T500,IF($D500="x","",""))))</f>
        <v/>
      </c>
      <c r="U501" t="str">
        <f>IF(B501=1,MAX($U$2:$U500)+1,IF(AND($T501&lt;&gt;"",$T501=$T500),$U500,IF(B501="x",U500,"")))</f>
        <v/>
      </c>
      <c r="V501" t="str">
        <f>IF(C501=1,MAX($V$2:$V500)+1,IF(AND($T501&lt;&gt;"",$T501=$T500),$U500,IF(C501="x",V500,"")))</f>
        <v/>
      </c>
      <c r="W501" t="str" cm="1">
        <f t="array" ref="W501">IFERROR(_xlfn._xlws.FILTER(game_rosters!AB:AB,(game_rosters!J:J=events!X501)*(K501&lt;&gt;"")),"")</f>
        <v/>
      </c>
      <c r="X501" t="str" cm="1">
        <f t="array" ref="X501">IF(S501="","",IF($I501&lt;&gt;"",$I501,INDEX($I$2:$I500,ROW()-COUNTIFS($T$2:$T500,"="&amp;$T501,$S$2:$S500,"&lt;&gt;"&amp;$S501)-1)))</f>
        <v/>
      </c>
      <c r="Y501" t="b">
        <f>IF(X501&lt;&gt;"",VLOOKUP(X501,game_rosters!$C$43:$E$64,3,FALSE))</f>
        <v>0</v>
      </c>
      <c r="Z501" t="e" cm="1" vm="1">
        <f t="array" aca="1" ref="Z501" ca="1">IFERROR(IF(_xlfn._xlws.FILTER(game_rosters!$J:$J,(game_rosters!$G:$G=events!$AN501)*(game_rosters!$J:$J=events!$X501))&gt;0,1,""),"")</f>
        <v>#VALUE!</v>
      </c>
      <c r="AA501" t="e">
        <f t="shared" si="87"/>
        <v>#VALUE!</v>
      </c>
      <c r="AB501" t="str">
        <f t="shared" si="88"/>
        <v/>
      </c>
      <c r="AC501" t="e">
        <f t="shared" si="86"/>
        <v>#VALUE!</v>
      </c>
      <c r="AD501" s="6"/>
      <c r="BJ501" s="39"/>
      <c r="BM501" s="39"/>
      <c r="BO501" s="19"/>
      <c r="BQ501" s="17"/>
    </row>
    <row r="502" spans="1:69" x14ac:dyDescent="0.2">
      <c r="A502" t="str">
        <f t="shared" si="89"/>
        <v/>
      </c>
      <c r="E502" s="4"/>
      <c r="F502" s="44"/>
      <c r="G502" s="4"/>
      <c r="H502" s="47"/>
      <c r="J502" s="45" t="str">
        <f t="shared" si="90"/>
        <v/>
      </c>
      <c r="N502" t="str">
        <f t="shared" si="92"/>
        <v/>
      </c>
      <c r="Q502" t="str">
        <f t="shared" si="91"/>
        <v/>
      </c>
      <c r="S502" t="str">
        <f>IF(A502=1,MAX(S$2:S501)+1,IF(OR(I502&lt;&gt;"",A502="x"),S501,""))</f>
        <v/>
      </c>
      <c r="T502" t="str">
        <f>IF(D502=1,MAX($T$2:$T501)+1,IF(S502=$S501,$S501,IF($D502="x",T501,IF($D501="x","",""))))</f>
        <v/>
      </c>
      <c r="U502" t="str">
        <f>IF(B502=1,MAX($U$2:$U501)+1,IF(AND($T502&lt;&gt;"",$T502=$T501),$U501,IF(B502="x",U501,"")))</f>
        <v/>
      </c>
      <c r="V502" t="str">
        <f>IF(C502=1,MAX($V$2:$V501)+1,IF(AND($T502&lt;&gt;"",$T502=$T501),$U501,IF(C502="x",V501,"")))</f>
        <v/>
      </c>
      <c r="W502" t="str" cm="1">
        <f t="array" ref="W502">IFERROR(_xlfn._xlws.FILTER(game_rosters!AB:AB,(game_rosters!J:J=events!X502)*(K502&lt;&gt;"")),"")</f>
        <v/>
      </c>
      <c r="X502" t="str" cm="1">
        <f t="array" ref="X502">IF(S502="","",IF($I502&lt;&gt;"",$I502,INDEX($I$2:$I501,ROW()-COUNTIFS($T$2:$T501,"="&amp;$T502,$S$2:$S501,"&lt;&gt;"&amp;$S502)-1)))</f>
        <v/>
      </c>
      <c r="Y502" t="b">
        <f>IF(X502&lt;&gt;"",VLOOKUP(X502,game_rosters!$C$43:$E$64,3,FALSE))</f>
        <v>0</v>
      </c>
      <c r="Z502" t="e" cm="1" vm="1">
        <f t="array" aca="1" ref="Z502" ca="1">IFERROR(IF(_xlfn._xlws.FILTER(game_rosters!$J:$J,(game_rosters!$G:$G=events!$AN502)*(game_rosters!$J:$J=events!$X502))&gt;0,1,""),"")</f>
        <v>#VALUE!</v>
      </c>
      <c r="AA502" t="e">
        <f t="shared" si="87"/>
        <v>#VALUE!</v>
      </c>
      <c r="AB502" t="str">
        <f t="shared" si="88"/>
        <v/>
      </c>
      <c r="AC502" t="e">
        <f t="shared" si="86"/>
        <v>#VALUE!</v>
      </c>
      <c r="AD502" s="6"/>
      <c r="BJ502" s="39"/>
      <c r="BM502" s="39"/>
      <c r="BO502" s="19"/>
      <c r="BQ502" s="17"/>
    </row>
    <row r="503" spans="1:69" x14ac:dyDescent="0.2">
      <c r="A503" t="str">
        <f t="shared" si="89"/>
        <v/>
      </c>
      <c r="E503" s="4"/>
      <c r="F503" s="44"/>
      <c r="G503" s="4"/>
      <c r="H503" s="47"/>
      <c r="J503" s="45" t="str">
        <f t="shared" si="90"/>
        <v/>
      </c>
      <c r="N503" t="str">
        <f t="shared" si="92"/>
        <v/>
      </c>
      <c r="Q503" t="str">
        <f t="shared" si="91"/>
        <v/>
      </c>
      <c r="S503" t="str">
        <f>IF(A503=1,MAX(S$2:S502)+1,IF(OR(I503&lt;&gt;"",A503="x"),S502,""))</f>
        <v/>
      </c>
      <c r="T503" t="str">
        <f>IF(D503=1,MAX($T$2:$T502)+1,IF(S503=$S502,$S502,IF($D503="x",T502,IF($D502="x","",""))))</f>
        <v/>
      </c>
      <c r="U503" t="str">
        <f>IF(B503=1,MAX($U$2:$U502)+1,IF(AND($T503&lt;&gt;"",$T503=$T502),$U502,IF(B503="x",U502,"")))</f>
        <v/>
      </c>
      <c r="V503" t="str">
        <f>IF(C503=1,MAX($V$2:$V502)+1,IF(AND($T503&lt;&gt;"",$T503=$T502),$U502,IF(C503="x",V502,"")))</f>
        <v/>
      </c>
      <c r="W503" t="str" cm="1">
        <f t="array" ref="W503">IFERROR(_xlfn._xlws.FILTER(game_rosters!AB:AB,(game_rosters!J:J=events!X503)*(K503&lt;&gt;"")),"")</f>
        <v/>
      </c>
      <c r="X503" t="str" cm="1">
        <f t="array" ref="X503">IF(S503="","",IF($I503&lt;&gt;"",$I503,INDEX($I$2:$I502,ROW()-COUNTIFS($T$2:$T502,"="&amp;$T503,$S$2:$S502,"&lt;&gt;"&amp;$S503)-1)))</f>
        <v/>
      </c>
      <c r="Y503" t="b">
        <f>IF(X503&lt;&gt;"",VLOOKUP(X503,game_rosters!$C$43:$E$64,3,FALSE))</f>
        <v>0</v>
      </c>
      <c r="Z503" t="e" cm="1" vm="1">
        <f t="array" aca="1" ref="Z503" ca="1">IFERROR(IF(_xlfn._xlws.FILTER(game_rosters!$J:$J,(game_rosters!$G:$G=events!$AN503)*(game_rosters!$J:$J=events!$X503))&gt;0,1,""),"")</f>
        <v>#VALUE!</v>
      </c>
      <c r="AA503" t="e">
        <f t="shared" si="87"/>
        <v>#VALUE!</v>
      </c>
      <c r="AB503" t="str">
        <f t="shared" si="88"/>
        <v/>
      </c>
      <c r="AC503" t="e">
        <f t="shared" si="86"/>
        <v>#VALUE!</v>
      </c>
      <c r="AD503" s="6"/>
      <c r="BJ503" s="39"/>
      <c r="BM503" s="39"/>
      <c r="BO503" s="19"/>
      <c r="BQ503" s="17"/>
    </row>
    <row r="504" spans="1:69" x14ac:dyDescent="0.2">
      <c r="A504" t="str">
        <f t="shared" si="89"/>
        <v/>
      </c>
      <c r="E504" s="4"/>
      <c r="F504" s="44"/>
      <c r="G504" s="4"/>
      <c r="H504" s="47"/>
      <c r="J504" s="45" t="str">
        <f t="shared" si="90"/>
        <v/>
      </c>
      <c r="N504" t="str">
        <f t="shared" si="92"/>
        <v/>
      </c>
      <c r="Q504" t="str">
        <f t="shared" si="91"/>
        <v/>
      </c>
      <c r="S504" t="str">
        <f>IF(A504=1,MAX(S$2:S503)+1,IF(OR(I504&lt;&gt;"",A504="x"),S503,""))</f>
        <v/>
      </c>
      <c r="T504" t="str">
        <f>IF(D504=1,MAX($T$2:$T503)+1,IF(S504=$S503,$S503,IF($D504="x",T503,IF($D503="x","",""))))</f>
        <v/>
      </c>
      <c r="U504" t="str">
        <f>IF(B504=1,MAX($U$2:$U503)+1,IF(AND($T504&lt;&gt;"",$T504=$T503),$U503,IF(B504="x",U503,"")))</f>
        <v/>
      </c>
      <c r="V504" t="str">
        <f>IF(C504=1,MAX($V$2:$V503)+1,IF(AND($T504&lt;&gt;"",$T504=$T503),$U503,IF(C504="x",V503,"")))</f>
        <v/>
      </c>
      <c r="W504" t="str" cm="1">
        <f t="array" ref="W504">IFERROR(_xlfn._xlws.FILTER(game_rosters!AB:AB,(game_rosters!J:J=events!X504)*(K504&lt;&gt;"")),"")</f>
        <v/>
      </c>
      <c r="X504" t="str" cm="1">
        <f t="array" ref="X504">IF(S504="","",IF($I504&lt;&gt;"",$I504,INDEX($I$2:$I503,ROW()-COUNTIFS($T$2:$T503,"="&amp;$T504,$S$2:$S503,"&lt;&gt;"&amp;$S504)-1)))</f>
        <v/>
      </c>
      <c r="Y504" t="b">
        <f>IF(X504&lt;&gt;"",VLOOKUP(X504,game_rosters!$C$43:$E$64,3,FALSE))</f>
        <v>0</v>
      </c>
      <c r="Z504" t="e" cm="1" vm="1">
        <f t="array" aca="1" ref="Z504" ca="1">IFERROR(IF(_xlfn._xlws.FILTER(game_rosters!$J:$J,(game_rosters!$G:$G=events!$AN504)*(game_rosters!$J:$J=events!$X504))&gt;0,1,""),"")</f>
        <v>#VALUE!</v>
      </c>
      <c r="AA504" t="e">
        <f t="shared" si="87"/>
        <v>#VALUE!</v>
      </c>
      <c r="AB504" t="str">
        <f t="shared" si="88"/>
        <v/>
      </c>
      <c r="AC504" t="e">
        <f t="shared" si="86"/>
        <v>#VALUE!</v>
      </c>
      <c r="AD504" s="6"/>
      <c r="BJ504" s="39"/>
      <c r="BM504" s="39"/>
      <c r="BO504" s="19"/>
      <c r="BQ504" s="17"/>
    </row>
    <row r="505" spans="1:69" x14ac:dyDescent="0.2">
      <c r="A505" t="str">
        <f t="shared" si="89"/>
        <v/>
      </c>
      <c r="E505" s="4"/>
      <c r="F505" s="44"/>
      <c r="G505" s="4"/>
      <c r="H505" s="47"/>
      <c r="J505" s="45" t="str">
        <f t="shared" si="90"/>
        <v/>
      </c>
      <c r="N505" t="str">
        <f t="shared" si="92"/>
        <v/>
      </c>
      <c r="Q505" t="str">
        <f t="shared" si="91"/>
        <v/>
      </c>
      <c r="S505" t="str">
        <f>IF(A505=1,MAX(S$2:S504)+1,IF(OR(I505&lt;&gt;"",A505="x"),S504,""))</f>
        <v/>
      </c>
      <c r="T505" t="str">
        <f>IF(D505=1,MAX($T$2:$T504)+1,IF(S505=$S504,$S504,IF($D505="x",T504,IF($D504="x","",""))))</f>
        <v/>
      </c>
      <c r="U505" t="str">
        <f>IF(B505=1,MAX($U$2:$U504)+1,IF(AND($T505&lt;&gt;"",$T505=$T504),$U504,IF(B505="x",U504,"")))</f>
        <v/>
      </c>
      <c r="V505" t="str">
        <f>IF(C505=1,MAX($V$2:$V504)+1,IF(AND($T505&lt;&gt;"",$T505=$T504),$U504,IF(C505="x",V504,"")))</f>
        <v/>
      </c>
      <c r="W505" t="str" cm="1">
        <f t="array" ref="W505">IFERROR(_xlfn._xlws.FILTER(game_rosters!AB:AB,(game_rosters!J:J=events!X505)*(K505&lt;&gt;"")),"")</f>
        <v/>
      </c>
      <c r="X505" t="str" cm="1">
        <f t="array" ref="X505">IF(S505="","",IF($I505&lt;&gt;"",$I505,INDEX($I$2:$I504,ROW()-COUNTIFS($T$2:$T504,"="&amp;$T505,$S$2:$S504,"&lt;&gt;"&amp;$S505)-1)))</f>
        <v/>
      </c>
      <c r="Y505" t="b">
        <f>IF(X505&lt;&gt;"",VLOOKUP(X505,game_rosters!$C$43:$E$64,3,FALSE))</f>
        <v>0</v>
      </c>
      <c r="Z505" t="e" cm="1" vm="1">
        <f t="array" aca="1" ref="Z505" ca="1">IFERROR(IF(_xlfn._xlws.FILTER(game_rosters!$J:$J,(game_rosters!$G:$G=events!$AN505)*(game_rosters!$J:$J=events!$X505))&gt;0,1,""),"")</f>
        <v>#VALUE!</v>
      </c>
      <c r="AA505" t="e">
        <f t="shared" si="87"/>
        <v>#VALUE!</v>
      </c>
      <c r="AB505" t="str">
        <f t="shared" si="88"/>
        <v/>
      </c>
      <c r="AC505" t="e">
        <f t="shared" si="86"/>
        <v>#VALUE!</v>
      </c>
      <c r="AD505" s="6"/>
      <c r="BJ505" s="39"/>
      <c r="BM505" s="39"/>
      <c r="BO505" s="19"/>
      <c r="BQ505" s="17"/>
    </row>
    <row r="506" spans="1:69" x14ac:dyDescent="0.2">
      <c r="A506" t="str">
        <f t="shared" si="89"/>
        <v/>
      </c>
      <c r="E506" s="4"/>
      <c r="F506" s="44"/>
      <c r="G506" s="4"/>
      <c r="H506" s="47"/>
      <c r="J506" s="45" t="str">
        <f t="shared" si="90"/>
        <v/>
      </c>
      <c r="N506" t="str">
        <f t="shared" si="92"/>
        <v/>
      </c>
      <c r="Q506" t="str">
        <f t="shared" si="91"/>
        <v/>
      </c>
      <c r="S506" t="str">
        <f>IF(A506=1,MAX(S$2:S505)+1,IF(OR(I506&lt;&gt;"",A506="x"),S505,""))</f>
        <v/>
      </c>
      <c r="T506" t="str">
        <f>IF(D506=1,MAX($T$2:$T505)+1,IF(S506=$S505,$S505,IF($D506="x",T505,IF($D505="x","",""))))</f>
        <v/>
      </c>
      <c r="U506" t="str">
        <f>IF(B506=1,MAX($U$2:$U505)+1,IF(AND($T506&lt;&gt;"",$T506=$T505),$U505,IF(B506="x",U505,"")))</f>
        <v/>
      </c>
      <c r="V506" t="str">
        <f>IF(C506=1,MAX($V$2:$V505)+1,IF(AND($T506&lt;&gt;"",$T506=$T505),$U505,IF(C506="x",V505,"")))</f>
        <v/>
      </c>
      <c r="W506" t="str" cm="1">
        <f t="array" ref="W506">IFERROR(_xlfn._xlws.FILTER(game_rosters!AB:AB,(game_rosters!J:J=events!X506)*(K506&lt;&gt;"")),"")</f>
        <v/>
      </c>
      <c r="X506" t="str" cm="1">
        <f t="array" ref="X506">IF(S506="","",IF($I506&lt;&gt;"",$I506,INDEX($I$2:$I505,ROW()-COUNTIFS($T$2:$T505,"="&amp;$T506,$S$2:$S505,"&lt;&gt;"&amp;$S506)-1)))</f>
        <v/>
      </c>
      <c r="Y506" t="b">
        <f>IF(X506&lt;&gt;"",VLOOKUP(X506,game_rosters!$C$43:$E$64,3,FALSE))</f>
        <v>0</v>
      </c>
      <c r="Z506" t="e" cm="1" vm="1">
        <f t="array" aca="1" ref="Z506" ca="1">IFERROR(IF(_xlfn._xlws.FILTER(game_rosters!$J:$J,(game_rosters!$G:$G=events!$AN506)*(game_rosters!$J:$J=events!$X506))&gt;0,1,""),"")</f>
        <v>#VALUE!</v>
      </c>
      <c r="AA506" t="e">
        <f t="shared" si="87"/>
        <v>#VALUE!</v>
      </c>
      <c r="AB506" t="str">
        <f t="shared" si="88"/>
        <v/>
      </c>
      <c r="AC506" t="e">
        <f t="shared" si="86"/>
        <v>#VALUE!</v>
      </c>
      <c r="AD506" s="6"/>
      <c r="BJ506" s="39"/>
      <c r="BM506" s="39"/>
      <c r="BO506" s="19"/>
      <c r="BQ506" s="17"/>
    </row>
    <row r="507" spans="1:69" x14ac:dyDescent="0.2">
      <c r="A507" t="str">
        <f t="shared" si="89"/>
        <v/>
      </c>
      <c r="E507" s="4"/>
      <c r="F507" s="44"/>
      <c r="G507" s="4"/>
      <c r="H507" s="47"/>
      <c r="J507" s="45" t="str">
        <f t="shared" si="90"/>
        <v/>
      </c>
      <c r="N507" t="str">
        <f t="shared" si="92"/>
        <v/>
      </c>
      <c r="Q507" t="str">
        <f t="shared" si="91"/>
        <v/>
      </c>
      <c r="S507" t="str">
        <f>IF(A507=1,MAX(S$2:S506)+1,IF(OR(I507&lt;&gt;"",A507="x"),S506,""))</f>
        <v/>
      </c>
      <c r="T507" t="str">
        <f>IF(D507=1,MAX($T$2:$T506)+1,IF(S507=$S506,$S506,IF($D507="x",T506,IF($D506="x","",""))))</f>
        <v/>
      </c>
      <c r="U507" t="str">
        <f>IF(B507=1,MAX($U$2:$U506)+1,IF(AND($T507&lt;&gt;"",$T507=$T506),$U506,IF(B507="x",U506,"")))</f>
        <v/>
      </c>
      <c r="V507" t="str">
        <f>IF(C507=1,MAX($V$2:$V506)+1,IF(AND($T507&lt;&gt;"",$T507=$T506),$U506,IF(C507="x",V506,"")))</f>
        <v/>
      </c>
      <c r="W507" t="str" cm="1">
        <f t="array" ref="W507">IFERROR(_xlfn._xlws.FILTER(game_rosters!AB:AB,(game_rosters!J:J=events!X507)*(K507&lt;&gt;"")),"")</f>
        <v/>
      </c>
      <c r="X507" t="str" cm="1">
        <f t="array" ref="X507">IF(S507="","",IF($I507&lt;&gt;"",$I507,INDEX($I$2:$I506,ROW()-COUNTIFS($T$2:$T506,"="&amp;$T507,$S$2:$S506,"&lt;&gt;"&amp;$S507)-1)))</f>
        <v/>
      </c>
      <c r="Y507" t="b">
        <f>IF(X507&lt;&gt;"",VLOOKUP(X507,game_rosters!$C$43:$E$64,3,FALSE))</f>
        <v>0</v>
      </c>
      <c r="Z507" t="e" cm="1" vm="1">
        <f t="array" aca="1" ref="Z507" ca="1">IFERROR(IF(_xlfn._xlws.FILTER(game_rosters!$J:$J,(game_rosters!$G:$G=events!$AN507)*(game_rosters!$J:$J=events!$X507))&gt;0,1,""),"")</f>
        <v>#VALUE!</v>
      </c>
      <c r="AA507" t="e">
        <f t="shared" si="87"/>
        <v>#VALUE!</v>
      </c>
      <c r="AB507" t="str">
        <f t="shared" si="88"/>
        <v/>
      </c>
      <c r="AC507" t="e">
        <f t="shared" si="86"/>
        <v>#VALUE!</v>
      </c>
      <c r="AD507" s="6"/>
      <c r="BJ507" s="39"/>
      <c r="BM507" s="39"/>
      <c r="BO507" s="19"/>
      <c r="BQ507" s="17"/>
    </row>
    <row r="508" spans="1:69" x14ac:dyDescent="0.2">
      <c r="A508" t="str">
        <f t="shared" si="89"/>
        <v/>
      </c>
      <c r="E508" s="4"/>
      <c r="F508" s="44"/>
      <c r="G508" s="4"/>
      <c r="H508" s="47"/>
      <c r="J508" s="45" t="str">
        <f t="shared" si="90"/>
        <v/>
      </c>
      <c r="N508" t="str">
        <f t="shared" si="92"/>
        <v/>
      </c>
      <c r="Q508" t="str">
        <f t="shared" si="91"/>
        <v/>
      </c>
      <c r="S508" t="str">
        <f>IF(A508=1,MAX(S$2:S507)+1,IF(OR(I508&lt;&gt;"",A508="x"),S507,""))</f>
        <v/>
      </c>
      <c r="T508" t="str">
        <f>IF(D508=1,MAX($T$2:$T507)+1,IF(S508=$S507,$S507,IF($D508="x",T507,IF($D507="x","",""))))</f>
        <v/>
      </c>
      <c r="U508" t="str">
        <f>IF(B508=1,MAX($U$2:$U507)+1,IF(AND($T508&lt;&gt;"",$T508=$T507),$U507,IF(B508="x",U507,"")))</f>
        <v/>
      </c>
      <c r="V508" t="str">
        <f>IF(C508=1,MAX($V$2:$V507)+1,IF(AND($T508&lt;&gt;"",$T508=$T507),$U507,IF(C508="x",V507,"")))</f>
        <v/>
      </c>
      <c r="W508" t="str" cm="1">
        <f t="array" ref="W508">IFERROR(_xlfn._xlws.FILTER(game_rosters!AB:AB,(game_rosters!J:J=events!X508)*(K508&lt;&gt;"")),"")</f>
        <v/>
      </c>
      <c r="X508" t="str" cm="1">
        <f t="array" ref="X508">IF(S508="","",IF($I508&lt;&gt;"",$I508,INDEX($I$2:$I507,ROW()-COUNTIFS($T$2:$T507,"="&amp;$T508,$S$2:$S507,"&lt;&gt;"&amp;$S508)-1)))</f>
        <v/>
      </c>
      <c r="Y508" t="b">
        <f>IF(X508&lt;&gt;"",VLOOKUP(X508,game_rosters!$C$43:$E$64,3,FALSE))</f>
        <v>0</v>
      </c>
      <c r="Z508" t="e" cm="1" vm="1">
        <f t="array" aca="1" ref="Z508" ca="1">IFERROR(IF(_xlfn._xlws.FILTER(game_rosters!$J:$J,(game_rosters!$G:$G=events!$AN508)*(game_rosters!$J:$J=events!$X508))&gt;0,1,""),"")</f>
        <v>#VALUE!</v>
      </c>
      <c r="AA508" t="e">
        <f t="shared" si="87"/>
        <v>#VALUE!</v>
      </c>
      <c r="AB508" t="str">
        <f t="shared" si="88"/>
        <v/>
      </c>
      <c r="AC508" t="e">
        <f t="shared" si="86"/>
        <v>#VALUE!</v>
      </c>
      <c r="AD508" s="6"/>
      <c r="BJ508" s="39"/>
      <c r="BM508" s="39"/>
      <c r="BO508" s="19"/>
      <c r="BQ508" s="17"/>
    </row>
    <row r="509" spans="1:69" x14ac:dyDescent="0.2">
      <c r="A509" t="str">
        <f t="shared" si="89"/>
        <v/>
      </c>
      <c r="E509" s="4"/>
      <c r="F509" s="44"/>
      <c r="G509" s="4"/>
      <c r="H509" s="47"/>
      <c r="J509" s="45" t="str">
        <f t="shared" si="90"/>
        <v/>
      </c>
      <c r="N509" t="str">
        <f t="shared" si="92"/>
        <v/>
      </c>
      <c r="Q509" t="str">
        <f t="shared" si="91"/>
        <v/>
      </c>
      <c r="S509" t="str">
        <f>IF(A509=1,MAX(S$2:S508)+1,IF(OR(I509&lt;&gt;"",A509="x"),S508,""))</f>
        <v/>
      </c>
      <c r="T509" t="str">
        <f>IF(D509=1,MAX($T$2:$T508)+1,IF(S509=$S508,$S508,IF($D509="x",T508,IF($D508="x","",""))))</f>
        <v/>
      </c>
      <c r="U509" t="str">
        <f>IF(B509=1,MAX($U$2:$U508)+1,IF(AND($T509&lt;&gt;"",$T509=$T508),$U508,IF(B509="x",U508,"")))</f>
        <v/>
      </c>
      <c r="V509" t="str">
        <f>IF(C509=1,MAX($V$2:$V508)+1,IF(AND($T509&lt;&gt;"",$T509=$T508),$U508,IF(C509="x",V508,"")))</f>
        <v/>
      </c>
      <c r="W509" t="str" cm="1">
        <f t="array" ref="W509">IFERROR(_xlfn._xlws.FILTER(game_rosters!AB:AB,(game_rosters!J:J=events!X509)*(K509&lt;&gt;"")),"")</f>
        <v/>
      </c>
      <c r="X509" t="str" cm="1">
        <f t="array" ref="X509">IF(S509="","",IF($I509&lt;&gt;"",$I509,INDEX($I$2:$I508,ROW()-COUNTIFS($T$2:$T508,"="&amp;$T509,$S$2:$S508,"&lt;&gt;"&amp;$S509)-1)))</f>
        <v/>
      </c>
      <c r="Y509" t="b">
        <f>IF(X509&lt;&gt;"",VLOOKUP(X509,game_rosters!$C$43:$E$64,3,FALSE))</f>
        <v>0</v>
      </c>
      <c r="Z509" t="e" cm="1" vm="1">
        <f t="array" aca="1" ref="Z509" ca="1">IFERROR(IF(_xlfn._xlws.FILTER(game_rosters!$J:$J,(game_rosters!$G:$G=events!$AN509)*(game_rosters!$J:$J=events!$X509))&gt;0,1,""),"")</f>
        <v>#VALUE!</v>
      </c>
      <c r="AA509" t="e">
        <f t="shared" si="87"/>
        <v>#VALUE!</v>
      </c>
      <c r="AB509" t="str">
        <f t="shared" si="88"/>
        <v/>
      </c>
      <c r="AC509" t="e">
        <f t="shared" si="86"/>
        <v>#VALUE!</v>
      </c>
      <c r="AD509" s="6"/>
      <c r="BJ509" s="39"/>
      <c r="BM509" s="39"/>
      <c r="BO509" s="19"/>
      <c r="BQ509" s="17"/>
    </row>
    <row r="510" spans="1:69" x14ac:dyDescent="0.2">
      <c r="A510" t="str">
        <f t="shared" si="89"/>
        <v/>
      </c>
      <c r="E510" s="4"/>
      <c r="F510" s="44"/>
      <c r="G510" s="4"/>
      <c r="H510" s="47"/>
      <c r="J510" s="45" t="str">
        <f t="shared" si="90"/>
        <v/>
      </c>
      <c r="N510" t="str">
        <f t="shared" si="92"/>
        <v/>
      </c>
      <c r="Q510" t="str">
        <f t="shared" si="91"/>
        <v/>
      </c>
      <c r="S510" t="str">
        <f>IF(A510=1,MAX(S$2:S509)+1,IF(OR(I510&lt;&gt;"",A510="x"),S509,""))</f>
        <v/>
      </c>
      <c r="T510" t="str">
        <f>IF(D510=1,MAX($T$2:$T509)+1,IF(S510=$S509,$S509,IF($D510="x",T509,IF($D509="x","",""))))</f>
        <v/>
      </c>
      <c r="U510" t="str">
        <f>IF(B510=1,MAX($U$2:$U509)+1,IF(AND($T510&lt;&gt;"",$T510=$T509),$U509,IF(B510="x",U509,"")))</f>
        <v/>
      </c>
      <c r="V510" t="str">
        <f>IF(C510=1,MAX($V$2:$V509)+1,IF(AND($T510&lt;&gt;"",$T510=$T509),$U509,IF(C510="x",V509,"")))</f>
        <v/>
      </c>
      <c r="W510" t="str" cm="1">
        <f t="array" ref="W510">IFERROR(_xlfn._xlws.FILTER(game_rosters!AB:AB,(game_rosters!J:J=events!X510)*(K510&lt;&gt;"")),"")</f>
        <v/>
      </c>
      <c r="X510" t="str" cm="1">
        <f t="array" ref="X510">IF(S510="","",IF($I510&lt;&gt;"",$I510,INDEX($I$2:$I509,ROW()-COUNTIFS($T$2:$T509,"="&amp;$T510,$S$2:$S509,"&lt;&gt;"&amp;$S510)-1)))</f>
        <v/>
      </c>
      <c r="Y510" t="b">
        <f>IF(X510&lt;&gt;"",VLOOKUP(X510,game_rosters!$C$43:$E$64,3,FALSE))</f>
        <v>0</v>
      </c>
      <c r="Z510" t="e" cm="1" vm="1">
        <f t="array" aca="1" ref="Z510" ca="1">IFERROR(IF(_xlfn._xlws.FILTER(game_rosters!$J:$J,(game_rosters!$G:$G=events!$AN510)*(game_rosters!$J:$J=events!$X510))&gt;0,1,""),"")</f>
        <v>#VALUE!</v>
      </c>
      <c r="AA510" t="e">
        <f t="shared" si="87"/>
        <v>#VALUE!</v>
      </c>
      <c r="AB510" t="str">
        <f t="shared" si="88"/>
        <v/>
      </c>
      <c r="AC510" t="e">
        <f t="shared" si="86"/>
        <v>#VALUE!</v>
      </c>
      <c r="AD510" s="6"/>
      <c r="BJ510" s="39"/>
      <c r="BM510" s="39"/>
      <c r="BO510" s="19"/>
      <c r="BQ510" s="17"/>
    </row>
    <row r="511" spans="1:69" x14ac:dyDescent="0.2">
      <c r="A511" t="str">
        <f t="shared" si="89"/>
        <v/>
      </c>
      <c r="E511" s="4"/>
      <c r="F511" s="44"/>
      <c r="G511" s="4"/>
      <c r="H511" s="47"/>
      <c r="J511" s="45" t="str">
        <f t="shared" si="90"/>
        <v/>
      </c>
      <c r="N511" t="str">
        <f t="shared" si="92"/>
        <v/>
      </c>
      <c r="Q511" t="str">
        <f t="shared" si="91"/>
        <v/>
      </c>
      <c r="S511" t="str">
        <f>IF(A511=1,MAX(S$2:S510)+1,IF(OR(I511&lt;&gt;"",A511="x"),S510,""))</f>
        <v/>
      </c>
      <c r="T511" t="str">
        <f>IF(D511=1,MAX($T$2:$T510)+1,IF(S511=$S510,$S510,IF($D511="x",T510,IF($D510="x","",""))))</f>
        <v/>
      </c>
      <c r="U511" t="str">
        <f>IF(B511=1,MAX($U$2:$U510)+1,IF(AND($T511&lt;&gt;"",$T511=$T510),$U510,IF(B511="x",U510,"")))</f>
        <v/>
      </c>
      <c r="V511" t="str">
        <f>IF(C511=1,MAX($V$2:$V510)+1,IF(AND($T511&lt;&gt;"",$T511=$T510),$U510,IF(C511="x",V510,"")))</f>
        <v/>
      </c>
      <c r="W511" t="str" cm="1">
        <f t="array" ref="W511">IFERROR(_xlfn._xlws.FILTER(game_rosters!AB:AB,(game_rosters!J:J=events!X511)*(K511&lt;&gt;"")),"")</f>
        <v/>
      </c>
      <c r="X511" t="str" cm="1">
        <f t="array" ref="X511">IF(S511="","",IF($I511&lt;&gt;"",$I511,INDEX($I$2:$I510,ROW()-COUNTIFS($T$2:$T510,"="&amp;$T511,$S$2:$S510,"&lt;&gt;"&amp;$S511)-1)))</f>
        <v/>
      </c>
      <c r="Y511" t="b">
        <f>IF(X511&lt;&gt;"",VLOOKUP(X511,game_rosters!$C$43:$E$64,3,FALSE))</f>
        <v>0</v>
      </c>
      <c r="Z511" t="e" cm="1" vm="1">
        <f t="array" aca="1" ref="Z511" ca="1">IFERROR(IF(_xlfn._xlws.FILTER(game_rosters!$J:$J,(game_rosters!$G:$G=events!$AN511)*(game_rosters!$J:$J=events!$X511))&gt;0,1,""),"")</f>
        <v>#VALUE!</v>
      </c>
      <c r="AA511" t="e">
        <f t="shared" si="87"/>
        <v>#VALUE!</v>
      </c>
      <c r="AB511" t="str">
        <f t="shared" si="88"/>
        <v/>
      </c>
      <c r="AC511" t="e">
        <f t="shared" si="86"/>
        <v>#VALUE!</v>
      </c>
      <c r="AD511" s="6"/>
      <c r="BJ511" s="39"/>
      <c r="BM511" s="39"/>
      <c r="BO511" s="19"/>
      <c r="BQ511" s="17"/>
    </row>
    <row r="512" spans="1:69" x14ac:dyDescent="0.2">
      <c r="A512" t="str">
        <f t="shared" si="89"/>
        <v/>
      </c>
      <c r="E512" s="4"/>
      <c r="F512" s="44"/>
      <c r="G512" s="4"/>
      <c r="H512" s="47"/>
      <c r="J512" s="45" t="str">
        <f t="shared" si="90"/>
        <v/>
      </c>
      <c r="N512" t="str">
        <f t="shared" si="92"/>
        <v/>
      </c>
      <c r="Q512" t="str">
        <f t="shared" si="91"/>
        <v/>
      </c>
      <c r="S512" t="str">
        <f>IF(A512=1,MAX(S$2:S511)+1,IF(OR(I512&lt;&gt;"",A512="x"),S511,""))</f>
        <v/>
      </c>
      <c r="T512" t="str">
        <f>IF(D512=1,MAX($T$2:$T511)+1,IF(S512=$S511,$S511,IF($D512="x",T511,IF($D511="x","",""))))</f>
        <v/>
      </c>
      <c r="U512" t="str">
        <f>IF(B512=1,MAX($U$2:$U511)+1,IF(AND($T512&lt;&gt;"",$T512=$T511),$U511,IF(B512="x",U511,"")))</f>
        <v/>
      </c>
      <c r="V512" t="str">
        <f>IF(C512=1,MAX($V$2:$V511)+1,IF(AND($T512&lt;&gt;"",$T512=$T511),$U511,IF(C512="x",V511,"")))</f>
        <v/>
      </c>
      <c r="W512" t="str" cm="1">
        <f t="array" ref="W512">IFERROR(_xlfn._xlws.FILTER(game_rosters!AB:AB,(game_rosters!J:J=events!X512)*(K512&lt;&gt;"")),"")</f>
        <v/>
      </c>
      <c r="X512" t="str" cm="1">
        <f t="array" ref="X512">IF(S512="","",IF($I512&lt;&gt;"",$I512,INDEX($I$2:$I511,ROW()-COUNTIFS($T$2:$T511,"="&amp;$T512,$S$2:$S511,"&lt;&gt;"&amp;$S512)-1)))</f>
        <v/>
      </c>
      <c r="Y512" t="b">
        <f>IF(X512&lt;&gt;"",VLOOKUP(X512,game_rosters!$C$43:$E$64,3,FALSE))</f>
        <v>0</v>
      </c>
      <c r="Z512" t="e" cm="1" vm="1">
        <f t="array" aca="1" ref="Z512" ca="1">IFERROR(IF(_xlfn._xlws.FILTER(game_rosters!$J:$J,(game_rosters!$G:$G=events!$AN512)*(game_rosters!$J:$J=events!$X512))&gt;0,1,""),"")</f>
        <v>#VALUE!</v>
      </c>
      <c r="AA512" t="e">
        <f t="shared" si="87"/>
        <v>#VALUE!</v>
      </c>
      <c r="AB512" t="str">
        <f t="shared" si="88"/>
        <v/>
      </c>
      <c r="AC512" t="e">
        <f t="shared" si="86"/>
        <v>#VALUE!</v>
      </c>
      <c r="AD512" s="6"/>
      <c r="BJ512" s="39"/>
      <c r="BM512" s="39"/>
      <c r="BO512" s="19"/>
      <c r="BQ512" s="17"/>
    </row>
    <row r="513" spans="1:69" x14ac:dyDescent="0.2">
      <c r="A513" t="str">
        <f t="shared" si="89"/>
        <v/>
      </c>
      <c r="E513" s="4"/>
      <c r="F513" s="44"/>
      <c r="G513" s="4"/>
      <c r="H513" s="47"/>
      <c r="J513" s="45" t="str">
        <f t="shared" si="90"/>
        <v/>
      </c>
      <c r="N513" t="str">
        <f t="shared" si="92"/>
        <v/>
      </c>
      <c r="Q513" t="str">
        <f t="shared" si="91"/>
        <v/>
      </c>
      <c r="S513" t="str">
        <f>IF(A513=1,MAX(S$2:S512)+1,IF(OR(I513&lt;&gt;"",A513="x"),S512,""))</f>
        <v/>
      </c>
      <c r="T513" t="str">
        <f>IF(D513=1,MAX($T$2:$T512)+1,IF(S513=$S512,$S512,IF($D513="x",T512,IF($D512="x","",""))))</f>
        <v/>
      </c>
      <c r="U513" t="str">
        <f>IF(B513=1,MAX($U$2:$U512)+1,IF(AND($T513&lt;&gt;"",$T513=$T512),$U512,IF(B513="x",U512,"")))</f>
        <v/>
      </c>
      <c r="V513" t="str">
        <f>IF(C513=1,MAX($V$2:$V512)+1,IF(AND($T513&lt;&gt;"",$T513=$T512),$U512,IF(C513="x",V512,"")))</f>
        <v/>
      </c>
      <c r="W513" t="str" cm="1">
        <f t="array" ref="W513">IFERROR(_xlfn._xlws.FILTER(game_rosters!AB:AB,(game_rosters!J:J=events!X513)*(K513&lt;&gt;"")),"")</f>
        <v/>
      </c>
      <c r="X513" t="str" cm="1">
        <f t="array" ref="X513">IF(S513="","",IF($I513&lt;&gt;"",$I513,INDEX($I$2:$I512,ROW()-COUNTIFS($T$2:$T512,"="&amp;$T513,$S$2:$S512,"&lt;&gt;"&amp;$S513)-1)))</f>
        <v/>
      </c>
      <c r="Y513" t="b">
        <f>IF(X513&lt;&gt;"",VLOOKUP(X513,game_rosters!$C$43:$E$64,3,FALSE))</f>
        <v>0</v>
      </c>
      <c r="Z513" t="e" cm="1" vm="1">
        <f t="array" aca="1" ref="Z513" ca="1">IFERROR(IF(_xlfn._xlws.FILTER(game_rosters!$J:$J,(game_rosters!$G:$G=events!$AN513)*(game_rosters!$J:$J=events!$X513))&gt;0,1,""),"")</f>
        <v>#VALUE!</v>
      </c>
      <c r="AA513" t="e">
        <f t="shared" si="87"/>
        <v>#VALUE!</v>
      </c>
      <c r="AB513" t="str">
        <f t="shared" si="88"/>
        <v/>
      </c>
      <c r="AC513" t="e">
        <f t="shared" si="86"/>
        <v>#VALUE!</v>
      </c>
      <c r="AD513" s="6"/>
      <c r="BJ513" s="39"/>
      <c r="BM513" s="39"/>
      <c r="BO513" s="19"/>
      <c r="BQ513" s="17"/>
    </row>
    <row r="514" spans="1:69" x14ac:dyDescent="0.2">
      <c r="A514" t="str">
        <f t="shared" si="89"/>
        <v/>
      </c>
      <c r="E514" s="4"/>
      <c r="F514" s="44"/>
      <c r="G514" s="4"/>
      <c r="H514" s="47"/>
      <c r="J514" s="45" t="str">
        <f t="shared" si="90"/>
        <v/>
      </c>
      <c r="N514" t="str">
        <f t="shared" si="92"/>
        <v/>
      </c>
      <c r="Q514" t="str">
        <f t="shared" si="91"/>
        <v/>
      </c>
      <c r="S514" t="str">
        <f>IF(A514=1,MAX(S$2:S513)+1,IF(OR(I514&lt;&gt;"",A514="x"),S513,""))</f>
        <v/>
      </c>
      <c r="T514" t="str">
        <f>IF(D514=1,MAX($T$2:$T513)+1,IF(S514=$S513,$S513,IF($D514="x",T513,IF($D513="x","",""))))</f>
        <v/>
      </c>
      <c r="U514" t="str">
        <f>IF(B514=1,MAX($U$2:$U513)+1,IF(AND($T514&lt;&gt;"",$T514=$T513),$U513,IF(B514="x",U513,"")))</f>
        <v/>
      </c>
      <c r="V514" t="str">
        <f>IF(C514=1,MAX($V$2:$V513)+1,IF(AND($T514&lt;&gt;"",$T514=$T513),$U513,IF(C514="x",V513,"")))</f>
        <v/>
      </c>
      <c r="W514" t="str" cm="1">
        <f t="array" ref="W514">IFERROR(_xlfn._xlws.FILTER(game_rosters!AB:AB,(game_rosters!J:J=events!X514)*(K514&lt;&gt;"")),"")</f>
        <v/>
      </c>
      <c r="X514" t="str" cm="1">
        <f t="array" ref="X514">IF(S514="","",IF($I514&lt;&gt;"",$I514,INDEX($I$2:$I513,ROW()-COUNTIFS($T$2:$T513,"="&amp;$T514,$S$2:$S513,"&lt;&gt;"&amp;$S514)-1)))</f>
        <v/>
      </c>
      <c r="Y514" t="b">
        <f>IF(X514&lt;&gt;"",VLOOKUP(X514,game_rosters!$C$43:$E$64,3,FALSE))</f>
        <v>0</v>
      </c>
      <c r="Z514" t="e" cm="1" vm="1">
        <f t="array" aca="1" ref="Z514" ca="1">IFERROR(IF(_xlfn._xlws.FILTER(game_rosters!$J:$J,(game_rosters!$G:$G=events!$AN514)*(game_rosters!$J:$J=events!$X514))&gt;0,1,""),"")</f>
        <v>#VALUE!</v>
      </c>
      <c r="AA514" t="e">
        <f t="shared" si="87"/>
        <v>#VALUE!</v>
      </c>
      <c r="AB514" t="str">
        <f t="shared" si="88"/>
        <v/>
      </c>
      <c r="AC514" t="e">
        <f t="shared" ref="AC514:AC577" si="93">IF(AB514&lt;&gt;"",AB514,S514+1000)</f>
        <v>#VALUE!</v>
      </c>
      <c r="AD514" s="6"/>
      <c r="BJ514" s="39"/>
      <c r="BM514" s="39"/>
      <c r="BO514" s="19"/>
      <c r="BQ514" s="17"/>
    </row>
    <row r="515" spans="1:69" x14ac:dyDescent="0.2">
      <c r="A515" t="str">
        <f t="shared" si="89"/>
        <v/>
      </c>
      <c r="E515" s="4"/>
      <c r="F515" s="44"/>
      <c r="G515" s="4"/>
      <c r="H515" s="47"/>
      <c r="J515" s="45" t="str">
        <f t="shared" si="90"/>
        <v/>
      </c>
      <c r="N515" t="str">
        <f t="shared" si="92"/>
        <v/>
      </c>
      <c r="Q515" t="str">
        <f t="shared" si="91"/>
        <v/>
      </c>
      <c r="S515" t="str">
        <f>IF(A515=1,MAX(S$2:S514)+1,IF(OR(I515&lt;&gt;"",A515="x"),S514,""))</f>
        <v/>
      </c>
      <c r="T515" t="str">
        <f>IF(D515=1,MAX($T$2:$T514)+1,IF(S515=$S514,$S514,IF($D515="x",T514,IF($D514="x","",""))))</f>
        <v/>
      </c>
      <c r="U515" t="str">
        <f>IF(B515=1,MAX($U$2:$U514)+1,IF(AND($T515&lt;&gt;"",$T515=$T514),$U514,IF(B515="x",U514,"")))</f>
        <v/>
      </c>
      <c r="V515" t="str">
        <f>IF(C515=1,MAX($V$2:$V514)+1,IF(AND($T515&lt;&gt;"",$T515=$T514),$U514,IF(C515="x",V514,"")))</f>
        <v/>
      </c>
      <c r="W515" t="str" cm="1">
        <f t="array" ref="W515">IFERROR(_xlfn._xlws.FILTER(game_rosters!AB:AB,(game_rosters!J:J=events!X515)*(K515&lt;&gt;"")),"")</f>
        <v/>
      </c>
      <c r="X515" t="str" cm="1">
        <f t="array" ref="X515">IF(S515="","",IF($I515&lt;&gt;"",$I515,INDEX($I$2:$I514,ROW()-COUNTIFS($T$2:$T514,"="&amp;$T515,$S$2:$S514,"&lt;&gt;"&amp;$S515)-1)))</f>
        <v/>
      </c>
      <c r="Y515" t="b">
        <f>IF(X515&lt;&gt;"",VLOOKUP(X515,game_rosters!$C$43:$E$64,3,FALSE))</f>
        <v>0</v>
      </c>
      <c r="Z515" t="e" cm="1" vm="1">
        <f t="array" aca="1" ref="Z515" ca="1">IFERROR(IF(_xlfn._xlws.FILTER(game_rosters!$J:$J,(game_rosters!$G:$G=events!$AN515)*(game_rosters!$J:$J=events!$X515))&gt;0,1,""),"")</f>
        <v>#VALUE!</v>
      </c>
      <c r="AA515" t="e">
        <f t="shared" si="87"/>
        <v>#VALUE!</v>
      </c>
      <c r="AB515" t="str">
        <f t="shared" si="88"/>
        <v/>
      </c>
      <c r="AC515" t="e">
        <f t="shared" si="93"/>
        <v>#VALUE!</v>
      </c>
      <c r="AD515" s="6"/>
      <c r="BJ515" s="39"/>
      <c r="BM515" s="39"/>
      <c r="BO515" s="19"/>
      <c r="BQ515" s="17"/>
    </row>
    <row r="516" spans="1:69" x14ac:dyDescent="0.2">
      <c r="A516" t="str">
        <f t="shared" si="89"/>
        <v/>
      </c>
      <c r="E516" s="4"/>
      <c r="F516" s="44"/>
      <c r="G516" s="4"/>
      <c r="H516" s="47"/>
      <c r="J516" s="45" t="str">
        <f t="shared" si="90"/>
        <v/>
      </c>
      <c r="N516" t="str">
        <f t="shared" si="92"/>
        <v/>
      </c>
      <c r="Q516" t="str">
        <f t="shared" si="91"/>
        <v/>
      </c>
      <c r="S516" t="str">
        <f>IF(A516=1,MAX(S$2:S515)+1,IF(OR(I516&lt;&gt;"",A516="x"),S515,""))</f>
        <v/>
      </c>
      <c r="T516" t="str">
        <f>IF(D516=1,MAX($T$2:$T515)+1,IF(S516=$S515,$S515,IF($D516="x",T515,IF($D515="x","",""))))</f>
        <v/>
      </c>
      <c r="U516" t="str">
        <f>IF(B516=1,MAX($U$2:$U515)+1,IF(AND($T516&lt;&gt;"",$T516=$T515),$U515,IF(B516="x",U515,"")))</f>
        <v/>
      </c>
      <c r="V516" t="str">
        <f>IF(C516=1,MAX($V$2:$V515)+1,IF(AND($T516&lt;&gt;"",$T516=$T515),$U515,IF(C516="x",V515,"")))</f>
        <v/>
      </c>
      <c r="W516" t="str" cm="1">
        <f t="array" ref="W516">IFERROR(_xlfn._xlws.FILTER(game_rosters!AB:AB,(game_rosters!J:J=events!X516)*(K516&lt;&gt;"")),"")</f>
        <v/>
      </c>
      <c r="X516" t="str" cm="1">
        <f t="array" ref="X516">IF(S516="","",IF($I516&lt;&gt;"",$I516,INDEX($I$2:$I515,ROW()-COUNTIFS($T$2:$T515,"="&amp;$T516,$S$2:$S515,"&lt;&gt;"&amp;$S516)-1)))</f>
        <v/>
      </c>
      <c r="Y516" t="b">
        <f>IF(X516&lt;&gt;"",VLOOKUP(X516,game_rosters!$C$43:$E$64,3,FALSE))</f>
        <v>0</v>
      </c>
      <c r="Z516" t="e" cm="1" vm="1">
        <f t="array" aca="1" ref="Z516" ca="1">IFERROR(IF(_xlfn._xlws.FILTER(game_rosters!$J:$J,(game_rosters!$G:$G=events!$AN516)*(game_rosters!$J:$J=events!$X516))&gt;0,1,""),"")</f>
        <v>#VALUE!</v>
      </c>
      <c r="AA516" t="e">
        <f t="shared" ref="AA516:AA579" si="94">S516+1000</f>
        <v>#VALUE!</v>
      </c>
      <c r="AB516" t="str">
        <f t="shared" ref="AB516:AB579" si="95">IF(T516&lt;&gt;"",9000+T516,"")</f>
        <v/>
      </c>
      <c r="AC516" t="e">
        <f t="shared" si="93"/>
        <v>#VALUE!</v>
      </c>
      <c r="AD516" s="6"/>
      <c r="BJ516" s="39"/>
      <c r="BM516" s="39"/>
      <c r="BO516" s="19"/>
      <c r="BQ516" s="17"/>
    </row>
    <row r="517" spans="1:69" x14ac:dyDescent="0.2">
      <c r="A517" t="str">
        <f t="shared" ref="A517:A580" si="96">IF(K517&lt;&gt;"",1,IF(D517="x","x",""))</f>
        <v/>
      </c>
      <c r="E517" s="4"/>
      <c r="F517" s="44"/>
      <c r="G517" s="4"/>
      <c r="H517" s="47"/>
      <c r="J517" s="45" t="str">
        <f t="shared" si="90"/>
        <v/>
      </c>
      <c r="N517" t="str">
        <f t="shared" si="92"/>
        <v/>
      </c>
      <c r="Q517" t="str">
        <f t="shared" si="91"/>
        <v/>
      </c>
      <c r="S517" t="str">
        <f>IF(A517=1,MAX(S$2:S516)+1,IF(OR(I517&lt;&gt;"",A517="x"),S516,""))</f>
        <v/>
      </c>
      <c r="T517" t="str">
        <f>IF(D517=1,MAX($T$2:$T516)+1,IF(S517=$S516,$S516,IF($D517="x",T516,IF($D516="x","",""))))</f>
        <v/>
      </c>
      <c r="U517" t="str">
        <f>IF(B517=1,MAX($U$2:$U516)+1,IF(AND($T517&lt;&gt;"",$T517=$T516),$U516,IF(B517="x",U516,"")))</f>
        <v/>
      </c>
      <c r="V517" t="str">
        <f>IF(C517=1,MAX($V$2:$V516)+1,IF(AND($T517&lt;&gt;"",$T517=$T516),$U516,IF(C517="x",V516,"")))</f>
        <v/>
      </c>
      <c r="W517" t="str" cm="1">
        <f t="array" ref="W517">IFERROR(_xlfn._xlws.FILTER(game_rosters!AB:AB,(game_rosters!J:J=events!X517)*(K517&lt;&gt;"")),"")</f>
        <v/>
      </c>
      <c r="X517" t="str" cm="1">
        <f t="array" ref="X517">IF(S517="","",IF($I517&lt;&gt;"",$I517,INDEX($I$2:$I516,ROW()-COUNTIFS($T$2:$T516,"="&amp;$T517,$S$2:$S516,"&lt;&gt;"&amp;$S517)-1)))</f>
        <v/>
      </c>
      <c r="Y517" t="b">
        <f>IF(X517&lt;&gt;"",VLOOKUP(X517,game_rosters!$C$43:$E$64,3,FALSE))</f>
        <v>0</v>
      </c>
      <c r="Z517" t="e" cm="1" vm="1">
        <f t="array" aca="1" ref="Z517" ca="1">IFERROR(IF(_xlfn._xlws.FILTER(game_rosters!$J:$J,(game_rosters!$G:$G=events!$AN517)*(game_rosters!$J:$J=events!$X517))&gt;0,1,""),"")</f>
        <v>#VALUE!</v>
      </c>
      <c r="AA517" t="e">
        <f t="shared" si="94"/>
        <v>#VALUE!</v>
      </c>
      <c r="AB517" t="str">
        <f t="shared" si="95"/>
        <v/>
      </c>
      <c r="AC517" t="e">
        <f t="shared" si="93"/>
        <v>#VALUE!</v>
      </c>
      <c r="AD517" s="6"/>
      <c r="BJ517" s="39"/>
      <c r="BM517" s="39"/>
      <c r="BO517" s="19"/>
      <c r="BQ517" s="17"/>
    </row>
    <row r="518" spans="1:69" x14ac:dyDescent="0.2">
      <c r="A518" t="str">
        <f t="shared" si="96"/>
        <v/>
      </c>
      <c r="E518" s="4"/>
      <c r="F518" s="44"/>
      <c r="G518" s="4"/>
      <c r="H518" s="47"/>
      <c r="J518" s="45" t="str">
        <f t="shared" ref="J518:J581" si="97">IF(OR(K518="Goal",K518="Shot",L518="Zone_Entry",M518="Stoppage-Goal",M517="Stoppage-Goal"),"o",IF(OR(K518="Save",K518="Rebound",L518="Zone_Exit",M518="Stoppage-GoalieStoppage",M517="Stoppage-GoalieStoppage"),"d",IF(OR(L518="Faceoff_AfterGoal",L518="Faceoff_PeriodStart",698="Faceoff_GameStart",M517="Stoppage-Goal"),"n","")))</f>
        <v/>
      </c>
      <c r="N518" t="str">
        <f t="shared" si="92"/>
        <v/>
      </c>
      <c r="Q518" t="str">
        <f t="shared" si="91"/>
        <v/>
      </c>
      <c r="S518" t="str">
        <f>IF(A518=1,MAX(S$2:S517)+1,IF(OR(I518&lt;&gt;"",A518="x"),S517,""))</f>
        <v/>
      </c>
      <c r="T518" t="str">
        <f>IF(D518=1,MAX($T$2:$T517)+1,IF(S518=$S517,$S517,IF($D518="x",T517,IF($D517="x","",""))))</f>
        <v/>
      </c>
      <c r="U518" t="str">
        <f>IF(B518=1,MAX($U$2:$U517)+1,IF(AND($T518&lt;&gt;"",$T518=$T517),$U517,IF(B518="x",U517,"")))</f>
        <v/>
      </c>
      <c r="V518" t="str">
        <f>IF(C518=1,MAX($V$2:$V517)+1,IF(AND($T518&lt;&gt;"",$T518=$T517),$U517,IF(C518="x",V517,"")))</f>
        <v/>
      </c>
      <c r="W518" t="str" cm="1">
        <f t="array" ref="W518">IFERROR(_xlfn._xlws.FILTER(game_rosters!AB:AB,(game_rosters!J:J=events!X518)*(K518&lt;&gt;"")),"")</f>
        <v/>
      </c>
      <c r="X518" t="str" cm="1">
        <f t="array" ref="X518">IF(S518="","",IF($I518&lt;&gt;"",$I518,INDEX($I$2:$I517,ROW()-COUNTIFS($T$2:$T517,"="&amp;$T518,$S$2:$S517,"&lt;&gt;"&amp;$S518)-1)))</f>
        <v/>
      </c>
      <c r="Y518" t="b">
        <f>IF(X518&lt;&gt;"",VLOOKUP(X518,game_rosters!$C$43:$E$64,3,FALSE))</f>
        <v>0</v>
      </c>
      <c r="Z518" t="e" cm="1" vm="1">
        <f t="array" aca="1" ref="Z518" ca="1">IFERROR(IF(_xlfn._xlws.FILTER(game_rosters!$J:$J,(game_rosters!$G:$G=events!$AN518)*(game_rosters!$J:$J=events!$X518))&gt;0,1,""),"")</f>
        <v>#VALUE!</v>
      </c>
      <c r="AA518" t="e">
        <f t="shared" si="94"/>
        <v>#VALUE!</v>
      </c>
      <c r="AB518" t="str">
        <f t="shared" si="95"/>
        <v/>
      </c>
      <c r="AC518" t="e">
        <f t="shared" si="93"/>
        <v>#VALUE!</v>
      </c>
      <c r="AD518" s="6"/>
      <c r="BJ518" s="39"/>
      <c r="BM518" s="39"/>
      <c r="BO518" s="19"/>
      <c r="BQ518" s="17"/>
    </row>
    <row r="519" spans="1:69" x14ac:dyDescent="0.2">
      <c r="A519" t="str">
        <f t="shared" si="96"/>
        <v/>
      </c>
      <c r="E519" s="4"/>
      <c r="F519" s="44"/>
      <c r="G519" s="4"/>
      <c r="H519" s="47"/>
      <c r="J519" s="45" t="str">
        <f t="shared" si="97"/>
        <v/>
      </c>
      <c r="N519" t="str">
        <f t="shared" si="92"/>
        <v/>
      </c>
      <c r="Q519" t="str">
        <f t="shared" si="91"/>
        <v/>
      </c>
      <c r="S519" t="str">
        <f>IF(A519=1,MAX(S$2:S518)+1,IF(OR(I519&lt;&gt;"",A519="x"),S518,""))</f>
        <v/>
      </c>
      <c r="T519" t="str">
        <f>IF(D519=1,MAX($T$2:$T518)+1,IF(S519=$S518,$S518,IF($D519="x",T518,IF($D518="x","",""))))</f>
        <v/>
      </c>
      <c r="U519" t="str">
        <f>IF(B519=1,MAX($U$2:$U518)+1,IF(AND($T519&lt;&gt;"",$T519=$T518),$U518,IF(B519="x",U518,"")))</f>
        <v/>
      </c>
      <c r="V519" t="str">
        <f>IF(C519=1,MAX($V$2:$V518)+1,IF(AND($T519&lt;&gt;"",$T519=$T518),$U518,IF(C519="x",V518,"")))</f>
        <v/>
      </c>
      <c r="W519" t="str" cm="1">
        <f t="array" ref="W519">IFERROR(_xlfn._xlws.FILTER(game_rosters!AB:AB,(game_rosters!J:J=events!X519)*(K519&lt;&gt;"")),"")</f>
        <v/>
      </c>
      <c r="X519" t="str" cm="1">
        <f t="array" ref="X519">IF(S519="","",IF($I519&lt;&gt;"",$I519,INDEX($I$2:$I518,ROW()-COUNTIFS($T$2:$T518,"="&amp;$T519,$S$2:$S518,"&lt;&gt;"&amp;$S519)-1)))</f>
        <v/>
      </c>
      <c r="Y519" t="b">
        <f>IF(X519&lt;&gt;"",VLOOKUP(X519,game_rosters!$C$43:$E$64,3,FALSE))</f>
        <v>0</v>
      </c>
      <c r="Z519" t="e" cm="1" vm="1">
        <f t="array" aca="1" ref="Z519" ca="1">IFERROR(IF(_xlfn._xlws.FILTER(game_rosters!$J:$J,(game_rosters!$G:$G=events!$AN519)*(game_rosters!$J:$J=events!$X519))&gt;0,1,""),"")</f>
        <v>#VALUE!</v>
      </c>
      <c r="AA519" t="e">
        <f t="shared" si="94"/>
        <v>#VALUE!</v>
      </c>
      <c r="AB519" t="str">
        <f t="shared" si="95"/>
        <v/>
      </c>
      <c r="AC519" t="e">
        <f t="shared" si="93"/>
        <v>#VALUE!</v>
      </c>
      <c r="AD519" s="6"/>
      <c r="BJ519" s="39"/>
      <c r="BM519" s="39"/>
      <c r="BO519" s="19"/>
      <c r="BQ519" s="17"/>
    </row>
    <row r="520" spans="1:69" x14ac:dyDescent="0.2">
      <c r="A520" t="str">
        <f t="shared" si="96"/>
        <v/>
      </c>
      <c r="E520" s="4"/>
      <c r="F520" s="44"/>
      <c r="G520" s="4"/>
      <c r="H520" s="47"/>
      <c r="J520" s="45" t="str">
        <f t="shared" si="97"/>
        <v/>
      </c>
      <c r="N520" t="str">
        <f t="shared" si="92"/>
        <v/>
      </c>
      <c r="Q520" t="str">
        <f t="shared" si="91"/>
        <v/>
      </c>
      <c r="S520" t="str">
        <f>IF(A520=1,MAX(S$2:S519)+1,IF(OR(I520&lt;&gt;"",A520="x"),S519,""))</f>
        <v/>
      </c>
      <c r="T520" t="str">
        <f>IF(D520=1,MAX($T$2:$T519)+1,IF(S520=$S519,$S519,IF($D520="x",T519,IF($D519="x","",""))))</f>
        <v/>
      </c>
      <c r="U520" t="str">
        <f>IF(B520=1,MAX($U$2:$U519)+1,IF(AND($T520&lt;&gt;"",$T520=$T519),$U519,IF(B520="x",U519,"")))</f>
        <v/>
      </c>
      <c r="V520" t="str">
        <f>IF(C520=1,MAX($V$2:$V519)+1,IF(AND($T520&lt;&gt;"",$T520=$T519),$U519,IF(C520="x",V519,"")))</f>
        <v/>
      </c>
      <c r="W520" t="str" cm="1">
        <f t="array" ref="W520">IFERROR(_xlfn._xlws.FILTER(game_rosters!AB:AB,(game_rosters!J:J=events!X520)*(K520&lt;&gt;"")),"")</f>
        <v/>
      </c>
      <c r="X520" t="str" cm="1">
        <f t="array" ref="X520">IF(S520="","",IF($I520&lt;&gt;"",$I520,INDEX($I$2:$I519,ROW()-COUNTIFS($T$2:$T519,"="&amp;$T520,$S$2:$S519,"&lt;&gt;"&amp;$S520)-1)))</f>
        <v/>
      </c>
      <c r="Y520" t="b">
        <f>IF(X520&lt;&gt;"",VLOOKUP(X520,game_rosters!$C$43:$E$64,3,FALSE))</f>
        <v>0</v>
      </c>
      <c r="Z520" t="e" cm="1" vm="1">
        <f t="array" aca="1" ref="Z520" ca="1">IFERROR(IF(_xlfn._xlws.FILTER(game_rosters!$J:$J,(game_rosters!$G:$G=events!$AN520)*(game_rosters!$J:$J=events!$X520))&gt;0,1,""),"")</f>
        <v>#VALUE!</v>
      </c>
      <c r="AA520" t="e">
        <f t="shared" si="94"/>
        <v>#VALUE!</v>
      </c>
      <c r="AB520" t="str">
        <f t="shared" si="95"/>
        <v/>
      </c>
      <c r="AC520" t="e">
        <f t="shared" si="93"/>
        <v>#VALUE!</v>
      </c>
      <c r="AD520" s="6"/>
      <c r="BJ520" s="39"/>
      <c r="BM520" s="39"/>
      <c r="BO520" s="19"/>
      <c r="BQ520" s="17"/>
    </row>
    <row r="521" spans="1:69" x14ac:dyDescent="0.2">
      <c r="A521" t="str">
        <f t="shared" si="96"/>
        <v/>
      </c>
      <c r="E521" s="4"/>
      <c r="F521" s="44"/>
      <c r="G521" s="4"/>
      <c r="H521" s="47"/>
      <c r="J521" s="45" t="str">
        <f t="shared" si="97"/>
        <v/>
      </c>
      <c r="N521" t="str">
        <f t="shared" si="92"/>
        <v/>
      </c>
      <c r="Q521" t="str">
        <f t="shared" si="91"/>
        <v/>
      </c>
      <c r="S521" t="str">
        <f>IF(A521=1,MAX(S$2:S520)+1,IF(OR(I521&lt;&gt;"",A521="x"),S520,""))</f>
        <v/>
      </c>
      <c r="T521" t="str">
        <f>IF(D521=1,MAX($T$2:$T520)+1,IF(S521=$S520,$S520,IF($D521="x",T520,IF($D520="x","",""))))</f>
        <v/>
      </c>
      <c r="U521" t="str">
        <f>IF(B521=1,MAX($U$2:$U520)+1,IF(AND($T521&lt;&gt;"",$T521=$T520),$U520,IF(B521="x",U520,"")))</f>
        <v/>
      </c>
      <c r="V521" t="str">
        <f>IF(C521=1,MAX($V$2:$V520)+1,IF(AND($T521&lt;&gt;"",$T521=$T520),$U520,IF(C521="x",V520,"")))</f>
        <v/>
      </c>
      <c r="W521" t="str" cm="1">
        <f t="array" ref="W521">IFERROR(_xlfn._xlws.FILTER(game_rosters!AB:AB,(game_rosters!J:J=events!X521)*(K521&lt;&gt;"")),"")</f>
        <v/>
      </c>
      <c r="X521" t="str" cm="1">
        <f t="array" ref="X521">IF(S521="","",IF($I521&lt;&gt;"",$I521,INDEX($I$2:$I520,ROW()-COUNTIFS($T$2:$T520,"="&amp;$T521,$S$2:$S520,"&lt;&gt;"&amp;$S521)-1)))</f>
        <v/>
      </c>
      <c r="Y521" t="b">
        <f>IF(X521&lt;&gt;"",VLOOKUP(X521,game_rosters!$C$43:$E$64,3,FALSE))</f>
        <v>0</v>
      </c>
      <c r="Z521" t="e" cm="1" vm="1">
        <f t="array" aca="1" ref="Z521" ca="1">IFERROR(IF(_xlfn._xlws.FILTER(game_rosters!$J:$J,(game_rosters!$G:$G=events!$AN521)*(game_rosters!$J:$J=events!$X521))&gt;0,1,""),"")</f>
        <v>#VALUE!</v>
      </c>
      <c r="AA521" t="e">
        <f t="shared" si="94"/>
        <v>#VALUE!</v>
      </c>
      <c r="AB521" t="str">
        <f t="shared" si="95"/>
        <v/>
      </c>
      <c r="AC521" t="e">
        <f t="shared" si="93"/>
        <v>#VALUE!</v>
      </c>
      <c r="AD521" s="6"/>
      <c r="BJ521" s="39"/>
      <c r="BM521" s="39"/>
      <c r="BO521" s="19"/>
      <c r="BQ521" s="17"/>
    </row>
    <row r="522" spans="1:69" x14ac:dyDescent="0.2">
      <c r="A522" t="str">
        <f t="shared" si="96"/>
        <v/>
      </c>
      <c r="E522" s="4"/>
      <c r="F522" s="44"/>
      <c r="G522" s="4"/>
      <c r="H522" s="47"/>
      <c r="J522" s="45" t="str">
        <f t="shared" si="97"/>
        <v/>
      </c>
      <c r="N522" t="str">
        <f t="shared" si="92"/>
        <v/>
      </c>
      <c r="Q522" t="str">
        <f t="shared" si="91"/>
        <v/>
      </c>
      <c r="S522" t="str">
        <f>IF(A522=1,MAX(S$2:S521)+1,IF(OR(I522&lt;&gt;"",A522="x"),S521,""))</f>
        <v/>
      </c>
      <c r="T522" t="str">
        <f>IF(D522=1,MAX($T$2:$T521)+1,IF(S522=$S521,$S521,IF($D522="x",T521,IF($D521="x","",""))))</f>
        <v/>
      </c>
      <c r="U522" t="str">
        <f>IF(B522=1,MAX($U$2:$U521)+1,IF(AND($T522&lt;&gt;"",$T522=$T521),$U521,IF(B522="x",U521,"")))</f>
        <v/>
      </c>
      <c r="V522" t="str">
        <f>IF(C522=1,MAX($V$2:$V521)+1,IF(AND($T522&lt;&gt;"",$T522=$T521),$U521,IF(C522="x",V521,"")))</f>
        <v/>
      </c>
      <c r="W522" t="str" cm="1">
        <f t="array" ref="W522">IFERROR(_xlfn._xlws.FILTER(game_rosters!AB:AB,(game_rosters!J:J=events!X522)*(K522&lt;&gt;"")),"")</f>
        <v/>
      </c>
      <c r="X522" t="str" cm="1">
        <f t="array" ref="X522">IF(S522="","",IF($I522&lt;&gt;"",$I522,INDEX($I$2:$I521,ROW()-COUNTIFS($T$2:$T521,"="&amp;$T522,$S$2:$S521,"&lt;&gt;"&amp;$S522)-1)))</f>
        <v/>
      </c>
      <c r="Y522" t="b">
        <f>IF(X522&lt;&gt;"",VLOOKUP(X522,game_rosters!$C$43:$E$64,3,FALSE))</f>
        <v>0</v>
      </c>
      <c r="Z522" t="e" cm="1" vm="1">
        <f t="array" aca="1" ref="Z522" ca="1">IFERROR(IF(_xlfn._xlws.FILTER(game_rosters!$J:$J,(game_rosters!$G:$G=events!$AN522)*(game_rosters!$J:$J=events!$X522))&gt;0,1,""),"")</f>
        <v>#VALUE!</v>
      </c>
      <c r="AA522" t="e">
        <f t="shared" si="94"/>
        <v>#VALUE!</v>
      </c>
      <c r="AB522" t="str">
        <f t="shared" si="95"/>
        <v/>
      </c>
      <c r="AC522" t="e">
        <f t="shared" si="93"/>
        <v>#VALUE!</v>
      </c>
      <c r="AD522" s="6"/>
      <c r="BJ522" s="39"/>
      <c r="BM522" s="39"/>
      <c r="BO522" s="19"/>
      <c r="BQ522" s="17"/>
    </row>
    <row r="523" spans="1:69" x14ac:dyDescent="0.2">
      <c r="A523" t="str">
        <f t="shared" si="96"/>
        <v/>
      </c>
      <c r="E523" s="4"/>
      <c r="F523" s="44"/>
      <c r="G523" s="4"/>
      <c r="H523" s="47"/>
      <c r="J523" s="45" t="str">
        <f t="shared" si="97"/>
        <v/>
      </c>
      <c r="N523" t="str">
        <f t="shared" si="92"/>
        <v/>
      </c>
      <c r="Q523" t="str">
        <f t="shared" si="91"/>
        <v/>
      </c>
      <c r="S523" t="str">
        <f>IF(A523=1,MAX(S$2:S522)+1,IF(OR(I523&lt;&gt;"",A523="x"),S522,""))</f>
        <v/>
      </c>
      <c r="T523" t="str">
        <f>IF(D523=1,MAX($T$2:$T522)+1,IF(S523=$S522,$S522,IF($D523="x",T522,IF($D522="x","",""))))</f>
        <v/>
      </c>
      <c r="U523" t="str">
        <f>IF(B523=1,MAX($U$2:$U522)+1,IF(AND($T523&lt;&gt;"",$T523=$T522),$U522,IF(B523="x",U522,"")))</f>
        <v/>
      </c>
      <c r="V523" t="str">
        <f>IF(C523=1,MAX($V$2:$V522)+1,IF(AND($T523&lt;&gt;"",$T523=$T522),$U522,IF(C523="x",V522,"")))</f>
        <v/>
      </c>
      <c r="W523" t="str" cm="1">
        <f t="array" ref="W523">IFERROR(_xlfn._xlws.FILTER(game_rosters!AB:AB,(game_rosters!J:J=events!X523)*(K523&lt;&gt;"")),"")</f>
        <v/>
      </c>
      <c r="X523" t="str" cm="1">
        <f t="array" ref="X523">IF(S523="","",IF($I523&lt;&gt;"",$I523,INDEX($I$2:$I522,ROW()-COUNTIFS($T$2:$T522,"="&amp;$T523,$S$2:$S522,"&lt;&gt;"&amp;$S523)-1)))</f>
        <v/>
      </c>
      <c r="Y523" t="b">
        <f>IF(X523&lt;&gt;"",VLOOKUP(X523,game_rosters!$C$43:$E$64,3,FALSE))</f>
        <v>0</v>
      </c>
      <c r="Z523" t="e" cm="1" vm="1">
        <f t="array" aca="1" ref="Z523" ca="1">IFERROR(IF(_xlfn._xlws.FILTER(game_rosters!$J:$J,(game_rosters!$G:$G=events!$AN523)*(game_rosters!$J:$J=events!$X523))&gt;0,1,""),"")</f>
        <v>#VALUE!</v>
      </c>
      <c r="AA523" t="e">
        <f t="shared" si="94"/>
        <v>#VALUE!</v>
      </c>
      <c r="AB523" t="str">
        <f t="shared" si="95"/>
        <v/>
      </c>
      <c r="AC523" t="e">
        <f t="shared" si="93"/>
        <v>#VALUE!</v>
      </c>
      <c r="AD523" s="6"/>
      <c r="BJ523" s="39"/>
      <c r="BM523" s="39"/>
      <c r="BO523" s="19"/>
      <c r="BQ523" s="17"/>
    </row>
    <row r="524" spans="1:69" x14ac:dyDescent="0.2">
      <c r="A524" t="str">
        <f t="shared" si="96"/>
        <v/>
      </c>
      <c r="E524" s="4"/>
      <c r="F524" s="44"/>
      <c r="G524" s="4"/>
      <c r="H524" s="47"/>
      <c r="J524" s="45" t="str">
        <f t="shared" si="97"/>
        <v/>
      </c>
      <c r="N524" t="str">
        <f t="shared" si="92"/>
        <v/>
      </c>
      <c r="Q524" t="str">
        <f t="shared" si="91"/>
        <v/>
      </c>
      <c r="S524" t="str">
        <f>IF(A524=1,MAX(S$2:S523)+1,IF(OR(I524&lt;&gt;"",A524="x"),S523,""))</f>
        <v/>
      </c>
      <c r="T524" t="str">
        <f>IF(D524=1,MAX($T$2:$T523)+1,IF(S524=$S523,$S523,IF($D524="x",T523,IF($D523="x","",""))))</f>
        <v/>
      </c>
      <c r="U524" t="str">
        <f>IF(B524=1,MAX($U$2:$U523)+1,IF(AND($T524&lt;&gt;"",$T524=$T523),$U523,IF(B524="x",U523,"")))</f>
        <v/>
      </c>
      <c r="V524" t="str">
        <f>IF(C524=1,MAX($V$2:$V523)+1,IF(AND($T524&lt;&gt;"",$T524=$T523),$U523,IF(C524="x",V523,"")))</f>
        <v/>
      </c>
      <c r="W524" t="str" cm="1">
        <f t="array" ref="W524">IFERROR(_xlfn._xlws.FILTER(game_rosters!AB:AB,(game_rosters!J:J=events!X524)*(K524&lt;&gt;"")),"")</f>
        <v/>
      </c>
      <c r="X524" t="str" cm="1">
        <f t="array" ref="X524">IF(S524="","",IF($I524&lt;&gt;"",$I524,INDEX($I$2:$I523,ROW()-COUNTIFS($T$2:$T523,"="&amp;$T524,$S$2:$S523,"&lt;&gt;"&amp;$S524)-1)))</f>
        <v/>
      </c>
      <c r="Y524" t="b">
        <f>IF(X524&lt;&gt;"",VLOOKUP(X524,game_rosters!$C$43:$E$64,3,FALSE))</f>
        <v>0</v>
      </c>
      <c r="Z524" t="e" cm="1" vm="1">
        <f t="array" aca="1" ref="Z524" ca="1">IFERROR(IF(_xlfn._xlws.FILTER(game_rosters!$J:$J,(game_rosters!$G:$G=events!$AN524)*(game_rosters!$J:$J=events!$X524))&gt;0,1,""),"")</f>
        <v>#VALUE!</v>
      </c>
      <c r="AA524" t="e">
        <f t="shared" si="94"/>
        <v>#VALUE!</v>
      </c>
      <c r="AB524" t="str">
        <f t="shared" si="95"/>
        <v/>
      </c>
      <c r="AC524" t="e">
        <f t="shared" si="93"/>
        <v>#VALUE!</v>
      </c>
      <c r="AD524" s="6"/>
      <c r="BJ524" s="39"/>
      <c r="BM524" s="39"/>
      <c r="BO524" s="19"/>
      <c r="BQ524" s="17"/>
    </row>
    <row r="525" spans="1:69" x14ac:dyDescent="0.2">
      <c r="A525" t="str">
        <f t="shared" si="96"/>
        <v/>
      </c>
      <c r="E525" s="4"/>
      <c r="F525" s="44"/>
      <c r="G525" s="4"/>
      <c r="H525" s="47"/>
      <c r="J525" s="45" t="str">
        <f t="shared" si="97"/>
        <v/>
      </c>
      <c r="N525" t="str">
        <f t="shared" si="92"/>
        <v/>
      </c>
      <c r="Q525" t="str">
        <f t="shared" si="91"/>
        <v/>
      </c>
      <c r="S525" t="str">
        <f>IF(A525=1,MAX(S$2:S524)+1,IF(OR(I525&lt;&gt;"",A525="x"),S524,""))</f>
        <v/>
      </c>
      <c r="T525" t="str">
        <f>IF(D525=1,MAX($T$2:$T524)+1,IF(S525=$S524,$S524,IF($D525="x",T524,IF($D524="x","",""))))</f>
        <v/>
      </c>
      <c r="U525" t="str">
        <f>IF(B525=1,MAX($U$2:$U524)+1,IF(AND($T525&lt;&gt;"",$T525=$T524),$U524,IF(B525="x",U524,"")))</f>
        <v/>
      </c>
      <c r="V525" t="str">
        <f>IF(C525=1,MAX($V$2:$V524)+1,IF(AND($T525&lt;&gt;"",$T525=$T524),$U524,IF(C525="x",V524,"")))</f>
        <v/>
      </c>
      <c r="W525" t="str" cm="1">
        <f t="array" ref="W525">IFERROR(_xlfn._xlws.FILTER(game_rosters!AB:AB,(game_rosters!J:J=events!X525)*(K525&lt;&gt;"")),"")</f>
        <v/>
      </c>
      <c r="X525" t="str" cm="1">
        <f t="array" ref="X525">IF(S525="","",IF($I525&lt;&gt;"",$I525,INDEX($I$2:$I524,ROW()-COUNTIFS($T$2:$T524,"="&amp;$T525,$S$2:$S524,"&lt;&gt;"&amp;$S525)-1)))</f>
        <v/>
      </c>
      <c r="Y525" t="b">
        <f>IF(X525&lt;&gt;"",VLOOKUP(X525,game_rosters!$C$43:$E$64,3,FALSE))</f>
        <v>0</v>
      </c>
      <c r="Z525" t="e" cm="1" vm="1">
        <f t="array" aca="1" ref="Z525" ca="1">IFERROR(IF(_xlfn._xlws.FILTER(game_rosters!$J:$J,(game_rosters!$G:$G=events!$AN525)*(game_rosters!$J:$J=events!$X525))&gt;0,1,""),"")</f>
        <v>#VALUE!</v>
      </c>
      <c r="AA525" t="e">
        <f t="shared" si="94"/>
        <v>#VALUE!</v>
      </c>
      <c r="AB525" t="str">
        <f t="shared" si="95"/>
        <v/>
      </c>
      <c r="AC525" t="e">
        <f t="shared" si="93"/>
        <v>#VALUE!</v>
      </c>
      <c r="AD525" s="6"/>
      <c r="BJ525" s="39"/>
      <c r="BM525" s="39"/>
      <c r="BO525" s="19"/>
      <c r="BQ525" s="17"/>
    </row>
    <row r="526" spans="1:69" x14ac:dyDescent="0.2">
      <c r="A526" t="str">
        <f t="shared" si="96"/>
        <v/>
      </c>
      <c r="E526" s="4"/>
      <c r="F526" s="44"/>
      <c r="G526" s="4"/>
      <c r="H526" s="47"/>
      <c r="J526" s="45" t="str">
        <f t="shared" si="97"/>
        <v/>
      </c>
      <c r="N526" t="str">
        <f t="shared" si="92"/>
        <v/>
      </c>
      <c r="Q526" t="str">
        <f t="shared" si="91"/>
        <v/>
      </c>
      <c r="S526" t="str">
        <f>IF(A526=1,MAX(S$2:S525)+1,IF(OR(I526&lt;&gt;"",A526="x"),S525,""))</f>
        <v/>
      </c>
      <c r="T526" t="str">
        <f>IF(D526=1,MAX($T$2:$T525)+1,IF(S526=$S525,$S525,IF($D526="x",T525,IF($D525="x","",""))))</f>
        <v/>
      </c>
      <c r="U526" t="str">
        <f>IF(B526=1,MAX($U$2:$U525)+1,IF(AND($T526&lt;&gt;"",$T526=$T525),$U525,IF(B526="x",U525,"")))</f>
        <v/>
      </c>
      <c r="V526" t="str">
        <f>IF(C526=1,MAX($V$2:$V525)+1,IF(AND($T526&lt;&gt;"",$T526=$T525),$U525,IF(C526="x",V525,"")))</f>
        <v/>
      </c>
      <c r="W526" t="str" cm="1">
        <f t="array" ref="W526">IFERROR(_xlfn._xlws.FILTER(game_rosters!AB:AB,(game_rosters!J:J=events!X526)*(K526&lt;&gt;"")),"")</f>
        <v/>
      </c>
      <c r="X526" t="str" cm="1">
        <f t="array" ref="X526">IF(S526="","",IF($I526&lt;&gt;"",$I526,INDEX($I$2:$I525,ROW()-COUNTIFS($T$2:$T525,"="&amp;$T526,$S$2:$S525,"&lt;&gt;"&amp;$S526)-1)))</f>
        <v/>
      </c>
      <c r="Y526" t="b">
        <f>IF(X526&lt;&gt;"",VLOOKUP(X526,game_rosters!$C$43:$E$64,3,FALSE))</f>
        <v>0</v>
      </c>
      <c r="Z526" t="e" cm="1" vm="1">
        <f t="array" aca="1" ref="Z526" ca="1">IFERROR(IF(_xlfn._xlws.FILTER(game_rosters!$J:$J,(game_rosters!$G:$G=events!$AN526)*(game_rosters!$J:$J=events!$X526))&gt;0,1,""),"")</f>
        <v>#VALUE!</v>
      </c>
      <c r="AA526" t="e">
        <f t="shared" si="94"/>
        <v>#VALUE!</v>
      </c>
      <c r="AB526" t="str">
        <f t="shared" si="95"/>
        <v/>
      </c>
      <c r="AC526" t="e">
        <f t="shared" si="93"/>
        <v>#VALUE!</v>
      </c>
      <c r="AD526" s="6"/>
      <c r="BJ526" s="39"/>
      <c r="BM526" s="39"/>
      <c r="BO526" s="19"/>
      <c r="BQ526" s="17"/>
    </row>
    <row r="527" spans="1:69" x14ac:dyDescent="0.2">
      <c r="A527" t="str">
        <f t="shared" si="96"/>
        <v/>
      </c>
      <c r="E527" s="4"/>
      <c r="F527" s="44"/>
      <c r="G527" s="4"/>
      <c r="H527" s="47"/>
      <c r="J527" s="45" t="str">
        <f t="shared" si="97"/>
        <v/>
      </c>
      <c r="N527" t="str">
        <f t="shared" si="92"/>
        <v/>
      </c>
      <c r="Q527" t="str">
        <f t="shared" si="91"/>
        <v/>
      </c>
      <c r="S527" t="str">
        <f>IF(A527=1,MAX(S$2:S526)+1,IF(OR(I527&lt;&gt;"",A527="x"),S526,""))</f>
        <v/>
      </c>
      <c r="T527" t="str">
        <f>IF(D527=1,MAX($T$2:$T526)+1,IF(S527=$S526,$S526,IF($D527="x",T526,IF($D526="x","",""))))</f>
        <v/>
      </c>
      <c r="U527" t="str">
        <f>IF(B527=1,MAX($U$2:$U526)+1,IF(AND($T527&lt;&gt;"",$T527=$T526),$U526,IF(B527="x",U526,"")))</f>
        <v/>
      </c>
      <c r="V527" t="str">
        <f>IF(C527=1,MAX($V$2:$V526)+1,IF(AND($T527&lt;&gt;"",$T527=$T526),$U526,IF(C527="x",V526,"")))</f>
        <v/>
      </c>
      <c r="W527" t="str" cm="1">
        <f t="array" ref="W527">IFERROR(_xlfn._xlws.FILTER(game_rosters!AB:AB,(game_rosters!J:J=events!X527)*(K527&lt;&gt;"")),"")</f>
        <v/>
      </c>
      <c r="X527" t="str" cm="1">
        <f t="array" ref="X527">IF(S527="","",IF($I527&lt;&gt;"",$I527,INDEX($I$2:$I526,ROW()-COUNTIFS($T$2:$T526,"="&amp;$T527,$S$2:$S526,"&lt;&gt;"&amp;$S527)-1)))</f>
        <v/>
      </c>
      <c r="Y527" t="b">
        <f>IF(X527&lt;&gt;"",VLOOKUP(X527,game_rosters!$C$43:$E$64,3,FALSE))</f>
        <v>0</v>
      </c>
      <c r="Z527" t="e" cm="1" vm="1">
        <f t="array" aca="1" ref="Z527" ca="1">IFERROR(IF(_xlfn._xlws.FILTER(game_rosters!$J:$J,(game_rosters!$G:$G=events!$AN527)*(game_rosters!$J:$J=events!$X527))&gt;0,1,""),"")</f>
        <v>#VALUE!</v>
      </c>
      <c r="AA527" t="e">
        <f t="shared" si="94"/>
        <v>#VALUE!</v>
      </c>
      <c r="AB527" t="str">
        <f t="shared" si="95"/>
        <v/>
      </c>
      <c r="AC527" t="e">
        <f t="shared" si="93"/>
        <v>#VALUE!</v>
      </c>
      <c r="AD527" s="6"/>
      <c r="BJ527" s="39"/>
      <c r="BM527" s="39"/>
      <c r="BO527" s="19"/>
      <c r="BQ527" s="17"/>
    </row>
    <row r="528" spans="1:69" x14ac:dyDescent="0.2">
      <c r="A528" t="str">
        <f t="shared" si="96"/>
        <v/>
      </c>
      <c r="E528" s="4"/>
      <c r="F528" s="44"/>
      <c r="G528" s="4"/>
      <c r="H528" s="47"/>
      <c r="J528" s="45" t="str">
        <f t="shared" si="97"/>
        <v/>
      </c>
      <c r="N528" t="str">
        <f t="shared" si="92"/>
        <v/>
      </c>
      <c r="Q528" t="str">
        <f t="shared" ref="Q528:Q591" si="98">IF(O528="","",IF(AND(N528&lt;&gt;"",OR(O528&lt;&gt;"",P528&lt;&gt;"")),N528,IF(OR(ISNUMBER(SEARCH("attemp",O528)),ISNUMBER(SEARCH("beat",O528)),ISNUMBER(SEARCH("mis",O528)),ISNUMBER(SEARCH("fail",O528)),ISNUMBER(SEARCH("loss",O528)),ISNUMBER(SEARCH("lost",O528)),ISNUMBER(SEARCH("attemp",P528)),ISNUMBER(SEARCH("mis",P528)),ISNUMBER(SEARCH("fail",P528)),ISNUMBER(SEARCH("loss",P528)),ISNUMBER(SEARCH("beat",P528)),ISNUMBER(SEARCH("lost",P528))),"u","")))</f>
        <v/>
      </c>
      <c r="S528" t="str">
        <f>IF(A528=1,MAX(S$2:S527)+1,IF(OR(I528&lt;&gt;"",A528="x"),S527,""))</f>
        <v/>
      </c>
      <c r="T528" t="str">
        <f>IF(D528=1,MAX($T$2:$T527)+1,IF(S528=$S527,$S527,IF($D528="x",T527,IF($D527="x","",""))))</f>
        <v/>
      </c>
      <c r="U528" t="str">
        <f>IF(B528=1,MAX($U$2:$U527)+1,IF(AND($T528&lt;&gt;"",$T528=$T527),$U527,IF(B528="x",U527,"")))</f>
        <v/>
      </c>
      <c r="V528" t="str">
        <f>IF(C528=1,MAX($V$2:$V527)+1,IF(AND($T528&lt;&gt;"",$T528=$T527),$U527,IF(C528="x",V527,"")))</f>
        <v/>
      </c>
      <c r="W528" t="str" cm="1">
        <f t="array" ref="W528">IFERROR(_xlfn._xlws.FILTER(game_rosters!AB:AB,(game_rosters!J:J=events!X528)*(K528&lt;&gt;"")),"")</f>
        <v/>
      </c>
      <c r="X528" t="str" cm="1">
        <f t="array" ref="X528">IF(S528="","",IF($I528&lt;&gt;"",$I528,INDEX($I$2:$I527,ROW()-COUNTIFS($T$2:$T527,"="&amp;$T528,$S$2:$S527,"&lt;&gt;"&amp;$S528)-1)))</f>
        <v/>
      </c>
      <c r="Y528" t="b">
        <f>IF(X528&lt;&gt;"",VLOOKUP(X528,game_rosters!$C$43:$E$64,3,FALSE))</f>
        <v>0</v>
      </c>
      <c r="Z528" t="e" cm="1" vm="1">
        <f t="array" aca="1" ref="Z528" ca="1">IFERROR(IF(_xlfn._xlws.FILTER(game_rosters!$J:$J,(game_rosters!$G:$G=events!$AN528)*(game_rosters!$J:$J=events!$X528))&gt;0,1,""),"")</f>
        <v>#VALUE!</v>
      </c>
      <c r="AA528" t="e">
        <f t="shared" si="94"/>
        <v>#VALUE!</v>
      </c>
      <c r="AB528" t="str">
        <f t="shared" si="95"/>
        <v/>
      </c>
      <c r="AC528" t="e">
        <f t="shared" si="93"/>
        <v>#VALUE!</v>
      </c>
      <c r="AD528" s="6"/>
      <c r="BJ528" s="39"/>
      <c r="BM528" s="39"/>
      <c r="BO528" s="19"/>
      <c r="BQ528" s="17"/>
    </row>
    <row r="529" spans="1:69" x14ac:dyDescent="0.2">
      <c r="A529" t="str">
        <f t="shared" si="96"/>
        <v/>
      </c>
      <c r="E529" s="4"/>
      <c r="F529" s="44"/>
      <c r="G529" s="4"/>
      <c r="H529" s="47"/>
      <c r="J529" s="45" t="str">
        <f t="shared" si="97"/>
        <v/>
      </c>
      <c r="N529" t="str">
        <f t="shared" si="92"/>
        <v/>
      </c>
      <c r="Q529" t="str">
        <f t="shared" si="98"/>
        <v/>
      </c>
      <c r="S529" t="str">
        <f>IF(A529=1,MAX(S$2:S528)+1,IF(OR(I529&lt;&gt;"",A529="x"),S528,""))</f>
        <v/>
      </c>
      <c r="T529" t="str">
        <f>IF(D529=1,MAX($T$2:$T528)+1,IF(S529=$S528,$S528,IF($D529="x",T528,IF($D528="x","",""))))</f>
        <v/>
      </c>
      <c r="U529" t="str">
        <f>IF(B529=1,MAX($U$2:$U528)+1,IF(AND($T529&lt;&gt;"",$T529=$T528),$U528,IF(B529="x",U528,"")))</f>
        <v/>
      </c>
      <c r="V529" t="str">
        <f>IF(C529=1,MAX($V$2:$V528)+1,IF(AND($T529&lt;&gt;"",$T529=$T528),$U528,IF(C529="x",V528,"")))</f>
        <v/>
      </c>
      <c r="W529" t="str" cm="1">
        <f t="array" ref="W529">IFERROR(_xlfn._xlws.FILTER(game_rosters!AB:AB,(game_rosters!J:J=events!X529)*(K529&lt;&gt;"")),"")</f>
        <v/>
      </c>
      <c r="X529" t="str" cm="1">
        <f t="array" ref="X529">IF(S529="","",IF($I529&lt;&gt;"",$I529,INDEX($I$2:$I528,ROW()-COUNTIFS($T$2:$T528,"="&amp;$T529,$S$2:$S528,"&lt;&gt;"&amp;$S529)-1)))</f>
        <v/>
      </c>
      <c r="Y529" t="b">
        <f>IF(X529&lt;&gt;"",VLOOKUP(X529,game_rosters!$C$43:$E$64,3,FALSE))</f>
        <v>0</v>
      </c>
      <c r="Z529" t="e" cm="1" vm="1">
        <f t="array" aca="1" ref="Z529" ca="1">IFERROR(IF(_xlfn._xlws.FILTER(game_rosters!$J:$J,(game_rosters!$G:$G=events!$AN529)*(game_rosters!$J:$J=events!$X529))&gt;0,1,""),"")</f>
        <v>#VALUE!</v>
      </c>
      <c r="AA529" t="e">
        <f t="shared" si="94"/>
        <v>#VALUE!</v>
      </c>
      <c r="AB529" t="str">
        <f t="shared" si="95"/>
        <v/>
      </c>
      <c r="AC529" t="e">
        <f t="shared" si="93"/>
        <v>#VALUE!</v>
      </c>
      <c r="AD529" s="6"/>
      <c r="BJ529" s="39"/>
      <c r="BM529" s="39"/>
      <c r="BO529" s="19"/>
      <c r="BQ529" s="17"/>
    </row>
    <row r="530" spans="1:69" x14ac:dyDescent="0.2">
      <c r="A530" t="str">
        <f t="shared" si="96"/>
        <v/>
      </c>
      <c r="E530" s="4"/>
      <c r="F530" s="44"/>
      <c r="G530" s="4"/>
      <c r="H530" s="47"/>
      <c r="J530" s="45" t="str">
        <f t="shared" si="97"/>
        <v/>
      </c>
      <c r="N530" t="str">
        <f t="shared" si="92"/>
        <v/>
      </c>
      <c r="Q530" t="str">
        <f t="shared" si="98"/>
        <v/>
      </c>
      <c r="S530" t="str">
        <f>IF(A530=1,MAX(S$2:S529)+1,IF(OR(I530&lt;&gt;"",A530="x"),S529,""))</f>
        <v/>
      </c>
      <c r="T530" t="str">
        <f>IF(D530=1,MAX($T$2:$T529)+1,IF(S530=$S529,$S529,IF($D530="x",T529,IF($D529="x","",""))))</f>
        <v/>
      </c>
      <c r="U530" t="str">
        <f>IF(B530=1,MAX($U$2:$U529)+1,IF(AND($T530&lt;&gt;"",$T530=$T529),$U529,IF(B530="x",U529,"")))</f>
        <v/>
      </c>
      <c r="V530" t="str">
        <f>IF(C530=1,MAX($V$2:$V529)+1,IF(AND($T530&lt;&gt;"",$T530=$T529),$U529,IF(C530="x",V529,"")))</f>
        <v/>
      </c>
      <c r="W530" t="str" cm="1">
        <f t="array" ref="W530">IFERROR(_xlfn._xlws.FILTER(game_rosters!AB:AB,(game_rosters!J:J=events!X530)*(K530&lt;&gt;"")),"")</f>
        <v/>
      </c>
      <c r="X530" t="str" cm="1">
        <f t="array" ref="X530">IF(S530="","",IF($I530&lt;&gt;"",$I530,INDEX($I$2:$I529,ROW()-COUNTIFS($T$2:$T529,"="&amp;$T530,$S$2:$S529,"&lt;&gt;"&amp;$S530)-1)))</f>
        <v/>
      </c>
      <c r="Y530" t="b">
        <f>IF(X530&lt;&gt;"",VLOOKUP(X530,game_rosters!$C$43:$E$64,3,FALSE))</f>
        <v>0</v>
      </c>
      <c r="Z530" t="e" cm="1" vm="1">
        <f t="array" aca="1" ref="Z530" ca="1">IFERROR(IF(_xlfn._xlws.FILTER(game_rosters!$J:$J,(game_rosters!$G:$G=events!$AN530)*(game_rosters!$J:$J=events!$X530))&gt;0,1,""),"")</f>
        <v>#VALUE!</v>
      </c>
      <c r="AA530" t="e">
        <f t="shared" si="94"/>
        <v>#VALUE!</v>
      </c>
      <c r="AB530" t="str">
        <f t="shared" si="95"/>
        <v/>
      </c>
      <c r="AC530" t="e">
        <f t="shared" si="93"/>
        <v>#VALUE!</v>
      </c>
      <c r="AD530" s="6"/>
      <c r="BJ530" s="39"/>
      <c r="BM530" s="39"/>
      <c r="BO530" s="19"/>
      <c r="BQ530" s="17"/>
    </row>
    <row r="531" spans="1:69" x14ac:dyDescent="0.2">
      <c r="A531" t="str">
        <f t="shared" si="96"/>
        <v/>
      </c>
      <c r="E531" s="4"/>
      <c r="F531" s="44"/>
      <c r="G531" s="4"/>
      <c r="H531" s="47"/>
      <c r="J531" s="45" t="str">
        <f t="shared" si="97"/>
        <v/>
      </c>
      <c r="N531" t="str">
        <f t="shared" si="92"/>
        <v/>
      </c>
      <c r="Q531" t="str">
        <f t="shared" si="98"/>
        <v/>
      </c>
      <c r="S531" t="str">
        <f>IF(A531=1,MAX(S$2:S530)+1,IF(OR(I531&lt;&gt;"",A531="x"),S530,""))</f>
        <v/>
      </c>
      <c r="T531" t="str">
        <f>IF(D531=1,MAX($T$2:$T530)+1,IF(S531=$S530,$S530,IF($D531="x",T530,IF($D530="x","",""))))</f>
        <v/>
      </c>
      <c r="U531" t="str">
        <f>IF(B531=1,MAX($U$2:$U530)+1,IF(AND($T531&lt;&gt;"",$T531=$T530),$U530,IF(B531="x",U530,"")))</f>
        <v/>
      </c>
      <c r="V531" t="str">
        <f>IF(C531=1,MAX($V$2:$V530)+1,IF(AND($T531&lt;&gt;"",$T531=$T530),$U530,IF(C531="x",V530,"")))</f>
        <v/>
      </c>
      <c r="W531" t="str" cm="1">
        <f t="array" ref="W531">IFERROR(_xlfn._xlws.FILTER(game_rosters!AB:AB,(game_rosters!J:J=events!X531)*(K531&lt;&gt;"")),"")</f>
        <v/>
      </c>
      <c r="X531" t="str" cm="1">
        <f t="array" ref="X531">IF(S531="","",IF($I531&lt;&gt;"",$I531,INDEX($I$2:$I530,ROW()-COUNTIFS($T$2:$T530,"="&amp;$T531,$S$2:$S530,"&lt;&gt;"&amp;$S531)-1)))</f>
        <v/>
      </c>
      <c r="Y531" t="b">
        <f>IF(X531&lt;&gt;"",VLOOKUP(X531,game_rosters!$C$43:$E$64,3,FALSE))</f>
        <v>0</v>
      </c>
      <c r="Z531" t="e" cm="1" vm="1">
        <f t="array" aca="1" ref="Z531" ca="1">IFERROR(IF(_xlfn._xlws.FILTER(game_rosters!$J:$J,(game_rosters!$G:$G=events!$AN531)*(game_rosters!$J:$J=events!$X531))&gt;0,1,""),"")</f>
        <v>#VALUE!</v>
      </c>
      <c r="AA531" t="e">
        <f t="shared" si="94"/>
        <v>#VALUE!</v>
      </c>
      <c r="AB531" t="str">
        <f t="shared" si="95"/>
        <v/>
      </c>
      <c r="AC531" t="e">
        <f t="shared" si="93"/>
        <v>#VALUE!</v>
      </c>
      <c r="AD531" s="6"/>
      <c r="BJ531" s="39"/>
      <c r="BM531" s="39"/>
      <c r="BO531" s="19"/>
      <c r="BQ531" s="17"/>
    </row>
    <row r="532" spans="1:69" x14ac:dyDescent="0.2">
      <c r="A532" t="str">
        <f t="shared" si="96"/>
        <v/>
      </c>
      <c r="E532" s="4"/>
      <c r="F532" s="44"/>
      <c r="G532" s="4"/>
      <c r="H532" s="47"/>
      <c r="J532" s="45" t="str">
        <f t="shared" si="97"/>
        <v/>
      </c>
      <c r="N532" t="str">
        <f t="shared" si="92"/>
        <v/>
      </c>
      <c r="Q532" t="str">
        <f t="shared" si="98"/>
        <v/>
      </c>
      <c r="S532" t="str">
        <f>IF(A532=1,MAX(S$2:S531)+1,IF(OR(I532&lt;&gt;"",A532="x"),S531,""))</f>
        <v/>
      </c>
      <c r="T532" t="str">
        <f>IF(D532=1,MAX($T$2:$T531)+1,IF(S532=$S531,$S531,IF($D532="x",T531,IF($D531="x","",""))))</f>
        <v/>
      </c>
      <c r="U532" t="str">
        <f>IF(B532=1,MAX($U$2:$U531)+1,IF(AND($T532&lt;&gt;"",$T532=$T531),$U531,IF(B532="x",U531,"")))</f>
        <v/>
      </c>
      <c r="V532" t="str">
        <f>IF(C532=1,MAX($V$2:$V531)+1,IF(AND($T532&lt;&gt;"",$T532=$T531),$U531,IF(C532="x",V531,"")))</f>
        <v/>
      </c>
      <c r="W532" t="str" cm="1">
        <f t="array" ref="W532">IFERROR(_xlfn._xlws.FILTER(game_rosters!AB:AB,(game_rosters!J:J=events!X532)*(K532&lt;&gt;"")),"")</f>
        <v/>
      </c>
      <c r="X532" t="str" cm="1">
        <f t="array" ref="X532">IF(S532="","",IF($I532&lt;&gt;"",$I532,INDEX($I$2:$I531,ROW()-COUNTIFS($T$2:$T531,"="&amp;$T532,$S$2:$S531,"&lt;&gt;"&amp;$S532)-1)))</f>
        <v/>
      </c>
      <c r="Y532" t="b">
        <f>IF(X532&lt;&gt;"",VLOOKUP(X532,game_rosters!$C$43:$E$64,3,FALSE))</f>
        <v>0</v>
      </c>
      <c r="Z532" t="e" cm="1" vm="1">
        <f t="array" aca="1" ref="Z532" ca="1">IFERROR(IF(_xlfn._xlws.FILTER(game_rosters!$J:$J,(game_rosters!$G:$G=events!$AN532)*(game_rosters!$J:$J=events!$X532))&gt;0,1,""),"")</f>
        <v>#VALUE!</v>
      </c>
      <c r="AA532" t="e">
        <f t="shared" si="94"/>
        <v>#VALUE!</v>
      </c>
      <c r="AB532" t="str">
        <f t="shared" si="95"/>
        <v/>
      </c>
      <c r="AC532" t="e">
        <f t="shared" si="93"/>
        <v>#VALUE!</v>
      </c>
      <c r="AD532" s="6"/>
      <c r="BJ532" s="39"/>
      <c r="BM532" s="39"/>
      <c r="BO532" s="19"/>
      <c r="BQ532" s="17"/>
    </row>
    <row r="533" spans="1:69" x14ac:dyDescent="0.2">
      <c r="A533" t="str">
        <f t="shared" si="96"/>
        <v/>
      </c>
      <c r="E533" s="4"/>
      <c r="F533" s="44"/>
      <c r="G533" s="4"/>
      <c r="H533" s="47"/>
      <c r="J533" s="45" t="str">
        <f t="shared" si="97"/>
        <v/>
      </c>
      <c r="N533" t="str">
        <f t="shared" ref="N533:N596" si="99">IF(K533="","",IF(K533="Goal","s",IF(AND(K533="Zone_Entry_Exit",OR(ISNUMBER(SEARCH("fail",L533)),ISNUMBER(SEARCH("FromExitClear",M533)),ISNUMBER(SEARCH("miss",M533)))),"u",IF(AND(K533="Zone_Entry_Exit",OR(NOT(ISNUMBER(SEARCH("fail",L533))),NOT(ISNUMBER(SEARCH("FromExitClear",M533))),NOT(ISNUMBER(SEARCH("miss",M533))))),"s",IF(AND(OR(K533="Shot",K533="Pass"),OR(ISNUMBER(SEARCH("complete",L533)),ISNUMBER(SEARCH("goal",L533)),ISNUMBER(SEARCH("OnNet",L533)))),"s",IF(L533="Turnover_Giveaway","u",IF(AND(OR(K533="Shot",K533="Pass"),OR(ISNUMBER(SEARCH("fail",L533)),NOT(ISNUMBER(SEARCH("complete",L533))),NOT(ISNUMBER(SEARCH("OnNet",L533))))),"u","")))))))</f>
        <v/>
      </c>
      <c r="Q533" t="str">
        <f t="shared" si="98"/>
        <v/>
      </c>
      <c r="S533" t="str">
        <f>IF(A533=1,MAX(S$2:S532)+1,IF(OR(I533&lt;&gt;"",A533="x"),S532,""))</f>
        <v/>
      </c>
      <c r="T533" t="str">
        <f>IF(D533=1,MAX($T$2:$T532)+1,IF(S533=$S532,$S532,IF($D533="x",T532,IF($D532="x","",""))))</f>
        <v/>
      </c>
      <c r="U533" t="str">
        <f>IF(B533=1,MAX($U$2:$U532)+1,IF(AND($T533&lt;&gt;"",$T533=$T532),$U532,IF(B533="x",U532,"")))</f>
        <v/>
      </c>
      <c r="V533" t="str">
        <f>IF(C533=1,MAX($V$2:$V532)+1,IF(AND($T533&lt;&gt;"",$T533=$T532),$U532,IF(C533="x",V532,"")))</f>
        <v/>
      </c>
      <c r="W533" t="str" cm="1">
        <f t="array" ref="W533">IFERROR(_xlfn._xlws.FILTER(game_rosters!AB:AB,(game_rosters!J:J=events!X533)*(K533&lt;&gt;"")),"")</f>
        <v/>
      </c>
      <c r="X533" t="str" cm="1">
        <f t="array" ref="X533">IF(S533="","",IF($I533&lt;&gt;"",$I533,INDEX($I$2:$I532,ROW()-COUNTIFS($T$2:$T532,"="&amp;$T533,$S$2:$S532,"&lt;&gt;"&amp;$S533)-1)))</f>
        <v/>
      </c>
      <c r="Y533" t="b">
        <f>IF(X533&lt;&gt;"",VLOOKUP(X533,game_rosters!$C$43:$E$64,3,FALSE))</f>
        <v>0</v>
      </c>
      <c r="Z533" t="e" cm="1" vm="1">
        <f t="array" aca="1" ref="Z533" ca="1">IFERROR(IF(_xlfn._xlws.FILTER(game_rosters!$J:$J,(game_rosters!$G:$G=events!$AN533)*(game_rosters!$J:$J=events!$X533))&gt;0,1,""),"")</f>
        <v>#VALUE!</v>
      </c>
      <c r="AA533" t="e">
        <f t="shared" si="94"/>
        <v>#VALUE!</v>
      </c>
      <c r="AB533" t="str">
        <f t="shared" si="95"/>
        <v/>
      </c>
      <c r="AC533" t="e">
        <f t="shared" si="93"/>
        <v>#VALUE!</v>
      </c>
      <c r="AD533" s="6"/>
      <c r="BJ533" s="39"/>
      <c r="BM533" s="39"/>
      <c r="BO533" s="19"/>
      <c r="BQ533" s="17"/>
    </row>
    <row r="534" spans="1:69" x14ac:dyDescent="0.2">
      <c r="A534" t="str">
        <f t="shared" si="96"/>
        <v/>
      </c>
      <c r="E534" s="4"/>
      <c r="F534" s="44"/>
      <c r="G534" s="4"/>
      <c r="H534" s="47"/>
      <c r="J534" s="45" t="str">
        <f t="shared" si="97"/>
        <v/>
      </c>
      <c r="N534" t="str">
        <f t="shared" si="99"/>
        <v/>
      </c>
      <c r="Q534" t="str">
        <f t="shared" si="98"/>
        <v/>
      </c>
      <c r="S534" t="str">
        <f>IF(A534=1,MAX(S$2:S533)+1,IF(OR(I534&lt;&gt;"",A534="x"),S533,""))</f>
        <v/>
      </c>
      <c r="T534" t="str">
        <f>IF(D534=1,MAX($T$2:$T533)+1,IF(S534=$S533,$S533,IF($D534="x",T533,IF($D533="x","",""))))</f>
        <v/>
      </c>
      <c r="U534" t="str">
        <f>IF(B534=1,MAX($U$2:$U533)+1,IF(AND($T534&lt;&gt;"",$T534=$T533),$U533,IF(B534="x",U533,"")))</f>
        <v/>
      </c>
      <c r="V534" t="str">
        <f>IF(C534=1,MAX($V$2:$V533)+1,IF(AND($T534&lt;&gt;"",$T534=$T533),$U533,IF(C534="x",V533,"")))</f>
        <v/>
      </c>
      <c r="W534" t="str" cm="1">
        <f t="array" ref="W534">IFERROR(_xlfn._xlws.FILTER(game_rosters!AB:AB,(game_rosters!J:J=events!X534)*(K534&lt;&gt;"")),"")</f>
        <v/>
      </c>
      <c r="X534" t="str" cm="1">
        <f t="array" ref="X534">IF(S534="","",IF($I534&lt;&gt;"",$I534,INDEX($I$2:$I533,ROW()-COUNTIFS($T$2:$T533,"="&amp;$T534,$S$2:$S533,"&lt;&gt;"&amp;$S534)-1)))</f>
        <v/>
      </c>
      <c r="Y534" t="b">
        <f>IF(X534&lt;&gt;"",VLOOKUP(X534,game_rosters!$C$43:$E$64,3,FALSE))</f>
        <v>0</v>
      </c>
      <c r="Z534" t="e" cm="1" vm="1">
        <f t="array" aca="1" ref="Z534" ca="1">IFERROR(IF(_xlfn._xlws.FILTER(game_rosters!$J:$J,(game_rosters!$G:$G=events!$AN534)*(game_rosters!$J:$J=events!$X534))&gt;0,1,""),"")</f>
        <v>#VALUE!</v>
      </c>
      <c r="AA534" t="e">
        <f t="shared" si="94"/>
        <v>#VALUE!</v>
      </c>
      <c r="AB534" t="str">
        <f t="shared" si="95"/>
        <v/>
      </c>
      <c r="AC534" t="e">
        <f t="shared" si="93"/>
        <v>#VALUE!</v>
      </c>
      <c r="AD534" s="6"/>
      <c r="BJ534" s="39"/>
      <c r="BM534" s="39"/>
      <c r="BO534" s="19"/>
      <c r="BQ534" s="17"/>
    </row>
    <row r="535" spans="1:69" x14ac:dyDescent="0.2">
      <c r="A535" t="str">
        <f t="shared" si="96"/>
        <v/>
      </c>
      <c r="E535" s="4"/>
      <c r="F535" s="44"/>
      <c r="G535" s="4"/>
      <c r="H535" s="47"/>
      <c r="J535" s="45" t="str">
        <f t="shared" si="97"/>
        <v/>
      </c>
      <c r="N535" t="str">
        <f t="shared" si="99"/>
        <v/>
      </c>
      <c r="Q535" t="str">
        <f t="shared" si="98"/>
        <v/>
      </c>
      <c r="S535" t="str">
        <f>IF(A535=1,MAX(S$2:S534)+1,IF(OR(I535&lt;&gt;"",A535="x"),S534,""))</f>
        <v/>
      </c>
      <c r="T535" t="str">
        <f>IF(D535=1,MAX($T$2:$T534)+1,IF(S535=$S534,$S534,IF($D535="x",T534,IF($D534="x","",""))))</f>
        <v/>
      </c>
      <c r="U535" t="str">
        <f>IF(B535=1,MAX($U$2:$U534)+1,IF(AND($T535&lt;&gt;"",$T535=$T534),$U534,IF(B535="x",U534,"")))</f>
        <v/>
      </c>
      <c r="V535" t="str">
        <f>IF(C535=1,MAX($V$2:$V534)+1,IF(AND($T535&lt;&gt;"",$T535=$T534),$U534,IF(C535="x",V534,"")))</f>
        <v/>
      </c>
      <c r="W535" t="str" cm="1">
        <f t="array" ref="W535">IFERROR(_xlfn._xlws.FILTER(game_rosters!AB:AB,(game_rosters!J:J=events!X535)*(K535&lt;&gt;"")),"")</f>
        <v/>
      </c>
      <c r="X535" t="str" cm="1">
        <f t="array" ref="X535">IF(S535="","",IF($I535&lt;&gt;"",$I535,INDEX($I$2:$I534,ROW()-COUNTIFS($T$2:$T534,"="&amp;$T535,$S$2:$S534,"&lt;&gt;"&amp;$S535)-1)))</f>
        <v/>
      </c>
      <c r="Y535" t="b">
        <f>IF(X535&lt;&gt;"",VLOOKUP(X535,game_rosters!$C$43:$E$64,3,FALSE))</f>
        <v>0</v>
      </c>
      <c r="Z535" t="e" cm="1" vm="1">
        <f t="array" aca="1" ref="Z535" ca="1">IFERROR(IF(_xlfn._xlws.FILTER(game_rosters!$J:$J,(game_rosters!$G:$G=events!$AN535)*(game_rosters!$J:$J=events!$X535))&gt;0,1,""),"")</f>
        <v>#VALUE!</v>
      </c>
      <c r="AA535" t="e">
        <f t="shared" si="94"/>
        <v>#VALUE!</v>
      </c>
      <c r="AB535" t="str">
        <f t="shared" si="95"/>
        <v/>
      </c>
      <c r="AC535" t="e">
        <f t="shared" si="93"/>
        <v>#VALUE!</v>
      </c>
      <c r="AD535" s="6"/>
      <c r="BJ535" s="39"/>
      <c r="BM535" s="39"/>
      <c r="BO535" s="19"/>
      <c r="BQ535" s="17"/>
    </row>
    <row r="536" spans="1:69" x14ac:dyDescent="0.2">
      <c r="A536" t="str">
        <f t="shared" si="96"/>
        <v/>
      </c>
      <c r="E536" s="4"/>
      <c r="F536" s="44"/>
      <c r="G536" s="4"/>
      <c r="H536" s="47"/>
      <c r="J536" s="45" t="str">
        <f t="shared" si="97"/>
        <v/>
      </c>
      <c r="N536" t="str">
        <f t="shared" si="99"/>
        <v/>
      </c>
      <c r="Q536" t="str">
        <f t="shared" si="98"/>
        <v/>
      </c>
      <c r="S536" t="str">
        <f>IF(A536=1,MAX(S$2:S535)+1,IF(OR(I536&lt;&gt;"",A536="x"),S535,""))</f>
        <v/>
      </c>
      <c r="T536" t="str">
        <f>IF(D536=1,MAX($T$2:$T535)+1,IF(S536=$S535,$S535,IF($D536="x",T535,IF($D535="x","",""))))</f>
        <v/>
      </c>
      <c r="U536" t="str">
        <f>IF(B536=1,MAX($U$2:$U535)+1,IF(AND($T536&lt;&gt;"",$T536=$T535),$U535,IF(B536="x",U535,"")))</f>
        <v/>
      </c>
      <c r="V536" t="str">
        <f>IF(C536=1,MAX($V$2:$V535)+1,IF(AND($T536&lt;&gt;"",$T536=$T535),$U535,IF(C536="x",V535,"")))</f>
        <v/>
      </c>
      <c r="W536" t="str" cm="1">
        <f t="array" ref="W536">IFERROR(_xlfn._xlws.FILTER(game_rosters!AB:AB,(game_rosters!J:J=events!X536)*(K536&lt;&gt;"")),"")</f>
        <v/>
      </c>
      <c r="X536" t="str" cm="1">
        <f t="array" ref="X536">IF(S536="","",IF($I536&lt;&gt;"",$I536,INDEX($I$2:$I535,ROW()-COUNTIFS($T$2:$T535,"="&amp;$T536,$S$2:$S535,"&lt;&gt;"&amp;$S536)-1)))</f>
        <v/>
      </c>
      <c r="Y536" t="b">
        <f>IF(X536&lt;&gt;"",VLOOKUP(X536,game_rosters!$C$43:$E$64,3,FALSE))</f>
        <v>0</v>
      </c>
      <c r="Z536" t="e" cm="1" vm="1">
        <f t="array" aca="1" ref="Z536" ca="1">IFERROR(IF(_xlfn._xlws.FILTER(game_rosters!$J:$J,(game_rosters!$G:$G=events!$AN536)*(game_rosters!$J:$J=events!$X536))&gt;0,1,""),"")</f>
        <v>#VALUE!</v>
      </c>
      <c r="AA536" t="e">
        <f t="shared" si="94"/>
        <v>#VALUE!</v>
      </c>
      <c r="AB536" t="str">
        <f t="shared" si="95"/>
        <v/>
      </c>
      <c r="AC536" t="e">
        <f t="shared" si="93"/>
        <v>#VALUE!</v>
      </c>
      <c r="AD536" s="6"/>
      <c r="BJ536" s="39"/>
      <c r="BM536" s="39"/>
      <c r="BO536" s="19"/>
      <c r="BQ536" s="17"/>
    </row>
    <row r="537" spans="1:69" x14ac:dyDescent="0.2">
      <c r="A537" t="str">
        <f t="shared" si="96"/>
        <v/>
      </c>
      <c r="E537" s="4"/>
      <c r="F537" s="44"/>
      <c r="G537" s="4"/>
      <c r="H537" s="47"/>
      <c r="J537" s="45" t="str">
        <f t="shared" si="97"/>
        <v/>
      </c>
      <c r="N537" t="str">
        <f t="shared" si="99"/>
        <v/>
      </c>
      <c r="Q537" t="str">
        <f t="shared" si="98"/>
        <v/>
      </c>
      <c r="S537" t="str">
        <f>IF(A537=1,MAX(S$2:S536)+1,IF(OR(I537&lt;&gt;"",A537="x"),S536,""))</f>
        <v/>
      </c>
      <c r="T537" t="str">
        <f>IF(D537=1,MAX($T$2:$T536)+1,IF(S537=$S536,$S536,IF($D537="x",T536,IF($D536="x","",""))))</f>
        <v/>
      </c>
      <c r="U537" t="str">
        <f>IF(B537=1,MAX($U$2:$U536)+1,IF(AND($T537&lt;&gt;"",$T537=$T536),$U536,IF(B537="x",U536,"")))</f>
        <v/>
      </c>
      <c r="V537" t="str">
        <f>IF(C537=1,MAX($V$2:$V536)+1,IF(AND($T537&lt;&gt;"",$T537=$T536),$U536,IF(C537="x",V536,"")))</f>
        <v/>
      </c>
      <c r="W537" t="str" cm="1">
        <f t="array" ref="W537">IFERROR(_xlfn._xlws.FILTER(game_rosters!AB:AB,(game_rosters!J:J=events!X537)*(K537&lt;&gt;"")),"")</f>
        <v/>
      </c>
      <c r="X537" t="str" cm="1">
        <f t="array" ref="X537">IF(S537="","",IF($I537&lt;&gt;"",$I537,INDEX($I$2:$I536,ROW()-COUNTIFS($T$2:$T536,"="&amp;$T537,$S$2:$S536,"&lt;&gt;"&amp;$S537)-1)))</f>
        <v/>
      </c>
      <c r="Y537" t="b">
        <f>IF(X537&lt;&gt;"",VLOOKUP(X537,game_rosters!$C$43:$E$64,3,FALSE))</f>
        <v>0</v>
      </c>
      <c r="Z537" t="e" cm="1" vm="1">
        <f t="array" aca="1" ref="Z537" ca="1">IFERROR(IF(_xlfn._xlws.FILTER(game_rosters!$J:$J,(game_rosters!$G:$G=events!$AN537)*(game_rosters!$J:$J=events!$X537))&gt;0,1,""),"")</f>
        <v>#VALUE!</v>
      </c>
      <c r="AA537" t="e">
        <f t="shared" si="94"/>
        <v>#VALUE!</v>
      </c>
      <c r="AB537" t="str">
        <f t="shared" si="95"/>
        <v/>
      </c>
      <c r="AC537" t="e">
        <f t="shared" si="93"/>
        <v>#VALUE!</v>
      </c>
      <c r="AD537" s="6"/>
      <c r="BJ537" s="39"/>
      <c r="BM537" s="39"/>
      <c r="BO537" s="19"/>
      <c r="BQ537" s="17"/>
    </row>
    <row r="538" spans="1:69" x14ac:dyDescent="0.2">
      <c r="A538" t="str">
        <f t="shared" si="96"/>
        <v/>
      </c>
      <c r="E538" s="4"/>
      <c r="F538" s="44"/>
      <c r="G538" s="4"/>
      <c r="H538" s="47"/>
      <c r="J538" s="45" t="str">
        <f t="shared" si="97"/>
        <v/>
      </c>
      <c r="N538" t="str">
        <f t="shared" si="99"/>
        <v/>
      </c>
      <c r="Q538" t="str">
        <f t="shared" si="98"/>
        <v/>
      </c>
      <c r="S538" t="str">
        <f>IF(A538=1,MAX(S$2:S537)+1,IF(OR(I538&lt;&gt;"",A538="x"),S537,""))</f>
        <v/>
      </c>
      <c r="T538" t="str">
        <f>IF(D538=1,MAX($T$2:$T537)+1,IF(S538=$S537,$S537,IF($D538="x",T537,IF($D537="x","",""))))</f>
        <v/>
      </c>
      <c r="U538" t="str">
        <f>IF(B538=1,MAX($U$2:$U537)+1,IF(AND($T538&lt;&gt;"",$T538=$T537),$U537,IF(B538="x",U537,"")))</f>
        <v/>
      </c>
      <c r="V538" t="str">
        <f>IF(C538=1,MAX($V$2:$V537)+1,IF(AND($T538&lt;&gt;"",$T538=$T537),$U537,IF(C538="x",V537,"")))</f>
        <v/>
      </c>
      <c r="W538" t="str" cm="1">
        <f t="array" ref="W538">IFERROR(_xlfn._xlws.FILTER(game_rosters!AB:AB,(game_rosters!J:J=events!X538)*(K538&lt;&gt;"")),"")</f>
        <v/>
      </c>
      <c r="X538" t="str" cm="1">
        <f t="array" ref="X538">IF(S538="","",IF($I538&lt;&gt;"",$I538,INDEX($I$2:$I537,ROW()-COUNTIFS($T$2:$T537,"="&amp;$T538,$S$2:$S537,"&lt;&gt;"&amp;$S538)-1)))</f>
        <v/>
      </c>
      <c r="Y538" t="b">
        <f>IF(X538&lt;&gt;"",VLOOKUP(X538,game_rosters!$C$43:$E$64,3,FALSE))</f>
        <v>0</v>
      </c>
      <c r="Z538" t="e" cm="1" vm="1">
        <f t="array" aca="1" ref="Z538" ca="1">IFERROR(IF(_xlfn._xlws.FILTER(game_rosters!$J:$J,(game_rosters!$G:$G=events!$AN538)*(game_rosters!$J:$J=events!$X538))&gt;0,1,""),"")</f>
        <v>#VALUE!</v>
      </c>
      <c r="AA538" t="e">
        <f t="shared" si="94"/>
        <v>#VALUE!</v>
      </c>
      <c r="AB538" t="str">
        <f t="shared" si="95"/>
        <v/>
      </c>
      <c r="AC538" t="e">
        <f t="shared" si="93"/>
        <v>#VALUE!</v>
      </c>
      <c r="AD538" s="6"/>
      <c r="BJ538" s="39"/>
      <c r="BM538" s="39"/>
      <c r="BO538" s="19"/>
      <c r="BQ538" s="17"/>
    </row>
    <row r="539" spans="1:69" x14ac:dyDescent="0.2">
      <c r="A539" t="str">
        <f t="shared" si="96"/>
        <v/>
      </c>
      <c r="E539" s="4"/>
      <c r="F539" s="44"/>
      <c r="G539" s="4"/>
      <c r="H539" s="47"/>
      <c r="J539" s="45" t="str">
        <f t="shared" si="97"/>
        <v/>
      </c>
      <c r="N539" t="str">
        <f t="shared" si="99"/>
        <v/>
      </c>
      <c r="Q539" t="str">
        <f t="shared" si="98"/>
        <v/>
      </c>
      <c r="S539" t="str">
        <f>IF(A539=1,MAX(S$2:S538)+1,IF(OR(I539&lt;&gt;"",A539="x"),S538,""))</f>
        <v/>
      </c>
      <c r="T539" t="str">
        <f>IF(D539=1,MAX($T$2:$T538)+1,IF(S539=$S538,$S538,IF($D539="x",T538,IF($D538="x","",""))))</f>
        <v/>
      </c>
      <c r="U539" t="str">
        <f>IF(B539=1,MAX($U$2:$U538)+1,IF(AND($T539&lt;&gt;"",$T539=$T538),$U538,IF(B539="x",U538,"")))</f>
        <v/>
      </c>
      <c r="V539" t="str">
        <f>IF(C539=1,MAX($V$2:$V538)+1,IF(AND($T539&lt;&gt;"",$T539=$T538),$U538,IF(C539="x",V538,"")))</f>
        <v/>
      </c>
      <c r="W539" t="str" cm="1">
        <f t="array" ref="W539">IFERROR(_xlfn._xlws.FILTER(game_rosters!AB:AB,(game_rosters!J:J=events!X539)*(K539&lt;&gt;"")),"")</f>
        <v/>
      </c>
      <c r="X539" t="str" cm="1">
        <f t="array" ref="X539">IF(S539="","",IF($I539&lt;&gt;"",$I539,INDEX($I$2:$I538,ROW()-COUNTIFS($T$2:$T538,"="&amp;$T539,$S$2:$S538,"&lt;&gt;"&amp;$S539)-1)))</f>
        <v/>
      </c>
      <c r="Y539" t="b">
        <f>IF(X539&lt;&gt;"",VLOOKUP(X539,game_rosters!$C$43:$E$64,3,FALSE))</f>
        <v>0</v>
      </c>
      <c r="Z539" t="e" cm="1" vm="1">
        <f t="array" aca="1" ref="Z539" ca="1">IFERROR(IF(_xlfn._xlws.FILTER(game_rosters!$J:$J,(game_rosters!$G:$G=events!$AN539)*(game_rosters!$J:$J=events!$X539))&gt;0,1,""),"")</f>
        <v>#VALUE!</v>
      </c>
      <c r="AA539" t="e">
        <f t="shared" si="94"/>
        <v>#VALUE!</v>
      </c>
      <c r="AB539" t="str">
        <f t="shared" si="95"/>
        <v/>
      </c>
      <c r="AC539" t="e">
        <f t="shared" si="93"/>
        <v>#VALUE!</v>
      </c>
      <c r="AD539" s="6"/>
      <c r="BJ539" s="39"/>
      <c r="BM539" s="39"/>
      <c r="BO539" s="19"/>
      <c r="BQ539" s="17"/>
    </row>
    <row r="540" spans="1:69" x14ac:dyDescent="0.2">
      <c r="A540" t="str">
        <f t="shared" si="96"/>
        <v/>
      </c>
      <c r="E540" s="4"/>
      <c r="F540" s="44"/>
      <c r="G540" s="4"/>
      <c r="H540" s="47"/>
      <c r="J540" s="45" t="str">
        <f t="shared" si="97"/>
        <v/>
      </c>
      <c r="N540" t="str">
        <f t="shared" si="99"/>
        <v/>
      </c>
      <c r="Q540" t="str">
        <f t="shared" si="98"/>
        <v/>
      </c>
      <c r="S540" t="str">
        <f>IF(A540=1,MAX(S$2:S539)+1,IF(OR(I540&lt;&gt;"",A540="x"),S539,""))</f>
        <v/>
      </c>
      <c r="T540" t="str">
        <f>IF(D540=1,MAX($T$2:$T539)+1,IF(S540=$S539,$S539,IF($D540="x",T539,IF($D539="x","",""))))</f>
        <v/>
      </c>
      <c r="U540" t="str">
        <f>IF(B540=1,MAX($U$2:$U539)+1,IF(AND($T540&lt;&gt;"",$T540=$T539),$U539,IF(B540="x",U539,"")))</f>
        <v/>
      </c>
      <c r="V540" t="str">
        <f>IF(C540=1,MAX($V$2:$V539)+1,IF(AND($T540&lt;&gt;"",$T540=$T539),$U539,IF(C540="x",V539,"")))</f>
        <v/>
      </c>
      <c r="W540" t="str" cm="1">
        <f t="array" ref="W540">IFERROR(_xlfn._xlws.FILTER(game_rosters!AB:AB,(game_rosters!J:J=events!X540)*(K540&lt;&gt;"")),"")</f>
        <v/>
      </c>
      <c r="X540" t="str" cm="1">
        <f t="array" ref="X540">IF(S540="","",IF($I540&lt;&gt;"",$I540,INDEX($I$2:$I539,ROW()-COUNTIFS($T$2:$T539,"="&amp;$T540,$S$2:$S539,"&lt;&gt;"&amp;$S540)-1)))</f>
        <v/>
      </c>
      <c r="Y540" t="b">
        <f>IF(X540&lt;&gt;"",VLOOKUP(X540,game_rosters!$C$43:$E$64,3,FALSE))</f>
        <v>0</v>
      </c>
      <c r="Z540" t="e" cm="1" vm="1">
        <f t="array" aca="1" ref="Z540" ca="1">IFERROR(IF(_xlfn._xlws.FILTER(game_rosters!$J:$J,(game_rosters!$G:$G=events!$AN540)*(game_rosters!$J:$J=events!$X540))&gt;0,1,""),"")</f>
        <v>#VALUE!</v>
      </c>
      <c r="AA540" t="e">
        <f t="shared" si="94"/>
        <v>#VALUE!</v>
      </c>
      <c r="AB540" t="str">
        <f t="shared" si="95"/>
        <v/>
      </c>
      <c r="AC540" t="e">
        <f t="shared" si="93"/>
        <v>#VALUE!</v>
      </c>
      <c r="AD540" s="6"/>
      <c r="BJ540" s="39"/>
      <c r="BM540" s="39"/>
      <c r="BO540" s="19"/>
      <c r="BQ540" s="17"/>
    </row>
    <row r="541" spans="1:69" x14ac:dyDescent="0.2">
      <c r="A541" t="str">
        <f t="shared" si="96"/>
        <v/>
      </c>
      <c r="E541" s="4"/>
      <c r="F541" s="44"/>
      <c r="G541" s="4"/>
      <c r="H541" s="47"/>
      <c r="J541" s="45" t="str">
        <f t="shared" si="97"/>
        <v/>
      </c>
      <c r="N541" t="str">
        <f t="shared" si="99"/>
        <v/>
      </c>
      <c r="Q541" t="str">
        <f t="shared" si="98"/>
        <v/>
      </c>
      <c r="S541" t="str">
        <f>IF(A541=1,MAX(S$2:S540)+1,IF(OR(I541&lt;&gt;"",A541="x"),S540,""))</f>
        <v/>
      </c>
      <c r="T541" t="str">
        <f>IF(D541=1,MAX($T$2:$T540)+1,IF(S541=$S540,$S540,IF($D541="x",T540,IF($D540="x","",""))))</f>
        <v/>
      </c>
      <c r="U541" t="str">
        <f>IF(B541=1,MAX($U$2:$U540)+1,IF(AND($T541&lt;&gt;"",$T541=$T540),$U540,IF(B541="x",U540,"")))</f>
        <v/>
      </c>
      <c r="V541" t="str">
        <f>IF(C541=1,MAX($V$2:$V540)+1,IF(AND($T541&lt;&gt;"",$T541=$T540),$U540,IF(C541="x",V540,"")))</f>
        <v/>
      </c>
      <c r="W541" t="str" cm="1">
        <f t="array" ref="W541">IFERROR(_xlfn._xlws.FILTER(game_rosters!AB:AB,(game_rosters!J:J=events!X541)*(K541&lt;&gt;"")),"")</f>
        <v/>
      </c>
      <c r="X541" t="str" cm="1">
        <f t="array" ref="X541">IF(S541="","",IF($I541&lt;&gt;"",$I541,INDEX($I$2:$I540,ROW()-COUNTIFS($T$2:$T540,"="&amp;$T541,$S$2:$S540,"&lt;&gt;"&amp;$S541)-1)))</f>
        <v/>
      </c>
      <c r="Y541" t="b">
        <f>IF(X541&lt;&gt;"",VLOOKUP(X541,game_rosters!$C$43:$E$64,3,FALSE))</f>
        <v>0</v>
      </c>
      <c r="Z541" t="e" cm="1" vm="1">
        <f t="array" aca="1" ref="Z541" ca="1">IFERROR(IF(_xlfn._xlws.FILTER(game_rosters!$J:$J,(game_rosters!$G:$G=events!$AN541)*(game_rosters!$J:$J=events!$X541))&gt;0,1,""),"")</f>
        <v>#VALUE!</v>
      </c>
      <c r="AA541" t="e">
        <f t="shared" si="94"/>
        <v>#VALUE!</v>
      </c>
      <c r="AB541" t="str">
        <f t="shared" si="95"/>
        <v/>
      </c>
      <c r="AC541" t="e">
        <f t="shared" si="93"/>
        <v>#VALUE!</v>
      </c>
      <c r="AD541" s="6"/>
      <c r="BJ541" s="39"/>
      <c r="BM541" s="39"/>
      <c r="BO541" s="19"/>
      <c r="BQ541" s="17"/>
    </row>
    <row r="542" spans="1:69" x14ac:dyDescent="0.2">
      <c r="A542" t="str">
        <f t="shared" si="96"/>
        <v/>
      </c>
      <c r="E542" s="4"/>
      <c r="F542" s="44"/>
      <c r="G542" s="4"/>
      <c r="H542" s="47"/>
      <c r="J542" s="45" t="str">
        <f t="shared" si="97"/>
        <v/>
      </c>
      <c r="N542" t="str">
        <f t="shared" si="99"/>
        <v/>
      </c>
      <c r="Q542" t="str">
        <f t="shared" si="98"/>
        <v/>
      </c>
      <c r="S542" t="str">
        <f>IF(A542=1,MAX(S$2:S541)+1,IF(OR(I542&lt;&gt;"",A542="x"),S541,""))</f>
        <v/>
      </c>
      <c r="T542" t="str">
        <f>IF(D542=1,MAX($T$2:$T541)+1,IF(S542=$S541,$S541,IF($D542="x",T541,IF($D541="x","",""))))</f>
        <v/>
      </c>
      <c r="U542" t="str">
        <f>IF(B542=1,MAX($U$2:$U541)+1,IF(AND($T542&lt;&gt;"",$T542=$T541),$U541,IF(B542="x",U541,"")))</f>
        <v/>
      </c>
      <c r="V542" t="str">
        <f>IF(C542=1,MAX($V$2:$V541)+1,IF(AND($T542&lt;&gt;"",$T542=$T541),$U541,IF(C542="x",V541,"")))</f>
        <v/>
      </c>
      <c r="W542" t="str" cm="1">
        <f t="array" ref="W542">IFERROR(_xlfn._xlws.FILTER(game_rosters!AB:AB,(game_rosters!J:J=events!X542)*(K542&lt;&gt;"")),"")</f>
        <v/>
      </c>
      <c r="X542" t="str" cm="1">
        <f t="array" ref="X542">IF(S542="","",IF($I542&lt;&gt;"",$I542,INDEX($I$2:$I541,ROW()-COUNTIFS($T$2:$T541,"="&amp;$T542,$S$2:$S541,"&lt;&gt;"&amp;$S542)-1)))</f>
        <v/>
      </c>
      <c r="Y542" t="b">
        <f>IF(X542&lt;&gt;"",VLOOKUP(X542,game_rosters!$C$43:$E$64,3,FALSE))</f>
        <v>0</v>
      </c>
      <c r="Z542" t="e" cm="1" vm="1">
        <f t="array" aca="1" ref="Z542" ca="1">IFERROR(IF(_xlfn._xlws.FILTER(game_rosters!$J:$J,(game_rosters!$G:$G=events!$AN542)*(game_rosters!$J:$J=events!$X542))&gt;0,1,""),"")</f>
        <v>#VALUE!</v>
      </c>
      <c r="AA542" t="e">
        <f t="shared" si="94"/>
        <v>#VALUE!</v>
      </c>
      <c r="AB542" t="str">
        <f t="shared" si="95"/>
        <v/>
      </c>
      <c r="AC542" t="e">
        <f t="shared" si="93"/>
        <v>#VALUE!</v>
      </c>
      <c r="AD542" s="6"/>
      <c r="BJ542" s="39"/>
      <c r="BM542" s="39"/>
      <c r="BO542" s="19"/>
      <c r="BQ542" s="17"/>
    </row>
    <row r="543" spans="1:69" x14ac:dyDescent="0.2">
      <c r="A543" t="str">
        <f t="shared" si="96"/>
        <v/>
      </c>
      <c r="E543" s="4"/>
      <c r="F543" s="44"/>
      <c r="G543" s="4"/>
      <c r="H543" s="47"/>
      <c r="J543" s="45" t="str">
        <f t="shared" si="97"/>
        <v/>
      </c>
      <c r="N543" t="str">
        <f t="shared" si="99"/>
        <v/>
      </c>
      <c r="Q543" t="str">
        <f t="shared" si="98"/>
        <v/>
      </c>
      <c r="S543" t="str">
        <f>IF(A543=1,MAX(S$2:S542)+1,IF(OR(I543&lt;&gt;"",A543="x"),S542,""))</f>
        <v/>
      </c>
      <c r="T543" t="str">
        <f>IF(D543=1,MAX($T$2:$T542)+1,IF(S543=$S542,$S542,IF($D543="x",T542,IF($D542="x","",""))))</f>
        <v/>
      </c>
      <c r="U543" t="str">
        <f>IF(B543=1,MAX($U$2:$U542)+1,IF(AND($T543&lt;&gt;"",$T543=$T542),$U542,IF(B543="x",U542,"")))</f>
        <v/>
      </c>
      <c r="V543" t="str">
        <f>IF(C543=1,MAX($V$2:$V542)+1,IF(AND($T543&lt;&gt;"",$T543=$T542),$U542,IF(C543="x",V542,"")))</f>
        <v/>
      </c>
      <c r="W543" t="str" cm="1">
        <f t="array" ref="W543">IFERROR(_xlfn._xlws.FILTER(game_rosters!AB:AB,(game_rosters!J:J=events!X543)*(K543&lt;&gt;"")),"")</f>
        <v/>
      </c>
      <c r="X543" t="str" cm="1">
        <f t="array" ref="X543">IF(S543="","",IF($I543&lt;&gt;"",$I543,INDEX($I$2:$I542,ROW()-COUNTIFS($T$2:$T542,"="&amp;$T543,$S$2:$S542,"&lt;&gt;"&amp;$S543)-1)))</f>
        <v/>
      </c>
      <c r="Y543" t="b">
        <f>IF(X543&lt;&gt;"",VLOOKUP(X543,game_rosters!$C$43:$E$64,3,FALSE))</f>
        <v>0</v>
      </c>
      <c r="Z543" t="e" cm="1" vm="1">
        <f t="array" aca="1" ref="Z543" ca="1">IFERROR(IF(_xlfn._xlws.FILTER(game_rosters!$J:$J,(game_rosters!$G:$G=events!$AN543)*(game_rosters!$J:$J=events!$X543))&gt;0,1,""),"")</f>
        <v>#VALUE!</v>
      </c>
      <c r="AA543" t="e">
        <f t="shared" si="94"/>
        <v>#VALUE!</v>
      </c>
      <c r="AB543" t="str">
        <f t="shared" si="95"/>
        <v/>
      </c>
      <c r="AC543" t="e">
        <f t="shared" si="93"/>
        <v>#VALUE!</v>
      </c>
      <c r="AD543" s="6"/>
      <c r="BJ543" s="39"/>
      <c r="BM543" s="39"/>
      <c r="BO543" s="19"/>
      <c r="BQ543" s="17"/>
    </row>
    <row r="544" spans="1:69" x14ac:dyDescent="0.2">
      <c r="A544" t="str">
        <f t="shared" si="96"/>
        <v/>
      </c>
      <c r="E544" s="4"/>
      <c r="F544" s="44"/>
      <c r="G544" s="4"/>
      <c r="H544" s="47"/>
      <c r="J544" s="45" t="str">
        <f t="shared" si="97"/>
        <v/>
      </c>
      <c r="N544" t="str">
        <f t="shared" si="99"/>
        <v/>
      </c>
      <c r="Q544" t="str">
        <f t="shared" si="98"/>
        <v/>
      </c>
      <c r="S544" t="str">
        <f>IF(A544=1,MAX(S$2:S543)+1,IF(OR(I544&lt;&gt;"",A544="x"),S543,""))</f>
        <v/>
      </c>
      <c r="T544" t="str">
        <f>IF(D544=1,MAX($T$2:$T543)+1,IF(S544=$S543,$S543,IF($D544="x",T543,IF($D543="x","",""))))</f>
        <v/>
      </c>
      <c r="U544" t="str">
        <f>IF(B544=1,MAX($U$2:$U543)+1,IF(AND($T544&lt;&gt;"",$T544=$T543),$U543,IF(B544="x",U543,"")))</f>
        <v/>
      </c>
      <c r="V544" t="str">
        <f>IF(C544=1,MAX($V$2:$V543)+1,IF(AND($T544&lt;&gt;"",$T544=$T543),$U543,IF(C544="x",V543,"")))</f>
        <v/>
      </c>
      <c r="W544" t="str" cm="1">
        <f t="array" ref="W544">IFERROR(_xlfn._xlws.FILTER(game_rosters!AB:AB,(game_rosters!J:J=events!X544)*(K544&lt;&gt;"")),"")</f>
        <v/>
      </c>
      <c r="X544" t="str" cm="1">
        <f t="array" ref="X544">IF(S544="","",IF($I544&lt;&gt;"",$I544,INDEX($I$2:$I543,ROW()-COUNTIFS($T$2:$T543,"="&amp;$T544,$S$2:$S543,"&lt;&gt;"&amp;$S544)-1)))</f>
        <v/>
      </c>
      <c r="Y544" t="b">
        <f>IF(X544&lt;&gt;"",VLOOKUP(X544,game_rosters!$C$43:$E$64,3,FALSE))</f>
        <v>0</v>
      </c>
      <c r="Z544" t="e" cm="1" vm="1">
        <f t="array" aca="1" ref="Z544" ca="1">IFERROR(IF(_xlfn._xlws.FILTER(game_rosters!$J:$J,(game_rosters!$G:$G=events!$AN544)*(game_rosters!$J:$J=events!$X544))&gt;0,1,""),"")</f>
        <v>#VALUE!</v>
      </c>
      <c r="AA544" t="e">
        <f t="shared" si="94"/>
        <v>#VALUE!</v>
      </c>
      <c r="AB544" t="str">
        <f t="shared" si="95"/>
        <v/>
      </c>
      <c r="AC544" t="e">
        <f t="shared" si="93"/>
        <v>#VALUE!</v>
      </c>
      <c r="AD544" s="6"/>
      <c r="BJ544" s="39"/>
      <c r="BM544" s="39"/>
      <c r="BO544" s="19"/>
      <c r="BQ544" s="17"/>
    </row>
    <row r="545" spans="1:69" x14ac:dyDescent="0.2">
      <c r="A545" t="str">
        <f t="shared" si="96"/>
        <v/>
      </c>
      <c r="E545" s="4"/>
      <c r="F545" s="44"/>
      <c r="G545" s="4"/>
      <c r="H545" s="47"/>
      <c r="J545" s="45" t="str">
        <f t="shared" si="97"/>
        <v/>
      </c>
      <c r="N545" t="str">
        <f t="shared" si="99"/>
        <v/>
      </c>
      <c r="Q545" t="str">
        <f t="shared" si="98"/>
        <v/>
      </c>
      <c r="S545" t="str">
        <f>IF(A545=1,MAX(S$2:S544)+1,IF(OR(I545&lt;&gt;"",A545="x"),S544,""))</f>
        <v/>
      </c>
      <c r="T545" t="str">
        <f>IF(D545=1,MAX($T$2:$T544)+1,IF(S545=$S544,$S544,IF($D545="x",T544,IF($D544="x","",""))))</f>
        <v/>
      </c>
      <c r="U545" t="str">
        <f>IF(B545=1,MAX($U$2:$U544)+1,IF(AND($T545&lt;&gt;"",$T545=$T544),$U544,IF(B545="x",U544,"")))</f>
        <v/>
      </c>
      <c r="V545" t="str">
        <f>IF(C545=1,MAX($V$2:$V544)+1,IF(AND($T545&lt;&gt;"",$T545=$T544),$U544,IF(C545="x",V544,"")))</f>
        <v/>
      </c>
      <c r="W545" t="str" cm="1">
        <f t="array" ref="W545">IFERROR(_xlfn._xlws.FILTER(game_rosters!AB:AB,(game_rosters!J:J=events!X545)*(K545&lt;&gt;"")),"")</f>
        <v/>
      </c>
      <c r="X545" t="str" cm="1">
        <f t="array" ref="X545">IF(S545="","",IF($I545&lt;&gt;"",$I545,INDEX($I$2:$I544,ROW()-COUNTIFS($T$2:$T544,"="&amp;$T545,$S$2:$S544,"&lt;&gt;"&amp;$S545)-1)))</f>
        <v/>
      </c>
      <c r="Y545" t="b">
        <f>IF(X545&lt;&gt;"",VLOOKUP(X545,game_rosters!$C$43:$E$64,3,FALSE))</f>
        <v>0</v>
      </c>
      <c r="Z545" t="e" cm="1" vm="1">
        <f t="array" aca="1" ref="Z545" ca="1">IFERROR(IF(_xlfn._xlws.FILTER(game_rosters!$J:$J,(game_rosters!$G:$G=events!$AN545)*(game_rosters!$J:$J=events!$X545))&gt;0,1,""),"")</f>
        <v>#VALUE!</v>
      </c>
      <c r="AA545" t="e">
        <f t="shared" si="94"/>
        <v>#VALUE!</v>
      </c>
      <c r="AB545" t="str">
        <f t="shared" si="95"/>
        <v/>
      </c>
      <c r="AC545" t="e">
        <f t="shared" si="93"/>
        <v>#VALUE!</v>
      </c>
      <c r="AD545" s="6"/>
      <c r="BJ545" s="39"/>
      <c r="BM545" s="39"/>
      <c r="BO545" s="19"/>
      <c r="BQ545" s="17"/>
    </row>
    <row r="546" spans="1:69" x14ac:dyDescent="0.2">
      <c r="A546" t="str">
        <f t="shared" si="96"/>
        <v/>
      </c>
      <c r="E546" s="4"/>
      <c r="F546" s="44"/>
      <c r="G546" s="4"/>
      <c r="H546" s="47"/>
      <c r="J546" s="45" t="str">
        <f t="shared" si="97"/>
        <v/>
      </c>
      <c r="N546" t="str">
        <f t="shared" si="99"/>
        <v/>
      </c>
      <c r="Q546" t="str">
        <f t="shared" si="98"/>
        <v/>
      </c>
      <c r="S546" t="str">
        <f>IF(A546=1,MAX(S$2:S545)+1,IF(OR(I546&lt;&gt;"",A546="x"),S545,""))</f>
        <v/>
      </c>
      <c r="T546" t="str">
        <f>IF(D546=1,MAX($T$2:$T545)+1,IF(S546=$S545,$S545,IF($D546="x",T545,IF($D545="x","",""))))</f>
        <v/>
      </c>
      <c r="U546" t="str">
        <f>IF(B546=1,MAX($U$2:$U545)+1,IF(AND($T546&lt;&gt;"",$T546=$T545),$U545,IF(B546="x",U545,"")))</f>
        <v/>
      </c>
      <c r="V546" t="str">
        <f>IF(C546=1,MAX($V$2:$V545)+1,IF(AND($T546&lt;&gt;"",$T546=$T545),$U545,IF(C546="x",V545,"")))</f>
        <v/>
      </c>
      <c r="W546" t="str" cm="1">
        <f t="array" ref="W546">IFERROR(_xlfn._xlws.FILTER(game_rosters!AB:AB,(game_rosters!J:J=events!X546)*(K546&lt;&gt;"")),"")</f>
        <v/>
      </c>
      <c r="X546" t="str" cm="1">
        <f t="array" ref="X546">IF(S546="","",IF($I546&lt;&gt;"",$I546,INDEX($I$2:$I545,ROW()-COUNTIFS($T$2:$T545,"="&amp;$T546,$S$2:$S545,"&lt;&gt;"&amp;$S546)-1)))</f>
        <v/>
      </c>
      <c r="Y546" t="b">
        <f>IF(X546&lt;&gt;"",VLOOKUP(X546,game_rosters!$C$43:$E$64,3,FALSE))</f>
        <v>0</v>
      </c>
      <c r="Z546" t="e" cm="1" vm="1">
        <f t="array" aca="1" ref="Z546" ca="1">IFERROR(IF(_xlfn._xlws.FILTER(game_rosters!$J:$J,(game_rosters!$G:$G=events!$AN546)*(game_rosters!$J:$J=events!$X546))&gt;0,1,""),"")</f>
        <v>#VALUE!</v>
      </c>
      <c r="AA546" t="e">
        <f t="shared" si="94"/>
        <v>#VALUE!</v>
      </c>
      <c r="AB546" t="str">
        <f t="shared" si="95"/>
        <v/>
      </c>
      <c r="AC546" t="e">
        <f t="shared" si="93"/>
        <v>#VALUE!</v>
      </c>
      <c r="AD546" s="6"/>
      <c r="BJ546" s="39"/>
      <c r="BM546" s="39"/>
      <c r="BO546" s="19"/>
      <c r="BQ546" s="17"/>
    </row>
    <row r="547" spans="1:69" x14ac:dyDescent="0.2">
      <c r="A547" t="str">
        <f t="shared" si="96"/>
        <v/>
      </c>
      <c r="E547" s="4"/>
      <c r="F547" s="44"/>
      <c r="G547" s="4"/>
      <c r="H547" s="47"/>
      <c r="J547" s="45" t="str">
        <f t="shared" si="97"/>
        <v/>
      </c>
      <c r="N547" t="str">
        <f t="shared" si="99"/>
        <v/>
      </c>
      <c r="Q547" t="str">
        <f t="shared" si="98"/>
        <v/>
      </c>
      <c r="S547" t="str">
        <f>IF(A547=1,MAX(S$2:S546)+1,IF(OR(I547&lt;&gt;"",A547="x"),S546,""))</f>
        <v/>
      </c>
      <c r="T547" t="str">
        <f>IF(D547=1,MAX($T$2:$T546)+1,IF(S547=$S546,$S546,IF($D547="x",T546,IF($D546="x","",""))))</f>
        <v/>
      </c>
      <c r="U547" t="str">
        <f>IF(B547=1,MAX($U$2:$U546)+1,IF(AND($T547&lt;&gt;"",$T547=$T546),$U546,IF(B547="x",U546,"")))</f>
        <v/>
      </c>
      <c r="V547" t="str">
        <f>IF(C547=1,MAX($V$2:$V546)+1,IF(AND($T547&lt;&gt;"",$T547=$T546),$U546,IF(C547="x",V546,"")))</f>
        <v/>
      </c>
      <c r="W547" t="str" cm="1">
        <f t="array" ref="W547">IFERROR(_xlfn._xlws.FILTER(game_rosters!AB:AB,(game_rosters!J:J=events!X547)*(K547&lt;&gt;"")),"")</f>
        <v/>
      </c>
      <c r="X547" t="str" cm="1">
        <f t="array" ref="X547">IF(S547="","",IF($I547&lt;&gt;"",$I547,INDEX($I$2:$I546,ROW()-COUNTIFS($T$2:$T546,"="&amp;$T547,$S$2:$S546,"&lt;&gt;"&amp;$S547)-1)))</f>
        <v/>
      </c>
      <c r="Y547" t="b">
        <f>IF(X547&lt;&gt;"",VLOOKUP(X547,game_rosters!$C$43:$E$64,3,FALSE))</f>
        <v>0</v>
      </c>
      <c r="Z547" t="e" cm="1" vm="1">
        <f t="array" aca="1" ref="Z547" ca="1">IFERROR(IF(_xlfn._xlws.FILTER(game_rosters!$J:$J,(game_rosters!$G:$G=events!$AN547)*(game_rosters!$J:$J=events!$X547))&gt;0,1,""),"")</f>
        <v>#VALUE!</v>
      </c>
      <c r="AA547" t="e">
        <f t="shared" si="94"/>
        <v>#VALUE!</v>
      </c>
      <c r="AB547" t="str">
        <f t="shared" si="95"/>
        <v/>
      </c>
      <c r="AC547" t="e">
        <f t="shared" si="93"/>
        <v>#VALUE!</v>
      </c>
      <c r="AD547" s="6"/>
      <c r="BJ547" s="39"/>
      <c r="BM547" s="39"/>
      <c r="BO547" s="19"/>
      <c r="BQ547" s="17"/>
    </row>
    <row r="548" spans="1:69" x14ac:dyDescent="0.2">
      <c r="A548" t="str">
        <f t="shared" si="96"/>
        <v/>
      </c>
      <c r="E548" s="4"/>
      <c r="F548" s="44"/>
      <c r="G548" s="4"/>
      <c r="H548" s="47"/>
      <c r="J548" s="45" t="str">
        <f t="shared" si="97"/>
        <v/>
      </c>
      <c r="N548" t="str">
        <f t="shared" si="99"/>
        <v/>
      </c>
      <c r="Q548" t="str">
        <f t="shared" si="98"/>
        <v/>
      </c>
      <c r="S548" t="str">
        <f>IF(A548=1,MAX(S$2:S547)+1,IF(OR(I548&lt;&gt;"",A548="x"),S547,""))</f>
        <v/>
      </c>
      <c r="T548" t="str">
        <f>IF(D548=1,MAX($T$2:$T547)+1,IF(S548=$S547,$S547,IF($D548="x",T547,IF($D547="x","",""))))</f>
        <v/>
      </c>
      <c r="U548" t="str">
        <f>IF(B548=1,MAX($U$2:$U547)+1,IF(AND($T548&lt;&gt;"",$T548=$T547),$U547,IF(B548="x",U547,"")))</f>
        <v/>
      </c>
      <c r="V548" t="str">
        <f>IF(C548=1,MAX($V$2:$V547)+1,IF(AND($T548&lt;&gt;"",$T548=$T547),$U547,IF(C548="x",V547,"")))</f>
        <v/>
      </c>
      <c r="W548" t="str" cm="1">
        <f t="array" ref="W548">IFERROR(_xlfn._xlws.FILTER(game_rosters!AB:AB,(game_rosters!J:J=events!X548)*(K548&lt;&gt;"")),"")</f>
        <v/>
      </c>
      <c r="X548" t="str" cm="1">
        <f t="array" ref="X548">IF(S548="","",IF($I548&lt;&gt;"",$I548,INDEX($I$2:$I547,ROW()-COUNTIFS($T$2:$T547,"="&amp;$T548,$S$2:$S547,"&lt;&gt;"&amp;$S548)-1)))</f>
        <v/>
      </c>
      <c r="Y548" t="b">
        <f>IF(X548&lt;&gt;"",VLOOKUP(X548,game_rosters!$C$43:$E$64,3,FALSE))</f>
        <v>0</v>
      </c>
      <c r="Z548" t="e" cm="1" vm="1">
        <f t="array" aca="1" ref="Z548" ca="1">IFERROR(IF(_xlfn._xlws.FILTER(game_rosters!$J:$J,(game_rosters!$G:$G=events!$AN548)*(game_rosters!$J:$J=events!$X548))&gt;0,1,""),"")</f>
        <v>#VALUE!</v>
      </c>
      <c r="AA548" t="e">
        <f t="shared" si="94"/>
        <v>#VALUE!</v>
      </c>
      <c r="AB548" t="str">
        <f t="shared" si="95"/>
        <v/>
      </c>
      <c r="AC548" t="e">
        <f t="shared" si="93"/>
        <v>#VALUE!</v>
      </c>
      <c r="AD548" s="6"/>
      <c r="BJ548" s="39"/>
      <c r="BM548" s="39"/>
      <c r="BO548" s="19"/>
      <c r="BQ548" s="17"/>
    </row>
    <row r="549" spans="1:69" x14ac:dyDescent="0.2">
      <c r="A549" t="str">
        <f t="shared" si="96"/>
        <v/>
      </c>
      <c r="E549" s="4"/>
      <c r="F549" s="44"/>
      <c r="G549" s="4"/>
      <c r="H549" s="47"/>
      <c r="J549" s="45" t="str">
        <f t="shared" si="97"/>
        <v/>
      </c>
      <c r="N549" t="str">
        <f t="shared" si="99"/>
        <v/>
      </c>
      <c r="Q549" t="str">
        <f t="shared" si="98"/>
        <v/>
      </c>
      <c r="S549" t="str">
        <f>IF(A549=1,MAX(S$2:S548)+1,IF(OR(I549&lt;&gt;"",A549="x"),S548,""))</f>
        <v/>
      </c>
      <c r="T549" t="str">
        <f>IF(D549=1,MAX($T$2:$T548)+1,IF(S549=$S548,$S548,IF($D549="x",T548,IF($D548="x","",""))))</f>
        <v/>
      </c>
      <c r="U549" t="str">
        <f>IF(B549=1,MAX($U$2:$U548)+1,IF(AND($T549&lt;&gt;"",$T549=$T548),$U548,IF(B549="x",U548,"")))</f>
        <v/>
      </c>
      <c r="V549" t="str">
        <f>IF(C549=1,MAX($V$2:$V548)+1,IF(AND($T549&lt;&gt;"",$T549=$T548),$U548,IF(C549="x",V548,"")))</f>
        <v/>
      </c>
      <c r="W549" t="str" cm="1">
        <f t="array" ref="W549">IFERROR(_xlfn._xlws.FILTER(game_rosters!AB:AB,(game_rosters!J:J=events!X549)*(K549&lt;&gt;"")),"")</f>
        <v/>
      </c>
      <c r="X549" t="str" cm="1">
        <f t="array" ref="X549">IF(S549="","",IF($I549&lt;&gt;"",$I549,INDEX($I$2:$I548,ROW()-COUNTIFS($T$2:$T548,"="&amp;$T549,$S$2:$S548,"&lt;&gt;"&amp;$S549)-1)))</f>
        <v/>
      </c>
      <c r="Y549" t="b">
        <f>IF(X549&lt;&gt;"",VLOOKUP(X549,game_rosters!$C$43:$E$64,3,FALSE))</f>
        <v>0</v>
      </c>
      <c r="Z549" t="e" cm="1" vm="1">
        <f t="array" aca="1" ref="Z549" ca="1">IFERROR(IF(_xlfn._xlws.FILTER(game_rosters!$J:$J,(game_rosters!$G:$G=events!$AN549)*(game_rosters!$J:$J=events!$X549))&gt;0,1,""),"")</f>
        <v>#VALUE!</v>
      </c>
      <c r="AA549" t="e">
        <f t="shared" si="94"/>
        <v>#VALUE!</v>
      </c>
      <c r="AB549" t="str">
        <f t="shared" si="95"/>
        <v/>
      </c>
      <c r="AC549" t="e">
        <f t="shared" si="93"/>
        <v>#VALUE!</v>
      </c>
      <c r="AD549" s="6"/>
      <c r="BJ549" s="39"/>
      <c r="BM549" s="39"/>
      <c r="BO549" s="19"/>
      <c r="BQ549" s="17"/>
    </row>
    <row r="550" spans="1:69" x14ac:dyDescent="0.2">
      <c r="A550" t="str">
        <f t="shared" si="96"/>
        <v/>
      </c>
      <c r="E550" s="4"/>
      <c r="F550" s="44"/>
      <c r="G550" s="4"/>
      <c r="H550" s="47"/>
      <c r="J550" s="45" t="str">
        <f t="shared" si="97"/>
        <v/>
      </c>
      <c r="N550" t="str">
        <f t="shared" si="99"/>
        <v/>
      </c>
      <c r="Q550" t="str">
        <f t="shared" si="98"/>
        <v/>
      </c>
      <c r="S550" t="str">
        <f>IF(A550=1,MAX(S$2:S549)+1,IF(OR(I550&lt;&gt;"",A550="x"),S549,""))</f>
        <v/>
      </c>
      <c r="T550" t="str">
        <f>IF(D550=1,MAX($T$2:$T549)+1,IF(S550=$S549,$S549,IF($D550="x",T549,IF($D549="x","",""))))</f>
        <v/>
      </c>
      <c r="U550" t="str">
        <f>IF(B550=1,MAX($U$2:$U549)+1,IF(AND($T550&lt;&gt;"",$T550=$T549),$U549,IF(B550="x",U549,"")))</f>
        <v/>
      </c>
      <c r="V550" t="str">
        <f>IF(C550=1,MAX($V$2:$V549)+1,IF(AND($T550&lt;&gt;"",$T550=$T549),$U549,IF(C550="x",V549,"")))</f>
        <v/>
      </c>
      <c r="W550" t="str" cm="1">
        <f t="array" ref="W550">IFERROR(_xlfn._xlws.FILTER(game_rosters!AB:AB,(game_rosters!J:J=events!X550)*(K550&lt;&gt;"")),"")</f>
        <v/>
      </c>
      <c r="X550" t="str" cm="1">
        <f t="array" ref="X550">IF(S550="","",IF($I550&lt;&gt;"",$I550,INDEX($I$2:$I549,ROW()-COUNTIFS($T$2:$T549,"="&amp;$T550,$S$2:$S549,"&lt;&gt;"&amp;$S550)-1)))</f>
        <v/>
      </c>
      <c r="Y550" t="b">
        <f>IF(X550&lt;&gt;"",VLOOKUP(X550,game_rosters!$C$43:$E$64,3,FALSE))</f>
        <v>0</v>
      </c>
      <c r="Z550" t="e" cm="1" vm="1">
        <f t="array" aca="1" ref="Z550" ca="1">IFERROR(IF(_xlfn._xlws.FILTER(game_rosters!$J:$J,(game_rosters!$G:$G=events!$AN550)*(game_rosters!$J:$J=events!$X550))&gt;0,1,""),"")</f>
        <v>#VALUE!</v>
      </c>
      <c r="AA550" t="e">
        <f t="shared" si="94"/>
        <v>#VALUE!</v>
      </c>
      <c r="AB550" t="str">
        <f t="shared" si="95"/>
        <v/>
      </c>
      <c r="AC550" t="e">
        <f t="shared" si="93"/>
        <v>#VALUE!</v>
      </c>
      <c r="AD550" s="6"/>
      <c r="BJ550" s="39"/>
      <c r="BM550" s="39"/>
      <c r="BO550" s="19"/>
      <c r="BQ550" s="17"/>
    </row>
    <row r="551" spans="1:69" x14ac:dyDescent="0.2">
      <c r="A551" t="str">
        <f t="shared" si="96"/>
        <v/>
      </c>
      <c r="E551" s="4"/>
      <c r="F551" s="44"/>
      <c r="G551" s="4"/>
      <c r="H551" s="47"/>
      <c r="J551" s="45" t="str">
        <f t="shared" si="97"/>
        <v/>
      </c>
      <c r="N551" t="str">
        <f t="shared" si="99"/>
        <v/>
      </c>
      <c r="Q551" t="str">
        <f t="shared" si="98"/>
        <v/>
      </c>
      <c r="S551" t="str">
        <f>IF(A551=1,MAX(S$2:S550)+1,IF(OR(I551&lt;&gt;"",A551="x"),S550,""))</f>
        <v/>
      </c>
      <c r="T551" t="str">
        <f>IF(D551=1,MAX($T$2:$T550)+1,IF(S551=$S550,$S550,IF($D551="x",T550,IF($D550="x","",""))))</f>
        <v/>
      </c>
      <c r="U551" t="str">
        <f>IF(B551=1,MAX($U$2:$U550)+1,IF(AND($T551&lt;&gt;"",$T551=$T550),$U550,IF(B551="x",U550,"")))</f>
        <v/>
      </c>
      <c r="V551" t="str">
        <f>IF(C551=1,MAX($V$2:$V550)+1,IF(AND($T551&lt;&gt;"",$T551=$T550),$U550,IF(C551="x",V550,"")))</f>
        <v/>
      </c>
      <c r="W551" t="str" cm="1">
        <f t="array" ref="W551">IFERROR(_xlfn._xlws.FILTER(game_rosters!AB:AB,(game_rosters!J:J=events!X551)*(K551&lt;&gt;"")),"")</f>
        <v/>
      </c>
      <c r="X551" t="str" cm="1">
        <f t="array" ref="X551">IF(S551="","",IF($I551&lt;&gt;"",$I551,INDEX($I$2:$I550,ROW()-COUNTIFS($T$2:$T550,"="&amp;$T551,$S$2:$S550,"&lt;&gt;"&amp;$S551)-1)))</f>
        <v/>
      </c>
      <c r="Y551" t="b">
        <f>IF(X551&lt;&gt;"",VLOOKUP(X551,game_rosters!$C$43:$E$64,3,FALSE))</f>
        <v>0</v>
      </c>
      <c r="Z551" t="e" cm="1" vm="1">
        <f t="array" aca="1" ref="Z551" ca="1">IFERROR(IF(_xlfn._xlws.FILTER(game_rosters!$J:$J,(game_rosters!$G:$G=events!$AN551)*(game_rosters!$J:$J=events!$X551))&gt;0,1,""),"")</f>
        <v>#VALUE!</v>
      </c>
      <c r="AA551" t="e">
        <f t="shared" si="94"/>
        <v>#VALUE!</v>
      </c>
      <c r="AB551" t="str">
        <f t="shared" si="95"/>
        <v/>
      </c>
      <c r="AC551" t="e">
        <f t="shared" si="93"/>
        <v>#VALUE!</v>
      </c>
      <c r="AD551" s="6"/>
      <c r="BJ551" s="39"/>
      <c r="BM551" s="39"/>
      <c r="BO551" s="19"/>
      <c r="BQ551" s="17"/>
    </row>
    <row r="552" spans="1:69" x14ac:dyDescent="0.2">
      <c r="A552" t="str">
        <f t="shared" si="96"/>
        <v/>
      </c>
      <c r="E552" s="4"/>
      <c r="F552" s="44"/>
      <c r="G552" s="4"/>
      <c r="H552" s="47"/>
      <c r="J552" s="45" t="str">
        <f t="shared" si="97"/>
        <v/>
      </c>
      <c r="N552" t="str">
        <f t="shared" si="99"/>
        <v/>
      </c>
      <c r="Q552" t="str">
        <f t="shared" si="98"/>
        <v/>
      </c>
      <c r="S552" t="str">
        <f>IF(A552=1,MAX(S$2:S551)+1,IF(OR(I552&lt;&gt;"",A552="x"),S551,""))</f>
        <v/>
      </c>
      <c r="T552" t="str">
        <f>IF(D552=1,MAX($T$2:$T551)+1,IF(S552=$S551,$S551,IF($D552="x",T551,IF($D551="x","",""))))</f>
        <v/>
      </c>
      <c r="U552" t="str">
        <f>IF(B552=1,MAX($U$2:$U551)+1,IF(AND($T552&lt;&gt;"",$T552=$T551),$U551,IF(B552="x",U551,"")))</f>
        <v/>
      </c>
      <c r="V552" t="str">
        <f>IF(C552=1,MAX($V$2:$V551)+1,IF(AND($T552&lt;&gt;"",$T552=$T551),$U551,IF(C552="x",V551,"")))</f>
        <v/>
      </c>
      <c r="W552" t="str" cm="1">
        <f t="array" ref="W552">IFERROR(_xlfn._xlws.FILTER(game_rosters!AB:AB,(game_rosters!J:J=events!X552)*(K552&lt;&gt;"")),"")</f>
        <v/>
      </c>
      <c r="X552" t="str" cm="1">
        <f t="array" ref="X552">IF(S552="","",IF($I552&lt;&gt;"",$I552,INDEX($I$2:$I551,ROW()-COUNTIFS($T$2:$T551,"="&amp;$T552,$S$2:$S551,"&lt;&gt;"&amp;$S552)-1)))</f>
        <v/>
      </c>
      <c r="Y552" t="b">
        <f>IF(X552&lt;&gt;"",VLOOKUP(X552,game_rosters!$C$43:$E$64,3,FALSE))</f>
        <v>0</v>
      </c>
      <c r="Z552" t="e" cm="1" vm="1">
        <f t="array" aca="1" ref="Z552" ca="1">IFERROR(IF(_xlfn._xlws.FILTER(game_rosters!$J:$J,(game_rosters!$G:$G=events!$AN552)*(game_rosters!$J:$J=events!$X552))&gt;0,1,""),"")</f>
        <v>#VALUE!</v>
      </c>
      <c r="AA552" t="e">
        <f t="shared" si="94"/>
        <v>#VALUE!</v>
      </c>
      <c r="AB552" t="str">
        <f t="shared" si="95"/>
        <v/>
      </c>
      <c r="AC552" t="e">
        <f t="shared" si="93"/>
        <v>#VALUE!</v>
      </c>
      <c r="AD552" s="6"/>
      <c r="BJ552" s="39"/>
      <c r="BM552" s="39"/>
      <c r="BO552" s="19"/>
      <c r="BQ552" s="17"/>
    </row>
    <row r="553" spans="1:69" x14ac:dyDescent="0.2">
      <c r="A553" t="str">
        <f t="shared" si="96"/>
        <v/>
      </c>
      <c r="E553" s="4"/>
      <c r="F553" s="44"/>
      <c r="G553" s="4"/>
      <c r="H553" s="47"/>
      <c r="J553" s="45" t="str">
        <f t="shared" si="97"/>
        <v/>
      </c>
      <c r="N553" t="str">
        <f t="shared" si="99"/>
        <v/>
      </c>
      <c r="Q553" t="str">
        <f t="shared" si="98"/>
        <v/>
      </c>
      <c r="S553" t="str">
        <f>IF(A553=1,MAX(S$2:S552)+1,IF(OR(I553&lt;&gt;"",A553="x"),S552,""))</f>
        <v/>
      </c>
      <c r="T553" t="str">
        <f>IF(D553=1,MAX($T$2:$T552)+1,IF(S553=$S552,$S552,IF($D553="x",T552,IF($D552="x","",""))))</f>
        <v/>
      </c>
      <c r="U553" t="str">
        <f>IF(B553=1,MAX($U$2:$U552)+1,IF(AND($T553&lt;&gt;"",$T553=$T552),$U552,IF(B553="x",U552,"")))</f>
        <v/>
      </c>
      <c r="V553" t="str">
        <f>IF(C553=1,MAX($V$2:$V552)+1,IF(AND($T553&lt;&gt;"",$T553=$T552),$U552,IF(C553="x",V552,"")))</f>
        <v/>
      </c>
      <c r="W553" t="str" cm="1">
        <f t="array" ref="W553">IFERROR(_xlfn._xlws.FILTER(game_rosters!AB:AB,(game_rosters!J:J=events!X553)*(K553&lt;&gt;"")),"")</f>
        <v/>
      </c>
      <c r="X553" t="str" cm="1">
        <f t="array" ref="X553">IF(S553="","",IF($I553&lt;&gt;"",$I553,INDEX($I$2:$I552,ROW()-COUNTIFS($T$2:$T552,"="&amp;$T553,$S$2:$S552,"&lt;&gt;"&amp;$S553)-1)))</f>
        <v/>
      </c>
      <c r="Y553" t="b">
        <f>IF(X553&lt;&gt;"",VLOOKUP(X553,game_rosters!$C$43:$E$64,3,FALSE))</f>
        <v>0</v>
      </c>
      <c r="Z553" t="e" cm="1" vm="1">
        <f t="array" aca="1" ref="Z553" ca="1">IFERROR(IF(_xlfn._xlws.FILTER(game_rosters!$J:$J,(game_rosters!$G:$G=events!$AN553)*(game_rosters!$J:$J=events!$X553))&gt;0,1,""),"")</f>
        <v>#VALUE!</v>
      </c>
      <c r="AA553" t="e">
        <f t="shared" si="94"/>
        <v>#VALUE!</v>
      </c>
      <c r="AB553" t="str">
        <f t="shared" si="95"/>
        <v/>
      </c>
      <c r="AC553" t="e">
        <f t="shared" si="93"/>
        <v>#VALUE!</v>
      </c>
      <c r="AD553" s="6"/>
      <c r="BJ553" s="39"/>
      <c r="BM553" s="39"/>
      <c r="BO553" s="19"/>
      <c r="BQ553" s="17"/>
    </row>
    <row r="554" spans="1:69" x14ac:dyDescent="0.2">
      <c r="A554" t="str">
        <f t="shared" si="96"/>
        <v/>
      </c>
      <c r="E554" s="4"/>
      <c r="F554" s="44"/>
      <c r="G554" s="4"/>
      <c r="H554" s="47"/>
      <c r="J554" s="45" t="str">
        <f t="shared" si="97"/>
        <v/>
      </c>
      <c r="N554" t="str">
        <f t="shared" si="99"/>
        <v/>
      </c>
      <c r="Q554" t="str">
        <f t="shared" si="98"/>
        <v/>
      </c>
      <c r="S554" t="str">
        <f>IF(A554=1,MAX(S$2:S553)+1,IF(OR(I554&lt;&gt;"",A554="x"),S553,""))</f>
        <v/>
      </c>
      <c r="T554" t="str">
        <f>IF(D554=1,MAX($T$2:$T553)+1,IF(S554=$S553,$S553,IF($D554="x",T553,IF($D553="x","",""))))</f>
        <v/>
      </c>
      <c r="U554" t="str">
        <f>IF(B554=1,MAX($U$2:$U553)+1,IF(AND($T554&lt;&gt;"",$T554=$T553),$U553,IF(B554="x",U553,"")))</f>
        <v/>
      </c>
      <c r="V554" t="str">
        <f>IF(C554=1,MAX($V$2:$V553)+1,IF(AND($T554&lt;&gt;"",$T554=$T553),$U553,IF(C554="x",V553,"")))</f>
        <v/>
      </c>
      <c r="W554" t="str" cm="1">
        <f t="array" ref="W554">IFERROR(_xlfn._xlws.FILTER(game_rosters!AB:AB,(game_rosters!J:J=events!X554)*(K554&lt;&gt;"")),"")</f>
        <v/>
      </c>
      <c r="X554" t="str" cm="1">
        <f t="array" ref="X554">IF(S554="","",IF($I554&lt;&gt;"",$I554,INDEX($I$2:$I553,ROW()-COUNTIFS($T$2:$T553,"="&amp;$T554,$S$2:$S553,"&lt;&gt;"&amp;$S554)-1)))</f>
        <v/>
      </c>
      <c r="Y554" t="b">
        <f>IF(X554&lt;&gt;"",VLOOKUP(X554,game_rosters!$C$43:$E$64,3,FALSE))</f>
        <v>0</v>
      </c>
      <c r="Z554" t="e" cm="1" vm="1">
        <f t="array" aca="1" ref="Z554" ca="1">IFERROR(IF(_xlfn._xlws.FILTER(game_rosters!$J:$J,(game_rosters!$G:$G=events!$AN554)*(game_rosters!$J:$J=events!$X554))&gt;0,1,""),"")</f>
        <v>#VALUE!</v>
      </c>
      <c r="AA554" t="e">
        <f t="shared" si="94"/>
        <v>#VALUE!</v>
      </c>
      <c r="AB554" t="str">
        <f t="shared" si="95"/>
        <v/>
      </c>
      <c r="AC554" t="e">
        <f t="shared" si="93"/>
        <v>#VALUE!</v>
      </c>
      <c r="AD554" s="6"/>
      <c r="BJ554" s="39"/>
      <c r="BM554" s="39"/>
      <c r="BO554" s="19"/>
      <c r="BQ554" s="17"/>
    </row>
    <row r="555" spans="1:69" x14ac:dyDescent="0.2">
      <c r="A555" t="str">
        <f t="shared" si="96"/>
        <v/>
      </c>
      <c r="E555" s="4"/>
      <c r="F555" s="44"/>
      <c r="G555" s="4"/>
      <c r="H555" s="47"/>
      <c r="J555" s="45" t="str">
        <f t="shared" si="97"/>
        <v/>
      </c>
      <c r="N555" t="str">
        <f t="shared" si="99"/>
        <v/>
      </c>
      <c r="Q555" t="str">
        <f t="shared" si="98"/>
        <v/>
      </c>
      <c r="S555" t="str">
        <f>IF(A555=1,MAX(S$2:S554)+1,IF(OR(I555&lt;&gt;"",A555="x"),S554,""))</f>
        <v/>
      </c>
      <c r="T555" t="str">
        <f>IF(D555=1,MAX($T$2:$T554)+1,IF(S555=$S554,$S554,IF($D555="x",T554,IF($D554="x","",""))))</f>
        <v/>
      </c>
      <c r="U555" t="str">
        <f>IF(B555=1,MAX($U$2:$U554)+1,IF(AND($T555&lt;&gt;"",$T555=$T554),$U554,IF(B555="x",U554,"")))</f>
        <v/>
      </c>
      <c r="V555" t="str">
        <f>IF(C555=1,MAX($V$2:$V554)+1,IF(AND($T555&lt;&gt;"",$T555=$T554),$U554,IF(C555="x",V554,"")))</f>
        <v/>
      </c>
      <c r="W555" t="str" cm="1">
        <f t="array" ref="W555">IFERROR(_xlfn._xlws.FILTER(game_rosters!AB:AB,(game_rosters!J:J=events!X555)*(K555&lt;&gt;"")),"")</f>
        <v/>
      </c>
      <c r="X555" t="str" cm="1">
        <f t="array" ref="X555">IF(S555="","",IF($I555&lt;&gt;"",$I555,INDEX($I$2:$I554,ROW()-COUNTIFS($T$2:$T554,"="&amp;$T555,$S$2:$S554,"&lt;&gt;"&amp;$S555)-1)))</f>
        <v/>
      </c>
      <c r="Y555" t="b">
        <f>IF(X555&lt;&gt;"",VLOOKUP(X555,game_rosters!$C$43:$E$64,3,FALSE))</f>
        <v>0</v>
      </c>
      <c r="Z555" t="e" cm="1" vm="1">
        <f t="array" aca="1" ref="Z555" ca="1">IFERROR(IF(_xlfn._xlws.FILTER(game_rosters!$J:$J,(game_rosters!$G:$G=events!$AN555)*(game_rosters!$J:$J=events!$X555))&gt;0,1,""),"")</f>
        <v>#VALUE!</v>
      </c>
      <c r="AA555" t="e">
        <f t="shared" si="94"/>
        <v>#VALUE!</v>
      </c>
      <c r="AB555" t="str">
        <f t="shared" si="95"/>
        <v/>
      </c>
      <c r="AC555" t="e">
        <f t="shared" si="93"/>
        <v>#VALUE!</v>
      </c>
      <c r="AD555" s="6"/>
      <c r="BJ555" s="39"/>
      <c r="BM555" s="39"/>
      <c r="BO555" s="19"/>
      <c r="BQ555" s="17"/>
    </row>
    <row r="556" spans="1:69" x14ac:dyDescent="0.2">
      <c r="A556" t="str">
        <f t="shared" si="96"/>
        <v/>
      </c>
      <c r="E556" s="4"/>
      <c r="F556" s="44"/>
      <c r="G556" s="4"/>
      <c r="H556" s="47"/>
      <c r="J556" s="45" t="str">
        <f t="shared" si="97"/>
        <v/>
      </c>
      <c r="N556" t="str">
        <f t="shared" si="99"/>
        <v/>
      </c>
      <c r="Q556" t="str">
        <f t="shared" si="98"/>
        <v/>
      </c>
      <c r="S556" t="str">
        <f>IF(A556=1,MAX(S$2:S555)+1,IF(OR(I556&lt;&gt;"",A556="x"),S555,""))</f>
        <v/>
      </c>
      <c r="T556" t="str">
        <f>IF(D556=1,MAX($T$2:$T555)+1,IF(S556=$S555,$S555,IF($D556="x",T555,IF($D555="x","",""))))</f>
        <v/>
      </c>
      <c r="U556" t="str">
        <f>IF(B556=1,MAX($U$2:$U555)+1,IF(AND($T556&lt;&gt;"",$T556=$T555),$U555,IF(B556="x",U555,"")))</f>
        <v/>
      </c>
      <c r="V556" t="str">
        <f>IF(C556=1,MAX($V$2:$V555)+1,IF(AND($T556&lt;&gt;"",$T556=$T555),$U555,IF(C556="x",V555,"")))</f>
        <v/>
      </c>
      <c r="W556" t="str" cm="1">
        <f t="array" ref="W556">IFERROR(_xlfn._xlws.FILTER(game_rosters!AB:AB,(game_rosters!J:J=events!X556)*(K556&lt;&gt;"")),"")</f>
        <v/>
      </c>
      <c r="X556" t="str" cm="1">
        <f t="array" ref="X556">IF(S556="","",IF($I556&lt;&gt;"",$I556,INDEX($I$2:$I555,ROW()-COUNTIFS($T$2:$T555,"="&amp;$T556,$S$2:$S555,"&lt;&gt;"&amp;$S556)-1)))</f>
        <v/>
      </c>
      <c r="Y556" t="b">
        <f>IF(X556&lt;&gt;"",VLOOKUP(X556,game_rosters!$C$43:$E$64,3,FALSE))</f>
        <v>0</v>
      </c>
      <c r="Z556" t="e" cm="1" vm="1">
        <f t="array" aca="1" ref="Z556" ca="1">IFERROR(IF(_xlfn._xlws.FILTER(game_rosters!$J:$J,(game_rosters!$G:$G=events!$AN556)*(game_rosters!$J:$J=events!$X556))&gt;0,1,""),"")</f>
        <v>#VALUE!</v>
      </c>
      <c r="AA556" t="e">
        <f t="shared" si="94"/>
        <v>#VALUE!</v>
      </c>
      <c r="AB556" t="str">
        <f t="shared" si="95"/>
        <v/>
      </c>
      <c r="AC556" t="e">
        <f t="shared" si="93"/>
        <v>#VALUE!</v>
      </c>
      <c r="AD556" s="6"/>
      <c r="BJ556" s="39"/>
      <c r="BM556" s="39"/>
      <c r="BO556" s="19"/>
      <c r="BQ556" s="17"/>
    </row>
    <row r="557" spans="1:69" x14ac:dyDescent="0.2">
      <c r="A557" t="str">
        <f t="shared" si="96"/>
        <v/>
      </c>
      <c r="E557" s="4"/>
      <c r="F557" s="44"/>
      <c r="G557" s="4"/>
      <c r="H557" s="47"/>
      <c r="J557" s="45" t="str">
        <f t="shared" si="97"/>
        <v/>
      </c>
      <c r="N557" t="str">
        <f t="shared" si="99"/>
        <v/>
      </c>
      <c r="Q557" t="str">
        <f t="shared" si="98"/>
        <v/>
      </c>
      <c r="S557" t="str">
        <f>IF(A557=1,MAX(S$2:S556)+1,IF(OR(I557&lt;&gt;"",A557="x"),S556,""))</f>
        <v/>
      </c>
      <c r="T557" t="str">
        <f>IF(D557=1,MAX($T$2:$T556)+1,IF(S557=$S556,$S556,IF($D557="x",T556,IF($D556="x","",""))))</f>
        <v/>
      </c>
      <c r="U557" t="str">
        <f>IF(B557=1,MAX($U$2:$U556)+1,IF(AND($T557&lt;&gt;"",$T557=$T556),$U556,IF(B557="x",U556,"")))</f>
        <v/>
      </c>
      <c r="V557" t="str">
        <f>IF(C557=1,MAX($V$2:$V556)+1,IF(AND($T557&lt;&gt;"",$T557=$T556),$U556,IF(C557="x",V556,"")))</f>
        <v/>
      </c>
      <c r="W557" t="str" cm="1">
        <f t="array" ref="W557">IFERROR(_xlfn._xlws.FILTER(game_rosters!AB:AB,(game_rosters!J:J=events!X557)*(K557&lt;&gt;"")),"")</f>
        <v/>
      </c>
      <c r="X557" t="str" cm="1">
        <f t="array" ref="X557">IF(S557="","",IF($I557&lt;&gt;"",$I557,INDEX($I$2:$I556,ROW()-COUNTIFS($T$2:$T556,"="&amp;$T557,$S$2:$S556,"&lt;&gt;"&amp;$S557)-1)))</f>
        <v/>
      </c>
      <c r="Y557" t="b">
        <f>IF(X557&lt;&gt;"",VLOOKUP(X557,game_rosters!$C$43:$E$64,3,FALSE))</f>
        <v>0</v>
      </c>
      <c r="Z557" t="e" cm="1" vm="1">
        <f t="array" aca="1" ref="Z557" ca="1">IFERROR(IF(_xlfn._xlws.FILTER(game_rosters!$J:$J,(game_rosters!$G:$G=events!$AN557)*(game_rosters!$J:$J=events!$X557))&gt;0,1,""),"")</f>
        <v>#VALUE!</v>
      </c>
      <c r="AA557" t="e">
        <f t="shared" si="94"/>
        <v>#VALUE!</v>
      </c>
      <c r="AB557" t="str">
        <f t="shared" si="95"/>
        <v/>
      </c>
      <c r="AC557" t="e">
        <f t="shared" si="93"/>
        <v>#VALUE!</v>
      </c>
      <c r="AD557" s="6"/>
      <c r="BJ557" s="39"/>
      <c r="BM557" s="39"/>
      <c r="BO557" s="19"/>
      <c r="BQ557" s="17"/>
    </row>
    <row r="558" spans="1:69" x14ac:dyDescent="0.2">
      <c r="A558" t="str">
        <f t="shared" si="96"/>
        <v/>
      </c>
      <c r="E558" s="4"/>
      <c r="F558" s="44"/>
      <c r="G558" s="4"/>
      <c r="H558" s="47"/>
      <c r="J558" s="45" t="str">
        <f t="shared" si="97"/>
        <v/>
      </c>
      <c r="N558" t="str">
        <f t="shared" si="99"/>
        <v/>
      </c>
      <c r="Q558" t="str">
        <f t="shared" si="98"/>
        <v/>
      </c>
      <c r="S558" t="str">
        <f>IF(A558=1,MAX(S$2:S557)+1,IF(OR(I558&lt;&gt;"",A558="x"),S557,""))</f>
        <v/>
      </c>
      <c r="T558" t="str">
        <f>IF(D558=1,MAX($T$2:$T557)+1,IF(S558=$S557,$S557,IF($D558="x",T557,IF($D557="x","",""))))</f>
        <v/>
      </c>
      <c r="U558" t="str">
        <f>IF(B558=1,MAX($U$2:$U557)+1,IF(AND($T558&lt;&gt;"",$T558=$T557),$U557,IF(B558="x",U557,"")))</f>
        <v/>
      </c>
      <c r="V558" t="str">
        <f>IF(C558=1,MAX($V$2:$V557)+1,IF(AND($T558&lt;&gt;"",$T558=$T557),$U557,IF(C558="x",V557,"")))</f>
        <v/>
      </c>
      <c r="W558" t="str" cm="1">
        <f t="array" ref="W558">IFERROR(_xlfn._xlws.FILTER(game_rosters!AB:AB,(game_rosters!J:J=events!X558)*(K558&lt;&gt;"")),"")</f>
        <v/>
      </c>
      <c r="X558" t="str" cm="1">
        <f t="array" ref="X558">IF(S558="","",IF($I558&lt;&gt;"",$I558,INDEX($I$2:$I557,ROW()-COUNTIFS($T$2:$T557,"="&amp;$T558,$S$2:$S557,"&lt;&gt;"&amp;$S558)-1)))</f>
        <v/>
      </c>
      <c r="Y558" t="b">
        <f>IF(X558&lt;&gt;"",VLOOKUP(X558,game_rosters!$C$43:$E$64,3,FALSE))</f>
        <v>0</v>
      </c>
      <c r="Z558" t="e" cm="1" vm="1">
        <f t="array" aca="1" ref="Z558" ca="1">IFERROR(IF(_xlfn._xlws.FILTER(game_rosters!$J:$J,(game_rosters!$G:$G=events!$AN558)*(game_rosters!$J:$J=events!$X558))&gt;0,1,""),"")</f>
        <v>#VALUE!</v>
      </c>
      <c r="AA558" t="e">
        <f t="shared" si="94"/>
        <v>#VALUE!</v>
      </c>
      <c r="AB558" t="str">
        <f t="shared" si="95"/>
        <v/>
      </c>
      <c r="AC558" t="e">
        <f t="shared" si="93"/>
        <v>#VALUE!</v>
      </c>
      <c r="AD558" s="6"/>
      <c r="BJ558" s="39"/>
      <c r="BM558" s="39"/>
      <c r="BO558" s="19"/>
      <c r="BQ558" s="17"/>
    </row>
    <row r="559" spans="1:69" x14ac:dyDescent="0.2">
      <c r="A559" t="str">
        <f t="shared" si="96"/>
        <v/>
      </c>
      <c r="E559" s="4"/>
      <c r="F559" s="44"/>
      <c r="G559" s="4"/>
      <c r="H559" s="47"/>
      <c r="J559" s="45" t="str">
        <f t="shared" si="97"/>
        <v/>
      </c>
      <c r="N559" t="str">
        <f t="shared" si="99"/>
        <v/>
      </c>
      <c r="Q559" t="str">
        <f t="shared" si="98"/>
        <v/>
      </c>
      <c r="S559" t="str">
        <f>IF(A559=1,MAX(S$2:S558)+1,IF(OR(I559&lt;&gt;"",A559="x"),S558,""))</f>
        <v/>
      </c>
      <c r="T559" t="str">
        <f>IF(D559=1,MAX($T$2:$T558)+1,IF(S559=$S558,$S558,IF($D559="x",T558,IF($D558="x","",""))))</f>
        <v/>
      </c>
      <c r="U559" t="str">
        <f>IF(B559=1,MAX($U$2:$U558)+1,IF(AND($T559&lt;&gt;"",$T559=$T558),$U558,IF(B559="x",U558,"")))</f>
        <v/>
      </c>
      <c r="V559" t="str">
        <f>IF(C559=1,MAX($V$2:$V558)+1,IF(AND($T559&lt;&gt;"",$T559=$T558),$U558,IF(C559="x",V558,"")))</f>
        <v/>
      </c>
      <c r="W559" t="str" cm="1">
        <f t="array" ref="W559">IFERROR(_xlfn._xlws.FILTER(game_rosters!AB:AB,(game_rosters!J:J=events!X559)*(K559&lt;&gt;"")),"")</f>
        <v/>
      </c>
      <c r="X559" t="str" cm="1">
        <f t="array" ref="X559">IF(S559="","",IF($I559&lt;&gt;"",$I559,INDEX($I$2:$I558,ROW()-COUNTIFS($T$2:$T558,"="&amp;$T559,$S$2:$S558,"&lt;&gt;"&amp;$S559)-1)))</f>
        <v/>
      </c>
      <c r="Y559" t="b">
        <f>IF(X559&lt;&gt;"",VLOOKUP(X559,game_rosters!$C$43:$E$64,3,FALSE))</f>
        <v>0</v>
      </c>
      <c r="Z559" t="e" cm="1" vm="1">
        <f t="array" aca="1" ref="Z559" ca="1">IFERROR(IF(_xlfn._xlws.FILTER(game_rosters!$J:$J,(game_rosters!$G:$G=events!$AN559)*(game_rosters!$J:$J=events!$X559))&gt;0,1,""),"")</f>
        <v>#VALUE!</v>
      </c>
      <c r="AA559" t="e">
        <f t="shared" si="94"/>
        <v>#VALUE!</v>
      </c>
      <c r="AB559" t="str">
        <f t="shared" si="95"/>
        <v/>
      </c>
      <c r="AC559" t="e">
        <f t="shared" si="93"/>
        <v>#VALUE!</v>
      </c>
      <c r="AD559" s="6"/>
      <c r="BJ559" s="39"/>
      <c r="BM559" s="39"/>
      <c r="BO559" s="19"/>
      <c r="BQ559" s="17"/>
    </row>
    <row r="560" spans="1:69" x14ac:dyDescent="0.2">
      <c r="A560" t="str">
        <f t="shared" si="96"/>
        <v/>
      </c>
      <c r="E560" s="4"/>
      <c r="F560" s="44"/>
      <c r="G560" s="4"/>
      <c r="H560" s="47"/>
      <c r="J560" s="45" t="str">
        <f t="shared" si="97"/>
        <v/>
      </c>
      <c r="N560" t="str">
        <f t="shared" si="99"/>
        <v/>
      </c>
      <c r="Q560" t="str">
        <f t="shared" si="98"/>
        <v/>
      </c>
      <c r="S560" t="str">
        <f>IF(A560=1,MAX(S$2:S559)+1,IF(OR(I560&lt;&gt;"",A560="x"),S559,""))</f>
        <v/>
      </c>
      <c r="T560" t="str">
        <f>IF(D560=1,MAX($T$2:$T559)+1,IF(S560=$S559,$S559,IF($D560="x",T559,IF($D559="x","",""))))</f>
        <v/>
      </c>
      <c r="U560" t="str">
        <f>IF(B560=1,MAX($U$2:$U559)+1,IF(AND($T560&lt;&gt;"",$T560=$T559),$U559,IF(B560="x",U559,"")))</f>
        <v/>
      </c>
      <c r="V560" t="str">
        <f>IF(C560=1,MAX($V$2:$V559)+1,IF(AND($T560&lt;&gt;"",$T560=$T559),$U559,IF(C560="x",V559,"")))</f>
        <v/>
      </c>
      <c r="W560" t="str" cm="1">
        <f t="array" ref="W560">IFERROR(_xlfn._xlws.FILTER(game_rosters!AB:AB,(game_rosters!J:J=events!X560)*(K560&lt;&gt;"")),"")</f>
        <v/>
      </c>
      <c r="X560" t="str" cm="1">
        <f t="array" ref="X560">IF(S560="","",IF($I560&lt;&gt;"",$I560,INDEX($I$2:$I559,ROW()-COUNTIFS($T$2:$T559,"="&amp;$T560,$S$2:$S559,"&lt;&gt;"&amp;$S560)-1)))</f>
        <v/>
      </c>
      <c r="Y560" t="b">
        <f>IF(X560&lt;&gt;"",VLOOKUP(X560,game_rosters!$C$43:$E$64,3,FALSE))</f>
        <v>0</v>
      </c>
      <c r="Z560" t="e" cm="1" vm="1">
        <f t="array" aca="1" ref="Z560" ca="1">IFERROR(IF(_xlfn._xlws.FILTER(game_rosters!$J:$J,(game_rosters!$G:$G=events!$AN560)*(game_rosters!$J:$J=events!$X560))&gt;0,1,""),"")</f>
        <v>#VALUE!</v>
      </c>
      <c r="AA560" t="e">
        <f t="shared" si="94"/>
        <v>#VALUE!</v>
      </c>
      <c r="AB560" t="str">
        <f t="shared" si="95"/>
        <v/>
      </c>
      <c r="AC560" t="e">
        <f t="shared" si="93"/>
        <v>#VALUE!</v>
      </c>
      <c r="AD560" s="6"/>
      <c r="BJ560" s="39"/>
      <c r="BM560" s="39"/>
      <c r="BO560" s="19"/>
      <c r="BQ560" s="17"/>
    </row>
    <row r="561" spans="1:69" x14ac:dyDescent="0.2">
      <c r="A561" t="str">
        <f t="shared" si="96"/>
        <v/>
      </c>
      <c r="E561" s="4"/>
      <c r="F561" s="44"/>
      <c r="G561" s="4"/>
      <c r="H561" s="47"/>
      <c r="J561" s="45" t="str">
        <f t="shared" si="97"/>
        <v/>
      </c>
      <c r="N561" t="str">
        <f t="shared" si="99"/>
        <v/>
      </c>
      <c r="Q561" t="str">
        <f t="shared" si="98"/>
        <v/>
      </c>
      <c r="S561" t="str">
        <f>IF(A561=1,MAX(S$2:S560)+1,IF(OR(I561&lt;&gt;"",A561="x"),S560,""))</f>
        <v/>
      </c>
      <c r="T561" t="str">
        <f>IF(D561=1,MAX($T$2:$T560)+1,IF(S561=$S560,$S560,IF($D561="x",T560,IF($D560="x","",""))))</f>
        <v/>
      </c>
      <c r="U561" t="str">
        <f>IF(B561=1,MAX($U$2:$U560)+1,IF(AND($T561&lt;&gt;"",$T561=$T560),$U560,IF(B561="x",U560,"")))</f>
        <v/>
      </c>
      <c r="V561" t="str">
        <f>IF(C561=1,MAX($V$2:$V560)+1,IF(AND($T561&lt;&gt;"",$T561=$T560),$U560,IF(C561="x",V560,"")))</f>
        <v/>
      </c>
      <c r="W561" t="str" cm="1">
        <f t="array" ref="W561">IFERROR(_xlfn._xlws.FILTER(game_rosters!AB:AB,(game_rosters!J:J=events!X561)*(K561&lt;&gt;"")),"")</f>
        <v/>
      </c>
      <c r="X561" t="str" cm="1">
        <f t="array" ref="X561">IF(S561="","",IF($I561&lt;&gt;"",$I561,INDEX($I$2:$I560,ROW()-COUNTIFS($T$2:$T560,"="&amp;$T561,$S$2:$S560,"&lt;&gt;"&amp;$S561)-1)))</f>
        <v/>
      </c>
      <c r="Y561" t="b">
        <f>IF(X561&lt;&gt;"",VLOOKUP(X561,game_rosters!$C$43:$E$64,3,FALSE))</f>
        <v>0</v>
      </c>
      <c r="Z561" t="e" cm="1" vm="1">
        <f t="array" aca="1" ref="Z561" ca="1">IFERROR(IF(_xlfn._xlws.FILTER(game_rosters!$J:$J,(game_rosters!$G:$G=events!$AN561)*(game_rosters!$J:$J=events!$X561))&gt;0,1,""),"")</f>
        <v>#VALUE!</v>
      </c>
      <c r="AA561" t="e">
        <f t="shared" si="94"/>
        <v>#VALUE!</v>
      </c>
      <c r="AB561" t="str">
        <f t="shared" si="95"/>
        <v/>
      </c>
      <c r="AC561" t="e">
        <f t="shared" si="93"/>
        <v>#VALUE!</v>
      </c>
      <c r="AD561" s="6"/>
      <c r="BJ561" s="39"/>
      <c r="BM561" s="39"/>
      <c r="BO561" s="19"/>
      <c r="BQ561" s="17"/>
    </row>
    <row r="562" spans="1:69" x14ac:dyDescent="0.2">
      <c r="A562" t="str">
        <f t="shared" si="96"/>
        <v/>
      </c>
      <c r="E562" s="4"/>
      <c r="F562" s="44"/>
      <c r="G562" s="4"/>
      <c r="H562" s="47"/>
      <c r="J562" s="45" t="str">
        <f t="shared" si="97"/>
        <v/>
      </c>
      <c r="N562" t="str">
        <f t="shared" si="99"/>
        <v/>
      </c>
      <c r="Q562" t="str">
        <f t="shared" si="98"/>
        <v/>
      </c>
      <c r="S562" t="str">
        <f>IF(A562=1,MAX(S$2:S561)+1,IF(OR(I562&lt;&gt;"",A562="x"),S561,""))</f>
        <v/>
      </c>
      <c r="T562" t="str">
        <f>IF(D562=1,MAX($T$2:$T561)+1,IF(S562=$S561,$S561,IF($D562="x",T561,IF($D561="x","",""))))</f>
        <v/>
      </c>
      <c r="U562" t="str">
        <f>IF(B562=1,MAX($U$2:$U561)+1,IF(AND($T562&lt;&gt;"",$T562=$T561),$U561,IF(B562="x",U561,"")))</f>
        <v/>
      </c>
      <c r="V562" t="str">
        <f>IF(C562=1,MAX($V$2:$V561)+1,IF(AND($T562&lt;&gt;"",$T562=$T561),$U561,IF(C562="x",V561,"")))</f>
        <v/>
      </c>
      <c r="W562" t="str" cm="1">
        <f t="array" ref="W562">IFERROR(_xlfn._xlws.FILTER(game_rosters!AB:AB,(game_rosters!J:J=events!X562)*(K562&lt;&gt;"")),"")</f>
        <v/>
      </c>
      <c r="X562" t="str" cm="1">
        <f t="array" ref="X562">IF(S562="","",IF($I562&lt;&gt;"",$I562,INDEX($I$2:$I561,ROW()-COUNTIFS($T$2:$T561,"="&amp;$T562,$S$2:$S561,"&lt;&gt;"&amp;$S562)-1)))</f>
        <v/>
      </c>
      <c r="Y562" t="b">
        <f>IF(X562&lt;&gt;"",VLOOKUP(X562,game_rosters!$C$43:$E$64,3,FALSE))</f>
        <v>0</v>
      </c>
      <c r="Z562" t="e" cm="1" vm="1">
        <f t="array" aca="1" ref="Z562" ca="1">IFERROR(IF(_xlfn._xlws.FILTER(game_rosters!$J:$J,(game_rosters!$G:$G=events!$AN562)*(game_rosters!$J:$J=events!$X562))&gt;0,1,""),"")</f>
        <v>#VALUE!</v>
      </c>
      <c r="AA562" t="e">
        <f t="shared" si="94"/>
        <v>#VALUE!</v>
      </c>
      <c r="AB562" t="str">
        <f t="shared" si="95"/>
        <v/>
      </c>
      <c r="AC562" t="e">
        <f t="shared" si="93"/>
        <v>#VALUE!</v>
      </c>
      <c r="AD562" s="6"/>
      <c r="BJ562" s="39"/>
      <c r="BM562" s="39"/>
      <c r="BO562" s="19"/>
      <c r="BQ562" s="17"/>
    </row>
    <row r="563" spans="1:69" x14ac:dyDescent="0.2">
      <c r="A563" t="str">
        <f t="shared" si="96"/>
        <v/>
      </c>
      <c r="E563" s="4"/>
      <c r="F563" s="44"/>
      <c r="G563" s="4"/>
      <c r="H563" s="47"/>
      <c r="J563" s="45" t="str">
        <f t="shared" si="97"/>
        <v/>
      </c>
      <c r="N563" t="str">
        <f t="shared" si="99"/>
        <v/>
      </c>
      <c r="Q563" t="str">
        <f t="shared" si="98"/>
        <v/>
      </c>
      <c r="S563" t="str">
        <f>IF(A563=1,MAX(S$2:S562)+1,IF(OR(I563&lt;&gt;"",A563="x"),S562,""))</f>
        <v/>
      </c>
      <c r="T563" t="str">
        <f>IF(D563=1,MAX($T$2:$T562)+1,IF(S563=$S562,$S562,IF($D563="x",T562,IF($D562="x","",""))))</f>
        <v/>
      </c>
      <c r="U563" t="str">
        <f>IF(B563=1,MAX($U$2:$U562)+1,IF(AND($T563&lt;&gt;"",$T563=$T562),$U562,IF(B563="x",U562,"")))</f>
        <v/>
      </c>
      <c r="V563" t="str">
        <f>IF(C563=1,MAX($V$2:$V562)+1,IF(AND($T563&lt;&gt;"",$T563=$T562),$U562,IF(C563="x",V562,"")))</f>
        <v/>
      </c>
      <c r="W563" t="str" cm="1">
        <f t="array" ref="W563">IFERROR(_xlfn._xlws.FILTER(game_rosters!AB:AB,(game_rosters!J:J=events!X563)*(K563&lt;&gt;"")),"")</f>
        <v/>
      </c>
      <c r="X563" t="str" cm="1">
        <f t="array" ref="X563">IF(S563="","",IF($I563&lt;&gt;"",$I563,INDEX($I$2:$I562,ROW()-COUNTIFS($T$2:$T562,"="&amp;$T563,$S$2:$S562,"&lt;&gt;"&amp;$S563)-1)))</f>
        <v/>
      </c>
      <c r="Y563" t="b">
        <f>IF(X563&lt;&gt;"",VLOOKUP(X563,game_rosters!$C$43:$E$64,3,FALSE))</f>
        <v>0</v>
      </c>
      <c r="Z563" t="e" cm="1" vm="1">
        <f t="array" aca="1" ref="Z563" ca="1">IFERROR(IF(_xlfn._xlws.FILTER(game_rosters!$J:$J,(game_rosters!$G:$G=events!$AN563)*(game_rosters!$J:$J=events!$X563))&gt;0,1,""),"")</f>
        <v>#VALUE!</v>
      </c>
      <c r="AA563" t="e">
        <f t="shared" si="94"/>
        <v>#VALUE!</v>
      </c>
      <c r="AB563" t="str">
        <f t="shared" si="95"/>
        <v/>
      </c>
      <c r="AC563" t="e">
        <f t="shared" si="93"/>
        <v>#VALUE!</v>
      </c>
      <c r="AD563" s="6"/>
      <c r="BJ563" s="39"/>
      <c r="BM563" s="39"/>
      <c r="BO563" s="19"/>
      <c r="BQ563" s="17"/>
    </row>
    <row r="564" spans="1:69" x14ac:dyDescent="0.2">
      <c r="A564" t="str">
        <f t="shared" si="96"/>
        <v/>
      </c>
      <c r="E564" s="4"/>
      <c r="F564" s="44"/>
      <c r="G564" s="4"/>
      <c r="H564" s="47"/>
      <c r="J564" s="45" t="str">
        <f t="shared" si="97"/>
        <v/>
      </c>
      <c r="N564" t="str">
        <f t="shared" si="99"/>
        <v/>
      </c>
      <c r="Q564" t="str">
        <f t="shared" si="98"/>
        <v/>
      </c>
      <c r="S564" t="str">
        <f>IF(A564=1,MAX(S$2:S563)+1,IF(OR(I564&lt;&gt;"",A564="x"),S563,""))</f>
        <v/>
      </c>
      <c r="T564" t="str">
        <f>IF(D564=1,MAX($T$2:$T563)+1,IF(S564=$S563,$S563,IF($D564="x",T563,IF($D563="x","",""))))</f>
        <v/>
      </c>
      <c r="U564" t="str">
        <f>IF(B564=1,MAX($U$2:$U563)+1,IF(AND($T564&lt;&gt;"",$T564=$T563),$U563,IF(B564="x",U563,"")))</f>
        <v/>
      </c>
      <c r="V564" t="str">
        <f>IF(C564=1,MAX($V$2:$V563)+1,IF(AND($T564&lt;&gt;"",$T564=$T563),$U563,IF(C564="x",V563,"")))</f>
        <v/>
      </c>
      <c r="W564" t="str" cm="1">
        <f t="array" ref="W564">IFERROR(_xlfn._xlws.FILTER(game_rosters!AB:AB,(game_rosters!J:J=events!X564)*(K564&lt;&gt;"")),"")</f>
        <v/>
      </c>
      <c r="X564" t="str" cm="1">
        <f t="array" ref="X564">IF(S564="","",IF($I564&lt;&gt;"",$I564,INDEX($I$2:$I563,ROW()-COUNTIFS($T$2:$T563,"="&amp;$T564,$S$2:$S563,"&lt;&gt;"&amp;$S564)-1)))</f>
        <v/>
      </c>
      <c r="Y564" t="b">
        <f>IF(X564&lt;&gt;"",VLOOKUP(X564,game_rosters!$C$43:$E$64,3,FALSE))</f>
        <v>0</v>
      </c>
      <c r="Z564" t="e" cm="1" vm="1">
        <f t="array" aca="1" ref="Z564" ca="1">IFERROR(IF(_xlfn._xlws.FILTER(game_rosters!$J:$J,(game_rosters!$G:$G=events!$AN564)*(game_rosters!$J:$J=events!$X564))&gt;0,1,""),"")</f>
        <v>#VALUE!</v>
      </c>
      <c r="AA564" t="e">
        <f t="shared" si="94"/>
        <v>#VALUE!</v>
      </c>
      <c r="AB564" t="str">
        <f t="shared" si="95"/>
        <v/>
      </c>
      <c r="AC564" t="e">
        <f t="shared" si="93"/>
        <v>#VALUE!</v>
      </c>
      <c r="AD564" s="6"/>
      <c r="BJ564" s="39"/>
      <c r="BM564" s="39"/>
      <c r="BO564" s="19"/>
      <c r="BQ564" s="17"/>
    </row>
    <row r="565" spans="1:69" x14ac:dyDescent="0.2">
      <c r="A565" t="str">
        <f t="shared" si="96"/>
        <v/>
      </c>
      <c r="E565" s="4"/>
      <c r="F565" s="44"/>
      <c r="G565" s="4"/>
      <c r="H565" s="47"/>
      <c r="J565" s="45" t="str">
        <f t="shared" si="97"/>
        <v/>
      </c>
      <c r="N565" t="str">
        <f t="shared" si="99"/>
        <v/>
      </c>
      <c r="Q565" t="str">
        <f t="shared" si="98"/>
        <v/>
      </c>
      <c r="S565" t="str">
        <f>IF(A565=1,MAX(S$2:S564)+1,IF(OR(I565&lt;&gt;"",A565="x"),S564,""))</f>
        <v/>
      </c>
      <c r="T565" t="str">
        <f>IF(D565=1,MAX($T$2:$T564)+1,IF(S565=$S564,$S564,IF($D565="x",T564,IF($D564="x","",""))))</f>
        <v/>
      </c>
      <c r="U565" t="str">
        <f>IF(B565=1,MAX($U$2:$U564)+1,IF(AND($T565&lt;&gt;"",$T565=$T564),$U564,IF(B565="x",U564,"")))</f>
        <v/>
      </c>
      <c r="V565" t="str">
        <f>IF(C565=1,MAX($V$2:$V564)+1,IF(AND($T565&lt;&gt;"",$T565=$T564),$U564,IF(C565="x",V564,"")))</f>
        <v/>
      </c>
      <c r="W565" t="str" cm="1">
        <f t="array" ref="W565">IFERROR(_xlfn._xlws.FILTER(game_rosters!AB:AB,(game_rosters!J:J=events!X565)*(K565&lt;&gt;"")),"")</f>
        <v/>
      </c>
      <c r="X565" t="str" cm="1">
        <f t="array" ref="X565">IF(S565="","",IF($I565&lt;&gt;"",$I565,INDEX($I$2:$I564,ROW()-COUNTIFS($T$2:$T564,"="&amp;$T565,$S$2:$S564,"&lt;&gt;"&amp;$S565)-1)))</f>
        <v/>
      </c>
      <c r="Y565" t="b">
        <f>IF(X565&lt;&gt;"",VLOOKUP(X565,game_rosters!$C$43:$E$64,3,FALSE))</f>
        <v>0</v>
      </c>
      <c r="Z565" t="e" cm="1" vm="1">
        <f t="array" aca="1" ref="Z565" ca="1">IFERROR(IF(_xlfn._xlws.FILTER(game_rosters!$J:$J,(game_rosters!$G:$G=events!$AN565)*(game_rosters!$J:$J=events!$X565))&gt;0,1,""),"")</f>
        <v>#VALUE!</v>
      </c>
      <c r="AA565" t="e">
        <f t="shared" si="94"/>
        <v>#VALUE!</v>
      </c>
      <c r="AB565" t="str">
        <f t="shared" si="95"/>
        <v/>
      </c>
      <c r="AC565" t="e">
        <f t="shared" si="93"/>
        <v>#VALUE!</v>
      </c>
      <c r="AD565" s="6"/>
      <c r="BJ565" s="39"/>
      <c r="BM565" s="39"/>
      <c r="BO565" s="19"/>
      <c r="BQ565" s="17"/>
    </row>
    <row r="566" spans="1:69" x14ac:dyDescent="0.2">
      <c r="A566" t="str">
        <f t="shared" si="96"/>
        <v/>
      </c>
      <c r="E566" s="4"/>
      <c r="F566" s="44"/>
      <c r="G566" s="4"/>
      <c r="H566" s="47"/>
      <c r="J566" s="45" t="str">
        <f t="shared" si="97"/>
        <v/>
      </c>
      <c r="N566" t="str">
        <f t="shared" si="99"/>
        <v/>
      </c>
      <c r="Q566" t="str">
        <f t="shared" si="98"/>
        <v/>
      </c>
      <c r="S566" t="str">
        <f>IF(A566=1,MAX(S$2:S565)+1,IF(OR(I566&lt;&gt;"",A566="x"),S565,""))</f>
        <v/>
      </c>
      <c r="T566" t="str">
        <f>IF(D566=1,MAX($T$2:$T565)+1,IF(S566=$S565,$S565,IF($D566="x",T565,IF($D565="x","",""))))</f>
        <v/>
      </c>
      <c r="U566" t="str">
        <f>IF(B566=1,MAX($U$2:$U565)+1,IF(AND($T566&lt;&gt;"",$T566=$T565),$U565,IF(B566="x",U565,"")))</f>
        <v/>
      </c>
      <c r="V566" t="str">
        <f>IF(C566=1,MAX($V$2:$V565)+1,IF(AND($T566&lt;&gt;"",$T566=$T565),$U565,IF(C566="x",V565,"")))</f>
        <v/>
      </c>
      <c r="W566" t="str" cm="1">
        <f t="array" ref="W566">IFERROR(_xlfn._xlws.FILTER(game_rosters!AB:AB,(game_rosters!J:J=events!X566)*(K566&lt;&gt;"")),"")</f>
        <v/>
      </c>
      <c r="X566" t="str" cm="1">
        <f t="array" ref="X566">IF(S566="","",IF($I566&lt;&gt;"",$I566,INDEX($I$2:$I565,ROW()-COUNTIFS($T$2:$T565,"="&amp;$T566,$S$2:$S565,"&lt;&gt;"&amp;$S566)-1)))</f>
        <v/>
      </c>
      <c r="Y566" t="b">
        <f>IF(X566&lt;&gt;"",VLOOKUP(X566,game_rosters!$C$43:$E$64,3,FALSE))</f>
        <v>0</v>
      </c>
      <c r="Z566" t="e" cm="1" vm="1">
        <f t="array" aca="1" ref="Z566" ca="1">IFERROR(IF(_xlfn._xlws.FILTER(game_rosters!$J:$J,(game_rosters!$G:$G=events!$AN566)*(game_rosters!$J:$J=events!$X566))&gt;0,1,""),"")</f>
        <v>#VALUE!</v>
      </c>
      <c r="AA566" t="e">
        <f t="shared" si="94"/>
        <v>#VALUE!</v>
      </c>
      <c r="AB566" t="str">
        <f t="shared" si="95"/>
        <v/>
      </c>
      <c r="AC566" t="e">
        <f t="shared" si="93"/>
        <v>#VALUE!</v>
      </c>
      <c r="AD566" s="6"/>
      <c r="BJ566" s="39"/>
      <c r="BM566" s="39"/>
      <c r="BO566" s="19"/>
      <c r="BQ566" s="17"/>
    </row>
    <row r="567" spans="1:69" x14ac:dyDescent="0.2">
      <c r="A567" t="str">
        <f t="shared" si="96"/>
        <v/>
      </c>
      <c r="E567" s="4"/>
      <c r="F567" s="44"/>
      <c r="G567" s="4"/>
      <c r="H567" s="47"/>
      <c r="J567" s="45" t="str">
        <f t="shared" si="97"/>
        <v/>
      </c>
      <c r="N567" t="str">
        <f t="shared" si="99"/>
        <v/>
      </c>
      <c r="Q567" t="str">
        <f t="shared" si="98"/>
        <v/>
      </c>
      <c r="S567" t="str">
        <f>IF(A567=1,MAX(S$2:S566)+1,IF(OR(I567&lt;&gt;"",A567="x"),S566,""))</f>
        <v/>
      </c>
      <c r="T567" t="str">
        <f>IF(D567=1,MAX($T$2:$T566)+1,IF(S567=$S566,$S566,IF($D567="x",T566,IF($D566="x","",""))))</f>
        <v/>
      </c>
      <c r="U567" t="str">
        <f>IF(B567=1,MAX($U$2:$U566)+1,IF(AND($T567&lt;&gt;"",$T567=$T566),$U566,IF(B567="x",U566,"")))</f>
        <v/>
      </c>
      <c r="V567" t="str">
        <f>IF(C567=1,MAX($V$2:$V566)+1,IF(AND($T567&lt;&gt;"",$T567=$T566),$U566,IF(C567="x",V566,"")))</f>
        <v/>
      </c>
      <c r="W567" t="str" cm="1">
        <f t="array" ref="W567">IFERROR(_xlfn._xlws.FILTER(game_rosters!AB:AB,(game_rosters!J:J=events!X567)*(K567&lt;&gt;"")),"")</f>
        <v/>
      </c>
      <c r="X567" t="str" cm="1">
        <f t="array" ref="X567">IF(S567="","",IF($I567&lt;&gt;"",$I567,INDEX($I$2:$I566,ROW()-COUNTIFS($T$2:$T566,"="&amp;$T567,$S$2:$S566,"&lt;&gt;"&amp;$S567)-1)))</f>
        <v/>
      </c>
      <c r="Y567" t="b">
        <f>IF(X567&lt;&gt;"",VLOOKUP(X567,game_rosters!$C$43:$E$64,3,FALSE))</f>
        <v>0</v>
      </c>
      <c r="Z567" t="e" cm="1" vm="1">
        <f t="array" aca="1" ref="Z567" ca="1">IFERROR(IF(_xlfn._xlws.FILTER(game_rosters!$J:$J,(game_rosters!$G:$G=events!$AN567)*(game_rosters!$J:$J=events!$X567))&gt;0,1,""),"")</f>
        <v>#VALUE!</v>
      </c>
      <c r="AA567" t="e">
        <f t="shared" si="94"/>
        <v>#VALUE!</v>
      </c>
      <c r="AB567" t="str">
        <f t="shared" si="95"/>
        <v/>
      </c>
      <c r="AC567" t="e">
        <f t="shared" si="93"/>
        <v>#VALUE!</v>
      </c>
      <c r="AD567" s="6"/>
      <c r="BJ567" s="39"/>
      <c r="BM567" s="39"/>
      <c r="BO567" s="19"/>
      <c r="BQ567" s="17"/>
    </row>
    <row r="568" spans="1:69" x14ac:dyDescent="0.2">
      <c r="A568" t="str">
        <f t="shared" si="96"/>
        <v/>
      </c>
      <c r="E568" s="4"/>
      <c r="F568" s="44"/>
      <c r="G568" s="4"/>
      <c r="H568" s="47"/>
      <c r="J568" s="45" t="str">
        <f t="shared" si="97"/>
        <v/>
      </c>
      <c r="N568" t="str">
        <f t="shared" si="99"/>
        <v/>
      </c>
      <c r="Q568" t="str">
        <f t="shared" si="98"/>
        <v/>
      </c>
      <c r="S568" t="str">
        <f>IF(A568=1,MAX(S$2:S567)+1,IF(OR(I568&lt;&gt;"",A568="x"),S567,""))</f>
        <v/>
      </c>
      <c r="T568" t="str">
        <f>IF(D568=1,MAX($T$2:$T567)+1,IF(S568=$S567,$S567,IF($D568="x",T567,IF($D567="x","",""))))</f>
        <v/>
      </c>
      <c r="U568" t="str">
        <f>IF(B568=1,MAX($U$2:$U567)+1,IF(AND($T568&lt;&gt;"",$T568=$T567),$U567,IF(B568="x",U567,"")))</f>
        <v/>
      </c>
      <c r="V568" t="str">
        <f>IF(C568=1,MAX($V$2:$V567)+1,IF(AND($T568&lt;&gt;"",$T568=$T567),$U567,IF(C568="x",V567,"")))</f>
        <v/>
      </c>
      <c r="W568" t="str" cm="1">
        <f t="array" ref="W568">IFERROR(_xlfn._xlws.FILTER(game_rosters!AB:AB,(game_rosters!J:J=events!X568)*(K568&lt;&gt;"")),"")</f>
        <v/>
      </c>
      <c r="X568" t="str" cm="1">
        <f t="array" ref="X568">IF(S568="","",IF($I568&lt;&gt;"",$I568,INDEX($I$2:$I567,ROW()-COUNTIFS($T$2:$T567,"="&amp;$T568,$S$2:$S567,"&lt;&gt;"&amp;$S568)-1)))</f>
        <v/>
      </c>
      <c r="Y568" t="b">
        <f>IF(X568&lt;&gt;"",VLOOKUP(X568,game_rosters!$C$43:$E$64,3,FALSE))</f>
        <v>0</v>
      </c>
      <c r="Z568" t="e" cm="1" vm="1">
        <f t="array" aca="1" ref="Z568" ca="1">IFERROR(IF(_xlfn._xlws.FILTER(game_rosters!$J:$J,(game_rosters!$G:$G=events!$AN568)*(game_rosters!$J:$J=events!$X568))&gt;0,1,""),"")</f>
        <v>#VALUE!</v>
      </c>
      <c r="AA568" t="e">
        <f t="shared" si="94"/>
        <v>#VALUE!</v>
      </c>
      <c r="AB568" t="str">
        <f t="shared" si="95"/>
        <v/>
      </c>
      <c r="AC568" t="e">
        <f t="shared" si="93"/>
        <v>#VALUE!</v>
      </c>
      <c r="AD568" s="6"/>
      <c r="BJ568" s="39"/>
      <c r="BM568" s="39"/>
      <c r="BO568" s="19"/>
      <c r="BQ568" s="17"/>
    </row>
    <row r="569" spans="1:69" x14ac:dyDescent="0.2">
      <c r="A569" t="str">
        <f t="shared" si="96"/>
        <v/>
      </c>
      <c r="E569" s="4"/>
      <c r="F569" s="44"/>
      <c r="G569" s="4"/>
      <c r="H569" s="47"/>
      <c r="J569" s="45" t="str">
        <f t="shared" si="97"/>
        <v/>
      </c>
      <c r="N569" t="str">
        <f t="shared" si="99"/>
        <v/>
      </c>
      <c r="Q569" t="str">
        <f t="shared" si="98"/>
        <v/>
      </c>
      <c r="S569" t="str">
        <f>IF(A569=1,MAX(S$2:S568)+1,IF(OR(I569&lt;&gt;"",A569="x"),S568,""))</f>
        <v/>
      </c>
      <c r="T569" t="str">
        <f>IF(D569=1,MAX($T$2:$T568)+1,IF(S569=$S568,$S568,IF($D569="x",T568,IF($D568="x","",""))))</f>
        <v/>
      </c>
      <c r="U569" t="str">
        <f>IF(B569=1,MAX($U$2:$U568)+1,IF(AND($T569&lt;&gt;"",$T569=$T568),$U568,IF(B569="x",U568,"")))</f>
        <v/>
      </c>
      <c r="V569" t="str">
        <f>IF(C569=1,MAX($V$2:$V568)+1,IF(AND($T569&lt;&gt;"",$T569=$T568),$U568,IF(C569="x",V568,"")))</f>
        <v/>
      </c>
      <c r="W569" t="str" cm="1">
        <f t="array" ref="W569">IFERROR(_xlfn._xlws.FILTER(game_rosters!AB:AB,(game_rosters!J:J=events!X569)*(K569&lt;&gt;"")),"")</f>
        <v/>
      </c>
      <c r="X569" t="str" cm="1">
        <f t="array" ref="X569">IF(S569="","",IF($I569&lt;&gt;"",$I569,INDEX($I$2:$I568,ROW()-COUNTIFS($T$2:$T568,"="&amp;$T569,$S$2:$S568,"&lt;&gt;"&amp;$S569)-1)))</f>
        <v/>
      </c>
      <c r="Y569" t="b">
        <f>IF(X569&lt;&gt;"",VLOOKUP(X569,game_rosters!$C$43:$E$64,3,FALSE))</f>
        <v>0</v>
      </c>
      <c r="Z569" t="e" cm="1" vm="1">
        <f t="array" aca="1" ref="Z569" ca="1">IFERROR(IF(_xlfn._xlws.FILTER(game_rosters!$J:$J,(game_rosters!$G:$G=events!$AN569)*(game_rosters!$J:$J=events!$X569))&gt;0,1,""),"")</f>
        <v>#VALUE!</v>
      </c>
      <c r="AA569" t="e">
        <f t="shared" si="94"/>
        <v>#VALUE!</v>
      </c>
      <c r="AB569" t="str">
        <f t="shared" si="95"/>
        <v/>
      </c>
      <c r="AC569" t="e">
        <f t="shared" si="93"/>
        <v>#VALUE!</v>
      </c>
      <c r="AD569" s="6"/>
      <c r="BJ569" s="39"/>
      <c r="BM569" s="39"/>
      <c r="BO569" s="19"/>
      <c r="BQ569" s="17"/>
    </row>
    <row r="570" spans="1:69" x14ac:dyDescent="0.2">
      <c r="A570" t="str">
        <f t="shared" si="96"/>
        <v/>
      </c>
      <c r="E570" s="4"/>
      <c r="F570" s="44"/>
      <c r="G570" s="4"/>
      <c r="H570" s="47"/>
      <c r="J570" s="45" t="str">
        <f t="shared" si="97"/>
        <v/>
      </c>
      <c r="N570" t="str">
        <f t="shared" si="99"/>
        <v/>
      </c>
      <c r="Q570" t="str">
        <f t="shared" si="98"/>
        <v/>
      </c>
      <c r="S570" t="str">
        <f>IF(A570=1,MAX(S$2:S569)+1,IF(OR(I570&lt;&gt;"",A570="x"),S569,""))</f>
        <v/>
      </c>
      <c r="T570" t="str">
        <f>IF(D570=1,MAX($T$2:$T569)+1,IF(S570=$S569,$S569,IF($D570="x",T569,IF($D569="x","",""))))</f>
        <v/>
      </c>
      <c r="U570" t="str">
        <f>IF(B570=1,MAX($U$2:$U569)+1,IF(AND($T570&lt;&gt;"",$T570=$T569),$U569,IF(B570="x",U569,"")))</f>
        <v/>
      </c>
      <c r="V570" t="str">
        <f>IF(C570=1,MAX($V$2:$V569)+1,IF(AND($T570&lt;&gt;"",$T570=$T569),$U569,IF(C570="x",V569,"")))</f>
        <v/>
      </c>
      <c r="W570" t="str" cm="1">
        <f t="array" ref="W570">IFERROR(_xlfn._xlws.FILTER(game_rosters!AB:AB,(game_rosters!J:J=events!X570)*(K570&lt;&gt;"")),"")</f>
        <v/>
      </c>
      <c r="X570" t="str" cm="1">
        <f t="array" ref="X570">IF(S570="","",IF($I570&lt;&gt;"",$I570,INDEX($I$2:$I569,ROW()-COUNTIFS($T$2:$T569,"="&amp;$T570,$S$2:$S569,"&lt;&gt;"&amp;$S570)-1)))</f>
        <v/>
      </c>
      <c r="Y570" t="b">
        <f>IF(X570&lt;&gt;"",VLOOKUP(X570,game_rosters!$C$43:$E$64,3,FALSE))</f>
        <v>0</v>
      </c>
      <c r="Z570" t="e" cm="1" vm="1">
        <f t="array" aca="1" ref="Z570" ca="1">IFERROR(IF(_xlfn._xlws.FILTER(game_rosters!$J:$J,(game_rosters!$G:$G=events!$AN570)*(game_rosters!$J:$J=events!$X570))&gt;0,1,""),"")</f>
        <v>#VALUE!</v>
      </c>
      <c r="AA570" t="e">
        <f t="shared" si="94"/>
        <v>#VALUE!</v>
      </c>
      <c r="AB570" t="str">
        <f t="shared" si="95"/>
        <v/>
      </c>
      <c r="AC570" t="e">
        <f t="shared" si="93"/>
        <v>#VALUE!</v>
      </c>
      <c r="AD570" s="6"/>
      <c r="BJ570" s="39"/>
      <c r="BM570" s="39"/>
      <c r="BO570" s="19"/>
      <c r="BQ570" s="17"/>
    </row>
    <row r="571" spans="1:69" x14ac:dyDescent="0.2">
      <c r="A571" t="str">
        <f t="shared" si="96"/>
        <v/>
      </c>
      <c r="E571" s="4"/>
      <c r="F571" s="44"/>
      <c r="G571" s="4"/>
      <c r="H571" s="47"/>
      <c r="J571" s="45" t="str">
        <f t="shared" si="97"/>
        <v/>
      </c>
      <c r="N571" t="str">
        <f t="shared" si="99"/>
        <v/>
      </c>
      <c r="Q571" t="str">
        <f t="shared" si="98"/>
        <v/>
      </c>
      <c r="S571" t="str">
        <f>IF(A571=1,MAX(S$2:S570)+1,IF(OR(I571&lt;&gt;"",A571="x"),S570,""))</f>
        <v/>
      </c>
      <c r="T571" t="str">
        <f>IF(D571=1,MAX($T$2:$T570)+1,IF(S571=$S570,$S570,IF($D571="x",T570,IF($D570="x","",""))))</f>
        <v/>
      </c>
      <c r="U571" t="str">
        <f>IF(B571=1,MAX($U$2:$U570)+1,IF(AND($T571&lt;&gt;"",$T571=$T570),$U570,IF(B571="x",U570,"")))</f>
        <v/>
      </c>
      <c r="V571" t="str">
        <f>IF(C571=1,MAX($V$2:$V570)+1,IF(AND($T571&lt;&gt;"",$T571=$T570),$U570,IF(C571="x",V570,"")))</f>
        <v/>
      </c>
      <c r="W571" t="str" cm="1">
        <f t="array" ref="W571">IFERROR(_xlfn._xlws.FILTER(game_rosters!AB:AB,(game_rosters!J:J=events!X571)*(K571&lt;&gt;"")),"")</f>
        <v/>
      </c>
      <c r="X571" t="str" cm="1">
        <f t="array" ref="X571">IF(S571="","",IF($I571&lt;&gt;"",$I571,INDEX($I$2:$I570,ROW()-COUNTIFS($T$2:$T570,"="&amp;$T571,$S$2:$S570,"&lt;&gt;"&amp;$S571)-1)))</f>
        <v/>
      </c>
      <c r="Y571" t="b">
        <f>IF(X571&lt;&gt;"",VLOOKUP(X571,game_rosters!$C$43:$E$64,3,FALSE))</f>
        <v>0</v>
      </c>
      <c r="Z571" t="e" cm="1" vm="1">
        <f t="array" aca="1" ref="Z571" ca="1">IFERROR(IF(_xlfn._xlws.FILTER(game_rosters!$J:$J,(game_rosters!$G:$G=events!$AN571)*(game_rosters!$J:$J=events!$X571))&gt;0,1,""),"")</f>
        <v>#VALUE!</v>
      </c>
      <c r="AA571" t="e">
        <f t="shared" si="94"/>
        <v>#VALUE!</v>
      </c>
      <c r="AB571" t="str">
        <f t="shared" si="95"/>
        <v/>
      </c>
      <c r="AC571" t="e">
        <f t="shared" si="93"/>
        <v>#VALUE!</v>
      </c>
      <c r="AD571" s="6"/>
      <c r="BJ571" s="39"/>
      <c r="BM571" s="39"/>
      <c r="BO571" s="19"/>
      <c r="BQ571" s="17"/>
    </row>
    <row r="572" spans="1:69" x14ac:dyDescent="0.2">
      <c r="A572" t="str">
        <f t="shared" si="96"/>
        <v/>
      </c>
      <c r="E572" s="4"/>
      <c r="F572" s="44"/>
      <c r="G572" s="4"/>
      <c r="H572" s="47"/>
      <c r="J572" s="45" t="str">
        <f t="shared" si="97"/>
        <v/>
      </c>
      <c r="N572" t="str">
        <f t="shared" si="99"/>
        <v/>
      </c>
      <c r="Q572" t="str">
        <f t="shared" si="98"/>
        <v/>
      </c>
      <c r="S572" t="str">
        <f>IF(A572=1,MAX(S$2:S571)+1,IF(OR(I572&lt;&gt;"",A572="x"),S571,""))</f>
        <v/>
      </c>
      <c r="T572" t="str">
        <f>IF(D572=1,MAX($T$2:$T571)+1,IF(S572=$S571,$S571,IF($D572="x",T571,IF($D571="x","",""))))</f>
        <v/>
      </c>
      <c r="U572" t="str">
        <f>IF(B572=1,MAX($U$2:$U571)+1,IF(AND($T572&lt;&gt;"",$T572=$T571),$U571,IF(B572="x",U571,"")))</f>
        <v/>
      </c>
      <c r="V572" t="str">
        <f>IF(C572=1,MAX($V$2:$V571)+1,IF(AND($T572&lt;&gt;"",$T572=$T571),$U571,IF(C572="x",V571,"")))</f>
        <v/>
      </c>
      <c r="W572" t="str" cm="1">
        <f t="array" ref="W572">IFERROR(_xlfn._xlws.FILTER(game_rosters!AB:AB,(game_rosters!J:J=events!X572)*(K572&lt;&gt;"")),"")</f>
        <v/>
      </c>
      <c r="X572" t="str" cm="1">
        <f t="array" ref="X572">IF(S572="","",IF($I572&lt;&gt;"",$I572,INDEX($I$2:$I571,ROW()-COUNTIFS($T$2:$T571,"="&amp;$T572,$S$2:$S571,"&lt;&gt;"&amp;$S572)-1)))</f>
        <v/>
      </c>
      <c r="Y572" t="b">
        <f>IF(X572&lt;&gt;"",VLOOKUP(X572,game_rosters!$C$43:$E$64,3,FALSE))</f>
        <v>0</v>
      </c>
      <c r="Z572" t="e" cm="1" vm="1">
        <f t="array" aca="1" ref="Z572" ca="1">IFERROR(IF(_xlfn._xlws.FILTER(game_rosters!$J:$J,(game_rosters!$G:$G=events!$AN572)*(game_rosters!$J:$J=events!$X572))&gt;0,1,""),"")</f>
        <v>#VALUE!</v>
      </c>
      <c r="AA572" t="e">
        <f t="shared" si="94"/>
        <v>#VALUE!</v>
      </c>
      <c r="AB572" t="str">
        <f t="shared" si="95"/>
        <v/>
      </c>
      <c r="AC572" t="e">
        <f t="shared" si="93"/>
        <v>#VALUE!</v>
      </c>
      <c r="AD572" s="6"/>
      <c r="BJ572" s="39"/>
      <c r="BM572" s="39"/>
      <c r="BO572" s="19"/>
      <c r="BQ572" s="17"/>
    </row>
    <row r="573" spans="1:69" x14ac:dyDescent="0.2">
      <c r="A573" t="str">
        <f t="shared" si="96"/>
        <v/>
      </c>
      <c r="E573" s="4"/>
      <c r="F573" s="44"/>
      <c r="G573" s="4"/>
      <c r="H573" s="47"/>
      <c r="J573" s="45" t="str">
        <f t="shared" si="97"/>
        <v/>
      </c>
      <c r="N573" t="str">
        <f t="shared" si="99"/>
        <v/>
      </c>
      <c r="Q573" t="str">
        <f t="shared" si="98"/>
        <v/>
      </c>
      <c r="S573" t="str">
        <f>IF(A573=1,MAX(S$2:S572)+1,IF(OR(I573&lt;&gt;"",A573="x"),S572,""))</f>
        <v/>
      </c>
      <c r="T573" t="str">
        <f>IF(D573=1,MAX($T$2:$T572)+1,IF(S573=$S572,$S572,IF($D573="x",T572,IF($D572="x","",""))))</f>
        <v/>
      </c>
      <c r="U573" t="str">
        <f>IF(B573=1,MAX($U$2:$U572)+1,IF(AND($T573&lt;&gt;"",$T573=$T572),$U572,IF(B573="x",U572,"")))</f>
        <v/>
      </c>
      <c r="V573" t="str">
        <f>IF(C573=1,MAX($V$2:$V572)+1,IF(AND($T573&lt;&gt;"",$T573=$T572),$U572,IF(C573="x",V572,"")))</f>
        <v/>
      </c>
      <c r="W573" t="str" cm="1">
        <f t="array" ref="W573">IFERROR(_xlfn._xlws.FILTER(game_rosters!AB:AB,(game_rosters!J:J=events!X573)*(K573&lt;&gt;"")),"")</f>
        <v/>
      </c>
      <c r="X573" t="str" cm="1">
        <f t="array" ref="X573">IF(S573="","",IF($I573&lt;&gt;"",$I573,INDEX($I$2:$I572,ROW()-COUNTIFS($T$2:$T572,"="&amp;$T573,$S$2:$S572,"&lt;&gt;"&amp;$S573)-1)))</f>
        <v/>
      </c>
      <c r="Y573" t="b">
        <f>IF(X573&lt;&gt;"",VLOOKUP(X573,game_rosters!$C$43:$E$64,3,FALSE))</f>
        <v>0</v>
      </c>
      <c r="Z573" t="e" cm="1" vm="1">
        <f t="array" aca="1" ref="Z573" ca="1">IFERROR(IF(_xlfn._xlws.FILTER(game_rosters!$J:$J,(game_rosters!$G:$G=events!$AN573)*(game_rosters!$J:$J=events!$X573))&gt;0,1,""),"")</f>
        <v>#VALUE!</v>
      </c>
      <c r="AA573" t="e">
        <f t="shared" si="94"/>
        <v>#VALUE!</v>
      </c>
      <c r="AB573" t="str">
        <f t="shared" si="95"/>
        <v/>
      </c>
      <c r="AC573" t="e">
        <f t="shared" si="93"/>
        <v>#VALUE!</v>
      </c>
      <c r="AD573" s="6"/>
      <c r="BJ573" s="39"/>
      <c r="BM573" s="39"/>
      <c r="BO573" s="19"/>
      <c r="BQ573" s="17"/>
    </row>
    <row r="574" spans="1:69" x14ac:dyDescent="0.2">
      <c r="A574" t="str">
        <f t="shared" si="96"/>
        <v/>
      </c>
      <c r="E574" s="4"/>
      <c r="F574" s="44"/>
      <c r="G574" s="4"/>
      <c r="H574" s="47"/>
      <c r="J574" s="45" t="str">
        <f t="shared" si="97"/>
        <v/>
      </c>
      <c r="N574" t="str">
        <f t="shared" si="99"/>
        <v/>
      </c>
      <c r="Q574" t="str">
        <f t="shared" si="98"/>
        <v/>
      </c>
      <c r="S574" t="str">
        <f>IF(A574=1,MAX(S$2:S573)+1,IF(OR(I574&lt;&gt;"",A574="x"),S573,""))</f>
        <v/>
      </c>
      <c r="T574" t="str">
        <f>IF(D574=1,MAX($T$2:$T573)+1,IF(S574=$S573,$S573,IF($D574="x",T573,IF($D573="x","",""))))</f>
        <v/>
      </c>
      <c r="U574" t="str">
        <f>IF(B574=1,MAX($U$2:$U573)+1,IF(AND($T574&lt;&gt;"",$T574=$T573),$U573,IF(B574="x",U573,"")))</f>
        <v/>
      </c>
      <c r="V574" t="str">
        <f>IF(C574=1,MAX($V$2:$V573)+1,IF(AND($T574&lt;&gt;"",$T574=$T573),$U573,IF(C574="x",V573,"")))</f>
        <v/>
      </c>
      <c r="W574" t="str" cm="1">
        <f t="array" ref="W574">IFERROR(_xlfn._xlws.FILTER(game_rosters!AB:AB,(game_rosters!J:J=events!X574)*(K574&lt;&gt;"")),"")</f>
        <v/>
      </c>
      <c r="X574" t="str" cm="1">
        <f t="array" ref="X574">IF(S574="","",IF($I574&lt;&gt;"",$I574,INDEX($I$2:$I573,ROW()-COUNTIFS($T$2:$T573,"="&amp;$T574,$S$2:$S573,"&lt;&gt;"&amp;$S574)-1)))</f>
        <v/>
      </c>
      <c r="Y574" t="b">
        <f>IF(X574&lt;&gt;"",VLOOKUP(X574,game_rosters!$C$43:$E$64,3,FALSE))</f>
        <v>0</v>
      </c>
      <c r="Z574" t="e" cm="1" vm="1">
        <f t="array" aca="1" ref="Z574" ca="1">IFERROR(IF(_xlfn._xlws.FILTER(game_rosters!$J:$J,(game_rosters!$G:$G=events!$AN574)*(game_rosters!$J:$J=events!$X574))&gt;0,1,""),"")</f>
        <v>#VALUE!</v>
      </c>
      <c r="AA574" t="e">
        <f t="shared" si="94"/>
        <v>#VALUE!</v>
      </c>
      <c r="AB574" t="str">
        <f t="shared" si="95"/>
        <v/>
      </c>
      <c r="AC574" t="e">
        <f t="shared" si="93"/>
        <v>#VALUE!</v>
      </c>
      <c r="AD574" s="6"/>
      <c r="BJ574" s="39"/>
      <c r="BM574" s="39"/>
      <c r="BO574" s="19"/>
      <c r="BQ574" s="17"/>
    </row>
    <row r="575" spans="1:69" x14ac:dyDescent="0.2">
      <c r="A575" t="str">
        <f t="shared" si="96"/>
        <v/>
      </c>
      <c r="E575" s="4"/>
      <c r="F575" s="44"/>
      <c r="G575" s="4"/>
      <c r="H575" s="47"/>
      <c r="J575" s="45" t="str">
        <f t="shared" si="97"/>
        <v/>
      </c>
      <c r="N575" t="str">
        <f t="shared" si="99"/>
        <v/>
      </c>
      <c r="Q575" t="str">
        <f t="shared" si="98"/>
        <v/>
      </c>
      <c r="S575" t="str">
        <f>IF(A575=1,MAX(S$2:S574)+1,IF(OR(I575&lt;&gt;"",A575="x"),S574,""))</f>
        <v/>
      </c>
      <c r="T575" t="str">
        <f>IF(D575=1,MAX($T$2:$T574)+1,IF(S575=$S574,$S574,IF($D575="x",T574,IF($D574="x","",""))))</f>
        <v/>
      </c>
      <c r="U575" t="str">
        <f>IF(B575=1,MAX($U$2:$U574)+1,IF(AND($T575&lt;&gt;"",$T575=$T574),$U574,IF(B575="x",U574,"")))</f>
        <v/>
      </c>
      <c r="V575" t="str">
        <f>IF(C575=1,MAX($V$2:$V574)+1,IF(AND($T575&lt;&gt;"",$T575=$T574),$U574,IF(C575="x",V574,"")))</f>
        <v/>
      </c>
      <c r="W575" t="str" cm="1">
        <f t="array" ref="W575">IFERROR(_xlfn._xlws.FILTER(game_rosters!AB:AB,(game_rosters!J:J=events!X575)*(K575&lt;&gt;"")),"")</f>
        <v/>
      </c>
      <c r="X575" t="str" cm="1">
        <f t="array" ref="X575">IF(S575="","",IF($I575&lt;&gt;"",$I575,INDEX($I$2:$I574,ROW()-COUNTIFS($T$2:$T574,"="&amp;$T575,$S$2:$S574,"&lt;&gt;"&amp;$S575)-1)))</f>
        <v/>
      </c>
      <c r="Y575" t="b">
        <f>IF(X575&lt;&gt;"",VLOOKUP(X575,game_rosters!$C$43:$E$64,3,FALSE))</f>
        <v>0</v>
      </c>
      <c r="Z575" t="e" cm="1" vm="1">
        <f t="array" aca="1" ref="Z575" ca="1">IFERROR(IF(_xlfn._xlws.FILTER(game_rosters!$J:$J,(game_rosters!$G:$G=events!$AN575)*(game_rosters!$J:$J=events!$X575))&gt;0,1,""),"")</f>
        <v>#VALUE!</v>
      </c>
      <c r="AA575" t="e">
        <f t="shared" si="94"/>
        <v>#VALUE!</v>
      </c>
      <c r="AB575" t="str">
        <f t="shared" si="95"/>
        <v/>
      </c>
      <c r="AC575" t="e">
        <f t="shared" si="93"/>
        <v>#VALUE!</v>
      </c>
      <c r="AD575" s="6"/>
      <c r="BJ575" s="39"/>
      <c r="BM575" s="39"/>
      <c r="BO575" s="19"/>
      <c r="BQ575" s="17"/>
    </row>
    <row r="576" spans="1:69" x14ac:dyDescent="0.2">
      <c r="A576" t="str">
        <f t="shared" si="96"/>
        <v/>
      </c>
      <c r="E576" s="4"/>
      <c r="F576" s="44"/>
      <c r="G576" s="4"/>
      <c r="H576" s="47"/>
      <c r="J576" s="45" t="str">
        <f t="shared" si="97"/>
        <v/>
      </c>
      <c r="N576" t="str">
        <f t="shared" si="99"/>
        <v/>
      </c>
      <c r="Q576" t="str">
        <f t="shared" si="98"/>
        <v/>
      </c>
      <c r="S576" t="str">
        <f>IF(A576=1,MAX(S$2:S575)+1,IF(OR(I576&lt;&gt;"",A576="x"),S575,""))</f>
        <v/>
      </c>
      <c r="T576" t="str">
        <f>IF(D576=1,MAX($T$2:$T575)+1,IF(S576=$S575,$S575,IF($D576="x",T575,IF($D575="x","",""))))</f>
        <v/>
      </c>
      <c r="U576" t="str">
        <f>IF(B576=1,MAX($U$2:$U575)+1,IF(AND($T576&lt;&gt;"",$T576=$T575),$U575,IF(B576="x",U575,"")))</f>
        <v/>
      </c>
      <c r="V576" t="str">
        <f>IF(C576=1,MAX($V$2:$V575)+1,IF(AND($T576&lt;&gt;"",$T576=$T575),$U575,IF(C576="x",V575,"")))</f>
        <v/>
      </c>
      <c r="W576" t="str" cm="1">
        <f t="array" ref="W576">IFERROR(_xlfn._xlws.FILTER(game_rosters!AB:AB,(game_rosters!J:J=events!X576)*(K576&lt;&gt;"")),"")</f>
        <v/>
      </c>
      <c r="X576" t="str" cm="1">
        <f t="array" ref="X576">IF(S576="","",IF($I576&lt;&gt;"",$I576,INDEX($I$2:$I575,ROW()-COUNTIFS($T$2:$T575,"="&amp;$T576,$S$2:$S575,"&lt;&gt;"&amp;$S576)-1)))</f>
        <v/>
      </c>
      <c r="Y576" t="b">
        <f>IF(X576&lt;&gt;"",VLOOKUP(X576,game_rosters!$C$43:$E$64,3,FALSE))</f>
        <v>0</v>
      </c>
      <c r="Z576" t="e" cm="1" vm="1">
        <f t="array" aca="1" ref="Z576" ca="1">IFERROR(IF(_xlfn._xlws.FILTER(game_rosters!$J:$J,(game_rosters!$G:$G=events!$AN576)*(game_rosters!$J:$J=events!$X576))&gt;0,1,""),"")</f>
        <v>#VALUE!</v>
      </c>
      <c r="AA576" t="e">
        <f t="shared" si="94"/>
        <v>#VALUE!</v>
      </c>
      <c r="AB576" t="str">
        <f t="shared" si="95"/>
        <v/>
      </c>
      <c r="AC576" t="e">
        <f t="shared" si="93"/>
        <v>#VALUE!</v>
      </c>
      <c r="AD576" s="6"/>
      <c r="BJ576" s="39"/>
      <c r="BM576" s="39"/>
      <c r="BO576" s="19"/>
      <c r="BQ576" s="17"/>
    </row>
    <row r="577" spans="1:69" x14ac:dyDescent="0.2">
      <c r="A577" t="str">
        <f t="shared" si="96"/>
        <v/>
      </c>
      <c r="E577" s="4"/>
      <c r="F577" s="44"/>
      <c r="G577" s="4"/>
      <c r="H577" s="47"/>
      <c r="J577" s="45" t="str">
        <f t="shared" si="97"/>
        <v/>
      </c>
      <c r="N577" t="str">
        <f t="shared" si="99"/>
        <v/>
      </c>
      <c r="Q577" t="str">
        <f t="shared" si="98"/>
        <v/>
      </c>
      <c r="S577" t="str">
        <f>IF(A577=1,MAX(S$2:S576)+1,IF(OR(I577&lt;&gt;"",A577="x"),S576,""))</f>
        <v/>
      </c>
      <c r="T577" t="str">
        <f>IF(D577=1,MAX($T$2:$T576)+1,IF(S577=$S576,$S576,IF($D577="x",T576,IF($D576="x","",""))))</f>
        <v/>
      </c>
      <c r="U577" t="str">
        <f>IF(B577=1,MAX($U$2:$U576)+1,IF(AND($T577&lt;&gt;"",$T577=$T576),$U576,IF(B577="x",U576,"")))</f>
        <v/>
      </c>
      <c r="V577" t="str">
        <f>IF(C577=1,MAX($V$2:$V576)+1,IF(AND($T577&lt;&gt;"",$T577=$T576),$U576,IF(C577="x",V576,"")))</f>
        <v/>
      </c>
      <c r="W577" t="str" cm="1">
        <f t="array" ref="W577">IFERROR(_xlfn._xlws.FILTER(game_rosters!AB:AB,(game_rosters!J:J=events!X577)*(K577&lt;&gt;"")),"")</f>
        <v/>
      </c>
      <c r="X577" t="str" cm="1">
        <f t="array" ref="X577">IF(S577="","",IF($I577&lt;&gt;"",$I577,INDEX($I$2:$I576,ROW()-COUNTIFS($T$2:$T576,"="&amp;$T577,$S$2:$S576,"&lt;&gt;"&amp;$S577)-1)))</f>
        <v/>
      </c>
      <c r="Y577" t="b">
        <f>IF(X577&lt;&gt;"",VLOOKUP(X577,game_rosters!$C$43:$E$64,3,FALSE))</f>
        <v>0</v>
      </c>
      <c r="Z577" t="e" cm="1" vm="1">
        <f t="array" aca="1" ref="Z577" ca="1">IFERROR(IF(_xlfn._xlws.FILTER(game_rosters!$J:$J,(game_rosters!$G:$G=events!$AN577)*(game_rosters!$J:$J=events!$X577))&gt;0,1,""),"")</f>
        <v>#VALUE!</v>
      </c>
      <c r="AA577" t="e">
        <f t="shared" si="94"/>
        <v>#VALUE!</v>
      </c>
      <c r="AB577" t="str">
        <f t="shared" si="95"/>
        <v/>
      </c>
      <c r="AC577" t="e">
        <f t="shared" si="93"/>
        <v>#VALUE!</v>
      </c>
      <c r="AD577" s="6"/>
      <c r="BJ577" s="39"/>
      <c r="BM577" s="39"/>
      <c r="BO577" s="19"/>
      <c r="BQ577" s="17"/>
    </row>
    <row r="578" spans="1:69" x14ac:dyDescent="0.2">
      <c r="A578" t="str">
        <f t="shared" si="96"/>
        <v/>
      </c>
      <c r="E578" s="4"/>
      <c r="F578" s="44"/>
      <c r="G578" s="4"/>
      <c r="H578" s="47"/>
      <c r="J578" s="45" t="str">
        <f t="shared" si="97"/>
        <v/>
      </c>
      <c r="N578" t="str">
        <f t="shared" si="99"/>
        <v/>
      </c>
      <c r="Q578" t="str">
        <f t="shared" si="98"/>
        <v/>
      </c>
      <c r="S578" t="str">
        <f>IF(A578=1,MAX(S$2:S577)+1,IF(OR(I578&lt;&gt;"",A578="x"),S577,""))</f>
        <v/>
      </c>
      <c r="T578" t="str">
        <f>IF(D578=1,MAX($T$2:$T577)+1,IF(S578=$S577,$S577,IF($D578="x",T577,IF($D577="x","",""))))</f>
        <v/>
      </c>
      <c r="U578" t="str">
        <f>IF(B578=1,MAX($U$2:$U577)+1,IF(AND($T578&lt;&gt;"",$T578=$T577),$U577,IF(B578="x",U577,"")))</f>
        <v/>
      </c>
      <c r="V578" t="str">
        <f>IF(C578=1,MAX($V$2:$V577)+1,IF(AND($T578&lt;&gt;"",$T578=$T577),$U577,IF(C578="x",V577,"")))</f>
        <v/>
      </c>
      <c r="W578" t="str" cm="1">
        <f t="array" ref="W578">IFERROR(_xlfn._xlws.FILTER(game_rosters!AB:AB,(game_rosters!J:J=events!X578)*(K578&lt;&gt;"")),"")</f>
        <v/>
      </c>
      <c r="X578" t="str" cm="1">
        <f t="array" ref="X578">IF(S578="","",IF($I578&lt;&gt;"",$I578,INDEX($I$2:$I577,ROW()-COUNTIFS($T$2:$T577,"="&amp;$T578,$S$2:$S577,"&lt;&gt;"&amp;$S578)-1)))</f>
        <v/>
      </c>
      <c r="Y578" t="b">
        <f>IF(X578&lt;&gt;"",VLOOKUP(X578,game_rosters!$C$43:$E$64,3,FALSE))</f>
        <v>0</v>
      </c>
      <c r="Z578" t="e" cm="1" vm="1">
        <f t="array" aca="1" ref="Z578" ca="1">IFERROR(IF(_xlfn._xlws.FILTER(game_rosters!$J:$J,(game_rosters!$G:$G=events!$AN578)*(game_rosters!$J:$J=events!$X578))&gt;0,1,""),"")</f>
        <v>#VALUE!</v>
      </c>
      <c r="AA578" t="e">
        <f t="shared" si="94"/>
        <v>#VALUE!</v>
      </c>
      <c r="AB578" t="str">
        <f t="shared" si="95"/>
        <v/>
      </c>
      <c r="AC578" t="e">
        <f t="shared" ref="AC578:AC641" si="100">IF(AB578&lt;&gt;"",AB578,S578+1000)</f>
        <v>#VALUE!</v>
      </c>
      <c r="AD578" s="6"/>
      <c r="BJ578" s="39"/>
      <c r="BM578" s="39"/>
      <c r="BO578" s="19"/>
      <c r="BQ578" s="17"/>
    </row>
    <row r="579" spans="1:69" x14ac:dyDescent="0.2">
      <c r="A579" t="str">
        <f t="shared" si="96"/>
        <v/>
      </c>
      <c r="E579" s="4"/>
      <c r="F579" s="44"/>
      <c r="G579" s="4"/>
      <c r="H579" s="47"/>
      <c r="J579" s="45" t="str">
        <f t="shared" si="97"/>
        <v/>
      </c>
      <c r="N579" t="str">
        <f t="shared" si="99"/>
        <v/>
      </c>
      <c r="Q579" t="str">
        <f t="shared" si="98"/>
        <v/>
      </c>
      <c r="S579" t="str">
        <f>IF(A579=1,MAX(S$2:S578)+1,IF(OR(I579&lt;&gt;"",A579="x"),S578,""))</f>
        <v/>
      </c>
      <c r="T579" t="str">
        <f>IF(D579=1,MAX($T$2:$T578)+1,IF(S579=$S578,$S578,IF($D579="x",T578,IF($D578="x","",""))))</f>
        <v/>
      </c>
      <c r="U579" t="str">
        <f>IF(B579=1,MAX($U$2:$U578)+1,IF(AND($T579&lt;&gt;"",$T579=$T578),$U578,IF(B579="x",U578,"")))</f>
        <v/>
      </c>
      <c r="V579" t="str">
        <f>IF(C579=1,MAX($V$2:$V578)+1,IF(AND($T579&lt;&gt;"",$T579=$T578),$U578,IF(C579="x",V578,"")))</f>
        <v/>
      </c>
      <c r="W579" t="str" cm="1">
        <f t="array" ref="W579">IFERROR(_xlfn._xlws.FILTER(game_rosters!AB:AB,(game_rosters!J:J=events!X579)*(K579&lt;&gt;"")),"")</f>
        <v/>
      </c>
      <c r="X579" t="str" cm="1">
        <f t="array" ref="X579">IF(S579="","",IF($I579&lt;&gt;"",$I579,INDEX($I$2:$I578,ROW()-COUNTIFS($T$2:$T578,"="&amp;$T579,$S$2:$S578,"&lt;&gt;"&amp;$S579)-1)))</f>
        <v/>
      </c>
      <c r="Y579" t="b">
        <f>IF(X579&lt;&gt;"",VLOOKUP(X579,game_rosters!$C$43:$E$64,3,FALSE))</f>
        <v>0</v>
      </c>
      <c r="Z579" t="e" cm="1" vm="1">
        <f t="array" aca="1" ref="Z579" ca="1">IFERROR(IF(_xlfn._xlws.FILTER(game_rosters!$J:$J,(game_rosters!$G:$G=events!$AN579)*(game_rosters!$J:$J=events!$X579))&gt;0,1,""),"")</f>
        <v>#VALUE!</v>
      </c>
      <c r="AA579" t="e">
        <f t="shared" si="94"/>
        <v>#VALUE!</v>
      </c>
      <c r="AB579" t="str">
        <f t="shared" si="95"/>
        <v/>
      </c>
      <c r="AC579" t="e">
        <f t="shared" si="100"/>
        <v>#VALUE!</v>
      </c>
      <c r="AD579" s="6"/>
      <c r="BJ579" s="39"/>
      <c r="BM579" s="39"/>
      <c r="BO579" s="19"/>
      <c r="BQ579" s="17"/>
    </row>
    <row r="580" spans="1:69" x14ac:dyDescent="0.2">
      <c r="A580" t="str">
        <f t="shared" si="96"/>
        <v/>
      </c>
      <c r="E580" s="4"/>
      <c r="F580" s="44"/>
      <c r="G580" s="4"/>
      <c r="H580" s="47"/>
      <c r="J580" s="45" t="str">
        <f t="shared" si="97"/>
        <v/>
      </c>
      <c r="N580" t="str">
        <f t="shared" si="99"/>
        <v/>
      </c>
      <c r="Q580" t="str">
        <f t="shared" si="98"/>
        <v/>
      </c>
      <c r="S580" t="str">
        <f>IF(A580=1,MAX(S$2:S579)+1,IF(OR(I580&lt;&gt;"",A580="x"),S579,""))</f>
        <v/>
      </c>
      <c r="T580" t="str">
        <f>IF(D580=1,MAX($T$2:$T579)+1,IF(S580=$S579,$S579,IF($D580="x",T579,IF($D579="x","",""))))</f>
        <v/>
      </c>
      <c r="U580" t="str">
        <f>IF(B580=1,MAX($U$2:$U579)+1,IF(AND($T580&lt;&gt;"",$T580=$T579),$U579,IF(B580="x",U579,"")))</f>
        <v/>
      </c>
      <c r="V580" t="str">
        <f>IF(C580=1,MAX($V$2:$V579)+1,IF(AND($T580&lt;&gt;"",$T580=$T579),$U579,IF(C580="x",V579,"")))</f>
        <v/>
      </c>
      <c r="W580" t="str" cm="1">
        <f t="array" ref="W580">IFERROR(_xlfn._xlws.FILTER(game_rosters!AB:AB,(game_rosters!J:J=events!X580)*(K580&lt;&gt;"")),"")</f>
        <v/>
      </c>
      <c r="X580" t="str" cm="1">
        <f t="array" ref="X580">IF(S580="","",IF($I580&lt;&gt;"",$I580,INDEX($I$2:$I579,ROW()-COUNTIFS($T$2:$T579,"="&amp;$T580,$S$2:$S579,"&lt;&gt;"&amp;$S580)-1)))</f>
        <v/>
      </c>
      <c r="Y580" t="b">
        <f>IF(X580&lt;&gt;"",VLOOKUP(X580,game_rosters!$C$43:$E$64,3,FALSE))</f>
        <v>0</v>
      </c>
      <c r="Z580" t="e" cm="1" vm="1">
        <f t="array" aca="1" ref="Z580" ca="1">IFERROR(IF(_xlfn._xlws.FILTER(game_rosters!$J:$J,(game_rosters!$G:$G=events!$AN580)*(game_rosters!$J:$J=events!$X580))&gt;0,1,""),"")</f>
        <v>#VALUE!</v>
      </c>
      <c r="AA580" t="e">
        <f t="shared" ref="AA580:AA643" si="101">S580+1000</f>
        <v>#VALUE!</v>
      </c>
      <c r="AB580" t="str">
        <f t="shared" ref="AB580:AB643" si="102">IF(T580&lt;&gt;"",9000+T580,"")</f>
        <v/>
      </c>
      <c r="AC580" t="e">
        <f t="shared" si="100"/>
        <v>#VALUE!</v>
      </c>
      <c r="AD580" s="6"/>
      <c r="BJ580" s="39"/>
      <c r="BM580" s="39"/>
      <c r="BO580" s="19"/>
      <c r="BQ580" s="17"/>
    </row>
    <row r="581" spans="1:69" x14ac:dyDescent="0.2">
      <c r="A581" t="str">
        <f t="shared" ref="A581:A644" si="103">IF(K581&lt;&gt;"",1,IF(D581="x","x",""))</f>
        <v/>
      </c>
      <c r="E581" s="4"/>
      <c r="F581" s="44"/>
      <c r="G581" s="4"/>
      <c r="H581" s="47"/>
      <c r="J581" s="45" t="str">
        <f t="shared" si="97"/>
        <v/>
      </c>
      <c r="N581" t="str">
        <f t="shared" si="99"/>
        <v/>
      </c>
      <c r="Q581" t="str">
        <f t="shared" si="98"/>
        <v/>
      </c>
      <c r="S581" t="str">
        <f>IF(A581=1,MAX(S$2:S580)+1,IF(OR(I581&lt;&gt;"",A581="x"),S580,""))</f>
        <v/>
      </c>
      <c r="T581" t="str">
        <f>IF(D581=1,MAX($T$2:$T580)+1,IF(S581=$S580,$S580,IF($D581="x",T580,IF($D580="x","",""))))</f>
        <v/>
      </c>
      <c r="U581" t="str">
        <f>IF(B581=1,MAX($U$2:$U580)+1,IF(AND($T581&lt;&gt;"",$T581=$T580),$U580,IF(B581="x",U580,"")))</f>
        <v/>
      </c>
      <c r="V581" t="str">
        <f>IF(C581=1,MAX($V$2:$V580)+1,IF(AND($T581&lt;&gt;"",$T581=$T580),$U580,IF(C581="x",V580,"")))</f>
        <v/>
      </c>
      <c r="W581" t="str" cm="1">
        <f t="array" ref="W581">IFERROR(_xlfn._xlws.FILTER(game_rosters!AB:AB,(game_rosters!J:J=events!X581)*(K581&lt;&gt;"")),"")</f>
        <v/>
      </c>
      <c r="X581" t="str" cm="1">
        <f t="array" ref="X581">IF(S581="","",IF($I581&lt;&gt;"",$I581,INDEX($I$2:$I580,ROW()-COUNTIFS($T$2:$T580,"="&amp;$T581,$S$2:$S580,"&lt;&gt;"&amp;$S581)-1)))</f>
        <v/>
      </c>
      <c r="Y581" t="b">
        <f>IF(X581&lt;&gt;"",VLOOKUP(X581,game_rosters!$C$43:$E$64,3,FALSE))</f>
        <v>0</v>
      </c>
      <c r="Z581" t="e" cm="1" vm="1">
        <f t="array" aca="1" ref="Z581" ca="1">IFERROR(IF(_xlfn._xlws.FILTER(game_rosters!$J:$J,(game_rosters!$G:$G=events!$AN581)*(game_rosters!$J:$J=events!$X581))&gt;0,1,""),"")</f>
        <v>#VALUE!</v>
      </c>
      <c r="AA581" t="e">
        <f t="shared" si="101"/>
        <v>#VALUE!</v>
      </c>
      <c r="AB581" t="str">
        <f t="shared" si="102"/>
        <v/>
      </c>
      <c r="AC581" t="e">
        <f t="shared" si="100"/>
        <v>#VALUE!</v>
      </c>
      <c r="AD581" s="6"/>
      <c r="BJ581" s="39"/>
      <c r="BM581" s="39"/>
      <c r="BO581" s="19"/>
      <c r="BQ581" s="17"/>
    </row>
    <row r="582" spans="1:69" x14ac:dyDescent="0.2">
      <c r="A582" t="str">
        <f t="shared" si="103"/>
        <v/>
      </c>
      <c r="E582" s="4"/>
      <c r="F582" s="44"/>
      <c r="G582" s="4"/>
      <c r="H582" s="47"/>
      <c r="J582" s="45" t="str">
        <f t="shared" ref="J582:J645" si="104">IF(OR(K582="Goal",K582="Shot",L582="Zone_Entry",M582="Stoppage-Goal",M581="Stoppage-Goal"),"o",IF(OR(K582="Save",K582="Rebound",L582="Zone_Exit",M582="Stoppage-GoalieStoppage",M581="Stoppage-GoalieStoppage"),"d",IF(OR(L582="Faceoff_AfterGoal",L582="Faceoff_PeriodStart",698="Faceoff_GameStart",M581="Stoppage-Goal"),"n","")))</f>
        <v/>
      </c>
      <c r="N582" t="str">
        <f t="shared" si="99"/>
        <v/>
      </c>
      <c r="Q582" t="str">
        <f t="shared" si="98"/>
        <v/>
      </c>
      <c r="S582" t="str">
        <f>IF(A582=1,MAX(S$2:S581)+1,IF(OR(I582&lt;&gt;"",A582="x"),S581,""))</f>
        <v/>
      </c>
      <c r="T582" t="str">
        <f>IF(D582=1,MAX($T$2:$T581)+1,IF(S582=$S581,$S581,IF($D582="x",T581,IF($D581="x","",""))))</f>
        <v/>
      </c>
      <c r="U582" t="str">
        <f>IF(B582=1,MAX($U$2:$U581)+1,IF(AND($T582&lt;&gt;"",$T582=$T581),$U581,IF(B582="x",U581,"")))</f>
        <v/>
      </c>
      <c r="V582" t="str">
        <f>IF(C582=1,MAX($V$2:$V581)+1,IF(AND($T582&lt;&gt;"",$T582=$T581),$U581,IF(C582="x",V581,"")))</f>
        <v/>
      </c>
      <c r="W582" t="str" cm="1">
        <f t="array" ref="W582">IFERROR(_xlfn._xlws.FILTER(game_rosters!AB:AB,(game_rosters!J:J=events!X582)*(K582&lt;&gt;"")),"")</f>
        <v/>
      </c>
      <c r="X582" t="str" cm="1">
        <f t="array" ref="X582">IF(S582="","",IF($I582&lt;&gt;"",$I582,INDEX($I$2:$I581,ROW()-COUNTIFS($T$2:$T581,"="&amp;$T582,$S$2:$S581,"&lt;&gt;"&amp;$S582)-1)))</f>
        <v/>
      </c>
      <c r="Y582" t="b">
        <f>IF(X582&lt;&gt;"",VLOOKUP(X582,game_rosters!$C$43:$E$64,3,FALSE))</f>
        <v>0</v>
      </c>
      <c r="Z582" t="e" cm="1" vm="1">
        <f t="array" aca="1" ref="Z582" ca="1">IFERROR(IF(_xlfn._xlws.FILTER(game_rosters!$J:$J,(game_rosters!$G:$G=events!$AN582)*(game_rosters!$J:$J=events!$X582))&gt;0,1,""),"")</f>
        <v>#VALUE!</v>
      </c>
      <c r="AA582" t="e">
        <f t="shared" si="101"/>
        <v>#VALUE!</v>
      </c>
      <c r="AB582" t="str">
        <f t="shared" si="102"/>
        <v/>
      </c>
      <c r="AC582" t="e">
        <f t="shared" si="100"/>
        <v>#VALUE!</v>
      </c>
      <c r="AD582" s="6"/>
      <c r="BJ582" s="39"/>
      <c r="BM582" s="39"/>
      <c r="BO582" s="19"/>
      <c r="BQ582" s="17"/>
    </row>
    <row r="583" spans="1:69" x14ac:dyDescent="0.2">
      <c r="A583" t="str">
        <f t="shared" si="103"/>
        <v/>
      </c>
      <c r="E583" s="4"/>
      <c r="F583" s="44"/>
      <c r="G583" s="4"/>
      <c r="H583" s="47"/>
      <c r="J583" s="45" t="str">
        <f t="shared" si="104"/>
        <v/>
      </c>
      <c r="N583" t="str">
        <f t="shared" si="99"/>
        <v/>
      </c>
      <c r="Q583" t="str">
        <f t="shared" si="98"/>
        <v/>
      </c>
      <c r="S583" t="str">
        <f>IF(A583=1,MAX(S$2:S582)+1,IF(OR(I583&lt;&gt;"",A583="x"),S582,""))</f>
        <v/>
      </c>
      <c r="T583" t="str">
        <f>IF(D583=1,MAX($T$2:$T582)+1,IF(S583=$S582,$S582,IF($D583="x",T582,IF($D582="x","",""))))</f>
        <v/>
      </c>
      <c r="U583" t="str">
        <f>IF(B583=1,MAX($U$2:$U582)+1,IF(AND($T583&lt;&gt;"",$T583=$T582),$U582,IF(B583="x",U582,"")))</f>
        <v/>
      </c>
      <c r="V583" t="str">
        <f>IF(C583=1,MAX($V$2:$V582)+1,IF(AND($T583&lt;&gt;"",$T583=$T582),$U582,IF(C583="x",V582,"")))</f>
        <v/>
      </c>
      <c r="W583" t="str" cm="1">
        <f t="array" ref="W583">IFERROR(_xlfn._xlws.FILTER(game_rosters!AB:AB,(game_rosters!J:J=events!X583)*(K583&lt;&gt;"")),"")</f>
        <v/>
      </c>
      <c r="X583" t="str" cm="1">
        <f t="array" ref="X583">IF(S583="","",IF($I583&lt;&gt;"",$I583,INDEX($I$2:$I582,ROW()-COUNTIFS($T$2:$T582,"="&amp;$T583,$S$2:$S582,"&lt;&gt;"&amp;$S583)-1)))</f>
        <v/>
      </c>
      <c r="Y583" t="b">
        <f>IF(X583&lt;&gt;"",VLOOKUP(X583,game_rosters!$C$43:$E$64,3,FALSE))</f>
        <v>0</v>
      </c>
      <c r="Z583" t="e" cm="1" vm="1">
        <f t="array" aca="1" ref="Z583" ca="1">IFERROR(IF(_xlfn._xlws.FILTER(game_rosters!$J:$J,(game_rosters!$G:$G=events!$AN583)*(game_rosters!$J:$J=events!$X583))&gt;0,1,""),"")</f>
        <v>#VALUE!</v>
      </c>
      <c r="AA583" t="e">
        <f t="shared" si="101"/>
        <v>#VALUE!</v>
      </c>
      <c r="AB583" t="str">
        <f t="shared" si="102"/>
        <v/>
      </c>
      <c r="AC583" t="e">
        <f t="shared" si="100"/>
        <v>#VALUE!</v>
      </c>
      <c r="AD583" s="6"/>
      <c r="BJ583" s="39"/>
      <c r="BM583" s="39"/>
      <c r="BO583" s="19"/>
      <c r="BQ583" s="17"/>
    </row>
    <row r="584" spans="1:69" x14ac:dyDescent="0.2">
      <c r="A584" t="str">
        <f t="shared" si="103"/>
        <v/>
      </c>
      <c r="E584" s="4"/>
      <c r="F584" s="44"/>
      <c r="G584" s="4"/>
      <c r="H584" s="47"/>
      <c r="J584" s="45" t="str">
        <f t="shared" si="104"/>
        <v/>
      </c>
      <c r="N584" t="str">
        <f t="shared" si="99"/>
        <v/>
      </c>
      <c r="Q584" t="str">
        <f t="shared" si="98"/>
        <v/>
      </c>
      <c r="S584" t="str">
        <f>IF(A584=1,MAX(S$2:S583)+1,IF(OR(I584&lt;&gt;"",A584="x"),S583,""))</f>
        <v/>
      </c>
      <c r="T584" t="str">
        <f>IF(D584=1,MAX($T$2:$T583)+1,IF(S584=$S583,$S583,IF($D584="x",T583,IF($D583="x","",""))))</f>
        <v/>
      </c>
      <c r="U584" t="str">
        <f>IF(B584=1,MAX($U$2:$U583)+1,IF(AND($T584&lt;&gt;"",$T584=$T583),$U583,IF(B584="x",U583,"")))</f>
        <v/>
      </c>
      <c r="V584" t="str">
        <f>IF(C584=1,MAX($V$2:$V583)+1,IF(AND($T584&lt;&gt;"",$T584=$T583),$U583,IF(C584="x",V583,"")))</f>
        <v/>
      </c>
      <c r="W584" t="str" cm="1">
        <f t="array" ref="W584">IFERROR(_xlfn._xlws.FILTER(game_rosters!AB:AB,(game_rosters!J:J=events!X584)*(K584&lt;&gt;"")),"")</f>
        <v/>
      </c>
      <c r="X584" t="str" cm="1">
        <f t="array" ref="X584">IF(S584="","",IF($I584&lt;&gt;"",$I584,INDEX($I$2:$I583,ROW()-COUNTIFS($T$2:$T583,"="&amp;$T584,$S$2:$S583,"&lt;&gt;"&amp;$S584)-1)))</f>
        <v/>
      </c>
      <c r="Y584" t="b">
        <f>IF(X584&lt;&gt;"",VLOOKUP(X584,game_rosters!$C$43:$E$64,3,FALSE))</f>
        <v>0</v>
      </c>
      <c r="Z584" t="e" cm="1" vm="1">
        <f t="array" aca="1" ref="Z584" ca="1">IFERROR(IF(_xlfn._xlws.FILTER(game_rosters!$J:$J,(game_rosters!$G:$G=events!$AN584)*(game_rosters!$J:$J=events!$X584))&gt;0,1,""),"")</f>
        <v>#VALUE!</v>
      </c>
      <c r="AA584" t="e">
        <f t="shared" si="101"/>
        <v>#VALUE!</v>
      </c>
      <c r="AB584" t="str">
        <f t="shared" si="102"/>
        <v/>
      </c>
      <c r="AC584" t="e">
        <f t="shared" si="100"/>
        <v>#VALUE!</v>
      </c>
      <c r="AD584" s="6"/>
      <c r="BJ584" s="39"/>
      <c r="BM584" s="39"/>
      <c r="BO584" s="19"/>
      <c r="BQ584" s="17"/>
    </row>
    <row r="585" spans="1:69" x14ac:dyDescent="0.2">
      <c r="A585" t="str">
        <f t="shared" si="103"/>
        <v/>
      </c>
      <c r="E585" s="4"/>
      <c r="F585" s="44"/>
      <c r="G585" s="4"/>
      <c r="H585" s="47"/>
      <c r="J585" s="45" t="str">
        <f t="shared" si="104"/>
        <v/>
      </c>
      <c r="N585" t="str">
        <f t="shared" si="99"/>
        <v/>
      </c>
      <c r="Q585" t="str">
        <f t="shared" si="98"/>
        <v/>
      </c>
      <c r="S585" t="str">
        <f>IF(A585=1,MAX(S$2:S584)+1,IF(OR(I585&lt;&gt;"",A585="x"),S584,""))</f>
        <v/>
      </c>
      <c r="T585" t="str">
        <f>IF(D585=1,MAX($T$2:$T584)+1,IF(S585=$S584,$S584,IF($D585="x",T584,IF($D584="x","",""))))</f>
        <v/>
      </c>
      <c r="U585" t="str">
        <f>IF(B585=1,MAX($U$2:$U584)+1,IF(AND($T585&lt;&gt;"",$T585=$T584),$U584,IF(B585="x",U584,"")))</f>
        <v/>
      </c>
      <c r="V585" t="str">
        <f>IF(C585=1,MAX($V$2:$V584)+1,IF(AND($T585&lt;&gt;"",$T585=$T584),$U584,IF(C585="x",V584,"")))</f>
        <v/>
      </c>
      <c r="W585" t="str" cm="1">
        <f t="array" ref="W585">IFERROR(_xlfn._xlws.FILTER(game_rosters!AB:AB,(game_rosters!J:J=events!X585)*(K585&lt;&gt;"")),"")</f>
        <v/>
      </c>
      <c r="X585" t="str" cm="1">
        <f t="array" ref="X585">IF(S585="","",IF($I585&lt;&gt;"",$I585,INDEX($I$2:$I584,ROW()-COUNTIFS($T$2:$T584,"="&amp;$T585,$S$2:$S584,"&lt;&gt;"&amp;$S585)-1)))</f>
        <v/>
      </c>
      <c r="Y585" t="b">
        <f>IF(X585&lt;&gt;"",VLOOKUP(X585,game_rosters!$C$43:$E$64,3,FALSE))</f>
        <v>0</v>
      </c>
      <c r="Z585" t="e" cm="1" vm="1">
        <f t="array" aca="1" ref="Z585" ca="1">IFERROR(IF(_xlfn._xlws.FILTER(game_rosters!$J:$J,(game_rosters!$G:$G=events!$AN585)*(game_rosters!$J:$J=events!$X585))&gt;0,1,""),"")</f>
        <v>#VALUE!</v>
      </c>
      <c r="AA585" t="e">
        <f t="shared" si="101"/>
        <v>#VALUE!</v>
      </c>
      <c r="AB585" t="str">
        <f t="shared" si="102"/>
        <v/>
      </c>
      <c r="AC585" t="e">
        <f t="shared" si="100"/>
        <v>#VALUE!</v>
      </c>
      <c r="AD585" s="6"/>
      <c r="BJ585" s="39"/>
      <c r="BM585" s="39"/>
      <c r="BO585" s="19"/>
      <c r="BQ585" s="17"/>
    </row>
    <row r="586" spans="1:69" x14ac:dyDescent="0.2">
      <c r="A586" t="str">
        <f t="shared" si="103"/>
        <v/>
      </c>
      <c r="E586" s="4"/>
      <c r="F586" s="44"/>
      <c r="G586" s="4"/>
      <c r="H586" s="47"/>
      <c r="J586" s="45" t="str">
        <f t="shared" si="104"/>
        <v/>
      </c>
      <c r="N586" t="str">
        <f t="shared" si="99"/>
        <v/>
      </c>
      <c r="Q586" t="str">
        <f t="shared" si="98"/>
        <v/>
      </c>
      <c r="S586" t="str">
        <f>IF(A586=1,MAX(S$2:S585)+1,IF(OR(I586&lt;&gt;"",A586="x"),S585,""))</f>
        <v/>
      </c>
      <c r="T586" t="str">
        <f>IF(D586=1,MAX($T$2:$T585)+1,IF(S586=$S585,$S585,IF($D586="x",T585,IF($D585="x","",""))))</f>
        <v/>
      </c>
      <c r="U586" t="str">
        <f>IF(B586=1,MAX($U$2:$U585)+1,IF(AND($T586&lt;&gt;"",$T586=$T585),$U585,IF(B586="x",U585,"")))</f>
        <v/>
      </c>
      <c r="V586" t="str">
        <f>IF(C586=1,MAX($V$2:$V585)+1,IF(AND($T586&lt;&gt;"",$T586=$T585),$U585,IF(C586="x",V585,"")))</f>
        <v/>
      </c>
      <c r="W586" t="str" cm="1">
        <f t="array" ref="W586">IFERROR(_xlfn._xlws.FILTER(game_rosters!AB:AB,(game_rosters!J:J=events!X586)*(K586&lt;&gt;"")),"")</f>
        <v/>
      </c>
      <c r="X586" t="str" cm="1">
        <f t="array" ref="X586">IF(S586="","",IF($I586&lt;&gt;"",$I586,INDEX($I$2:$I585,ROW()-COUNTIFS($T$2:$T585,"="&amp;$T586,$S$2:$S585,"&lt;&gt;"&amp;$S586)-1)))</f>
        <v/>
      </c>
      <c r="Y586" t="b">
        <f>IF(X586&lt;&gt;"",VLOOKUP(X586,game_rosters!$C$43:$E$64,3,FALSE))</f>
        <v>0</v>
      </c>
      <c r="Z586" t="e" cm="1" vm="1">
        <f t="array" aca="1" ref="Z586" ca="1">IFERROR(IF(_xlfn._xlws.FILTER(game_rosters!$J:$J,(game_rosters!$G:$G=events!$AN586)*(game_rosters!$J:$J=events!$X586))&gt;0,1,""),"")</f>
        <v>#VALUE!</v>
      </c>
      <c r="AA586" t="e">
        <f t="shared" si="101"/>
        <v>#VALUE!</v>
      </c>
      <c r="AB586" t="str">
        <f t="shared" si="102"/>
        <v/>
      </c>
      <c r="AC586" t="e">
        <f t="shared" si="100"/>
        <v>#VALUE!</v>
      </c>
      <c r="AD586" s="6"/>
      <c r="BJ586" s="39"/>
      <c r="BM586" s="39"/>
      <c r="BO586" s="19"/>
      <c r="BQ586" s="17"/>
    </row>
    <row r="587" spans="1:69" x14ac:dyDescent="0.2">
      <c r="A587" t="str">
        <f t="shared" si="103"/>
        <v/>
      </c>
      <c r="E587" s="4"/>
      <c r="F587" s="44"/>
      <c r="G587" s="4"/>
      <c r="H587" s="47"/>
      <c r="J587" s="45" t="str">
        <f t="shared" si="104"/>
        <v/>
      </c>
      <c r="N587" t="str">
        <f t="shared" si="99"/>
        <v/>
      </c>
      <c r="Q587" t="str">
        <f t="shared" si="98"/>
        <v/>
      </c>
      <c r="S587" t="str">
        <f>IF(A587=1,MAX(S$2:S586)+1,IF(OR(I587&lt;&gt;"",A587="x"),S586,""))</f>
        <v/>
      </c>
      <c r="T587" t="str">
        <f>IF(D587=1,MAX($T$2:$T586)+1,IF(S587=$S586,$S586,IF($D587="x",T586,IF($D586="x","",""))))</f>
        <v/>
      </c>
      <c r="U587" t="str">
        <f>IF(B587=1,MAX($U$2:$U586)+1,IF(AND($T587&lt;&gt;"",$T587=$T586),$U586,IF(B587="x",U586,"")))</f>
        <v/>
      </c>
      <c r="V587" t="str">
        <f>IF(C587=1,MAX($V$2:$V586)+1,IF(AND($T587&lt;&gt;"",$T587=$T586),$U586,IF(C587="x",V586,"")))</f>
        <v/>
      </c>
      <c r="W587" t="str" cm="1">
        <f t="array" ref="W587">IFERROR(_xlfn._xlws.FILTER(game_rosters!AB:AB,(game_rosters!J:J=events!X587)*(K587&lt;&gt;"")),"")</f>
        <v/>
      </c>
      <c r="X587" t="str" cm="1">
        <f t="array" ref="X587">IF(S587="","",IF($I587&lt;&gt;"",$I587,INDEX($I$2:$I586,ROW()-COUNTIFS($T$2:$T586,"="&amp;$T587,$S$2:$S586,"&lt;&gt;"&amp;$S587)-1)))</f>
        <v/>
      </c>
      <c r="Y587" t="b">
        <f>IF(X587&lt;&gt;"",VLOOKUP(X587,game_rosters!$C$43:$E$64,3,FALSE))</f>
        <v>0</v>
      </c>
      <c r="Z587" t="e" cm="1" vm="1">
        <f t="array" aca="1" ref="Z587" ca="1">IFERROR(IF(_xlfn._xlws.FILTER(game_rosters!$J:$J,(game_rosters!$G:$G=events!$AN587)*(game_rosters!$J:$J=events!$X587))&gt;0,1,""),"")</f>
        <v>#VALUE!</v>
      </c>
      <c r="AA587" t="e">
        <f t="shared" si="101"/>
        <v>#VALUE!</v>
      </c>
      <c r="AB587" t="str">
        <f t="shared" si="102"/>
        <v/>
      </c>
      <c r="AC587" t="e">
        <f t="shared" si="100"/>
        <v>#VALUE!</v>
      </c>
      <c r="AD587" s="6"/>
      <c r="BJ587" s="39"/>
      <c r="BM587" s="39"/>
      <c r="BO587" s="19"/>
      <c r="BQ587" s="17"/>
    </row>
    <row r="588" spans="1:69" x14ac:dyDescent="0.2">
      <c r="A588" t="str">
        <f t="shared" si="103"/>
        <v/>
      </c>
      <c r="E588" s="4"/>
      <c r="F588" s="44"/>
      <c r="G588" s="4"/>
      <c r="H588" s="47"/>
      <c r="J588" s="45" t="str">
        <f t="shared" si="104"/>
        <v/>
      </c>
      <c r="N588" t="str">
        <f t="shared" si="99"/>
        <v/>
      </c>
      <c r="Q588" t="str">
        <f t="shared" si="98"/>
        <v/>
      </c>
      <c r="S588" t="str">
        <f>IF(A588=1,MAX(S$2:S587)+1,IF(OR(I588&lt;&gt;"",A588="x"),S587,""))</f>
        <v/>
      </c>
      <c r="T588" t="str">
        <f>IF(D588=1,MAX($T$2:$T587)+1,IF(S588=$S587,$S587,IF($D588="x",T587,IF($D587="x","",""))))</f>
        <v/>
      </c>
      <c r="U588" t="str">
        <f>IF(B588=1,MAX($U$2:$U587)+1,IF(AND($T588&lt;&gt;"",$T588=$T587),$U587,IF(B588="x",U587,"")))</f>
        <v/>
      </c>
      <c r="V588" t="str">
        <f>IF(C588=1,MAX($V$2:$V587)+1,IF(AND($T588&lt;&gt;"",$T588=$T587),$U587,IF(C588="x",V587,"")))</f>
        <v/>
      </c>
      <c r="W588" t="str" cm="1">
        <f t="array" ref="W588">IFERROR(_xlfn._xlws.FILTER(game_rosters!AB:AB,(game_rosters!J:J=events!X588)*(K588&lt;&gt;"")),"")</f>
        <v/>
      </c>
      <c r="X588" t="str" cm="1">
        <f t="array" ref="X588">IF(S588="","",IF($I588&lt;&gt;"",$I588,INDEX($I$2:$I587,ROW()-COUNTIFS($T$2:$T587,"="&amp;$T588,$S$2:$S587,"&lt;&gt;"&amp;$S588)-1)))</f>
        <v/>
      </c>
      <c r="Y588" t="b">
        <f>IF(X588&lt;&gt;"",VLOOKUP(X588,game_rosters!$C$43:$E$64,3,FALSE))</f>
        <v>0</v>
      </c>
      <c r="Z588" t="e" cm="1" vm="1">
        <f t="array" aca="1" ref="Z588" ca="1">IFERROR(IF(_xlfn._xlws.FILTER(game_rosters!$J:$J,(game_rosters!$G:$G=events!$AN588)*(game_rosters!$J:$J=events!$X588))&gt;0,1,""),"")</f>
        <v>#VALUE!</v>
      </c>
      <c r="AA588" t="e">
        <f t="shared" si="101"/>
        <v>#VALUE!</v>
      </c>
      <c r="AB588" t="str">
        <f t="shared" si="102"/>
        <v/>
      </c>
      <c r="AC588" t="e">
        <f t="shared" si="100"/>
        <v>#VALUE!</v>
      </c>
      <c r="AD588" s="6"/>
      <c r="BJ588" s="39"/>
      <c r="BM588" s="39"/>
      <c r="BO588" s="19"/>
      <c r="BQ588" s="17"/>
    </row>
    <row r="589" spans="1:69" x14ac:dyDescent="0.2">
      <c r="A589" t="str">
        <f t="shared" si="103"/>
        <v/>
      </c>
      <c r="E589" s="4"/>
      <c r="F589" s="44"/>
      <c r="G589" s="4"/>
      <c r="H589" s="47"/>
      <c r="J589" s="45" t="str">
        <f t="shared" si="104"/>
        <v/>
      </c>
      <c r="N589" t="str">
        <f t="shared" si="99"/>
        <v/>
      </c>
      <c r="Q589" t="str">
        <f t="shared" si="98"/>
        <v/>
      </c>
      <c r="S589" t="str">
        <f>IF(A589=1,MAX(S$2:S588)+1,IF(OR(I589&lt;&gt;"",A589="x"),S588,""))</f>
        <v/>
      </c>
      <c r="T589" t="str">
        <f>IF(D589=1,MAX($T$2:$T588)+1,IF(S589=$S588,$S588,IF($D589="x",T588,IF($D588="x","",""))))</f>
        <v/>
      </c>
      <c r="U589" t="str">
        <f>IF(B589=1,MAX($U$2:$U588)+1,IF(AND($T589&lt;&gt;"",$T589=$T588),$U588,IF(B589="x",U588,"")))</f>
        <v/>
      </c>
      <c r="V589" t="str">
        <f>IF(C589=1,MAX($V$2:$V588)+1,IF(AND($T589&lt;&gt;"",$T589=$T588),$U588,IF(C589="x",V588,"")))</f>
        <v/>
      </c>
      <c r="W589" t="str" cm="1">
        <f t="array" ref="W589">IFERROR(_xlfn._xlws.FILTER(game_rosters!AB:AB,(game_rosters!J:J=events!X589)*(K589&lt;&gt;"")),"")</f>
        <v/>
      </c>
      <c r="X589" t="str" cm="1">
        <f t="array" ref="X589">IF(S589="","",IF($I589&lt;&gt;"",$I589,INDEX($I$2:$I588,ROW()-COUNTIFS($T$2:$T588,"="&amp;$T589,$S$2:$S588,"&lt;&gt;"&amp;$S589)-1)))</f>
        <v/>
      </c>
      <c r="Y589" t="b">
        <f>IF(X589&lt;&gt;"",VLOOKUP(X589,game_rosters!$C$43:$E$64,3,FALSE))</f>
        <v>0</v>
      </c>
      <c r="Z589" t="e" cm="1" vm="1">
        <f t="array" aca="1" ref="Z589" ca="1">IFERROR(IF(_xlfn._xlws.FILTER(game_rosters!$J:$J,(game_rosters!$G:$G=events!$AN589)*(game_rosters!$J:$J=events!$X589))&gt;0,1,""),"")</f>
        <v>#VALUE!</v>
      </c>
      <c r="AA589" t="e">
        <f t="shared" si="101"/>
        <v>#VALUE!</v>
      </c>
      <c r="AB589" t="str">
        <f t="shared" si="102"/>
        <v/>
      </c>
      <c r="AC589" t="e">
        <f t="shared" si="100"/>
        <v>#VALUE!</v>
      </c>
      <c r="AD589" s="6"/>
      <c r="BJ589" s="39"/>
      <c r="BM589" s="39"/>
      <c r="BO589" s="19"/>
      <c r="BQ589" s="17"/>
    </row>
    <row r="590" spans="1:69" x14ac:dyDescent="0.2">
      <c r="A590" t="str">
        <f t="shared" si="103"/>
        <v/>
      </c>
      <c r="E590" s="4"/>
      <c r="F590" s="44"/>
      <c r="G590" s="4"/>
      <c r="H590" s="47"/>
      <c r="J590" s="45" t="str">
        <f t="shared" si="104"/>
        <v/>
      </c>
      <c r="N590" t="str">
        <f t="shared" si="99"/>
        <v/>
      </c>
      <c r="Q590" t="str">
        <f t="shared" si="98"/>
        <v/>
      </c>
      <c r="S590" t="str">
        <f>IF(A590=1,MAX(S$2:S589)+1,IF(OR(I590&lt;&gt;"",A590="x"),S589,""))</f>
        <v/>
      </c>
      <c r="T590" t="str">
        <f>IF(D590=1,MAX($T$2:$T589)+1,IF(S590=$S589,$S589,IF($D590="x",T589,IF($D589="x","",""))))</f>
        <v/>
      </c>
      <c r="U590" t="str">
        <f>IF(B590=1,MAX($U$2:$U589)+1,IF(AND($T590&lt;&gt;"",$T590=$T589),$U589,IF(B590="x",U589,"")))</f>
        <v/>
      </c>
      <c r="V590" t="str">
        <f>IF(C590=1,MAX($V$2:$V589)+1,IF(AND($T590&lt;&gt;"",$T590=$T589),$U589,IF(C590="x",V589,"")))</f>
        <v/>
      </c>
      <c r="W590" t="str" cm="1">
        <f t="array" ref="W590">IFERROR(_xlfn._xlws.FILTER(game_rosters!AB:AB,(game_rosters!J:J=events!X590)*(K590&lt;&gt;"")),"")</f>
        <v/>
      </c>
      <c r="X590" t="str" cm="1">
        <f t="array" ref="X590">IF(S590="","",IF($I590&lt;&gt;"",$I590,INDEX($I$2:$I589,ROW()-COUNTIFS($T$2:$T589,"="&amp;$T590,$S$2:$S589,"&lt;&gt;"&amp;$S590)-1)))</f>
        <v/>
      </c>
      <c r="Y590" t="b">
        <f>IF(X590&lt;&gt;"",VLOOKUP(X590,game_rosters!$C$43:$E$64,3,FALSE))</f>
        <v>0</v>
      </c>
      <c r="Z590" t="e" cm="1" vm="1">
        <f t="array" aca="1" ref="Z590" ca="1">IFERROR(IF(_xlfn._xlws.FILTER(game_rosters!$J:$J,(game_rosters!$G:$G=events!$AN590)*(game_rosters!$J:$J=events!$X590))&gt;0,1,""),"")</f>
        <v>#VALUE!</v>
      </c>
      <c r="AA590" t="e">
        <f t="shared" si="101"/>
        <v>#VALUE!</v>
      </c>
      <c r="AB590" t="str">
        <f t="shared" si="102"/>
        <v/>
      </c>
      <c r="AC590" t="e">
        <f t="shared" si="100"/>
        <v>#VALUE!</v>
      </c>
      <c r="AD590" s="6"/>
      <c r="BJ590" s="39"/>
      <c r="BM590" s="39"/>
      <c r="BO590" s="19"/>
      <c r="BQ590" s="17"/>
    </row>
    <row r="591" spans="1:69" x14ac:dyDescent="0.2">
      <c r="A591" t="str">
        <f t="shared" si="103"/>
        <v/>
      </c>
      <c r="E591" s="4"/>
      <c r="F591" s="44"/>
      <c r="G591" s="4"/>
      <c r="H591" s="47"/>
      <c r="J591" s="45" t="str">
        <f t="shared" si="104"/>
        <v/>
      </c>
      <c r="N591" t="str">
        <f t="shared" si="99"/>
        <v/>
      </c>
      <c r="Q591" t="str">
        <f t="shared" si="98"/>
        <v/>
      </c>
      <c r="S591" t="str">
        <f>IF(A591=1,MAX(S$2:S590)+1,IF(OR(I591&lt;&gt;"",A591="x"),S590,""))</f>
        <v/>
      </c>
      <c r="T591" t="str">
        <f>IF(D591=1,MAX($T$2:$T590)+1,IF(S591=$S590,$S590,IF($D591="x",T590,IF($D590="x","",""))))</f>
        <v/>
      </c>
      <c r="U591" t="str">
        <f>IF(B591=1,MAX($U$2:$U590)+1,IF(AND($T591&lt;&gt;"",$T591=$T590),$U590,IF(B591="x",U590,"")))</f>
        <v/>
      </c>
      <c r="V591" t="str">
        <f>IF(C591=1,MAX($V$2:$V590)+1,IF(AND($T591&lt;&gt;"",$T591=$T590),$U590,IF(C591="x",V590,"")))</f>
        <v/>
      </c>
      <c r="W591" t="str" cm="1">
        <f t="array" ref="W591">IFERROR(_xlfn._xlws.FILTER(game_rosters!AB:AB,(game_rosters!J:J=events!X591)*(K591&lt;&gt;"")),"")</f>
        <v/>
      </c>
      <c r="X591" t="str" cm="1">
        <f t="array" ref="X591">IF(S591="","",IF($I591&lt;&gt;"",$I591,INDEX($I$2:$I590,ROW()-COUNTIFS($T$2:$T590,"="&amp;$T591,$S$2:$S590,"&lt;&gt;"&amp;$S591)-1)))</f>
        <v/>
      </c>
      <c r="Y591" t="b">
        <f>IF(X591&lt;&gt;"",VLOOKUP(X591,game_rosters!$C$43:$E$64,3,FALSE))</f>
        <v>0</v>
      </c>
      <c r="Z591" t="e" cm="1" vm="1">
        <f t="array" aca="1" ref="Z591" ca="1">IFERROR(IF(_xlfn._xlws.FILTER(game_rosters!$J:$J,(game_rosters!$G:$G=events!$AN591)*(game_rosters!$J:$J=events!$X591))&gt;0,1,""),"")</f>
        <v>#VALUE!</v>
      </c>
      <c r="AA591" t="e">
        <f t="shared" si="101"/>
        <v>#VALUE!</v>
      </c>
      <c r="AB591" t="str">
        <f t="shared" si="102"/>
        <v/>
      </c>
      <c r="AC591" t="e">
        <f t="shared" si="100"/>
        <v>#VALUE!</v>
      </c>
      <c r="AD591" s="6"/>
      <c r="BJ591" s="39"/>
      <c r="BM591" s="39"/>
      <c r="BO591" s="19"/>
      <c r="BQ591" s="17"/>
    </row>
    <row r="592" spans="1:69" x14ac:dyDescent="0.2">
      <c r="A592" t="str">
        <f t="shared" si="103"/>
        <v/>
      </c>
      <c r="E592" s="4"/>
      <c r="F592" s="44"/>
      <c r="G592" s="4"/>
      <c r="H592" s="47"/>
      <c r="J592" s="45" t="str">
        <f t="shared" si="104"/>
        <v/>
      </c>
      <c r="N592" t="str">
        <f t="shared" si="99"/>
        <v/>
      </c>
      <c r="Q592" t="str">
        <f t="shared" ref="Q592:Q655" si="105">IF(O592="","",IF(AND(N592&lt;&gt;"",OR(O592&lt;&gt;"",P592&lt;&gt;"")),N592,IF(OR(ISNUMBER(SEARCH("attemp",O592)),ISNUMBER(SEARCH("beat",O592)),ISNUMBER(SEARCH("mis",O592)),ISNUMBER(SEARCH("fail",O592)),ISNUMBER(SEARCH("loss",O592)),ISNUMBER(SEARCH("lost",O592)),ISNUMBER(SEARCH("attemp",P592)),ISNUMBER(SEARCH("mis",P592)),ISNUMBER(SEARCH("fail",P592)),ISNUMBER(SEARCH("loss",P592)),ISNUMBER(SEARCH("beat",P592)),ISNUMBER(SEARCH("lost",P592))),"u","")))</f>
        <v/>
      </c>
      <c r="S592" t="str">
        <f>IF(A592=1,MAX(S$2:S591)+1,IF(OR(I592&lt;&gt;"",A592="x"),S591,""))</f>
        <v/>
      </c>
      <c r="T592" t="str">
        <f>IF(D592=1,MAX($T$2:$T591)+1,IF(S592=$S591,$S591,IF($D592="x",T591,IF($D591="x","",""))))</f>
        <v/>
      </c>
      <c r="U592" t="str">
        <f>IF(B592=1,MAX($U$2:$U591)+1,IF(AND($T592&lt;&gt;"",$T592=$T591),$U591,IF(B592="x",U591,"")))</f>
        <v/>
      </c>
      <c r="V592" t="str">
        <f>IF(C592=1,MAX($V$2:$V591)+1,IF(AND($T592&lt;&gt;"",$T592=$T591),$U591,IF(C592="x",V591,"")))</f>
        <v/>
      </c>
      <c r="W592" t="str" cm="1">
        <f t="array" ref="W592">IFERROR(_xlfn._xlws.FILTER(game_rosters!AB:AB,(game_rosters!J:J=events!X592)*(K592&lt;&gt;"")),"")</f>
        <v/>
      </c>
      <c r="X592" t="str" cm="1">
        <f t="array" ref="X592">IF(S592="","",IF($I592&lt;&gt;"",$I592,INDEX($I$2:$I591,ROW()-COUNTIFS($T$2:$T591,"="&amp;$T592,$S$2:$S591,"&lt;&gt;"&amp;$S592)-1)))</f>
        <v/>
      </c>
      <c r="Y592" t="b">
        <f>IF(X592&lt;&gt;"",VLOOKUP(X592,game_rosters!$C$43:$E$64,3,FALSE))</f>
        <v>0</v>
      </c>
      <c r="Z592" t="e" cm="1" vm="1">
        <f t="array" aca="1" ref="Z592" ca="1">IFERROR(IF(_xlfn._xlws.FILTER(game_rosters!$J:$J,(game_rosters!$G:$G=events!$AN592)*(game_rosters!$J:$J=events!$X592))&gt;0,1,""),"")</f>
        <v>#VALUE!</v>
      </c>
      <c r="AA592" t="e">
        <f t="shared" si="101"/>
        <v>#VALUE!</v>
      </c>
      <c r="AB592" t="str">
        <f t="shared" si="102"/>
        <v/>
      </c>
      <c r="AC592" t="e">
        <f t="shared" si="100"/>
        <v>#VALUE!</v>
      </c>
      <c r="AD592" s="6"/>
      <c r="BJ592" s="39"/>
      <c r="BM592" s="39"/>
      <c r="BO592" s="19"/>
      <c r="BQ592" s="17"/>
    </row>
    <row r="593" spans="1:69" x14ac:dyDescent="0.2">
      <c r="A593" t="str">
        <f t="shared" si="103"/>
        <v/>
      </c>
      <c r="E593" s="4"/>
      <c r="F593" s="44"/>
      <c r="G593" s="4"/>
      <c r="H593" s="47"/>
      <c r="J593" s="45" t="str">
        <f t="shared" si="104"/>
        <v/>
      </c>
      <c r="N593" t="str">
        <f t="shared" si="99"/>
        <v/>
      </c>
      <c r="Q593" t="str">
        <f t="shared" si="105"/>
        <v/>
      </c>
      <c r="S593" t="str">
        <f>IF(A593=1,MAX(S$2:S592)+1,IF(OR(I593&lt;&gt;"",A593="x"),S592,""))</f>
        <v/>
      </c>
      <c r="T593" t="str">
        <f>IF(D593=1,MAX($T$2:$T592)+1,IF(S593=$S592,$S592,IF($D593="x",T592,IF($D592="x","",""))))</f>
        <v/>
      </c>
      <c r="U593" t="str">
        <f>IF(B593=1,MAX($U$2:$U592)+1,IF(AND($T593&lt;&gt;"",$T593=$T592),$U592,IF(B593="x",U592,"")))</f>
        <v/>
      </c>
      <c r="V593" t="str">
        <f>IF(C593=1,MAX($V$2:$V592)+1,IF(AND($T593&lt;&gt;"",$T593=$T592),$U592,IF(C593="x",V592,"")))</f>
        <v/>
      </c>
      <c r="W593" t="str" cm="1">
        <f t="array" ref="W593">IFERROR(_xlfn._xlws.FILTER(game_rosters!AB:AB,(game_rosters!J:J=events!X593)*(K593&lt;&gt;"")),"")</f>
        <v/>
      </c>
      <c r="X593" t="str" cm="1">
        <f t="array" ref="X593">IF(S593="","",IF($I593&lt;&gt;"",$I593,INDEX($I$2:$I592,ROW()-COUNTIFS($T$2:$T592,"="&amp;$T593,$S$2:$S592,"&lt;&gt;"&amp;$S593)-1)))</f>
        <v/>
      </c>
      <c r="Y593" t="b">
        <f>IF(X593&lt;&gt;"",VLOOKUP(X593,game_rosters!$C$43:$E$64,3,FALSE))</f>
        <v>0</v>
      </c>
      <c r="Z593" t="e" cm="1" vm="1">
        <f t="array" aca="1" ref="Z593" ca="1">IFERROR(IF(_xlfn._xlws.FILTER(game_rosters!$J:$J,(game_rosters!$G:$G=events!$AN593)*(game_rosters!$J:$J=events!$X593))&gt;0,1,""),"")</f>
        <v>#VALUE!</v>
      </c>
      <c r="AA593" t="e">
        <f t="shared" si="101"/>
        <v>#VALUE!</v>
      </c>
      <c r="AB593" t="str">
        <f t="shared" si="102"/>
        <v/>
      </c>
      <c r="AC593" t="e">
        <f t="shared" si="100"/>
        <v>#VALUE!</v>
      </c>
      <c r="AD593" s="6"/>
      <c r="BJ593" s="39"/>
      <c r="BM593" s="39"/>
      <c r="BO593" s="19"/>
      <c r="BQ593" s="17"/>
    </row>
    <row r="594" spans="1:69" x14ac:dyDescent="0.2">
      <c r="A594" t="str">
        <f t="shared" si="103"/>
        <v/>
      </c>
      <c r="E594" s="4"/>
      <c r="F594" s="44"/>
      <c r="G594" s="4"/>
      <c r="H594" s="47"/>
      <c r="J594" s="45" t="str">
        <f t="shared" si="104"/>
        <v/>
      </c>
      <c r="N594" t="str">
        <f t="shared" si="99"/>
        <v/>
      </c>
      <c r="Q594" t="str">
        <f t="shared" si="105"/>
        <v/>
      </c>
      <c r="S594" t="str">
        <f>IF(A594=1,MAX(S$2:S593)+1,IF(OR(I594&lt;&gt;"",A594="x"),S593,""))</f>
        <v/>
      </c>
      <c r="T594" t="str">
        <f>IF(D594=1,MAX($T$2:$T593)+1,IF(S594=$S593,$S593,IF($D594="x",T593,IF($D593="x","",""))))</f>
        <v/>
      </c>
      <c r="U594" t="str">
        <f>IF(B594=1,MAX($U$2:$U593)+1,IF(AND($T594&lt;&gt;"",$T594=$T593),$U593,IF(B594="x",U593,"")))</f>
        <v/>
      </c>
      <c r="V594" t="str">
        <f>IF(C594=1,MAX($V$2:$V593)+1,IF(AND($T594&lt;&gt;"",$T594=$T593),$U593,IF(C594="x",V593,"")))</f>
        <v/>
      </c>
      <c r="W594" t="str" cm="1">
        <f t="array" ref="W594">IFERROR(_xlfn._xlws.FILTER(game_rosters!AB:AB,(game_rosters!J:J=events!X594)*(K594&lt;&gt;"")),"")</f>
        <v/>
      </c>
      <c r="X594" t="str" cm="1">
        <f t="array" ref="X594">IF(S594="","",IF($I594&lt;&gt;"",$I594,INDEX($I$2:$I593,ROW()-COUNTIFS($T$2:$T593,"="&amp;$T594,$S$2:$S593,"&lt;&gt;"&amp;$S594)-1)))</f>
        <v/>
      </c>
      <c r="Y594" t="b">
        <f>IF(X594&lt;&gt;"",VLOOKUP(X594,game_rosters!$C$43:$E$64,3,FALSE))</f>
        <v>0</v>
      </c>
      <c r="Z594" t="e" cm="1" vm="1">
        <f t="array" aca="1" ref="Z594" ca="1">IFERROR(IF(_xlfn._xlws.FILTER(game_rosters!$J:$J,(game_rosters!$G:$G=events!$AN594)*(game_rosters!$J:$J=events!$X594))&gt;0,1,""),"")</f>
        <v>#VALUE!</v>
      </c>
      <c r="AA594" t="e">
        <f t="shared" si="101"/>
        <v>#VALUE!</v>
      </c>
      <c r="AB594" t="str">
        <f t="shared" si="102"/>
        <v/>
      </c>
      <c r="AC594" t="e">
        <f t="shared" si="100"/>
        <v>#VALUE!</v>
      </c>
      <c r="AD594" s="6"/>
      <c r="BJ594" s="39"/>
      <c r="BM594" s="39"/>
      <c r="BO594" s="19"/>
      <c r="BQ594" s="17"/>
    </row>
    <row r="595" spans="1:69" x14ac:dyDescent="0.2">
      <c r="A595" t="str">
        <f t="shared" si="103"/>
        <v/>
      </c>
      <c r="E595" s="4"/>
      <c r="F595" s="44"/>
      <c r="G595" s="4"/>
      <c r="H595" s="47"/>
      <c r="J595" s="45" t="str">
        <f t="shared" si="104"/>
        <v/>
      </c>
      <c r="N595" t="str">
        <f t="shared" si="99"/>
        <v/>
      </c>
      <c r="Q595" t="str">
        <f t="shared" si="105"/>
        <v/>
      </c>
      <c r="S595" t="str">
        <f>IF(A595=1,MAX(S$2:S594)+1,IF(OR(I595&lt;&gt;"",A595="x"),S594,""))</f>
        <v/>
      </c>
      <c r="T595" t="str">
        <f>IF(D595=1,MAX($T$2:$T594)+1,IF(S595=$S594,$S594,IF($D595="x",T594,IF($D594="x","",""))))</f>
        <v/>
      </c>
      <c r="U595" t="str">
        <f>IF(B595=1,MAX($U$2:$U594)+1,IF(AND($T595&lt;&gt;"",$T595=$T594),$U594,IF(B595="x",U594,"")))</f>
        <v/>
      </c>
      <c r="V595" t="str">
        <f>IF(C595=1,MAX($V$2:$V594)+1,IF(AND($T595&lt;&gt;"",$T595=$T594),$U594,IF(C595="x",V594,"")))</f>
        <v/>
      </c>
      <c r="W595" t="str" cm="1">
        <f t="array" ref="W595">IFERROR(_xlfn._xlws.FILTER(game_rosters!AB:AB,(game_rosters!J:J=events!X595)*(K595&lt;&gt;"")),"")</f>
        <v/>
      </c>
      <c r="X595" t="str" cm="1">
        <f t="array" ref="X595">IF(S595="","",IF($I595&lt;&gt;"",$I595,INDEX($I$2:$I594,ROW()-COUNTIFS($T$2:$T594,"="&amp;$T595,$S$2:$S594,"&lt;&gt;"&amp;$S595)-1)))</f>
        <v/>
      </c>
      <c r="Y595" t="b">
        <f>IF(X595&lt;&gt;"",VLOOKUP(X595,game_rosters!$C$43:$E$64,3,FALSE))</f>
        <v>0</v>
      </c>
      <c r="Z595" t="e" cm="1" vm="1">
        <f t="array" aca="1" ref="Z595" ca="1">IFERROR(IF(_xlfn._xlws.FILTER(game_rosters!$J:$J,(game_rosters!$G:$G=events!$AN595)*(game_rosters!$J:$J=events!$X595))&gt;0,1,""),"")</f>
        <v>#VALUE!</v>
      </c>
      <c r="AA595" t="e">
        <f t="shared" si="101"/>
        <v>#VALUE!</v>
      </c>
      <c r="AB595" t="str">
        <f t="shared" si="102"/>
        <v/>
      </c>
      <c r="AC595" t="e">
        <f t="shared" si="100"/>
        <v>#VALUE!</v>
      </c>
      <c r="AD595" s="6"/>
      <c r="BJ595" s="39"/>
      <c r="BM595" s="39"/>
      <c r="BO595" s="19"/>
      <c r="BQ595" s="17"/>
    </row>
    <row r="596" spans="1:69" x14ac:dyDescent="0.2">
      <c r="A596" t="str">
        <f t="shared" si="103"/>
        <v/>
      </c>
      <c r="E596" s="4"/>
      <c r="F596" s="44"/>
      <c r="G596" s="4"/>
      <c r="H596" s="47"/>
      <c r="J596" s="45" t="str">
        <f t="shared" si="104"/>
        <v/>
      </c>
      <c r="N596" t="str">
        <f t="shared" si="99"/>
        <v/>
      </c>
      <c r="Q596" t="str">
        <f t="shared" si="105"/>
        <v/>
      </c>
      <c r="S596" t="str">
        <f>IF(A596=1,MAX(S$2:S595)+1,IF(OR(I596&lt;&gt;"",A596="x"),S595,""))</f>
        <v/>
      </c>
      <c r="T596" t="str">
        <f>IF(D596=1,MAX($T$2:$T595)+1,IF(S596=$S595,$S595,IF($D596="x",T595,IF($D595="x","",""))))</f>
        <v/>
      </c>
      <c r="U596" t="str">
        <f>IF(B596=1,MAX($U$2:$U595)+1,IF(AND($T596&lt;&gt;"",$T596=$T595),$U595,IF(B596="x",U595,"")))</f>
        <v/>
      </c>
      <c r="V596" t="str">
        <f>IF(C596=1,MAX($V$2:$V595)+1,IF(AND($T596&lt;&gt;"",$T596=$T595),$U595,IF(C596="x",V595,"")))</f>
        <v/>
      </c>
      <c r="W596" t="str" cm="1">
        <f t="array" ref="W596">IFERROR(_xlfn._xlws.FILTER(game_rosters!AB:AB,(game_rosters!J:J=events!X596)*(K596&lt;&gt;"")),"")</f>
        <v/>
      </c>
      <c r="X596" t="str" cm="1">
        <f t="array" ref="X596">IF(S596="","",IF($I596&lt;&gt;"",$I596,INDEX($I$2:$I595,ROW()-COUNTIFS($T$2:$T595,"="&amp;$T596,$S$2:$S595,"&lt;&gt;"&amp;$S596)-1)))</f>
        <v/>
      </c>
      <c r="Y596" t="b">
        <f>IF(X596&lt;&gt;"",VLOOKUP(X596,game_rosters!$C$43:$E$64,3,FALSE))</f>
        <v>0</v>
      </c>
      <c r="Z596" t="e" cm="1" vm="1">
        <f t="array" aca="1" ref="Z596" ca="1">IFERROR(IF(_xlfn._xlws.FILTER(game_rosters!$J:$J,(game_rosters!$G:$G=events!$AN596)*(game_rosters!$J:$J=events!$X596))&gt;0,1,""),"")</f>
        <v>#VALUE!</v>
      </c>
      <c r="AA596" t="e">
        <f t="shared" si="101"/>
        <v>#VALUE!</v>
      </c>
      <c r="AB596" t="str">
        <f t="shared" si="102"/>
        <v/>
      </c>
      <c r="AC596" t="e">
        <f t="shared" si="100"/>
        <v>#VALUE!</v>
      </c>
      <c r="AD596" s="6"/>
      <c r="BJ596" s="39"/>
      <c r="BM596" s="39"/>
      <c r="BO596" s="19"/>
      <c r="BQ596" s="17"/>
    </row>
    <row r="597" spans="1:69" x14ac:dyDescent="0.2">
      <c r="A597" t="str">
        <f t="shared" si="103"/>
        <v/>
      </c>
      <c r="E597" s="4"/>
      <c r="F597" s="44"/>
      <c r="G597" s="4"/>
      <c r="H597" s="47"/>
      <c r="J597" s="45" t="str">
        <f t="shared" si="104"/>
        <v/>
      </c>
      <c r="N597" t="str">
        <f t="shared" ref="N597:N660" si="106">IF(K597="","",IF(K597="Goal","s",IF(AND(K597="Zone_Entry_Exit",OR(ISNUMBER(SEARCH("fail",L597)),ISNUMBER(SEARCH("FromExitClear",M597)),ISNUMBER(SEARCH("miss",M597)))),"u",IF(AND(K597="Zone_Entry_Exit",OR(NOT(ISNUMBER(SEARCH("fail",L597))),NOT(ISNUMBER(SEARCH("FromExitClear",M597))),NOT(ISNUMBER(SEARCH("miss",M597))))),"s",IF(AND(OR(K597="Shot",K597="Pass"),OR(ISNUMBER(SEARCH("complete",L597)),ISNUMBER(SEARCH("goal",L597)),ISNUMBER(SEARCH("OnNet",L597)))),"s",IF(L597="Turnover_Giveaway","u",IF(AND(OR(K597="Shot",K597="Pass"),OR(ISNUMBER(SEARCH("fail",L597)),NOT(ISNUMBER(SEARCH("complete",L597))),NOT(ISNUMBER(SEARCH("OnNet",L597))))),"u","")))))))</f>
        <v/>
      </c>
      <c r="Q597" t="str">
        <f t="shared" si="105"/>
        <v/>
      </c>
      <c r="S597" t="str">
        <f>IF(A597=1,MAX(S$2:S596)+1,IF(OR(I597&lt;&gt;"",A597="x"),S596,""))</f>
        <v/>
      </c>
      <c r="T597" t="str">
        <f>IF(D597=1,MAX($T$2:$T596)+1,IF(S597=$S596,$S596,IF($D597="x",T596,IF($D596="x","",""))))</f>
        <v/>
      </c>
      <c r="U597" t="str">
        <f>IF(B597=1,MAX($U$2:$U596)+1,IF(AND($T597&lt;&gt;"",$T597=$T596),$U596,IF(B597="x",U596,"")))</f>
        <v/>
      </c>
      <c r="V597" t="str">
        <f>IF(C597=1,MAX($V$2:$V596)+1,IF(AND($T597&lt;&gt;"",$T597=$T596),$U596,IF(C597="x",V596,"")))</f>
        <v/>
      </c>
      <c r="W597" t="str" cm="1">
        <f t="array" ref="W597">IFERROR(_xlfn._xlws.FILTER(game_rosters!AB:AB,(game_rosters!J:J=events!X597)*(K597&lt;&gt;"")),"")</f>
        <v/>
      </c>
      <c r="X597" t="str" cm="1">
        <f t="array" ref="X597">IF(S597="","",IF($I597&lt;&gt;"",$I597,INDEX($I$2:$I596,ROW()-COUNTIFS($T$2:$T596,"="&amp;$T597,$S$2:$S596,"&lt;&gt;"&amp;$S597)-1)))</f>
        <v/>
      </c>
      <c r="Y597" t="b">
        <f>IF(X597&lt;&gt;"",VLOOKUP(X597,game_rosters!$C$43:$E$64,3,FALSE))</f>
        <v>0</v>
      </c>
      <c r="Z597" t="e" cm="1" vm="1">
        <f t="array" aca="1" ref="Z597" ca="1">IFERROR(IF(_xlfn._xlws.FILTER(game_rosters!$J:$J,(game_rosters!$G:$G=events!$AN597)*(game_rosters!$J:$J=events!$X597))&gt;0,1,""),"")</f>
        <v>#VALUE!</v>
      </c>
      <c r="AA597" t="e">
        <f t="shared" si="101"/>
        <v>#VALUE!</v>
      </c>
      <c r="AB597" t="str">
        <f t="shared" si="102"/>
        <v/>
      </c>
      <c r="AC597" t="e">
        <f t="shared" si="100"/>
        <v>#VALUE!</v>
      </c>
      <c r="AD597" s="6"/>
      <c r="BJ597" s="39"/>
      <c r="BM597" s="39"/>
      <c r="BO597" s="19"/>
      <c r="BQ597" s="17"/>
    </row>
    <row r="598" spans="1:69" x14ac:dyDescent="0.2">
      <c r="A598" t="str">
        <f t="shared" si="103"/>
        <v/>
      </c>
      <c r="E598" s="4"/>
      <c r="F598" s="44"/>
      <c r="G598" s="4"/>
      <c r="H598" s="47"/>
      <c r="J598" s="45" t="str">
        <f t="shared" si="104"/>
        <v/>
      </c>
      <c r="N598" t="str">
        <f t="shared" si="106"/>
        <v/>
      </c>
      <c r="Q598" t="str">
        <f t="shared" si="105"/>
        <v/>
      </c>
      <c r="S598" t="str">
        <f>IF(A598=1,MAX(S$2:S597)+1,IF(OR(I598&lt;&gt;"",A598="x"),S597,""))</f>
        <v/>
      </c>
      <c r="T598" t="str">
        <f>IF(D598=1,MAX($T$2:$T597)+1,IF(S598=$S597,$S597,IF($D598="x",T597,IF($D597="x","",""))))</f>
        <v/>
      </c>
      <c r="U598" t="str">
        <f>IF(B598=1,MAX($U$2:$U597)+1,IF(AND($T598&lt;&gt;"",$T598=$T597),$U597,IF(B598="x",U597,"")))</f>
        <v/>
      </c>
      <c r="V598" t="str">
        <f>IF(C598=1,MAX($V$2:$V597)+1,IF(AND($T598&lt;&gt;"",$T598=$T597),$U597,IF(C598="x",V597,"")))</f>
        <v/>
      </c>
      <c r="W598" t="str" cm="1">
        <f t="array" ref="W598">IFERROR(_xlfn._xlws.FILTER(game_rosters!AB:AB,(game_rosters!J:J=events!X598)*(K598&lt;&gt;"")),"")</f>
        <v/>
      </c>
      <c r="X598" t="str" cm="1">
        <f t="array" ref="X598">IF(S598="","",IF($I598&lt;&gt;"",$I598,INDEX($I$2:$I597,ROW()-COUNTIFS($T$2:$T597,"="&amp;$T598,$S$2:$S597,"&lt;&gt;"&amp;$S598)-1)))</f>
        <v/>
      </c>
      <c r="Y598" t="b">
        <f>IF(X598&lt;&gt;"",VLOOKUP(X598,game_rosters!$C$43:$E$64,3,FALSE))</f>
        <v>0</v>
      </c>
      <c r="Z598" t="e" cm="1" vm="1">
        <f t="array" aca="1" ref="Z598" ca="1">IFERROR(IF(_xlfn._xlws.FILTER(game_rosters!$J:$J,(game_rosters!$G:$G=events!$AN598)*(game_rosters!$J:$J=events!$X598))&gt;0,1,""),"")</f>
        <v>#VALUE!</v>
      </c>
      <c r="AA598" t="e">
        <f t="shared" si="101"/>
        <v>#VALUE!</v>
      </c>
      <c r="AB598" t="str">
        <f t="shared" si="102"/>
        <v/>
      </c>
      <c r="AC598" t="e">
        <f t="shared" si="100"/>
        <v>#VALUE!</v>
      </c>
      <c r="AD598" s="6"/>
      <c r="BJ598" s="39"/>
      <c r="BM598" s="39"/>
      <c r="BO598" s="19"/>
      <c r="BQ598" s="17"/>
    </row>
    <row r="599" spans="1:69" x14ac:dyDescent="0.2">
      <c r="A599" t="str">
        <f t="shared" si="103"/>
        <v/>
      </c>
      <c r="E599" s="4"/>
      <c r="F599" s="44"/>
      <c r="G599" s="4"/>
      <c r="H599" s="47"/>
      <c r="J599" s="45" t="str">
        <f t="shared" si="104"/>
        <v/>
      </c>
      <c r="N599" t="str">
        <f t="shared" si="106"/>
        <v/>
      </c>
      <c r="Q599" t="str">
        <f t="shared" si="105"/>
        <v/>
      </c>
      <c r="S599" t="str">
        <f>IF(A599=1,MAX(S$2:S598)+1,IF(OR(I599&lt;&gt;"",A599="x"),S598,""))</f>
        <v/>
      </c>
      <c r="T599" t="str">
        <f>IF(D599=1,MAX($T$2:$T598)+1,IF(S599=$S598,$S598,IF($D599="x",T598,IF($D598="x","",""))))</f>
        <v/>
      </c>
      <c r="U599" t="str">
        <f>IF(B599=1,MAX($U$2:$U598)+1,IF(AND($T599&lt;&gt;"",$T599=$T598),$U598,IF(B599="x",U598,"")))</f>
        <v/>
      </c>
      <c r="V599" t="str">
        <f>IF(C599=1,MAX($V$2:$V598)+1,IF(AND($T599&lt;&gt;"",$T599=$T598),$U598,IF(C599="x",V598,"")))</f>
        <v/>
      </c>
      <c r="W599" t="str" cm="1">
        <f t="array" ref="W599">IFERROR(_xlfn._xlws.FILTER(game_rosters!AB:AB,(game_rosters!J:J=events!X599)*(K599&lt;&gt;"")),"")</f>
        <v/>
      </c>
      <c r="X599" t="str" cm="1">
        <f t="array" ref="X599">IF(S599="","",IF($I599&lt;&gt;"",$I599,INDEX($I$2:$I598,ROW()-COUNTIFS($T$2:$T598,"="&amp;$T599,$S$2:$S598,"&lt;&gt;"&amp;$S599)-1)))</f>
        <v/>
      </c>
      <c r="Y599" t="b">
        <f>IF(X599&lt;&gt;"",VLOOKUP(X599,game_rosters!$C$43:$E$64,3,FALSE))</f>
        <v>0</v>
      </c>
      <c r="Z599" t="e" cm="1" vm="1">
        <f t="array" aca="1" ref="Z599" ca="1">IFERROR(IF(_xlfn._xlws.FILTER(game_rosters!$J:$J,(game_rosters!$G:$G=events!$AN599)*(game_rosters!$J:$J=events!$X599))&gt;0,1,""),"")</f>
        <v>#VALUE!</v>
      </c>
      <c r="AA599" t="e">
        <f t="shared" si="101"/>
        <v>#VALUE!</v>
      </c>
      <c r="AB599" t="str">
        <f t="shared" si="102"/>
        <v/>
      </c>
      <c r="AC599" t="e">
        <f t="shared" si="100"/>
        <v>#VALUE!</v>
      </c>
      <c r="AD599" s="6"/>
      <c r="BJ599" s="39"/>
      <c r="BM599" s="39"/>
      <c r="BO599" s="19"/>
      <c r="BQ599" s="17"/>
    </row>
    <row r="600" spans="1:69" x14ac:dyDescent="0.2">
      <c r="A600" t="str">
        <f t="shared" si="103"/>
        <v/>
      </c>
      <c r="E600" s="4"/>
      <c r="F600" s="44"/>
      <c r="G600" s="4"/>
      <c r="H600" s="47"/>
      <c r="J600" s="45" t="str">
        <f t="shared" si="104"/>
        <v/>
      </c>
      <c r="N600" t="str">
        <f t="shared" si="106"/>
        <v/>
      </c>
      <c r="Q600" t="str">
        <f t="shared" si="105"/>
        <v/>
      </c>
      <c r="S600" t="str">
        <f>IF(A600=1,MAX(S$2:S599)+1,IF(OR(I600&lt;&gt;"",A600="x"),S599,""))</f>
        <v/>
      </c>
      <c r="T600" t="str">
        <f>IF(D600=1,MAX($T$2:$T599)+1,IF(S600=$S599,$S599,IF($D600="x",T599,IF($D599="x","",""))))</f>
        <v/>
      </c>
      <c r="U600" t="str">
        <f>IF(B600=1,MAX($U$2:$U599)+1,IF(AND($T600&lt;&gt;"",$T600=$T599),$U599,IF(B600="x",U599,"")))</f>
        <v/>
      </c>
      <c r="V600" t="str">
        <f>IF(C600=1,MAX($V$2:$V599)+1,IF(AND($T600&lt;&gt;"",$T600=$T599),$U599,IF(C600="x",V599,"")))</f>
        <v/>
      </c>
      <c r="W600" t="str" cm="1">
        <f t="array" ref="W600">IFERROR(_xlfn._xlws.FILTER(game_rosters!AB:AB,(game_rosters!J:J=events!X600)*(K600&lt;&gt;"")),"")</f>
        <v/>
      </c>
      <c r="X600" t="str" cm="1">
        <f t="array" ref="X600">IF(S600="","",IF($I600&lt;&gt;"",$I600,INDEX($I$2:$I599,ROW()-COUNTIFS($T$2:$T599,"="&amp;$T600,$S$2:$S599,"&lt;&gt;"&amp;$S600)-1)))</f>
        <v/>
      </c>
      <c r="Y600" t="b">
        <f>IF(X600&lt;&gt;"",VLOOKUP(X600,game_rosters!$C$43:$E$64,3,FALSE))</f>
        <v>0</v>
      </c>
      <c r="Z600" t="e" cm="1" vm="1">
        <f t="array" aca="1" ref="Z600" ca="1">IFERROR(IF(_xlfn._xlws.FILTER(game_rosters!$J:$J,(game_rosters!$G:$G=events!$AN600)*(game_rosters!$J:$J=events!$X600))&gt;0,1,""),"")</f>
        <v>#VALUE!</v>
      </c>
      <c r="AA600" t="e">
        <f t="shared" si="101"/>
        <v>#VALUE!</v>
      </c>
      <c r="AB600" t="str">
        <f t="shared" si="102"/>
        <v/>
      </c>
      <c r="AC600" t="e">
        <f t="shared" si="100"/>
        <v>#VALUE!</v>
      </c>
      <c r="AD600" s="6"/>
      <c r="BJ600" s="39"/>
      <c r="BM600" s="39"/>
      <c r="BO600" s="19"/>
      <c r="BQ600" s="17"/>
    </row>
    <row r="601" spans="1:69" x14ac:dyDescent="0.2">
      <c r="A601" t="str">
        <f t="shared" si="103"/>
        <v/>
      </c>
      <c r="E601" s="4"/>
      <c r="F601" s="44"/>
      <c r="G601" s="4"/>
      <c r="H601" s="47"/>
      <c r="J601" s="45" t="str">
        <f t="shared" si="104"/>
        <v/>
      </c>
      <c r="N601" t="str">
        <f t="shared" si="106"/>
        <v/>
      </c>
      <c r="Q601" t="str">
        <f t="shared" si="105"/>
        <v/>
      </c>
      <c r="S601" t="str">
        <f>IF(A601=1,MAX(S$2:S600)+1,IF(OR(I601&lt;&gt;"",A601="x"),S600,""))</f>
        <v/>
      </c>
      <c r="T601" t="str">
        <f>IF(D601=1,MAX($T$2:$T600)+1,IF(S601=$S600,$S600,IF($D601="x",T600,IF($D600="x","",""))))</f>
        <v/>
      </c>
      <c r="U601" t="str">
        <f>IF(B601=1,MAX($U$2:$U600)+1,IF(AND($T601&lt;&gt;"",$T601=$T600),$U600,IF(B601="x",U600,"")))</f>
        <v/>
      </c>
      <c r="V601" t="str">
        <f>IF(C601=1,MAX($V$2:$V600)+1,IF(AND($T601&lt;&gt;"",$T601=$T600),$U600,IF(C601="x",V600,"")))</f>
        <v/>
      </c>
      <c r="W601" t="str" cm="1">
        <f t="array" ref="W601">IFERROR(_xlfn._xlws.FILTER(game_rosters!AB:AB,(game_rosters!J:J=events!X601)*(K601&lt;&gt;"")),"")</f>
        <v/>
      </c>
      <c r="X601" t="str" cm="1">
        <f t="array" ref="X601">IF(S601="","",IF($I601&lt;&gt;"",$I601,INDEX($I$2:$I600,ROW()-COUNTIFS($T$2:$T600,"="&amp;$T601,$S$2:$S600,"&lt;&gt;"&amp;$S601)-1)))</f>
        <v/>
      </c>
      <c r="Y601" t="b">
        <f>IF(X601&lt;&gt;"",VLOOKUP(X601,game_rosters!$C$43:$E$64,3,FALSE))</f>
        <v>0</v>
      </c>
      <c r="Z601" t="e" cm="1" vm="1">
        <f t="array" aca="1" ref="Z601" ca="1">IFERROR(IF(_xlfn._xlws.FILTER(game_rosters!$J:$J,(game_rosters!$G:$G=events!$AN601)*(game_rosters!$J:$J=events!$X601))&gt;0,1,""),"")</f>
        <v>#VALUE!</v>
      </c>
      <c r="AA601" t="e">
        <f t="shared" si="101"/>
        <v>#VALUE!</v>
      </c>
      <c r="AB601" t="str">
        <f t="shared" si="102"/>
        <v/>
      </c>
      <c r="AC601" t="e">
        <f t="shared" si="100"/>
        <v>#VALUE!</v>
      </c>
      <c r="AD601" s="6"/>
      <c r="BJ601" s="39"/>
      <c r="BM601" s="39"/>
      <c r="BO601" s="19"/>
      <c r="BQ601" s="17"/>
    </row>
    <row r="602" spans="1:69" x14ac:dyDescent="0.2">
      <c r="A602" t="str">
        <f t="shared" si="103"/>
        <v/>
      </c>
      <c r="E602" s="4"/>
      <c r="F602" s="44"/>
      <c r="G602" s="4"/>
      <c r="H602" s="47"/>
      <c r="J602" s="45" t="str">
        <f t="shared" si="104"/>
        <v/>
      </c>
      <c r="N602" t="str">
        <f t="shared" si="106"/>
        <v/>
      </c>
      <c r="Q602" t="str">
        <f t="shared" si="105"/>
        <v/>
      </c>
      <c r="S602" t="str">
        <f>IF(A602=1,MAX(S$2:S601)+1,IF(OR(I602&lt;&gt;"",A602="x"),S601,""))</f>
        <v/>
      </c>
      <c r="T602" t="str">
        <f>IF(D602=1,MAX($T$2:$T601)+1,IF(S602=$S601,$S601,IF($D602="x",T601,IF($D601="x","",""))))</f>
        <v/>
      </c>
      <c r="U602" t="str">
        <f>IF(B602=1,MAX($U$2:$U601)+1,IF(AND($T602&lt;&gt;"",$T602=$T601),$U601,IF(B602="x",U601,"")))</f>
        <v/>
      </c>
      <c r="V602" t="str">
        <f>IF(C602=1,MAX($V$2:$V601)+1,IF(AND($T602&lt;&gt;"",$T602=$T601),$U601,IF(C602="x",V601,"")))</f>
        <v/>
      </c>
      <c r="W602" t="str" cm="1">
        <f t="array" ref="W602">IFERROR(_xlfn._xlws.FILTER(game_rosters!AB:AB,(game_rosters!J:J=events!X602)*(K602&lt;&gt;"")),"")</f>
        <v/>
      </c>
      <c r="X602" t="str" cm="1">
        <f t="array" ref="X602">IF(S602="","",IF($I602&lt;&gt;"",$I602,INDEX($I$2:$I601,ROW()-COUNTIFS($T$2:$T601,"="&amp;$T602,$S$2:$S601,"&lt;&gt;"&amp;$S602)-1)))</f>
        <v/>
      </c>
      <c r="Y602" t="b">
        <f>IF(X602&lt;&gt;"",VLOOKUP(X602,game_rosters!$C$43:$E$64,3,FALSE))</f>
        <v>0</v>
      </c>
      <c r="Z602" t="e" cm="1" vm="1">
        <f t="array" aca="1" ref="Z602" ca="1">IFERROR(IF(_xlfn._xlws.FILTER(game_rosters!$J:$J,(game_rosters!$G:$G=events!$AN602)*(game_rosters!$J:$J=events!$X602))&gt;0,1,""),"")</f>
        <v>#VALUE!</v>
      </c>
      <c r="AA602" t="e">
        <f t="shared" si="101"/>
        <v>#VALUE!</v>
      </c>
      <c r="AB602" t="str">
        <f t="shared" si="102"/>
        <v/>
      </c>
      <c r="AC602" t="e">
        <f t="shared" si="100"/>
        <v>#VALUE!</v>
      </c>
      <c r="AD602" s="6"/>
      <c r="BJ602" s="39"/>
      <c r="BM602" s="39"/>
      <c r="BO602" s="19"/>
      <c r="BQ602" s="17"/>
    </row>
    <row r="603" spans="1:69" x14ac:dyDescent="0.2">
      <c r="A603" t="str">
        <f t="shared" si="103"/>
        <v/>
      </c>
      <c r="E603" s="4"/>
      <c r="F603" s="44"/>
      <c r="G603" s="4"/>
      <c r="H603" s="47"/>
      <c r="J603" s="45" t="str">
        <f t="shared" si="104"/>
        <v/>
      </c>
      <c r="N603" t="str">
        <f t="shared" si="106"/>
        <v/>
      </c>
      <c r="Q603" t="str">
        <f t="shared" si="105"/>
        <v/>
      </c>
      <c r="S603" t="str">
        <f>IF(A603=1,MAX(S$2:S602)+1,IF(OR(I603&lt;&gt;"",A603="x"),S602,""))</f>
        <v/>
      </c>
      <c r="T603" t="str">
        <f>IF(D603=1,MAX($T$2:$T602)+1,IF(S603=$S602,$S602,IF($D603="x",T602,IF($D602="x","",""))))</f>
        <v/>
      </c>
      <c r="U603" t="str">
        <f>IF(B603=1,MAX($U$2:$U602)+1,IF(AND($T603&lt;&gt;"",$T603=$T602),$U602,IF(B603="x",U602,"")))</f>
        <v/>
      </c>
      <c r="V603" t="str">
        <f>IF(C603=1,MAX($V$2:$V602)+1,IF(AND($T603&lt;&gt;"",$T603=$T602),$U602,IF(C603="x",V602,"")))</f>
        <v/>
      </c>
      <c r="W603" t="str" cm="1">
        <f t="array" ref="W603">IFERROR(_xlfn._xlws.FILTER(game_rosters!AB:AB,(game_rosters!J:J=events!X603)*(K603&lt;&gt;"")),"")</f>
        <v/>
      </c>
      <c r="X603" t="str" cm="1">
        <f t="array" ref="X603">IF(S603="","",IF($I603&lt;&gt;"",$I603,INDEX($I$2:$I602,ROW()-COUNTIFS($T$2:$T602,"="&amp;$T603,$S$2:$S602,"&lt;&gt;"&amp;$S603)-1)))</f>
        <v/>
      </c>
      <c r="Y603" t="b">
        <f>IF(X603&lt;&gt;"",VLOOKUP(X603,game_rosters!$C$43:$E$64,3,FALSE))</f>
        <v>0</v>
      </c>
      <c r="Z603" t="e" cm="1" vm="1">
        <f t="array" aca="1" ref="Z603" ca="1">IFERROR(IF(_xlfn._xlws.FILTER(game_rosters!$J:$J,(game_rosters!$G:$G=events!$AN603)*(game_rosters!$J:$J=events!$X603))&gt;0,1,""),"")</f>
        <v>#VALUE!</v>
      </c>
      <c r="AA603" t="e">
        <f t="shared" si="101"/>
        <v>#VALUE!</v>
      </c>
      <c r="AB603" t="str">
        <f t="shared" si="102"/>
        <v/>
      </c>
      <c r="AC603" t="e">
        <f t="shared" si="100"/>
        <v>#VALUE!</v>
      </c>
      <c r="AD603" s="6"/>
      <c r="BJ603" s="39"/>
      <c r="BM603" s="39"/>
      <c r="BO603" s="19"/>
      <c r="BQ603" s="17"/>
    </row>
    <row r="604" spans="1:69" x14ac:dyDescent="0.2">
      <c r="A604" t="str">
        <f t="shared" si="103"/>
        <v/>
      </c>
      <c r="E604" s="4"/>
      <c r="F604" s="44"/>
      <c r="G604" s="4"/>
      <c r="H604" s="47"/>
      <c r="J604" s="45" t="str">
        <f t="shared" si="104"/>
        <v/>
      </c>
      <c r="N604" t="str">
        <f t="shared" si="106"/>
        <v/>
      </c>
      <c r="Q604" t="str">
        <f t="shared" si="105"/>
        <v/>
      </c>
      <c r="S604" t="str">
        <f>IF(A604=1,MAX(S$2:S603)+1,IF(OR(I604&lt;&gt;"",A604="x"),S603,""))</f>
        <v/>
      </c>
      <c r="T604" t="str">
        <f>IF(D604=1,MAX($T$2:$T603)+1,IF(S604=$S603,$S603,IF($D604="x",T603,IF($D603="x","",""))))</f>
        <v/>
      </c>
      <c r="U604" t="str">
        <f>IF(B604=1,MAX($U$2:$U603)+1,IF(AND($T604&lt;&gt;"",$T604=$T603),$U603,IF(B604="x",U603,"")))</f>
        <v/>
      </c>
      <c r="V604" t="str">
        <f>IF(C604=1,MAX($V$2:$V603)+1,IF(AND($T604&lt;&gt;"",$T604=$T603),$U603,IF(C604="x",V603,"")))</f>
        <v/>
      </c>
      <c r="W604" t="str" cm="1">
        <f t="array" ref="W604">IFERROR(_xlfn._xlws.FILTER(game_rosters!AB:AB,(game_rosters!J:J=events!X604)*(K604&lt;&gt;"")),"")</f>
        <v/>
      </c>
      <c r="X604" t="str" cm="1">
        <f t="array" ref="X604">IF(S604="","",IF($I604&lt;&gt;"",$I604,INDEX($I$2:$I603,ROW()-COUNTIFS($T$2:$T603,"="&amp;$T604,$S$2:$S603,"&lt;&gt;"&amp;$S604)-1)))</f>
        <v/>
      </c>
      <c r="Y604" t="b">
        <f>IF(X604&lt;&gt;"",VLOOKUP(X604,game_rosters!$C$43:$E$64,3,FALSE))</f>
        <v>0</v>
      </c>
      <c r="Z604" t="e" cm="1" vm="1">
        <f t="array" aca="1" ref="Z604" ca="1">IFERROR(IF(_xlfn._xlws.FILTER(game_rosters!$J:$J,(game_rosters!$G:$G=events!$AN604)*(game_rosters!$J:$J=events!$X604))&gt;0,1,""),"")</f>
        <v>#VALUE!</v>
      </c>
      <c r="AA604" t="e">
        <f t="shared" si="101"/>
        <v>#VALUE!</v>
      </c>
      <c r="AB604" t="str">
        <f t="shared" si="102"/>
        <v/>
      </c>
      <c r="AC604" t="e">
        <f t="shared" si="100"/>
        <v>#VALUE!</v>
      </c>
      <c r="AD604" s="6"/>
      <c r="BJ604" s="39"/>
      <c r="BM604" s="39"/>
      <c r="BO604" s="19"/>
      <c r="BQ604" s="17"/>
    </row>
    <row r="605" spans="1:69" x14ac:dyDescent="0.2">
      <c r="A605" t="str">
        <f t="shared" si="103"/>
        <v/>
      </c>
      <c r="E605" s="4"/>
      <c r="F605" s="44"/>
      <c r="G605" s="4"/>
      <c r="H605" s="47"/>
      <c r="J605" s="45" t="str">
        <f t="shared" si="104"/>
        <v/>
      </c>
      <c r="N605" t="str">
        <f t="shared" si="106"/>
        <v/>
      </c>
      <c r="Q605" t="str">
        <f t="shared" si="105"/>
        <v/>
      </c>
      <c r="S605" t="str">
        <f>IF(A605=1,MAX(S$2:S604)+1,IF(OR(I605&lt;&gt;"",A605="x"),S604,""))</f>
        <v/>
      </c>
      <c r="T605" t="str">
        <f>IF(D605=1,MAX($T$2:$T604)+1,IF(S605=$S604,$S604,IF($D605="x",T604,IF($D604="x","",""))))</f>
        <v/>
      </c>
      <c r="U605" t="str">
        <f>IF(B605=1,MAX($U$2:$U604)+1,IF(AND($T605&lt;&gt;"",$T605=$T604),$U604,IF(B605="x",U604,"")))</f>
        <v/>
      </c>
      <c r="V605" t="str">
        <f>IF(C605=1,MAX($V$2:$V604)+1,IF(AND($T605&lt;&gt;"",$T605=$T604),$U604,IF(C605="x",V604,"")))</f>
        <v/>
      </c>
      <c r="W605" t="str" cm="1">
        <f t="array" ref="W605">IFERROR(_xlfn._xlws.FILTER(game_rosters!AB:AB,(game_rosters!J:J=events!X605)*(K605&lt;&gt;"")),"")</f>
        <v/>
      </c>
      <c r="X605" t="str" cm="1">
        <f t="array" ref="X605">IF(S605="","",IF($I605&lt;&gt;"",$I605,INDEX($I$2:$I604,ROW()-COUNTIFS($T$2:$T604,"="&amp;$T605,$S$2:$S604,"&lt;&gt;"&amp;$S605)-1)))</f>
        <v/>
      </c>
      <c r="Y605" t="b">
        <f>IF(X605&lt;&gt;"",VLOOKUP(X605,game_rosters!$C$43:$E$64,3,FALSE))</f>
        <v>0</v>
      </c>
      <c r="Z605" t="e" cm="1" vm="1">
        <f t="array" aca="1" ref="Z605" ca="1">IFERROR(IF(_xlfn._xlws.FILTER(game_rosters!$J:$J,(game_rosters!$G:$G=events!$AN605)*(game_rosters!$J:$J=events!$X605))&gt;0,1,""),"")</f>
        <v>#VALUE!</v>
      </c>
      <c r="AA605" t="e">
        <f t="shared" si="101"/>
        <v>#VALUE!</v>
      </c>
      <c r="AB605" t="str">
        <f t="shared" si="102"/>
        <v/>
      </c>
      <c r="AC605" t="e">
        <f t="shared" si="100"/>
        <v>#VALUE!</v>
      </c>
      <c r="AD605" s="6"/>
      <c r="BJ605" s="39"/>
      <c r="BM605" s="39"/>
      <c r="BO605" s="19"/>
      <c r="BQ605" s="17"/>
    </row>
    <row r="606" spans="1:69" x14ac:dyDescent="0.2">
      <c r="A606" t="str">
        <f t="shared" si="103"/>
        <v/>
      </c>
      <c r="E606" s="4"/>
      <c r="F606" s="44"/>
      <c r="G606" s="4"/>
      <c r="H606" s="47"/>
      <c r="J606" s="45" t="str">
        <f t="shared" si="104"/>
        <v/>
      </c>
      <c r="N606" t="str">
        <f t="shared" si="106"/>
        <v/>
      </c>
      <c r="Q606" t="str">
        <f t="shared" si="105"/>
        <v/>
      </c>
      <c r="S606" t="str">
        <f>IF(A606=1,MAX(S$2:S605)+1,IF(OR(I606&lt;&gt;"",A606="x"),S605,""))</f>
        <v/>
      </c>
      <c r="T606" t="str">
        <f>IF(D606=1,MAX($T$2:$T605)+1,IF(S606=$S605,$S605,IF($D606="x",T605,IF($D605="x","",""))))</f>
        <v/>
      </c>
      <c r="U606" t="str">
        <f>IF(B606=1,MAX($U$2:$U605)+1,IF(AND($T606&lt;&gt;"",$T606=$T605),$U605,IF(B606="x",U605,"")))</f>
        <v/>
      </c>
      <c r="V606" t="str">
        <f>IF(C606=1,MAX($V$2:$V605)+1,IF(AND($T606&lt;&gt;"",$T606=$T605),$U605,IF(C606="x",V605,"")))</f>
        <v/>
      </c>
      <c r="W606" t="str" cm="1">
        <f t="array" ref="W606">IFERROR(_xlfn._xlws.FILTER(game_rosters!AB:AB,(game_rosters!J:J=events!X606)*(K606&lt;&gt;"")),"")</f>
        <v/>
      </c>
      <c r="X606" t="str" cm="1">
        <f t="array" ref="X606">IF(S606="","",IF($I606&lt;&gt;"",$I606,INDEX($I$2:$I605,ROW()-COUNTIFS($T$2:$T605,"="&amp;$T606,$S$2:$S605,"&lt;&gt;"&amp;$S606)-1)))</f>
        <v/>
      </c>
      <c r="Y606" t="b">
        <f>IF(X606&lt;&gt;"",VLOOKUP(X606,game_rosters!$C$43:$E$64,3,FALSE))</f>
        <v>0</v>
      </c>
      <c r="Z606" t="e" cm="1" vm="1">
        <f t="array" aca="1" ref="Z606" ca="1">IFERROR(IF(_xlfn._xlws.FILTER(game_rosters!$J:$J,(game_rosters!$G:$G=events!$AN606)*(game_rosters!$J:$J=events!$X606))&gt;0,1,""),"")</f>
        <v>#VALUE!</v>
      </c>
      <c r="AA606" t="e">
        <f t="shared" si="101"/>
        <v>#VALUE!</v>
      </c>
      <c r="AB606" t="str">
        <f t="shared" si="102"/>
        <v/>
      </c>
      <c r="AC606" t="e">
        <f t="shared" si="100"/>
        <v>#VALUE!</v>
      </c>
      <c r="AD606" s="6"/>
      <c r="BJ606" s="39"/>
      <c r="BM606" s="39"/>
      <c r="BO606" s="19"/>
      <c r="BQ606" s="17"/>
    </row>
    <row r="607" spans="1:69" x14ac:dyDescent="0.2">
      <c r="A607" t="str">
        <f t="shared" si="103"/>
        <v/>
      </c>
      <c r="E607" s="4"/>
      <c r="F607" s="44"/>
      <c r="G607" s="4"/>
      <c r="H607" s="47"/>
      <c r="J607" s="45" t="str">
        <f t="shared" si="104"/>
        <v/>
      </c>
      <c r="N607" t="str">
        <f t="shared" si="106"/>
        <v/>
      </c>
      <c r="Q607" t="str">
        <f t="shared" si="105"/>
        <v/>
      </c>
      <c r="S607" t="str">
        <f>IF(A607=1,MAX(S$2:S606)+1,IF(OR(I607&lt;&gt;"",A607="x"),S606,""))</f>
        <v/>
      </c>
      <c r="T607" t="str">
        <f>IF(D607=1,MAX($T$2:$T606)+1,IF(S607=$S606,$S606,IF($D607="x",T606,IF($D606="x","",""))))</f>
        <v/>
      </c>
      <c r="U607" t="str">
        <f>IF(B607=1,MAX($U$2:$U606)+1,IF(AND($T607&lt;&gt;"",$T607=$T606),$U606,IF(B607="x",U606,"")))</f>
        <v/>
      </c>
      <c r="V607" t="str">
        <f>IF(C607=1,MAX($V$2:$V606)+1,IF(AND($T607&lt;&gt;"",$T607=$T606),$U606,IF(C607="x",V606,"")))</f>
        <v/>
      </c>
      <c r="W607" t="str" cm="1">
        <f t="array" ref="W607">IFERROR(_xlfn._xlws.FILTER(game_rosters!AB:AB,(game_rosters!J:J=events!X607)*(K607&lt;&gt;"")),"")</f>
        <v/>
      </c>
      <c r="X607" t="str" cm="1">
        <f t="array" ref="X607">IF(S607="","",IF($I607&lt;&gt;"",$I607,INDEX($I$2:$I606,ROW()-COUNTIFS($T$2:$T606,"="&amp;$T607,$S$2:$S606,"&lt;&gt;"&amp;$S607)-1)))</f>
        <v/>
      </c>
      <c r="Y607" t="b">
        <f>IF(X607&lt;&gt;"",VLOOKUP(X607,game_rosters!$C$43:$E$64,3,FALSE))</f>
        <v>0</v>
      </c>
      <c r="Z607" t="e" cm="1" vm="1">
        <f t="array" aca="1" ref="Z607" ca="1">IFERROR(IF(_xlfn._xlws.FILTER(game_rosters!$J:$J,(game_rosters!$G:$G=events!$AN607)*(game_rosters!$J:$J=events!$X607))&gt;0,1,""),"")</f>
        <v>#VALUE!</v>
      </c>
      <c r="AA607" t="e">
        <f t="shared" si="101"/>
        <v>#VALUE!</v>
      </c>
      <c r="AB607" t="str">
        <f t="shared" si="102"/>
        <v/>
      </c>
      <c r="AC607" t="e">
        <f t="shared" si="100"/>
        <v>#VALUE!</v>
      </c>
      <c r="AD607" s="6"/>
      <c r="BJ607" s="39"/>
      <c r="BM607" s="39"/>
      <c r="BO607" s="19"/>
      <c r="BQ607" s="17"/>
    </row>
    <row r="608" spans="1:69" x14ac:dyDescent="0.2">
      <c r="A608" t="str">
        <f t="shared" si="103"/>
        <v/>
      </c>
      <c r="E608" s="4"/>
      <c r="F608" s="44"/>
      <c r="G608" s="4"/>
      <c r="H608" s="47"/>
      <c r="J608" s="45" t="str">
        <f t="shared" si="104"/>
        <v/>
      </c>
      <c r="N608" t="str">
        <f t="shared" si="106"/>
        <v/>
      </c>
      <c r="Q608" t="str">
        <f t="shared" si="105"/>
        <v/>
      </c>
      <c r="S608" t="str">
        <f>IF(A608=1,MAX(S$2:S607)+1,IF(OR(I608&lt;&gt;"",A608="x"),S607,""))</f>
        <v/>
      </c>
      <c r="T608" t="str">
        <f>IF(D608=1,MAX($T$2:$T607)+1,IF(S608=$S607,$S607,IF($D608="x",T607,IF($D607="x","",""))))</f>
        <v/>
      </c>
      <c r="U608" t="str">
        <f>IF(B608=1,MAX($U$2:$U607)+1,IF(AND($T608&lt;&gt;"",$T608=$T607),$U607,IF(B608="x",U607,"")))</f>
        <v/>
      </c>
      <c r="V608" t="str">
        <f>IF(C608=1,MAX($V$2:$V607)+1,IF(AND($T608&lt;&gt;"",$T608=$T607),$U607,IF(C608="x",V607,"")))</f>
        <v/>
      </c>
      <c r="W608" t="str" cm="1">
        <f t="array" ref="W608">IFERROR(_xlfn._xlws.FILTER(game_rosters!AB:AB,(game_rosters!J:J=events!X608)*(K608&lt;&gt;"")),"")</f>
        <v/>
      </c>
      <c r="X608" t="str" cm="1">
        <f t="array" ref="X608">IF(S608="","",IF($I608&lt;&gt;"",$I608,INDEX($I$2:$I607,ROW()-COUNTIFS($T$2:$T607,"="&amp;$T608,$S$2:$S607,"&lt;&gt;"&amp;$S608)-1)))</f>
        <v/>
      </c>
      <c r="Y608" t="b">
        <f>IF(X608&lt;&gt;"",VLOOKUP(X608,game_rosters!$C$43:$E$64,3,FALSE))</f>
        <v>0</v>
      </c>
      <c r="Z608" t="e" cm="1" vm="1">
        <f t="array" aca="1" ref="Z608" ca="1">IFERROR(IF(_xlfn._xlws.FILTER(game_rosters!$J:$J,(game_rosters!$G:$G=events!$AN608)*(game_rosters!$J:$J=events!$X608))&gt;0,1,""),"")</f>
        <v>#VALUE!</v>
      </c>
      <c r="AA608" t="e">
        <f t="shared" si="101"/>
        <v>#VALUE!</v>
      </c>
      <c r="AB608" t="str">
        <f t="shared" si="102"/>
        <v/>
      </c>
      <c r="AC608" t="e">
        <f t="shared" si="100"/>
        <v>#VALUE!</v>
      </c>
      <c r="AD608" s="6"/>
      <c r="BJ608" s="39"/>
      <c r="BM608" s="39"/>
      <c r="BO608" s="19"/>
      <c r="BQ608" s="17"/>
    </row>
    <row r="609" spans="1:69" x14ac:dyDescent="0.2">
      <c r="A609" t="str">
        <f t="shared" si="103"/>
        <v/>
      </c>
      <c r="E609" s="4"/>
      <c r="F609" s="44"/>
      <c r="G609" s="4"/>
      <c r="H609" s="47"/>
      <c r="J609" s="45" t="str">
        <f t="shared" si="104"/>
        <v/>
      </c>
      <c r="N609" t="str">
        <f t="shared" si="106"/>
        <v/>
      </c>
      <c r="Q609" t="str">
        <f t="shared" si="105"/>
        <v/>
      </c>
      <c r="S609" t="str">
        <f>IF(A609=1,MAX(S$2:S608)+1,IF(OR(I609&lt;&gt;"",A609="x"),S608,""))</f>
        <v/>
      </c>
      <c r="T609" t="str">
        <f>IF(D609=1,MAX($T$2:$T608)+1,IF(S609=$S608,$S608,IF($D609="x",T608,IF($D608="x","",""))))</f>
        <v/>
      </c>
      <c r="U609" t="str">
        <f>IF(B609=1,MAX($U$2:$U608)+1,IF(AND($T609&lt;&gt;"",$T609=$T608),$U608,IF(B609="x",U608,"")))</f>
        <v/>
      </c>
      <c r="V609" t="str">
        <f>IF(C609=1,MAX($V$2:$V608)+1,IF(AND($T609&lt;&gt;"",$T609=$T608),$U608,IF(C609="x",V608,"")))</f>
        <v/>
      </c>
      <c r="W609" t="str" cm="1">
        <f t="array" ref="W609">IFERROR(_xlfn._xlws.FILTER(game_rosters!AB:AB,(game_rosters!J:J=events!X609)*(K609&lt;&gt;"")),"")</f>
        <v/>
      </c>
      <c r="X609" t="str" cm="1">
        <f t="array" ref="X609">IF(S609="","",IF($I609&lt;&gt;"",$I609,INDEX($I$2:$I608,ROW()-COUNTIFS($T$2:$T608,"="&amp;$T609,$S$2:$S608,"&lt;&gt;"&amp;$S609)-1)))</f>
        <v/>
      </c>
      <c r="Y609" t="b">
        <f>IF(X609&lt;&gt;"",VLOOKUP(X609,game_rosters!$C$43:$E$64,3,FALSE))</f>
        <v>0</v>
      </c>
      <c r="Z609" t="e" cm="1" vm="1">
        <f t="array" aca="1" ref="Z609" ca="1">IFERROR(IF(_xlfn._xlws.FILTER(game_rosters!$J:$J,(game_rosters!$G:$G=events!$AN609)*(game_rosters!$J:$J=events!$X609))&gt;0,1,""),"")</f>
        <v>#VALUE!</v>
      </c>
      <c r="AA609" t="e">
        <f t="shared" si="101"/>
        <v>#VALUE!</v>
      </c>
      <c r="AB609" t="str">
        <f t="shared" si="102"/>
        <v/>
      </c>
      <c r="AC609" t="e">
        <f t="shared" si="100"/>
        <v>#VALUE!</v>
      </c>
      <c r="AD609" s="6"/>
      <c r="BJ609" s="39"/>
      <c r="BM609" s="39"/>
      <c r="BO609" s="19"/>
      <c r="BQ609" s="17"/>
    </row>
    <row r="610" spans="1:69" x14ac:dyDescent="0.2">
      <c r="A610" t="str">
        <f t="shared" si="103"/>
        <v/>
      </c>
      <c r="E610" s="4"/>
      <c r="F610" s="44"/>
      <c r="G610" s="4"/>
      <c r="H610" s="47"/>
      <c r="J610" s="45" t="str">
        <f t="shared" si="104"/>
        <v/>
      </c>
      <c r="N610" t="str">
        <f t="shared" si="106"/>
        <v/>
      </c>
      <c r="Q610" t="str">
        <f t="shared" si="105"/>
        <v/>
      </c>
      <c r="S610" t="str">
        <f>IF(A610=1,MAX(S$2:S609)+1,IF(OR(I610&lt;&gt;"",A610="x"),S609,""))</f>
        <v/>
      </c>
      <c r="T610" t="str">
        <f>IF(D610=1,MAX($T$2:$T609)+1,IF(S610=$S609,$S609,IF($D610="x",T609,IF($D609="x","",""))))</f>
        <v/>
      </c>
      <c r="U610" t="str">
        <f>IF(B610=1,MAX($U$2:$U609)+1,IF(AND($T610&lt;&gt;"",$T610=$T609),$U609,IF(B610="x",U609,"")))</f>
        <v/>
      </c>
      <c r="V610" t="str">
        <f>IF(C610=1,MAX($V$2:$V609)+1,IF(AND($T610&lt;&gt;"",$T610=$T609),$U609,IF(C610="x",V609,"")))</f>
        <v/>
      </c>
      <c r="W610" t="str" cm="1">
        <f t="array" ref="W610">IFERROR(_xlfn._xlws.FILTER(game_rosters!AB:AB,(game_rosters!J:J=events!X610)*(K610&lt;&gt;"")),"")</f>
        <v/>
      </c>
      <c r="X610" t="str" cm="1">
        <f t="array" ref="X610">IF(S610="","",IF($I610&lt;&gt;"",$I610,INDEX($I$2:$I609,ROW()-COUNTIFS($T$2:$T609,"="&amp;$T610,$S$2:$S609,"&lt;&gt;"&amp;$S610)-1)))</f>
        <v/>
      </c>
      <c r="Y610" t="b">
        <f>IF(X610&lt;&gt;"",VLOOKUP(X610,game_rosters!$C$43:$E$64,3,FALSE))</f>
        <v>0</v>
      </c>
      <c r="Z610" t="e" cm="1" vm="1">
        <f t="array" aca="1" ref="Z610" ca="1">IFERROR(IF(_xlfn._xlws.FILTER(game_rosters!$J:$J,(game_rosters!$G:$G=events!$AN610)*(game_rosters!$J:$J=events!$X610))&gt;0,1,""),"")</f>
        <v>#VALUE!</v>
      </c>
      <c r="AA610" t="e">
        <f t="shared" si="101"/>
        <v>#VALUE!</v>
      </c>
      <c r="AB610" t="str">
        <f t="shared" si="102"/>
        <v/>
      </c>
      <c r="AC610" t="e">
        <f t="shared" si="100"/>
        <v>#VALUE!</v>
      </c>
      <c r="AD610" s="6"/>
      <c r="BJ610" s="39"/>
      <c r="BM610" s="39"/>
      <c r="BO610" s="19"/>
      <c r="BQ610" s="17"/>
    </row>
    <row r="611" spans="1:69" x14ac:dyDescent="0.2">
      <c r="A611" t="str">
        <f t="shared" si="103"/>
        <v/>
      </c>
      <c r="E611" s="4"/>
      <c r="F611" s="44"/>
      <c r="G611" s="4"/>
      <c r="H611" s="47"/>
      <c r="J611" s="45" t="str">
        <f t="shared" si="104"/>
        <v/>
      </c>
      <c r="N611" t="str">
        <f t="shared" si="106"/>
        <v/>
      </c>
      <c r="Q611" t="str">
        <f t="shared" si="105"/>
        <v/>
      </c>
      <c r="S611" t="str">
        <f>IF(A611=1,MAX(S$2:S610)+1,IF(OR(I611&lt;&gt;"",A611="x"),S610,""))</f>
        <v/>
      </c>
      <c r="T611" t="str">
        <f>IF(D611=1,MAX($T$2:$T610)+1,IF(S611=$S610,$S610,IF($D611="x",T610,IF($D610="x","",""))))</f>
        <v/>
      </c>
      <c r="U611" t="str">
        <f>IF(B611=1,MAX($U$2:$U610)+1,IF(AND($T611&lt;&gt;"",$T611=$T610),$U610,IF(B611="x",U610,"")))</f>
        <v/>
      </c>
      <c r="V611" t="str">
        <f>IF(C611=1,MAX($V$2:$V610)+1,IF(AND($T611&lt;&gt;"",$T611=$T610),$U610,IF(C611="x",V610,"")))</f>
        <v/>
      </c>
      <c r="W611" t="str" cm="1">
        <f t="array" ref="W611">IFERROR(_xlfn._xlws.FILTER(game_rosters!AB:AB,(game_rosters!J:J=events!X611)*(K611&lt;&gt;"")),"")</f>
        <v/>
      </c>
      <c r="X611" t="str" cm="1">
        <f t="array" ref="X611">IF(S611="","",IF($I611&lt;&gt;"",$I611,INDEX($I$2:$I610,ROW()-COUNTIFS($T$2:$T610,"="&amp;$T611,$S$2:$S610,"&lt;&gt;"&amp;$S611)-1)))</f>
        <v/>
      </c>
      <c r="Y611" t="b">
        <f>IF(X611&lt;&gt;"",VLOOKUP(X611,game_rosters!$C$43:$E$64,3,FALSE))</f>
        <v>0</v>
      </c>
      <c r="Z611" t="e" cm="1" vm="1">
        <f t="array" aca="1" ref="Z611" ca="1">IFERROR(IF(_xlfn._xlws.FILTER(game_rosters!$J:$J,(game_rosters!$G:$G=events!$AN611)*(game_rosters!$J:$J=events!$X611))&gt;0,1,""),"")</f>
        <v>#VALUE!</v>
      </c>
      <c r="AA611" t="e">
        <f t="shared" si="101"/>
        <v>#VALUE!</v>
      </c>
      <c r="AB611" t="str">
        <f t="shared" si="102"/>
        <v/>
      </c>
      <c r="AC611" t="e">
        <f t="shared" si="100"/>
        <v>#VALUE!</v>
      </c>
      <c r="AD611" s="6"/>
      <c r="BJ611" s="39"/>
      <c r="BM611" s="39"/>
      <c r="BO611" s="19"/>
      <c r="BQ611" s="17"/>
    </row>
    <row r="612" spans="1:69" x14ac:dyDescent="0.2">
      <c r="A612" t="str">
        <f t="shared" si="103"/>
        <v/>
      </c>
      <c r="E612" s="4"/>
      <c r="F612" s="44"/>
      <c r="G612" s="4"/>
      <c r="H612" s="47"/>
      <c r="J612" s="45" t="str">
        <f t="shared" si="104"/>
        <v/>
      </c>
      <c r="N612" t="str">
        <f t="shared" si="106"/>
        <v/>
      </c>
      <c r="Q612" t="str">
        <f t="shared" si="105"/>
        <v/>
      </c>
      <c r="S612" t="str">
        <f>IF(A612=1,MAX(S$2:S611)+1,IF(OR(I612&lt;&gt;"",A612="x"),S611,""))</f>
        <v/>
      </c>
      <c r="T612" t="str">
        <f>IF(D612=1,MAX($T$2:$T611)+1,IF(S612=$S611,$S611,IF($D612="x",T611,IF($D611="x","",""))))</f>
        <v/>
      </c>
      <c r="U612" t="str">
        <f>IF(B612=1,MAX($U$2:$U611)+1,IF(AND($T612&lt;&gt;"",$T612=$T611),$U611,IF(B612="x",U611,"")))</f>
        <v/>
      </c>
      <c r="V612" t="str">
        <f>IF(C612=1,MAX($V$2:$V611)+1,IF(AND($T612&lt;&gt;"",$T612=$T611),$U611,IF(C612="x",V611,"")))</f>
        <v/>
      </c>
      <c r="W612" t="str" cm="1">
        <f t="array" ref="W612">IFERROR(_xlfn._xlws.FILTER(game_rosters!AB:AB,(game_rosters!J:J=events!X612)*(K612&lt;&gt;"")),"")</f>
        <v/>
      </c>
      <c r="X612" t="str" cm="1">
        <f t="array" ref="X612">IF(S612="","",IF($I612&lt;&gt;"",$I612,INDEX($I$2:$I611,ROW()-COUNTIFS($T$2:$T611,"="&amp;$T612,$S$2:$S611,"&lt;&gt;"&amp;$S612)-1)))</f>
        <v/>
      </c>
      <c r="Y612" t="b">
        <f>IF(X612&lt;&gt;"",VLOOKUP(X612,game_rosters!$C$43:$E$64,3,FALSE))</f>
        <v>0</v>
      </c>
      <c r="Z612" t="e" cm="1" vm="1">
        <f t="array" aca="1" ref="Z612" ca="1">IFERROR(IF(_xlfn._xlws.FILTER(game_rosters!$J:$J,(game_rosters!$G:$G=events!$AN612)*(game_rosters!$J:$J=events!$X612))&gt;0,1,""),"")</f>
        <v>#VALUE!</v>
      </c>
      <c r="AA612" t="e">
        <f t="shared" si="101"/>
        <v>#VALUE!</v>
      </c>
      <c r="AB612" t="str">
        <f t="shared" si="102"/>
        <v/>
      </c>
      <c r="AC612" t="e">
        <f t="shared" si="100"/>
        <v>#VALUE!</v>
      </c>
      <c r="AD612" s="6"/>
      <c r="BJ612" s="39"/>
      <c r="BM612" s="39"/>
      <c r="BO612" s="19"/>
      <c r="BQ612" s="17"/>
    </row>
    <row r="613" spans="1:69" x14ac:dyDescent="0.2">
      <c r="A613" t="str">
        <f t="shared" si="103"/>
        <v/>
      </c>
      <c r="E613" s="4"/>
      <c r="F613" s="44"/>
      <c r="G613" s="4"/>
      <c r="H613" s="47"/>
      <c r="J613" s="45" t="str">
        <f t="shared" si="104"/>
        <v/>
      </c>
      <c r="N613" t="str">
        <f t="shared" si="106"/>
        <v/>
      </c>
      <c r="Q613" t="str">
        <f t="shared" si="105"/>
        <v/>
      </c>
      <c r="S613" t="str">
        <f>IF(A613=1,MAX(S$2:S612)+1,IF(OR(I613&lt;&gt;"",A613="x"),S612,""))</f>
        <v/>
      </c>
      <c r="T613" t="str">
        <f>IF(D613=1,MAX($T$2:$T612)+1,IF(S613=$S612,$S612,IF($D613="x",T612,IF($D612="x","",""))))</f>
        <v/>
      </c>
      <c r="U613" t="str">
        <f>IF(B613=1,MAX($U$2:$U612)+1,IF(AND($T613&lt;&gt;"",$T613=$T612),$U612,IF(B613="x",U612,"")))</f>
        <v/>
      </c>
      <c r="V613" t="str">
        <f>IF(C613=1,MAX($V$2:$V612)+1,IF(AND($T613&lt;&gt;"",$T613=$T612),$U612,IF(C613="x",V612,"")))</f>
        <v/>
      </c>
      <c r="W613" t="str" cm="1">
        <f t="array" ref="W613">IFERROR(_xlfn._xlws.FILTER(game_rosters!AB:AB,(game_rosters!J:J=events!X613)*(K613&lt;&gt;"")),"")</f>
        <v/>
      </c>
      <c r="X613" t="str" cm="1">
        <f t="array" ref="X613">IF(S613="","",IF($I613&lt;&gt;"",$I613,INDEX($I$2:$I612,ROW()-COUNTIFS($T$2:$T612,"="&amp;$T613,$S$2:$S612,"&lt;&gt;"&amp;$S613)-1)))</f>
        <v/>
      </c>
      <c r="Y613" t="b">
        <f>IF(X613&lt;&gt;"",VLOOKUP(X613,game_rosters!$C$43:$E$64,3,FALSE))</f>
        <v>0</v>
      </c>
      <c r="Z613" t="e" cm="1" vm="1">
        <f t="array" aca="1" ref="Z613" ca="1">IFERROR(IF(_xlfn._xlws.FILTER(game_rosters!$J:$J,(game_rosters!$G:$G=events!$AN613)*(game_rosters!$J:$J=events!$X613))&gt;0,1,""),"")</f>
        <v>#VALUE!</v>
      </c>
      <c r="AA613" t="e">
        <f t="shared" si="101"/>
        <v>#VALUE!</v>
      </c>
      <c r="AB613" t="str">
        <f t="shared" si="102"/>
        <v/>
      </c>
      <c r="AC613" t="e">
        <f t="shared" si="100"/>
        <v>#VALUE!</v>
      </c>
      <c r="AD613" s="6"/>
      <c r="BJ613" s="39"/>
      <c r="BM613" s="39"/>
      <c r="BO613" s="19"/>
      <c r="BQ613" s="17"/>
    </row>
    <row r="614" spans="1:69" x14ac:dyDescent="0.2">
      <c r="A614" t="str">
        <f t="shared" si="103"/>
        <v/>
      </c>
      <c r="E614" s="4"/>
      <c r="F614" s="44"/>
      <c r="G614" s="4"/>
      <c r="H614" s="47"/>
      <c r="J614" s="45" t="str">
        <f t="shared" si="104"/>
        <v/>
      </c>
      <c r="N614" t="str">
        <f t="shared" si="106"/>
        <v/>
      </c>
      <c r="Q614" t="str">
        <f t="shared" si="105"/>
        <v/>
      </c>
      <c r="S614" t="str">
        <f>IF(A614=1,MAX(S$2:S613)+1,IF(OR(I614&lt;&gt;"",A614="x"),S613,""))</f>
        <v/>
      </c>
      <c r="T614" t="str">
        <f>IF(D614=1,MAX($T$2:$T613)+1,IF(S614=$S613,$S613,IF($D614="x",T613,IF($D613="x","",""))))</f>
        <v/>
      </c>
      <c r="U614" t="str">
        <f>IF(B614=1,MAX($U$2:$U613)+1,IF(AND($T614&lt;&gt;"",$T614=$T613),$U613,IF(B614="x",U613,"")))</f>
        <v/>
      </c>
      <c r="V614" t="str">
        <f>IF(C614=1,MAX($V$2:$V613)+1,IF(AND($T614&lt;&gt;"",$T614=$T613),$U613,IF(C614="x",V613,"")))</f>
        <v/>
      </c>
      <c r="W614" t="str" cm="1">
        <f t="array" ref="W614">IFERROR(_xlfn._xlws.FILTER(game_rosters!AB:AB,(game_rosters!J:J=events!X614)*(K614&lt;&gt;"")),"")</f>
        <v/>
      </c>
      <c r="X614" t="str" cm="1">
        <f t="array" ref="X614">IF(S614="","",IF($I614&lt;&gt;"",$I614,INDEX($I$2:$I613,ROW()-COUNTIFS($T$2:$T613,"="&amp;$T614,$S$2:$S613,"&lt;&gt;"&amp;$S614)-1)))</f>
        <v/>
      </c>
      <c r="Y614" t="b">
        <f>IF(X614&lt;&gt;"",VLOOKUP(X614,game_rosters!$C$43:$E$64,3,FALSE))</f>
        <v>0</v>
      </c>
      <c r="Z614" t="e" cm="1" vm="1">
        <f t="array" aca="1" ref="Z614" ca="1">IFERROR(IF(_xlfn._xlws.FILTER(game_rosters!$J:$J,(game_rosters!$G:$G=events!$AN614)*(game_rosters!$J:$J=events!$X614))&gt;0,1,""),"")</f>
        <v>#VALUE!</v>
      </c>
      <c r="AA614" t="e">
        <f t="shared" si="101"/>
        <v>#VALUE!</v>
      </c>
      <c r="AB614" t="str">
        <f t="shared" si="102"/>
        <v/>
      </c>
      <c r="AC614" t="e">
        <f t="shared" si="100"/>
        <v>#VALUE!</v>
      </c>
      <c r="AD614" s="6"/>
      <c r="BJ614" s="39"/>
      <c r="BM614" s="39"/>
      <c r="BO614" s="19"/>
      <c r="BQ614" s="17"/>
    </row>
    <row r="615" spans="1:69" x14ac:dyDescent="0.2">
      <c r="A615" t="str">
        <f t="shared" si="103"/>
        <v/>
      </c>
      <c r="E615" s="4"/>
      <c r="F615" s="44"/>
      <c r="G615" s="4"/>
      <c r="H615" s="47"/>
      <c r="J615" s="45" t="str">
        <f t="shared" si="104"/>
        <v/>
      </c>
      <c r="N615" t="str">
        <f t="shared" si="106"/>
        <v/>
      </c>
      <c r="Q615" t="str">
        <f t="shared" si="105"/>
        <v/>
      </c>
      <c r="S615" t="str">
        <f>IF(A615=1,MAX(S$2:S614)+1,IF(OR(I615&lt;&gt;"",A615="x"),S614,""))</f>
        <v/>
      </c>
      <c r="T615" t="str">
        <f>IF(D615=1,MAX($T$2:$T614)+1,IF(S615=$S614,$S614,IF($D615="x",T614,IF($D614="x","",""))))</f>
        <v/>
      </c>
      <c r="U615" t="str">
        <f>IF(B615=1,MAX($U$2:$U614)+1,IF(AND($T615&lt;&gt;"",$T615=$T614),$U614,IF(B615="x",U614,"")))</f>
        <v/>
      </c>
      <c r="V615" t="str">
        <f>IF(C615=1,MAX($V$2:$V614)+1,IF(AND($T615&lt;&gt;"",$T615=$T614),$U614,IF(C615="x",V614,"")))</f>
        <v/>
      </c>
      <c r="W615" t="str" cm="1">
        <f t="array" ref="W615">IFERROR(_xlfn._xlws.FILTER(game_rosters!AB:AB,(game_rosters!J:J=events!X615)*(K615&lt;&gt;"")),"")</f>
        <v/>
      </c>
      <c r="X615" t="str" cm="1">
        <f t="array" ref="X615">IF(S615="","",IF($I615&lt;&gt;"",$I615,INDEX($I$2:$I614,ROW()-COUNTIFS($T$2:$T614,"="&amp;$T615,$S$2:$S614,"&lt;&gt;"&amp;$S615)-1)))</f>
        <v/>
      </c>
      <c r="Y615" t="b">
        <f>IF(X615&lt;&gt;"",VLOOKUP(X615,game_rosters!$C$43:$E$64,3,FALSE))</f>
        <v>0</v>
      </c>
      <c r="Z615" t="e" cm="1" vm="1">
        <f t="array" aca="1" ref="Z615" ca="1">IFERROR(IF(_xlfn._xlws.FILTER(game_rosters!$J:$J,(game_rosters!$G:$G=events!$AN615)*(game_rosters!$J:$J=events!$X615))&gt;0,1,""),"")</f>
        <v>#VALUE!</v>
      </c>
      <c r="AA615" t="e">
        <f t="shared" si="101"/>
        <v>#VALUE!</v>
      </c>
      <c r="AB615" t="str">
        <f t="shared" si="102"/>
        <v/>
      </c>
      <c r="AC615" t="e">
        <f t="shared" si="100"/>
        <v>#VALUE!</v>
      </c>
      <c r="AD615" s="6"/>
      <c r="BJ615" s="39"/>
      <c r="BM615" s="39"/>
      <c r="BO615" s="19"/>
      <c r="BQ615" s="17"/>
    </row>
    <row r="616" spans="1:69" x14ac:dyDescent="0.2">
      <c r="A616" t="str">
        <f t="shared" si="103"/>
        <v/>
      </c>
      <c r="E616" s="4"/>
      <c r="F616" s="44"/>
      <c r="G616" s="4"/>
      <c r="H616" s="47"/>
      <c r="J616" s="45" t="str">
        <f t="shared" si="104"/>
        <v/>
      </c>
      <c r="N616" t="str">
        <f t="shared" si="106"/>
        <v/>
      </c>
      <c r="Q616" t="str">
        <f t="shared" si="105"/>
        <v/>
      </c>
      <c r="S616" t="str">
        <f>IF(A616=1,MAX(S$2:S615)+1,IF(OR(I616&lt;&gt;"",A616="x"),S615,""))</f>
        <v/>
      </c>
      <c r="T616" t="str">
        <f>IF(D616=1,MAX($T$2:$T615)+1,IF(S616=$S615,$S615,IF($D616="x",T615,IF($D615="x","",""))))</f>
        <v/>
      </c>
      <c r="U616" t="str">
        <f>IF(B616=1,MAX($U$2:$U615)+1,IF(AND($T616&lt;&gt;"",$T616=$T615),$U615,IF(B616="x",U615,"")))</f>
        <v/>
      </c>
      <c r="V616" t="str">
        <f>IF(C616=1,MAX($V$2:$V615)+1,IF(AND($T616&lt;&gt;"",$T616=$T615),$U615,IF(C616="x",V615,"")))</f>
        <v/>
      </c>
      <c r="W616" t="str" cm="1">
        <f t="array" ref="W616">IFERROR(_xlfn._xlws.FILTER(game_rosters!AB:AB,(game_rosters!J:J=events!X616)*(K616&lt;&gt;"")),"")</f>
        <v/>
      </c>
      <c r="X616" t="str" cm="1">
        <f t="array" ref="X616">IF(S616="","",IF($I616&lt;&gt;"",$I616,INDEX($I$2:$I615,ROW()-COUNTIFS($T$2:$T615,"="&amp;$T616,$S$2:$S615,"&lt;&gt;"&amp;$S616)-1)))</f>
        <v/>
      </c>
      <c r="Y616" t="b">
        <f>IF(X616&lt;&gt;"",VLOOKUP(X616,game_rosters!$C$43:$E$64,3,FALSE))</f>
        <v>0</v>
      </c>
      <c r="Z616" t="e" cm="1" vm="1">
        <f t="array" aca="1" ref="Z616" ca="1">IFERROR(IF(_xlfn._xlws.FILTER(game_rosters!$J:$J,(game_rosters!$G:$G=events!$AN616)*(game_rosters!$J:$J=events!$X616))&gt;0,1,""),"")</f>
        <v>#VALUE!</v>
      </c>
      <c r="AA616" t="e">
        <f t="shared" si="101"/>
        <v>#VALUE!</v>
      </c>
      <c r="AB616" t="str">
        <f t="shared" si="102"/>
        <v/>
      </c>
      <c r="AC616" t="e">
        <f t="shared" si="100"/>
        <v>#VALUE!</v>
      </c>
      <c r="AD616" s="6"/>
      <c r="BJ616" s="39"/>
      <c r="BM616" s="39"/>
      <c r="BO616" s="19"/>
      <c r="BQ616" s="17"/>
    </row>
    <row r="617" spans="1:69" x14ac:dyDescent="0.2">
      <c r="A617" t="str">
        <f t="shared" si="103"/>
        <v/>
      </c>
      <c r="E617" s="4"/>
      <c r="F617" s="44"/>
      <c r="G617" s="4"/>
      <c r="H617" s="47"/>
      <c r="J617" s="45" t="str">
        <f t="shared" si="104"/>
        <v/>
      </c>
      <c r="N617" t="str">
        <f t="shared" si="106"/>
        <v/>
      </c>
      <c r="Q617" t="str">
        <f t="shared" si="105"/>
        <v/>
      </c>
      <c r="S617" t="str">
        <f>IF(A617=1,MAX(S$2:S616)+1,IF(OR(I617&lt;&gt;"",A617="x"),S616,""))</f>
        <v/>
      </c>
      <c r="T617" t="str">
        <f>IF(D617=1,MAX($T$2:$T616)+1,IF(S617=$S616,$S616,IF($D617="x",T616,IF($D616="x","",""))))</f>
        <v/>
      </c>
      <c r="U617" t="str">
        <f>IF(B617=1,MAX($U$2:$U616)+1,IF(AND($T617&lt;&gt;"",$T617=$T616),$U616,IF(B617="x",U616,"")))</f>
        <v/>
      </c>
      <c r="V617" t="str">
        <f>IF(C617=1,MAX($V$2:$V616)+1,IF(AND($T617&lt;&gt;"",$T617=$T616),$U616,IF(C617="x",V616,"")))</f>
        <v/>
      </c>
      <c r="W617" t="str" cm="1">
        <f t="array" ref="W617">IFERROR(_xlfn._xlws.FILTER(game_rosters!AB:AB,(game_rosters!J:J=events!X617)*(K617&lt;&gt;"")),"")</f>
        <v/>
      </c>
      <c r="X617" t="str" cm="1">
        <f t="array" ref="X617">IF(S617="","",IF($I617&lt;&gt;"",$I617,INDEX($I$2:$I616,ROW()-COUNTIFS($T$2:$T616,"="&amp;$T617,$S$2:$S616,"&lt;&gt;"&amp;$S617)-1)))</f>
        <v/>
      </c>
      <c r="Y617" t="b">
        <f>IF(X617&lt;&gt;"",VLOOKUP(X617,game_rosters!$C$43:$E$64,3,FALSE))</f>
        <v>0</v>
      </c>
      <c r="Z617" t="e" cm="1" vm="1">
        <f t="array" aca="1" ref="Z617" ca="1">IFERROR(IF(_xlfn._xlws.FILTER(game_rosters!$J:$J,(game_rosters!$G:$G=events!$AN617)*(game_rosters!$J:$J=events!$X617))&gt;0,1,""),"")</f>
        <v>#VALUE!</v>
      </c>
      <c r="AA617" t="e">
        <f t="shared" si="101"/>
        <v>#VALUE!</v>
      </c>
      <c r="AB617" t="str">
        <f t="shared" si="102"/>
        <v/>
      </c>
      <c r="AC617" t="e">
        <f t="shared" si="100"/>
        <v>#VALUE!</v>
      </c>
      <c r="AD617" s="6"/>
      <c r="BJ617" s="39"/>
      <c r="BM617" s="39"/>
      <c r="BO617" s="19"/>
      <c r="BQ617" s="17"/>
    </row>
    <row r="618" spans="1:69" x14ac:dyDescent="0.2">
      <c r="A618" t="str">
        <f t="shared" si="103"/>
        <v/>
      </c>
      <c r="E618" s="4"/>
      <c r="F618" s="44"/>
      <c r="G618" s="4"/>
      <c r="H618" s="47"/>
      <c r="J618" s="45" t="str">
        <f t="shared" si="104"/>
        <v/>
      </c>
      <c r="N618" t="str">
        <f t="shared" si="106"/>
        <v/>
      </c>
      <c r="Q618" t="str">
        <f t="shared" si="105"/>
        <v/>
      </c>
      <c r="S618" t="str">
        <f>IF(A618=1,MAX(S$2:S617)+1,IF(OR(I618&lt;&gt;"",A618="x"),S617,""))</f>
        <v/>
      </c>
      <c r="T618" t="str">
        <f>IF(D618=1,MAX($T$2:$T617)+1,IF(S618=$S617,$S617,IF($D618="x",T617,IF($D617="x","",""))))</f>
        <v/>
      </c>
      <c r="U618" t="str">
        <f>IF(B618=1,MAX($U$2:$U617)+1,IF(AND($T618&lt;&gt;"",$T618=$T617),$U617,IF(B618="x",U617,"")))</f>
        <v/>
      </c>
      <c r="V618" t="str">
        <f>IF(C618=1,MAX($V$2:$V617)+1,IF(AND($T618&lt;&gt;"",$T618=$T617),$U617,IF(C618="x",V617,"")))</f>
        <v/>
      </c>
      <c r="W618" t="str" cm="1">
        <f t="array" ref="W618">IFERROR(_xlfn._xlws.FILTER(game_rosters!AB:AB,(game_rosters!J:J=events!X618)*(K618&lt;&gt;"")),"")</f>
        <v/>
      </c>
      <c r="X618" t="str" cm="1">
        <f t="array" ref="X618">IF(S618="","",IF($I618&lt;&gt;"",$I618,INDEX($I$2:$I617,ROW()-COUNTIFS($T$2:$T617,"="&amp;$T618,$S$2:$S617,"&lt;&gt;"&amp;$S618)-1)))</f>
        <v/>
      </c>
      <c r="Y618" t="b">
        <f>IF(X618&lt;&gt;"",VLOOKUP(X618,game_rosters!$C$43:$E$64,3,FALSE))</f>
        <v>0</v>
      </c>
      <c r="Z618" t="e" cm="1" vm="1">
        <f t="array" aca="1" ref="Z618" ca="1">IFERROR(IF(_xlfn._xlws.FILTER(game_rosters!$J:$J,(game_rosters!$G:$G=events!$AN618)*(game_rosters!$J:$J=events!$X618))&gt;0,1,""),"")</f>
        <v>#VALUE!</v>
      </c>
      <c r="AA618" t="e">
        <f t="shared" si="101"/>
        <v>#VALUE!</v>
      </c>
      <c r="AB618" t="str">
        <f t="shared" si="102"/>
        <v/>
      </c>
      <c r="AC618" t="e">
        <f t="shared" si="100"/>
        <v>#VALUE!</v>
      </c>
      <c r="AD618" s="6"/>
      <c r="BJ618" s="39"/>
      <c r="BM618" s="39"/>
      <c r="BO618" s="19"/>
      <c r="BQ618" s="17"/>
    </row>
    <row r="619" spans="1:69" x14ac:dyDescent="0.2">
      <c r="A619" t="str">
        <f t="shared" si="103"/>
        <v/>
      </c>
      <c r="E619" s="4"/>
      <c r="F619" s="44"/>
      <c r="G619" s="4"/>
      <c r="H619" s="47"/>
      <c r="J619" s="45" t="str">
        <f t="shared" si="104"/>
        <v/>
      </c>
      <c r="N619" t="str">
        <f t="shared" si="106"/>
        <v/>
      </c>
      <c r="Q619" t="str">
        <f t="shared" si="105"/>
        <v/>
      </c>
      <c r="S619" t="str">
        <f>IF(A619=1,MAX(S$2:S618)+1,IF(OR(I619&lt;&gt;"",A619="x"),S618,""))</f>
        <v/>
      </c>
      <c r="T619" t="str">
        <f>IF(D619=1,MAX($T$2:$T618)+1,IF(S619=$S618,$S618,IF($D619="x",T618,IF($D618="x","",""))))</f>
        <v/>
      </c>
      <c r="U619" t="str">
        <f>IF(B619=1,MAX($U$2:$U618)+1,IF(AND($T619&lt;&gt;"",$T619=$T618),$U618,IF(B619="x",U618,"")))</f>
        <v/>
      </c>
      <c r="V619" t="str">
        <f>IF(C619=1,MAX($V$2:$V618)+1,IF(AND($T619&lt;&gt;"",$T619=$T618),$U618,IF(C619="x",V618,"")))</f>
        <v/>
      </c>
      <c r="W619" t="str" cm="1">
        <f t="array" ref="W619">IFERROR(_xlfn._xlws.FILTER(game_rosters!AB:AB,(game_rosters!J:J=events!X619)*(K619&lt;&gt;"")),"")</f>
        <v/>
      </c>
      <c r="X619" t="str" cm="1">
        <f t="array" ref="X619">IF(S619="","",IF($I619&lt;&gt;"",$I619,INDEX($I$2:$I618,ROW()-COUNTIFS($T$2:$T618,"="&amp;$T619,$S$2:$S618,"&lt;&gt;"&amp;$S619)-1)))</f>
        <v/>
      </c>
      <c r="Y619" t="b">
        <f>IF(X619&lt;&gt;"",VLOOKUP(X619,game_rosters!$C$43:$E$64,3,FALSE))</f>
        <v>0</v>
      </c>
      <c r="Z619" t="e" cm="1" vm="1">
        <f t="array" aca="1" ref="Z619" ca="1">IFERROR(IF(_xlfn._xlws.FILTER(game_rosters!$J:$J,(game_rosters!$G:$G=events!$AN619)*(game_rosters!$J:$J=events!$X619))&gt;0,1,""),"")</f>
        <v>#VALUE!</v>
      </c>
      <c r="AA619" t="e">
        <f t="shared" si="101"/>
        <v>#VALUE!</v>
      </c>
      <c r="AB619" t="str">
        <f t="shared" si="102"/>
        <v/>
      </c>
      <c r="AC619" t="e">
        <f t="shared" si="100"/>
        <v>#VALUE!</v>
      </c>
      <c r="AD619" s="6"/>
      <c r="BJ619" s="39"/>
      <c r="BM619" s="39"/>
      <c r="BO619" s="19"/>
      <c r="BQ619" s="17"/>
    </row>
    <row r="620" spans="1:69" x14ac:dyDescent="0.2">
      <c r="A620" t="str">
        <f t="shared" si="103"/>
        <v/>
      </c>
      <c r="E620" s="4"/>
      <c r="F620" s="44"/>
      <c r="G620" s="4"/>
      <c r="H620" s="47"/>
      <c r="J620" s="45" t="str">
        <f t="shared" si="104"/>
        <v/>
      </c>
      <c r="N620" t="str">
        <f t="shared" si="106"/>
        <v/>
      </c>
      <c r="Q620" t="str">
        <f t="shared" si="105"/>
        <v/>
      </c>
      <c r="S620" t="str">
        <f>IF(A620=1,MAX(S$2:S619)+1,IF(OR(I620&lt;&gt;"",A620="x"),S619,""))</f>
        <v/>
      </c>
      <c r="T620" t="str">
        <f>IF(D620=1,MAX($T$2:$T619)+1,IF(S620=$S619,$S619,IF($D620="x",T619,IF($D619="x","",""))))</f>
        <v/>
      </c>
      <c r="U620" t="str">
        <f>IF(B620=1,MAX($U$2:$U619)+1,IF(AND($T620&lt;&gt;"",$T620=$T619),$U619,IF(B620="x",U619,"")))</f>
        <v/>
      </c>
      <c r="V620" t="str">
        <f>IF(C620=1,MAX($V$2:$V619)+1,IF(AND($T620&lt;&gt;"",$T620=$T619),$U619,IF(C620="x",V619,"")))</f>
        <v/>
      </c>
      <c r="W620" t="str" cm="1">
        <f t="array" ref="W620">IFERROR(_xlfn._xlws.FILTER(game_rosters!AB:AB,(game_rosters!J:J=events!X620)*(K620&lt;&gt;"")),"")</f>
        <v/>
      </c>
      <c r="X620" t="str" cm="1">
        <f t="array" ref="X620">IF(S620="","",IF($I620&lt;&gt;"",$I620,INDEX($I$2:$I619,ROW()-COUNTIFS($T$2:$T619,"="&amp;$T620,$S$2:$S619,"&lt;&gt;"&amp;$S620)-1)))</f>
        <v/>
      </c>
      <c r="Y620" t="b">
        <f>IF(X620&lt;&gt;"",VLOOKUP(X620,game_rosters!$C$43:$E$64,3,FALSE))</f>
        <v>0</v>
      </c>
      <c r="Z620" t="e" cm="1" vm="1">
        <f t="array" aca="1" ref="Z620" ca="1">IFERROR(IF(_xlfn._xlws.FILTER(game_rosters!$J:$J,(game_rosters!$G:$G=events!$AN620)*(game_rosters!$J:$J=events!$X620))&gt;0,1,""),"")</f>
        <v>#VALUE!</v>
      </c>
      <c r="AA620" t="e">
        <f t="shared" si="101"/>
        <v>#VALUE!</v>
      </c>
      <c r="AB620" t="str">
        <f t="shared" si="102"/>
        <v/>
      </c>
      <c r="AC620" t="e">
        <f t="shared" si="100"/>
        <v>#VALUE!</v>
      </c>
      <c r="AD620" s="6"/>
      <c r="BJ620" s="39"/>
      <c r="BM620" s="39"/>
      <c r="BO620" s="19"/>
      <c r="BQ620" s="17"/>
    </row>
    <row r="621" spans="1:69" x14ac:dyDescent="0.2">
      <c r="A621" t="str">
        <f t="shared" si="103"/>
        <v/>
      </c>
      <c r="E621" s="4"/>
      <c r="F621" s="44"/>
      <c r="G621" s="4"/>
      <c r="H621" s="47"/>
      <c r="J621" s="45" t="str">
        <f t="shared" si="104"/>
        <v/>
      </c>
      <c r="N621" t="str">
        <f t="shared" si="106"/>
        <v/>
      </c>
      <c r="Q621" t="str">
        <f t="shared" si="105"/>
        <v/>
      </c>
      <c r="S621" t="str">
        <f>IF(A621=1,MAX(S$2:S620)+1,IF(OR(I621&lt;&gt;"",A621="x"),S620,""))</f>
        <v/>
      </c>
      <c r="T621" t="str">
        <f>IF(D621=1,MAX($T$2:$T620)+1,IF(S621=$S620,$S620,IF($D621="x",T620,IF($D620="x","",""))))</f>
        <v/>
      </c>
      <c r="U621" t="str">
        <f>IF(B621=1,MAX($U$2:$U620)+1,IF(AND($T621&lt;&gt;"",$T621=$T620),$U620,IF(B621="x",U620,"")))</f>
        <v/>
      </c>
      <c r="V621" t="str">
        <f>IF(C621=1,MAX($V$2:$V620)+1,IF(AND($T621&lt;&gt;"",$T621=$T620),$U620,IF(C621="x",V620,"")))</f>
        <v/>
      </c>
      <c r="W621" t="str" cm="1">
        <f t="array" ref="W621">IFERROR(_xlfn._xlws.FILTER(game_rosters!AB:AB,(game_rosters!J:J=events!X621)*(K621&lt;&gt;"")),"")</f>
        <v/>
      </c>
      <c r="X621" t="str" cm="1">
        <f t="array" ref="X621">IF(S621="","",IF($I621&lt;&gt;"",$I621,INDEX($I$2:$I620,ROW()-COUNTIFS($T$2:$T620,"="&amp;$T621,$S$2:$S620,"&lt;&gt;"&amp;$S621)-1)))</f>
        <v/>
      </c>
      <c r="Y621" t="b">
        <f>IF(X621&lt;&gt;"",VLOOKUP(X621,game_rosters!$C$43:$E$64,3,FALSE))</f>
        <v>0</v>
      </c>
      <c r="Z621" t="e" cm="1" vm="1">
        <f t="array" aca="1" ref="Z621" ca="1">IFERROR(IF(_xlfn._xlws.FILTER(game_rosters!$J:$J,(game_rosters!$G:$G=events!$AN621)*(game_rosters!$J:$J=events!$X621))&gt;0,1,""),"")</f>
        <v>#VALUE!</v>
      </c>
      <c r="AA621" t="e">
        <f t="shared" si="101"/>
        <v>#VALUE!</v>
      </c>
      <c r="AB621" t="str">
        <f t="shared" si="102"/>
        <v/>
      </c>
      <c r="AC621" t="e">
        <f t="shared" si="100"/>
        <v>#VALUE!</v>
      </c>
      <c r="AD621" s="6"/>
      <c r="BJ621" s="39"/>
      <c r="BM621" s="39"/>
      <c r="BO621" s="19"/>
      <c r="BQ621" s="17"/>
    </row>
    <row r="622" spans="1:69" x14ac:dyDescent="0.2">
      <c r="A622" t="str">
        <f t="shared" si="103"/>
        <v/>
      </c>
      <c r="E622" s="4"/>
      <c r="F622" s="44"/>
      <c r="G622" s="4"/>
      <c r="H622" s="47"/>
      <c r="J622" s="45" t="str">
        <f t="shared" si="104"/>
        <v/>
      </c>
      <c r="N622" t="str">
        <f t="shared" si="106"/>
        <v/>
      </c>
      <c r="Q622" t="str">
        <f t="shared" si="105"/>
        <v/>
      </c>
      <c r="S622" t="str">
        <f>IF(A622=1,MAX(S$2:S621)+1,IF(OR(I622&lt;&gt;"",A622="x"),S621,""))</f>
        <v/>
      </c>
      <c r="T622" t="str">
        <f>IF(D622=1,MAX($T$2:$T621)+1,IF(S622=$S621,$S621,IF($D622="x",T621,IF($D621="x","",""))))</f>
        <v/>
      </c>
      <c r="U622" t="str">
        <f>IF(B622=1,MAX($U$2:$U621)+1,IF(AND($T622&lt;&gt;"",$T622=$T621),$U621,IF(B622="x",U621,"")))</f>
        <v/>
      </c>
      <c r="V622" t="str">
        <f>IF(C622=1,MAX($V$2:$V621)+1,IF(AND($T622&lt;&gt;"",$T622=$T621),$U621,IF(C622="x",V621,"")))</f>
        <v/>
      </c>
      <c r="W622" t="str" cm="1">
        <f t="array" ref="W622">IFERROR(_xlfn._xlws.FILTER(game_rosters!AB:AB,(game_rosters!J:J=events!X622)*(K622&lt;&gt;"")),"")</f>
        <v/>
      </c>
      <c r="X622" t="str" cm="1">
        <f t="array" ref="X622">IF(S622="","",IF($I622&lt;&gt;"",$I622,INDEX($I$2:$I621,ROW()-COUNTIFS($T$2:$T621,"="&amp;$T622,$S$2:$S621,"&lt;&gt;"&amp;$S622)-1)))</f>
        <v/>
      </c>
      <c r="Y622" t="b">
        <f>IF(X622&lt;&gt;"",VLOOKUP(X622,game_rosters!$C$43:$E$64,3,FALSE))</f>
        <v>0</v>
      </c>
      <c r="Z622" t="e" cm="1" vm="1">
        <f t="array" aca="1" ref="Z622" ca="1">IFERROR(IF(_xlfn._xlws.FILTER(game_rosters!$J:$J,(game_rosters!$G:$G=events!$AN622)*(game_rosters!$J:$J=events!$X622))&gt;0,1,""),"")</f>
        <v>#VALUE!</v>
      </c>
      <c r="AA622" t="e">
        <f t="shared" si="101"/>
        <v>#VALUE!</v>
      </c>
      <c r="AB622" t="str">
        <f t="shared" si="102"/>
        <v/>
      </c>
      <c r="AC622" t="e">
        <f t="shared" si="100"/>
        <v>#VALUE!</v>
      </c>
      <c r="AD622" s="6"/>
      <c r="BJ622" s="39"/>
      <c r="BM622" s="39"/>
      <c r="BO622" s="19"/>
      <c r="BQ622" s="17"/>
    </row>
    <row r="623" spans="1:69" x14ac:dyDescent="0.2">
      <c r="A623" t="str">
        <f t="shared" si="103"/>
        <v/>
      </c>
      <c r="E623" s="4"/>
      <c r="F623" s="44"/>
      <c r="G623" s="4"/>
      <c r="H623" s="47"/>
      <c r="J623" s="45" t="str">
        <f t="shared" si="104"/>
        <v/>
      </c>
      <c r="N623" t="str">
        <f t="shared" si="106"/>
        <v/>
      </c>
      <c r="Q623" t="str">
        <f t="shared" si="105"/>
        <v/>
      </c>
      <c r="S623" t="str">
        <f>IF(A623=1,MAX(S$2:S622)+1,IF(OR(I623&lt;&gt;"",A623="x"),S622,""))</f>
        <v/>
      </c>
      <c r="T623" t="str">
        <f>IF(D623=1,MAX($T$2:$T622)+1,IF(S623=$S622,$S622,IF($D623="x",T622,IF($D622="x","",""))))</f>
        <v/>
      </c>
      <c r="U623" t="str">
        <f>IF(B623=1,MAX($U$2:$U622)+1,IF(AND($T623&lt;&gt;"",$T623=$T622),$U622,IF(B623="x",U622,"")))</f>
        <v/>
      </c>
      <c r="V623" t="str">
        <f>IF(C623=1,MAX($V$2:$V622)+1,IF(AND($T623&lt;&gt;"",$T623=$T622),$U622,IF(C623="x",V622,"")))</f>
        <v/>
      </c>
      <c r="W623" t="str" cm="1">
        <f t="array" ref="W623">IFERROR(_xlfn._xlws.FILTER(game_rosters!AB:AB,(game_rosters!J:J=events!X623)*(K623&lt;&gt;"")),"")</f>
        <v/>
      </c>
      <c r="X623" t="str" cm="1">
        <f t="array" ref="X623">IF(S623="","",IF($I623&lt;&gt;"",$I623,INDEX($I$2:$I622,ROW()-COUNTIFS($T$2:$T622,"="&amp;$T623,$S$2:$S622,"&lt;&gt;"&amp;$S623)-1)))</f>
        <v/>
      </c>
      <c r="Y623" t="b">
        <f>IF(X623&lt;&gt;"",VLOOKUP(X623,game_rosters!$C$43:$E$64,3,FALSE))</f>
        <v>0</v>
      </c>
      <c r="Z623" t="e" cm="1" vm="1">
        <f t="array" aca="1" ref="Z623" ca="1">IFERROR(IF(_xlfn._xlws.FILTER(game_rosters!$J:$J,(game_rosters!$G:$G=events!$AN623)*(game_rosters!$J:$J=events!$X623))&gt;0,1,""),"")</f>
        <v>#VALUE!</v>
      </c>
      <c r="AA623" t="e">
        <f t="shared" si="101"/>
        <v>#VALUE!</v>
      </c>
      <c r="AB623" t="str">
        <f t="shared" si="102"/>
        <v/>
      </c>
      <c r="AC623" t="e">
        <f t="shared" si="100"/>
        <v>#VALUE!</v>
      </c>
      <c r="AD623" s="6"/>
      <c r="BJ623" s="39"/>
      <c r="BM623" s="39"/>
      <c r="BO623" s="19"/>
      <c r="BQ623" s="17"/>
    </row>
    <row r="624" spans="1:69" x14ac:dyDescent="0.2">
      <c r="A624" t="str">
        <f t="shared" si="103"/>
        <v/>
      </c>
      <c r="E624" s="4"/>
      <c r="F624" s="44"/>
      <c r="G624" s="4"/>
      <c r="H624" s="47"/>
      <c r="J624" s="45" t="str">
        <f t="shared" si="104"/>
        <v/>
      </c>
      <c r="N624" t="str">
        <f t="shared" si="106"/>
        <v/>
      </c>
      <c r="Q624" t="str">
        <f t="shared" si="105"/>
        <v/>
      </c>
      <c r="S624" t="str">
        <f>IF(A624=1,MAX(S$2:S623)+1,IF(OR(I624&lt;&gt;"",A624="x"),S623,""))</f>
        <v/>
      </c>
      <c r="T624" t="str">
        <f>IF(D624=1,MAX($T$2:$T623)+1,IF(S624=$S623,$S623,IF($D624="x",T623,IF($D623="x","",""))))</f>
        <v/>
      </c>
      <c r="U624" t="str">
        <f>IF(B624=1,MAX($U$2:$U623)+1,IF(AND($T624&lt;&gt;"",$T624=$T623),$U623,IF(B624="x",U623,"")))</f>
        <v/>
      </c>
      <c r="V624" t="str">
        <f>IF(C624=1,MAX($V$2:$V623)+1,IF(AND($T624&lt;&gt;"",$T624=$T623),$U623,IF(C624="x",V623,"")))</f>
        <v/>
      </c>
      <c r="W624" t="str" cm="1">
        <f t="array" ref="W624">IFERROR(_xlfn._xlws.FILTER(game_rosters!AB:AB,(game_rosters!J:J=events!X624)*(K624&lt;&gt;"")),"")</f>
        <v/>
      </c>
      <c r="X624" t="str" cm="1">
        <f t="array" ref="X624">IF(S624="","",IF($I624&lt;&gt;"",$I624,INDEX($I$2:$I623,ROW()-COUNTIFS($T$2:$T623,"="&amp;$T624,$S$2:$S623,"&lt;&gt;"&amp;$S624)-1)))</f>
        <v/>
      </c>
      <c r="Y624" t="b">
        <f>IF(X624&lt;&gt;"",VLOOKUP(X624,game_rosters!$C$43:$E$64,3,FALSE))</f>
        <v>0</v>
      </c>
      <c r="Z624" t="e" cm="1" vm="1">
        <f t="array" aca="1" ref="Z624" ca="1">IFERROR(IF(_xlfn._xlws.FILTER(game_rosters!$J:$J,(game_rosters!$G:$G=events!$AN624)*(game_rosters!$J:$J=events!$X624))&gt;0,1,""),"")</f>
        <v>#VALUE!</v>
      </c>
      <c r="AA624" t="e">
        <f t="shared" si="101"/>
        <v>#VALUE!</v>
      </c>
      <c r="AB624" t="str">
        <f t="shared" si="102"/>
        <v/>
      </c>
      <c r="AC624" t="e">
        <f t="shared" si="100"/>
        <v>#VALUE!</v>
      </c>
      <c r="AD624" s="6"/>
      <c r="BJ624" s="39"/>
      <c r="BM624" s="39"/>
      <c r="BO624" s="19"/>
      <c r="BQ624" s="17"/>
    </row>
    <row r="625" spans="1:69" x14ac:dyDescent="0.2">
      <c r="A625" t="str">
        <f t="shared" si="103"/>
        <v/>
      </c>
      <c r="E625" s="4"/>
      <c r="F625" s="44"/>
      <c r="G625" s="4"/>
      <c r="H625" s="47"/>
      <c r="J625" s="45" t="str">
        <f t="shared" si="104"/>
        <v/>
      </c>
      <c r="N625" t="str">
        <f t="shared" si="106"/>
        <v/>
      </c>
      <c r="Q625" t="str">
        <f t="shared" si="105"/>
        <v/>
      </c>
      <c r="S625" t="str">
        <f>IF(A625=1,MAX(S$2:S624)+1,IF(OR(I625&lt;&gt;"",A625="x"),S624,""))</f>
        <v/>
      </c>
      <c r="T625" t="str">
        <f>IF(D625=1,MAX($T$2:$T624)+1,IF(S625=$S624,$S624,IF($D625="x",T624,IF($D624="x","",""))))</f>
        <v/>
      </c>
      <c r="U625" t="str">
        <f>IF(B625=1,MAX($U$2:$U624)+1,IF(AND($T625&lt;&gt;"",$T625=$T624),$U624,IF(B625="x",U624,"")))</f>
        <v/>
      </c>
      <c r="V625" t="str">
        <f>IF(C625=1,MAX($V$2:$V624)+1,IF(AND($T625&lt;&gt;"",$T625=$T624),$U624,IF(C625="x",V624,"")))</f>
        <v/>
      </c>
      <c r="W625" t="str" cm="1">
        <f t="array" ref="W625">IFERROR(_xlfn._xlws.FILTER(game_rosters!AB:AB,(game_rosters!J:J=events!X625)*(K625&lt;&gt;"")),"")</f>
        <v/>
      </c>
      <c r="X625" t="str" cm="1">
        <f t="array" ref="X625">IF(S625="","",IF($I625&lt;&gt;"",$I625,INDEX($I$2:$I624,ROW()-COUNTIFS($T$2:$T624,"="&amp;$T625,$S$2:$S624,"&lt;&gt;"&amp;$S625)-1)))</f>
        <v/>
      </c>
      <c r="Y625" t="b">
        <f>IF(X625&lt;&gt;"",VLOOKUP(X625,game_rosters!$C$43:$E$64,3,FALSE))</f>
        <v>0</v>
      </c>
      <c r="Z625" t="e" cm="1" vm="1">
        <f t="array" aca="1" ref="Z625" ca="1">IFERROR(IF(_xlfn._xlws.FILTER(game_rosters!$J:$J,(game_rosters!$G:$G=events!$AN625)*(game_rosters!$J:$J=events!$X625))&gt;0,1,""),"")</f>
        <v>#VALUE!</v>
      </c>
      <c r="AA625" t="e">
        <f t="shared" si="101"/>
        <v>#VALUE!</v>
      </c>
      <c r="AB625" t="str">
        <f t="shared" si="102"/>
        <v/>
      </c>
      <c r="AC625" t="e">
        <f t="shared" si="100"/>
        <v>#VALUE!</v>
      </c>
      <c r="AD625" s="6"/>
      <c r="BJ625" s="39"/>
      <c r="BM625" s="39"/>
      <c r="BO625" s="19"/>
      <c r="BQ625" s="17"/>
    </row>
    <row r="626" spans="1:69" x14ac:dyDescent="0.2">
      <c r="A626" t="str">
        <f t="shared" si="103"/>
        <v/>
      </c>
      <c r="E626" s="4"/>
      <c r="F626" s="44"/>
      <c r="G626" s="4"/>
      <c r="H626" s="47"/>
      <c r="J626" s="45" t="str">
        <f t="shared" si="104"/>
        <v/>
      </c>
      <c r="N626" t="str">
        <f t="shared" si="106"/>
        <v/>
      </c>
      <c r="Q626" t="str">
        <f t="shared" si="105"/>
        <v/>
      </c>
      <c r="S626" t="str">
        <f>IF(A626=1,MAX(S$2:S625)+1,IF(OR(I626&lt;&gt;"",A626="x"),S625,""))</f>
        <v/>
      </c>
      <c r="T626" t="str">
        <f>IF(D626=1,MAX($T$2:$T625)+1,IF(S626=$S625,$S625,IF($D626="x",T625,IF($D625="x","",""))))</f>
        <v/>
      </c>
      <c r="U626" t="str">
        <f>IF(B626=1,MAX($U$2:$U625)+1,IF(AND($T626&lt;&gt;"",$T626=$T625),$U625,IF(B626="x",U625,"")))</f>
        <v/>
      </c>
      <c r="V626" t="str">
        <f>IF(C626=1,MAX($V$2:$V625)+1,IF(AND($T626&lt;&gt;"",$T626=$T625),$U625,IF(C626="x",V625,"")))</f>
        <v/>
      </c>
      <c r="W626" t="str" cm="1">
        <f t="array" ref="W626">IFERROR(_xlfn._xlws.FILTER(game_rosters!AB:AB,(game_rosters!J:J=events!X626)*(K626&lt;&gt;"")),"")</f>
        <v/>
      </c>
      <c r="X626" t="str" cm="1">
        <f t="array" ref="X626">IF(S626="","",IF($I626&lt;&gt;"",$I626,INDEX($I$2:$I625,ROW()-COUNTIFS($T$2:$T625,"="&amp;$T626,$S$2:$S625,"&lt;&gt;"&amp;$S626)-1)))</f>
        <v/>
      </c>
      <c r="Y626" t="b">
        <f>IF(X626&lt;&gt;"",VLOOKUP(X626,game_rosters!$C$43:$E$64,3,FALSE))</f>
        <v>0</v>
      </c>
      <c r="Z626" t="e" cm="1" vm="1">
        <f t="array" aca="1" ref="Z626" ca="1">IFERROR(IF(_xlfn._xlws.FILTER(game_rosters!$J:$J,(game_rosters!$G:$G=events!$AN626)*(game_rosters!$J:$J=events!$X626))&gt;0,1,""),"")</f>
        <v>#VALUE!</v>
      </c>
      <c r="AA626" t="e">
        <f t="shared" si="101"/>
        <v>#VALUE!</v>
      </c>
      <c r="AB626" t="str">
        <f t="shared" si="102"/>
        <v/>
      </c>
      <c r="AC626" t="e">
        <f t="shared" si="100"/>
        <v>#VALUE!</v>
      </c>
      <c r="AD626" s="6"/>
      <c r="BJ626" s="39"/>
      <c r="BM626" s="39"/>
      <c r="BO626" s="19"/>
      <c r="BQ626" s="17"/>
    </row>
    <row r="627" spans="1:69" x14ac:dyDescent="0.2">
      <c r="A627" t="str">
        <f t="shared" si="103"/>
        <v/>
      </c>
      <c r="E627" s="4"/>
      <c r="F627" s="44"/>
      <c r="G627" s="4"/>
      <c r="H627" s="47"/>
      <c r="J627" s="45" t="str">
        <f t="shared" si="104"/>
        <v/>
      </c>
      <c r="N627" t="str">
        <f t="shared" si="106"/>
        <v/>
      </c>
      <c r="Q627" t="str">
        <f t="shared" si="105"/>
        <v/>
      </c>
      <c r="S627" t="str">
        <f>IF(A627=1,MAX(S$2:S626)+1,IF(OR(I627&lt;&gt;"",A627="x"),S626,""))</f>
        <v/>
      </c>
      <c r="T627" t="str">
        <f>IF(D627=1,MAX($T$2:$T626)+1,IF(S627=$S626,$S626,IF($D627="x",T626,IF($D626="x","",""))))</f>
        <v/>
      </c>
      <c r="U627" t="str">
        <f>IF(B627=1,MAX($U$2:$U626)+1,IF(AND($T627&lt;&gt;"",$T627=$T626),$U626,IF(B627="x",U626,"")))</f>
        <v/>
      </c>
      <c r="V627" t="str">
        <f>IF(C627=1,MAX($V$2:$V626)+1,IF(AND($T627&lt;&gt;"",$T627=$T626),$U626,IF(C627="x",V626,"")))</f>
        <v/>
      </c>
      <c r="W627" t="str" cm="1">
        <f t="array" ref="W627">IFERROR(_xlfn._xlws.FILTER(game_rosters!AB:AB,(game_rosters!J:J=events!X627)*(K627&lt;&gt;"")),"")</f>
        <v/>
      </c>
      <c r="X627" t="str" cm="1">
        <f t="array" ref="X627">IF(S627="","",IF($I627&lt;&gt;"",$I627,INDEX($I$2:$I626,ROW()-COUNTIFS($T$2:$T626,"="&amp;$T627,$S$2:$S626,"&lt;&gt;"&amp;$S627)-1)))</f>
        <v/>
      </c>
      <c r="Y627" t="b">
        <f>IF(X627&lt;&gt;"",VLOOKUP(X627,game_rosters!$C$43:$E$64,3,FALSE))</f>
        <v>0</v>
      </c>
      <c r="Z627" t="e" cm="1" vm="1">
        <f t="array" aca="1" ref="Z627" ca="1">IFERROR(IF(_xlfn._xlws.FILTER(game_rosters!$J:$J,(game_rosters!$G:$G=events!$AN627)*(game_rosters!$J:$J=events!$X627))&gt;0,1,""),"")</f>
        <v>#VALUE!</v>
      </c>
      <c r="AA627" t="e">
        <f t="shared" si="101"/>
        <v>#VALUE!</v>
      </c>
      <c r="AB627" t="str">
        <f t="shared" si="102"/>
        <v/>
      </c>
      <c r="AC627" t="e">
        <f t="shared" si="100"/>
        <v>#VALUE!</v>
      </c>
      <c r="AD627" s="6"/>
      <c r="BJ627" s="39"/>
      <c r="BM627" s="39"/>
      <c r="BO627" s="19"/>
      <c r="BQ627" s="17"/>
    </row>
    <row r="628" spans="1:69" x14ac:dyDescent="0.2">
      <c r="A628" t="str">
        <f t="shared" si="103"/>
        <v/>
      </c>
      <c r="E628" s="4"/>
      <c r="F628" s="44"/>
      <c r="G628" s="4"/>
      <c r="H628" s="47"/>
      <c r="J628" s="45" t="str">
        <f t="shared" si="104"/>
        <v/>
      </c>
      <c r="N628" t="str">
        <f t="shared" si="106"/>
        <v/>
      </c>
      <c r="Q628" t="str">
        <f t="shared" si="105"/>
        <v/>
      </c>
      <c r="S628" t="str">
        <f>IF(A628=1,MAX(S$2:S627)+1,IF(OR(I628&lt;&gt;"",A628="x"),S627,""))</f>
        <v/>
      </c>
      <c r="T628" t="str">
        <f>IF(D628=1,MAX($T$2:$T627)+1,IF(S628=$S627,$S627,IF($D628="x",T627,IF($D627="x","",""))))</f>
        <v/>
      </c>
      <c r="U628" t="str">
        <f>IF(B628=1,MAX($U$2:$U627)+1,IF(AND($T628&lt;&gt;"",$T628=$T627),$U627,IF(B628="x",U627,"")))</f>
        <v/>
      </c>
      <c r="V628" t="str">
        <f>IF(C628=1,MAX($V$2:$V627)+1,IF(AND($T628&lt;&gt;"",$T628=$T627),$U627,IF(C628="x",V627,"")))</f>
        <v/>
      </c>
      <c r="W628" t="str" cm="1">
        <f t="array" ref="W628">IFERROR(_xlfn._xlws.FILTER(game_rosters!AB:AB,(game_rosters!J:J=events!X628)*(K628&lt;&gt;"")),"")</f>
        <v/>
      </c>
      <c r="X628" t="str" cm="1">
        <f t="array" ref="X628">IF(S628="","",IF($I628&lt;&gt;"",$I628,INDEX($I$2:$I627,ROW()-COUNTIFS($T$2:$T627,"="&amp;$T628,$S$2:$S627,"&lt;&gt;"&amp;$S628)-1)))</f>
        <v/>
      </c>
      <c r="Y628" t="b">
        <f>IF(X628&lt;&gt;"",VLOOKUP(X628,game_rosters!$C$43:$E$64,3,FALSE))</f>
        <v>0</v>
      </c>
      <c r="Z628" t="e" cm="1" vm="1">
        <f t="array" aca="1" ref="Z628" ca="1">IFERROR(IF(_xlfn._xlws.FILTER(game_rosters!$J:$J,(game_rosters!$G:$G=events!$AN628)*(game_rosters!$J:$J=events!$X628))&gt;0,1,""),"")</f>
        <v>#VALUE!</v>
      </c>
      <c r="AA628" t="e">
        <f t="shared" si="101"/>
        <v>#VALUE!</v>
      </c>
      <c r="AB628" t="str">
        <f t="shared" si="102"/>
        <v/>
      </c>
      <c r="AC628" t="e">
        <f t="shared" si="100"/>
        <v>#VALUE!</v>
      </c>
      <c r="AD628" s="6"/>
      <c r="BJ628" s="39"/>
      <c r="BM628" s="39"/>
      <c r="BO628" s="19"/>
      <c r="BQ628" s="17"/>
    </row>
    <row r="629" spans="1:69" x14ac:dyDescent="0.2">
      <c r="A629" t="str">
        <f t="shared" si="103"/>
        <v/>
      </c>
      <c r="E629" s="4"/>
      <c r="F629" s="44"/>
      <c r="G629" s="4"/>
      <c r="H629" s="47"/>
      <c r="J629" s="45" t="str">
        <f t="shared" si="104"/>
        <v/>
      </c>
      <c r="N629" t="str">
        <f t="shared" si="106"/>
        <v/>
      </c>
      <c r="Q629" t="str">
        <f t="shared" si="105"/>
        <v/>
      </c>
      <c r="S629" t="str">
        <f>IF(A629=1,MAX(S$2:S628)+1,IF(OR(I629&lt;&gt;"",A629="x"),S628,""))</f>
        <v/>
      </c>
      <c r="T629" t="str">
        <f>IF(D629=1,MAX($T$2:$T628)+1,IF(S629=$S628,$S628,IF($D629="x",T628,IF($D628="x","",""))))</f>
        <v/>
      </c>
      <c r="U629" t="str">
        <f>IF(B629=1,MAX($U$2:$U628)+1,IF(AND($T629&lt;&gt;"",$T629=$T628),$U628,IF(B629="x",U628,"")))</f>
        <v/>
      </c>
      <c r="V629" t="str">
        <f>IF(C629=1,MAX($V$2:$V628)+1,IF(AND($T629&lt;&gt;"",$T629=$T628),$U628,IF(C629="x",V628,"")))</f>
        <v/>
      </c>
      <c r="W629" t="str" cm="1">
        <f t="array" ref="W629">IFERROR(_xlfn._xlws.FILTER(game_rosters!AB:AB,(game_rosters!J:J=events!X629)*(K629&lt;&gt;"")),"")</f>
        <v/>
      </c>
      <c r="X629" t="str" cm="1">
        <f t="array" ref="X629">IF(S629="","",IF($I629&lt;&gt;"",$I629,INDEX($I$2:$I628,ROW()-COUNTIFS($T$2:$T628,"="&amp;$T629,$S$2:$S628,"&lt;&gt;"&amp;$S629)-1)))</f>
        <v/>
      </c>
      <c r="Y629" t="b">
        <f>IF(X629&lt;&gt;"",VLOOKUP(X629,game_rosters!$C$43:$E$64,3,FALSE))</f>
        <v>0</v>
      </c>
      <c r="Z629" t="e" cm="1" vm="1">
        <f t="array" aca="1" ref="Z629" ca="1">IFERROR(IF(_xlfn._xlws.FILTER(game_rosters!$J:$J,(game_rosters!$G:$G=events!$AN629)*(game_rosters!$J:$J=events!$X629))&gt;0,1,""),"")</f>
        <v>#VALUE!</v>
      </c>
      <c r="AA629" t="e">
        <f t="shared" si="101"/>
        <v>#VALUE!</v>
      </c>
      <c r="AB629" t="str">
        <f t="shared" si="102"/>
        <v/>
      </c>
      <c r="AC629" t="e">
        <f t="shared" si="100"/>
        <v>#VALUE!</v>
      </c>
      <c r="AD629" s="6"/>
      <c r="BJ629" s="39"/>
      <c r="BM629" s="39"/>
      <c r="BO629" s="19"/>
      <c r="BQ629" s="17"/>
    </row>
    <row r="630" spans="1:69" x14ac:dyDescent="0.2">
      <c r="A630" t="str">
        <f t="shared" si="103"/>
        <v/>
      </c>
      <c r="E630" s="4"/>
      <c r="F630" s="44"/>
      <c r="G630" s="4"/>
      <c r="H630" s="47"/>
      <c r="J630" s="45" t="str">
        <f t="shared" si="104"/>
        <v/>
      </c>
      <c r="N630" t="str">
        <f t="shared" si="106"/>
        <v/>
      </c>
      <c r="Q630" t="str">
        <f t="shared" si="105"/>
        <v/>
      </c>
      <c r="S630" t="str">
        <f>IF(A630=1,MAX(S$2:S629)+1,IF(OR(I630&lt;&gt;"",A630="x"),S629,""))</f>
        <v/>
      </c>
      <c r="T630" t="str">
        <f>IF(D630=1,MAX($T$2:$T629)+1,IF(S630=$S629,$S629,IF($D630="x",T629,IF($D629="x","",""))))</f>
        <v/>
      </c>
      <c r="U630" t="str">
        <f>IF(B630=1,MAX($U$2:$U629)+1,IF(AND($T630&lt;&gt;"",$T630=$T629),$U629,IF(B630="x",U629,"")))</f>
        <v/>
      </c>
      <c r="V630" t="str">
        <f>IF(C630=1,MAX($V$2:$V629)+1,IF(AND($T630&lt;&gt;"",$T630=$T629),$U629,IF(C630="x",V629,"")))</f>
        <v/>
      </c>
      <c r="W630" t="str" cm="1">
        <f t="array" ref="W630">IFERROR(_xlfn._xlws.FILTER(game_rosters!AB:AB,(game_rosters!J:J=events!X630)*(K630&lt;&gt;"")),"")</f>
        <v/>
      </c>
      <c r="X630" t="str" cm="1">
        <f t="array" ref="X630">IF(S630="","",IF($I630&lt;&gt;"",$I630,INDEX($I$2:$I629,ROW()-COUNTIFS($T$2:$T629,"="&amp;$T630,$S$2:$S629,"&lt;&gt;"&amp;$S630)-1)))</f>
        <v/>
      </c>
      <c r="Y630" t="b">
        <f>IF(X630&lt;&gt;"",VLOOKUP(X630,game_rosters!$C$43:$E$64,3,FALSE))</f>
        <v>0</v>
      </c>
      <c r="Z630" t="e" cm="1" vm="1">
        <f t="array" aca="1" ref="Z630" ca="1">IFERROR(IF(_xlfn._xlws.FILTER(game_rosters!$J:$J,(game_rosters!$G:$G=events!$AN630)*(game_rosters!$J:$J=events!$X630))&gt;0,1,""),"")</f>
        <v>#VALUE!</v>
      </c>
      <c r="AA630" t="e">
        <f t="shared" si="101"/>
        <v>#VALUE!</v>
      </c>
      <c r="AB630" t="str">
        <f t="shared" si="102"/>
        <v/>
      </c>
      <c r="AC630" t="e">
        <f t="shared" si="100"/>
        <v>#VALUE!</v>
      </c>
      <c r="AD630" s="6"/>
      <c r="BJ630" s="39"/>
      <c r="BM630" s="39"/>
      <c r="BO630" s="19"/>
      <c r="BQ630" s="17"/>
    </row>
    <row r="631" spans="1:69" x14ac:dyDescent="0.2">
      <c r="A631" t="str">
        <f t="shared" si="103"/>
        <v/>
      </c>
      <c r="E631" s="4"/>
      <c r="F631" s="44"/>
      <c r="G631" s="4"/>
      <c r="H631" s="47"/>
      <c r="J631" s="45" t="str">
        <f t="shared" si="104"/>
        <v/>
      </c>
      <c r="N631" t="str">
        <f t="shared" si="106"/>
        <v/>
      </c>
      <c r="Q631" t="str">
        <f t="shared" si="105"/>
        <v/>
      </c>
      <c r="S631" t="str">
        <f>IF(A631=1,MAX(S$2:S630)+1,IF(OR(I631&lt;&gt;"",A631="x"),S630,""))</f>
        <v/>
      </c>
      <c r="T631" t="str">
        <f>IF(D631=1,MAX($T$2:$T630)+1,IF(S631=$S630,$S630,IF($D631="x",T630,IF($D630="x","",""))))</f>
        <v/>
      </c>
      <c r="U631" t="str">
        <f>IF(B631=1,MAX($U$2:$U630)+1,IF(AND($T631&lt;&gt;"",$T631=$T630),$U630,IF(B631="x",U630,"")))</f>
        <v/>
      </c>
      <c r="V631" t="str">
        <f>IF(C631=1,MAX($V$2:$V630)+1,IF(AND($T631&lt;&gt;"",$T631=$T630),$U630,IF(C631="x",V630,"")))</f>
        <v/>
      </c>
      <c r="W631" t="str" cm="1">
        <f t="array" ref="W631">IFERROR(_xlfn._xlws.FILTER(game_rosters!AB:AB,(game_rosters!J:J=events!X631)*(K631&lt;&gt;"")),"")</f>
        <v/>
      </c>
      <c r="X631" t="str" cm="1">
        <f t="array" ref="X631">IF(S631="","",IF($I631&lt;&gt;"",$I631,INDEX($I$2:$I630,ROW()-COUNTIFS($T$2:$T630,"="&amp;$T631,$S$2:$S630,"&lt;&gt;"&amp;$S631)-1)))</f>
        <v/>
      </c>
      <c r="Y631" t="b">
        <f>IF(X631&lt;&gt;"",VLOOKUP(X631,game_rosters!$C$43:$E$64,3,FALSE))</f>
        <v>0</v>
      </c>
      <c r="Z631" t="e" cm="1" vm="1">
        <f t="array" aca="1" ref="Z631" ca="1">IFERROR(IF(_xlfn._xlws.FILTER(game_rosters!$J:$J,(game_rosters!$G:$G=events!$AN631)*(game_rosters!$J:$J=events!$X631))&gt;0,1,""),"")</f>
        <v>#VALUE!</v>
      </c>
      <c r="AA631" t="e">
        <f t="shared" si="101"/>
        <v>#VALUE!</v>
      </c>
      <c r="AB631" t="str">
        <f t="shared" si="102"/>
        <v/>
      </c>
      <c r="AC631" t="e">
        <f t="shared" si="100"/>
        <v>#VALUE!</v>
      </c>
      <c r="AD631" s="6"/>
      <c r="BJ631" s="39"/>
      <c r="BM631" s="39"/>
      <c r="BO631" s="19"/>
      <c r="BQ631" s="17"/>
    </row>
    <row r="632" spans="1:69" x14ac:dyDescent="0.2">
      <c r="A632" t="str">
        <f t="shared" si="103"/>
        <v/>
      </c>
      <c r="E632" s="4"/>
      <c r="F632" s="44"/>
      <c r="G632" s="4"/>
      <c r="H632" s="47"/>
      <c r="J632" s="45" t="str">
        <f t="shared" si="104"/>
        <v/>
      </c>
      <c r="N632" t="str">
        <f t="shared" si="106"/>
        <v/>
      </c>
      <c r="Q632" t="str">
        <f t="shared" si="105"/>
        <v/>
      </c>
      <c r="S632" t="str">
        <f>IF(A632=1,MAX(S$2:S631)+1,IF(OR(I632&lt;&gt;"",A632="x"),S631,""))</f>
        <v/>
      </c>
      <c r="T632" t="str">
        <f>IF(D632=1,MAX($T$2:$T631)+1,IF(S632=$S631,$S631,IF($D632="x",T631,IF($D631="x","",""))))</f>
        <v/>
      </c>
      <c r="U632" t="str">
        <f>IF(B632=1,MAX($U$2:$U631)+1,IF(AND($T632&lt;&gt;"",$T632=$T631),$U631,IF(B632="x",U631,"")))</f>
        <v/>
      </c>
      <c r="V632" t="str">
        <f>IF(C632=1,MAX($V$2:$V631)+1,IF(AND($T632&lt;&gt;"",$T632=$T631),$U631,IF(C632="x",V631,"")))</f>
        <v/>
      </c>
      <c r="W632" t="str" cm="1">
        <f t="array" ref="W632">IFERROR(_xlfn._xlws.FILTER(game_rosters!AB:AB,(game_rosters!J:J=events!X632)*(K632&lt;&gt;"")),"")</f>
        <v/>
      </c>
      <c r="X632" t="str" cm="1">
        <f t="array" ref="X632">IF(S632="","",IF($I632&lt;&gt;"",$I632,INDEX($I$2:$I631,ROW()-COUNTIFS($T$2:$T631,"="&amp;$T632,$S$2:$S631,"&lt;&gt;"&amp;$S632)-1)))</f>
        <v/>
      </c>
      <c r="Y632" t="b">
        <f>IF(X632&lt;&gt;"",VLOOKUP(X632,game_rosters!$C$43:$E$64,3,FALSE))</f>
        <v>0</v>
      </c>
      <c r="Z632" t="e" cm="1" vm="1">
        <f t="array" aca="1" ref="Z632" ca="1">IFERROR(IF(_xlfn._xlws.FILTER(game_rosters!$J:$J,(game_rosters!$G:$G=events!$AN632)*(game_rosters!$J:$J=events!$X632))&gt;0,1,""),"")</f>
        <v>#VALUE!</v>
      </c>
      <c r="AA632" t="e">
        <f t="shared" si="101"/>
        <v>#VALUE!</v>
      </c>
      <c r="AB632" t="str">
        <f t="shared" si="102"/>
        <v/>
      </c>
      <c r="AC632" t="e">
        <f t="shared" si="100"/>
        <v>#VALUE!</v>
      </c>
      <c r="AD632" s="6"/>
      <c r="BJ632" s="39"/>
      <c r="BM632" s="39"/>
      <c r="BO632" s="19"/>
      <c r="BQ632" s="17"/>
    </row>
    <row r="633" spans="1:69" x14ac:dyDescent="0.2">
      <c r="A633" t="str">
        <f t="shared" si="103"/>
        <v/>
      </c>
      <c r="E633" s="4"/>
      <c r="F633" s="44"/>
      <c r="G633" s="4"/>
      <c r="H633" s="47"/>
      <c r="J633" s="45" t="str">
        <f t="shared" si="104"/>
        <v/>
      </c>
      <c r="N633" t="str">
        <f t="shared" si="106"/>
        <v/>
      </c>
      <c r="Q633" t="str">
        <f t="shared" si="105"/>
        <v/>
      </c>
      <c r="S633" t="str">
        <f>IF(A633=1,MAX(S$2:S632)+1,IF(OR(I633&lt;&gt;"",A633="x"),S632,""))</f>
        <v/>
      </c>
      <c r="T633" t="str">
        <f>IF(D633=1,MAX($T$2:$T632)+1,IF(S633=$S632,$S632,IF($D633="x",T632,IF($D632="x","",""))))</f>
        <v/>
      </c>
      <c r="U633" t="str">
        <f>IF(B633=1,MAX($U$2:$U632)+1,IF(AND($T633&lt;&gt;"",$T633=$T632),$U632,IF(B633="x",U632,"")))</f>
        <v/>
      </c>
      <c r="V633" t="str">
        <f>IF(C633=1,MAX($V$2:$V632)+1,IF(AND($T633&lt;&gt;"",$T633=$T632),$U632,IF(C633="x",V632,"")))</f>
        <v/>
      </c>
      <c r="W633" t="str" cm="1">
        <f t="array" ref="W633">IFERROR(_xlfn._xlws.FILTER(game_rosters!AB:AB,(game_rosters!J:J=events!X633)*(K633&lt;&gt;"")),"")</f>
        <v/>
      </c>
      <c r="X633" t="str" cm="1">
        <f t="array" ref="X633">IF(S633="","",IF($I633&lt;&gt;"",$I633,INDEX($I$2:$I632,ROW()-COUNTIFS($T$2:$T632,"="&amp;$T633,$S$2:$S632,"&lt;&gt;"&amp;$S633)-1)))</f>
        <v/>
      </c>
      <c r="Y633" t="b">
        <f>IF(X633&lt;&gt;"",VLOOKUP(X633,game_rosters!$C$43:$E$64,3,FALSE))</f>
        <v>0</v>
      </c>
      <c r="Z633" t="e" cm="1" vm="1">
        <f t="array" aca="1" ref="Z633" ca="1">IFERROR(IF(_xlfn._xlws.FILTER(game_rosters!$J:$J,(game_rosters!$G:$G=events!$AN633)*(game_rosters!$J:$J=events!$X633))&gt;0,1,""),"")</f>
        <v>#VALUE!</v>
      </c>
      <c r="AA633" t="e">
        <f t="shared" si="101"/>
        <v>#VALUE!</v>
      </c>
      <c r="AB633" t="str">
        <f t="shared" si="102"/>
        <v/>
      </c>
      <c r="AC633" t="e">
        <f t="shared" si="100"/>
        <v>#VALUE!</v>
      </c>
      <c r="AD633" s="6"/>
      <c r="BJ633" s="39"/>
      <c r="BM633" s="39"/>
      <c r="BO633" s="19"/>
      <c r="BQ633" s="17"/>
    </row>
    <row r="634" spans="1:69" x14ac:dyDescent="0.2">
      <c r="A634" t="str">
        <f t="shared" si="103"/>
        <v/>
      </c>
      <c r="E634" s="4"/>
      <c r="F634" s="44"/>
      <c r="G634" s="4"/>
      <c r="H634" s="47"/>
      <c r="J634" s="45" t="str">
        <f t="shared" si="104"/>
        <v/>
      </c>
      <c r="N634" t="str">
        <f t="shared" si="106"/>
        <v/>
      </c>
      <c r="Q634" t="str">
        <f t="shared" si="105"/>
        <v/>
      </c>
      <c r="S634" t="str">
        <f>IF(A634=1,MAX(S$2:S633)+1,IF(OR(I634&lt;&gt;"",A634="x"),S633,""))</f>
        <v/>
      </c>
      <c r="T634" t="str">
        <f>IF(D634=1,MAX($T$2:$T633)+1,IF(S634=$S633,$S633,IF($D634="x",T633,IF($D633="x","",""))))</f>
        <v/>
      </c>
      <c r="U634" t="str">
        <f>IF(B634=1,MAX($U$2:$U633)+1,IF(AND($T634&lt;&gt;"",$T634=$T633),$U633,IF(B634="x",U633,"")))</f>
        <v/>
      </c>
      <c r="V634" t="str">
        <f>IF(C634=1,MAX($V$2:$V633)+1,IF(AND($T634&lt;&gt;"",$T634=$T633),$U633,IF(C634="x",V633,"")))</f>
        <v/>
      </c>
      <c r="W634" t="str" cm="1">
        <f t="array" ref="W634">IFERROR(_xlfn._xlws.FILTER(game_rosters!AB:AB,(game_rosters!J:J=events!X634)*(K634&lt;&gt;"")),"")</f>
        <v/>
      </c>
      <c r="X634" t="str" cm="1">
        <f t="array" ref="X634">IF(S634="","",IF($I634&lt;&gt;"",$I634,INDEX($I$2:$I633,ROW()-COUNTIFS($T$2:$T633,"="&amp;$T634,$S$2:$S633,"&lt;&gt;"&amp;$S634)-1)))</f>
        <v/>
      </c>
      <c r="Y634" t="b">
        <f>IF(X634&lt;&gt;"",VLOOKUP(X634,game_rosters!$C$43:$E$64,3,FALSE))</f>
        <v>0</v>
      </c>
      <c r="Z634" t="e" cm="1" vm="1">
        <f t="array" aca="1" ref="Z634" ca="1">IFERROR(IF(_xlfn._xlws.FILTER(game_rosters!$J:$J,(game_rosters!$G:$G=events!$AN634)*(game_rosters!$J:$J=events!$X634))&gt;0,1,""),"")</f>
        <v>#VALUE!</v>
      </c>
      <c r="AA634" t="e">
        <f t="shared" si="101"/>
        <v>#VALUE!</v>
      </c>
      <c r="AB634" t="str">
        <f t="shared" si="102"/>
        <v/>
      </c>
      <c r="AC634" t="e">
        <f t="shared" si="100"/>
        <v>#VALUE!</v>
      </c>
      <c r="AD634" s="6"/>
      <c r="BJ634" s="39"/>
      <c r="BM634" s="39"/>
      <c r="BO634" s="19"/>
      <c r="BQ634" s="17"/>
    </row>
    <row r="635" spans="1:69" x14ac:dyDescent="0.2">
      <c r="A635" t="str">
        <f t="shared" si="103"/>
        <v/>
      </c>
      <c r="E635" s="4"/>
      <c r="F635" s="44"/>
      <c r="G635" s="4"/>
      <c r="H635" s="47"/>
      <c r="J635" s="45" t="str">
        <f t="shared" si="104"/>
        <v/>
      </c>
      <c r="N635" t="str">
        <f t="shared" si="106"/>
        <v/>
      </c>
      <c r="Q635" t="str">
        <f t="shared" si="105"/>
        <v/>
      </c>
      <c r="S635" t="str">
        <f>IF(A635=1,MAX(S$2:S634)+1,IF(OR(I635&lt;&gt;"",A635="x"),S634,""))</f>
        <v/>
      </c>
      <c r="T635" t="str">
        <f>IF(D635=1,MAX($T$2:$T634)+1,IF(S635=$S634,$S634,IF($D635="x",T634,IF($D634="x","",""))))</f>
        <v/>
      </c>
      <c r="U635" t="str">
        <f>IF(B635=1,MAX($U$2:$U634)+1,IF(AND($T635&lt;&gt;"",$T635=$T634),$U634,IF(B635="x",U634,"")))</f>
        <v/>
      </c>
      <c r="V635" t="str">
        <f>IF(C635=1,MAX($V$2:$V634)+1,IF(AND($T635&lt;&gt;"",$T635=$T634),$U634,IF(C635="x",V634,"")))</f>
        <v/>
      </c>
      <c r="W635" t="str" cm="1">
        <f t="array" ref="W635">IFERROR(_xlfn._xlws.FILTER(game_rosters!AB:AB,(game_rosters!J:J=events!X635)*(K635&lt;&gt;"")),"")</f>
        <v/>
      </c>
      <c r="X635" t="str" cm="1">
        <f t="array" ref="X635">IF(S635="","",IF($I635&lt;&gt;"",$I635,INDEX($I$2:$I634,ROW()-COUNTIFS($T$2:$T634,"="&amp;$T635,$S$2:$S634,"&lt;&gt;"&amp;$S635)-1)))</f>
        <v/>
      </c>
      <c r="Y635" t="b">
        <f>IF(X635&lt;&gt;"",VLOOKUP(X635,game_rosters!$C$43:$E$64,3,FALSE))</f>
        <v>0</v>
      </c>
      <c r="Z635" t="e" cm="1" vm="1">
        <f t="array" aca="1" ref="Z635" ca="1">IFERROR(IF(_xlfn._xlws.FILTER(game_rosters!$J:$J,(game_rosters!$G:$G=events!$AN635)*(game_rosters!$J:$J=events!$X635))&gt;0,1,""),"")</f>
        <v>#VALUE!</v>
      </c>
      <c r="AA635" t="e">
        <f t="shared" si="101"/>
        <v>#VALUE!</v>
      </c>
      <c r="AB635" t="str">
        <f t="shared" si="102"/>
        <v/>
      </c>
      <c r="AC635" t="e">
        <f t="shared" si="100"/>
        <v>#VALUE!</v>
      </c>
      <c r="AD635" s="6"/>
      <c r="BJ635" s="39"/>
      <c r="BM635" s="39"/>
      <c r="BO635" s="19"/>
      <c r="BQ635" s="17"/>
    </row>
    <row r="636" spans="1:69" x14ac:dyDescent="0.2">
      <c r="A636" t="str">
        <f t="shared" si="103"/>
        <v/>
      </c>
      <c r="E636" s="4"/>
      <c r="F636" s="44"/>
      <c r="G636" s="4"/>
      <c r="H636" s="47"/>
      <c r="J636" s="45" t="str">
        <f t="shared" si="104"/>
        <v/>
      </c>
      <c r="N636" t="str">
        <f t="shared" si="106"/>
        <v/>
      </c>
      <c r="Q636" t="str">
        <f t="shared" si="105"/>
        <v/>
      </c>
      <c r="S636" t="str">
        <f>IF(A636=1,MAX(S$2:S635)+1,IF(OR(I636&lt;&gt;"",A636="x"),S635,""))</f>
        <v/>
      </c>
      <c r="T636" t="str">
        <f>IF(D636=1,MAX($T$2:$T635)+1,IF(S636=$S635,$S635,IF($D636="x",T635,IF($D635="x","",""))))</f>
        <v/>
      </c>
      <c r="U636" t="str">
        <f>IF(B636=1,MAX($U$2:$U635)+1,IF(AND($T636&lt;&gt;"",$T636=$T635),$U635,IF(B636="x",U635,"")))</f>
        <v/>
      </c>
      <c r="V636" t="str">
        <f>IF(C636=1,MAX($V$2:$V635)+1,IF(AND($T636&lt;&gt;"",$T636=$T635),$U635,IF(C636="x",V635,"")))</f>
        <v/>
      </c>
      <c r="W636" t="str" cm="1">
        <f t="array" ref="W636">IFERROR(_xlfn._xlws.FILTER(game_rosters!AB:AB,(game_rosters!J:J=events!X636)*(K636&lt;&gt;"")),"")</f>
        <v/>
      </c>
      <c r="X636" t="str" cm="1">
        <f t="array" ref="X636">IF(S636="","",IF($I636&lt;&gt;"",$I636,INDEX($I$2:$I635,ROW()-COUNTIFS($T$2:$T635,"="&amp;$T636,$S$2:$S635,"&lt;&gt;"&amp;$S636)-1)))</f>
        <v/>
      </c>
      <c r="Y636" t="b">
        <f>IF(X636&lt;&gt;"",VLOOKUP(X636,game_rosters!$C$43:$E$64,3,FALSE))</f>
        <v>0</v>
      </c>
      <c r="Z636" t="e" cm="1" vm="1">
        <f t="array" aca="1" ref="Z636" ca="1">IFERROR(IF(_xlfn._xlws.FILTER(game_rosters!$J:$J,(game_rosters!$G:$G=events!$AN636)*(game_rosters!$J:$J=events!$X636))&gt;0,1,""),"")</f>
        <v>#VALUE!</v>
      </c>
      <c r="AA636" t="e">
        <f t="shared" si="101"/>
        <v>#VALUE!</v>
      </c>
      <c r="AB636" t="str">
        <f t="shared" si="102"/>
        <v/>
      </c>
      <c r="AC636" t="e">
        <f t="shared" si="100"/>
        <v>#VALUE!</v>
      </c>
      <c r="AD636" s="6"/>
      <c r="BJ636" s="39"/>
      <c r="BM636" s="39"/>
      <c r="BO636" s="19"/>
      <c r="BQ636" s="17"/>
    </row>
    <row r="637" spans="1:69" x14ac:dyDescent="0.2">
      <c r="A637" t="str">
        <f t="shared" si="103"/>
        <v/>
      </c>
      <c r="E637" s="4"/>
      <c r="F637" s="44"/>
      <c r="G637" s="4"/>
      <c r="H637" s="47"/>
      <c r="J637" s="45" t="str">
        <f t="shared" si="104"/>
        <v/>
      </c>
      <c r="N637" t="str">
        <f t="shared" si="106"/>
        <v/>
      </c>
      <c r="Q637" t="str">
        <f t="shared" si="105"/>
        <v/>
      </c>
      <c r="S637" t="str">
        <f>IF(A637=1,MAX(S$2:S636)+1,IF(OR(I637&lt;&gt;"",A637="x"),S636,""))</f>
        <v/>
      </c>
      <c r="T637" t="str">
        <f>IF(D637=1,MAX($T$2:$T636)+1,IF(S637=$S636,$S636,IF($D637="x",T636,IF($D636="x","",""))))</f>
        <v/>
      </c>
      <c r="U637" t="str">
        <f>IF(B637=1,MAX($U$2:$U636)+1,IF(AND($T637&lt;&gt;"",$T637=$T636),$U636,IF(B637="x",U636,"")))</f>
        <v/>
      </c>
      <c r="V637" t="str">
        <f>IF(C637=1,MAX($V$2:$V636)+1,IF(AND($T637&lt;&gt;"",$T637=$T636),$U636,IF(C637="x",V636,"")))</f>
        <v/>
      </c>
      <c r="W637" t="str" cm="1">
        <f t="array" ref="W637">IFERROR(_xlfn._xlws.FILTER(game_rosters!AB:AB,(game_rosters!J:J=events!X637)*(K637&lt;&gt;"")),"")</f>
        <v/>
      </c>
      <c r="X637" t="str" cm="1">
        <f t="array" ref="X637">IF(S637="","",IF($I637&lt;&gt;"",$I637,INDEX($I$2:$I636,ROW()-COUNTIFS($T$2:$T636,"="&amp;$T637,$S$2:$S636,"&lt;&gt;"&amp;$S637)-1)))</f>
        <v/>
      </c>
      <c r="Y637" t="b">
        <f>IF(X637&lt;&gt;"",VLOOKUP(X637,game_rosters!$C$43:$E$64,3,FALSE))</f>
        <v>0</v>
      </c>
      <c r="Z637" t="e" cm="1" vm="1">
        <f t="array" aca="1" ref="Z637" ca="1">IFERROR(IF(_xlfn._xlws.FILTER(game_rosters!$J:$J,(game_rosters!$G:$G=events!$AN637)*(game_rosters!$J:$J=events!$X637))&gt;0,1,""),"")</f>
        <v>#VALUE!</v>
      </c>
      <c r="AA637" t="e">
        <f t="shared" si="101"/>
        <v>#VALUE!</v>
      </c>
      <c r="AB637" t="str">
        <f t="shared" si="102"/>
        <v/>
      </c>
      <c r="AC637" t="e">
        <f t="shared" si="100"/>
        <v>#VALUE!</v>
      </c>
      <c r="AD637" s="6"/>
      <c r="BJ637" s="39"/>
      <c r="BM637" s="39"/>
      <c r="BO637" s="19"/>
      <c r="BQ637" s="17"/>
    </row>
    <row r="638" spans="1:69" x14ac:dyDescent="0.2">
      <c r="A638" t="str">
        <f t="shared" si="103"/>
        <v/>
      </c>
      <c r="E638" s="4"/>
      <c r="F638" s="44"/>
      <c r="G638" s="4"/>
      <c r="H638" s="47"/>
      <c r="J638" s="45" t="str">
        <f t="shared" si="104"/>
        <v/>
      </c>
      <c r="N638" t="str">
        <f t="shared" si="106"/>
        <v/>
      </c>
      <c r="Q638" t="str">
        <f t="shared" si="105"/>
        <v/>
      </c>
      <c r="S638" t="str">
        <f>IF(A638=1,MAX(S$2:S637)+1,IF(OR(I638&lt;&gt;"",A638="x"),S637,""))</f>
        <v/>
      </c>
      <c r="T638" t="str">
        <f>IF(D638=1,MAX($T$2:$T637)+1,IF(S638=$S637,$S637,IF($D638="x",T637,IF($D637="x","",""))))</f>
        <v/>
      </c>
      <c r="U638" t="str">
        <f>IF(B638=1,MAX($U$2:$U637)+1,IF(AND($T638&lt;&gt;"",$T638=$T637),$U637,IF(B638="x",U637,"")))</f>
        <v/>
      </c>
      <c r="V638" t="str">
        <f>IF(C638=1,MAX($V$2:$V637)+1,IF(AND($T638&lt;&gt;"",$T638=$T637),$U637,IF(C638="x",V637,"")))</f>
        <v/>
      </c>
      <c r="W638" t="str" cm="1">
        <f t="array" ref="W638">IFERROR(_xlfn._xlws.FILTER(game_rosters!AB:AB,(game_rosters!J:J=events!X638)*(K638&lt;&gt;"")),"")</f>
        <v/>
      </c>
      <c r="X638" t="str" cm="1">
        <f t="array" ref="X638">IF(S638="","",IF($I638&lt;&gt;"",$I638,INDEX($I$2:$I637,ROW()-COUNTIFS($T$2:$T637,"="&amp;$T638,$S$2:$S637,"&lt;&gt;"&amp;$S638)-1)))</f>
        <v/>
      </c>
      <c r="Y638" t="b">
        <f>IF(X638&lt;&gt;"",VLOOKUP(X638,game_rosters!$C$43:$E$64,3,FALSE))</f>
        <v>0</v>
      </c>
      <c r="Z638" t="e" cm="1" vm="1">
        <f t="array" aca="1" ref="Z638" ca="1">IFERROR(IF(_xlfn._xlws.FILTER(game_rosters!$J:$J,(game_rosters!$G:$G=events!$AN638)*(game_rosters!$J:$J=events!$X638))&gt;0,1,""),"")</f>
        <v>#VALUE!</v>
      </c>
      <c r="AA638" t="e">
        <f t="shared" si="101"/>
        <v>#VALUE!</v>
      </c>
      <c r="AB638" t="str">
        <f t="shared" si="102"/>
        <v/>
      </c>
      <c r="AC638" t="e">
        <f t="shared" si="100"/>
        <v>#VALUE!</v>
      </c>
      <c r="AD638" s="6"/>
      <c r="BJ638" s="39"/>
      <c r="BM638" s="39"/>
      <c r="BO638" s="19"/>
      <c r="BQ638" s="17"/>
    </row>
    <row r="639" spans="1:69" x14ac:dyDescent="0.2">
      <c r="A639" t="str">
        <f t="shared" si="103"/>
        <v/>
      </c>
      <c r="E639" s="4"/>
      <c r="F639" s="44"/>
      <c r="G639" s="4"/>
      <c r="H639" s="47"/>
      <c r="J639" s="45" t="str">
        <f t="shared" si="104"/>
        <v/>
      </c>
      <c r="N639" t="str">
        <f t="shared" si="106"/>
        <v/>
      </c>
      <c r="Q639" t="str">
        <f t="shared" si="105"/>
        <v/>
      </c>
      <c r="S639" t="str">
        <f>IF(A639=1,MAX(S$2:S638)+1,IF(OR(I639&lt;&gt;"",A639="x"),S638,""))</f>
        <v/>
      </c>
      <c r="T639" t="str">
        <f>IF(D639=1,MAX($T$2:$T638)+1,IF(S639=$S638,$S638,IF($D639="x",T638,IF($D638="x","",""))))</f>
        <v/>
      </c>
      <c r="U639" t="str">
        <f>IF(B639=1,MAX($U$2:$U638)+1,IF(AND($T639&lt;&gt;"",$T639=$T638),$U638,IF(B639="x",U638,"")))</f>
        <v/>
      </c>
      <c r="V639" t="str">
        <f>IF(C639=1,MAX($V$2:$V638)+1,IF(AND($T639&lt;&gt;"",$T639=$T638),$U638,IF(C639="x",V638,"")))</f>
        <v/>
      </c>
      <c r="W639" t="str" cm="1">
        <f t="array" ref="W639">IFERROR(_xlfn._xlws.FILTER(game_rosters!AB:AB,(game_rosters!J:J=events!X639)*(K639&lt;&gt;"")),"")</f>
        <v/>
      </c>
      <c r="X639" t="str" cm="1">
        <f t="array" ref="X639">IF(S639="","",IF($I639&lt;&gt;"",$I639,INDEX($I$2:$I638,ROW()-COUNTIFS($T$2:$T638,"="&amp;$T639,$S$2:$S638,"&lt;&gt;"&amp;$S639)-1)))</f>
        <v/>
      </c>
      <c r="Y639" t="b">
        <f>IF(X639&lt;&gt;"",VLOOKUP(X639,game_rosters!$C$43:$E$64,3,FALSE))</f>
        <v>0</v>
      </c>
      <c r="Z639" t="e" cm="1" vm="1">
        <f t="array" aca="1" ref="Z639" ca="1">IFERROR(IF(_xlfn._xlws.FILTER(game_rosters!$J:$J,(game_rosters!$G:$G=events!$AN639)*(game_rosters!$J:$J=events!$X639))&gt;0,1,""),"")</f>
        <v>#VALUE!</v>
      </c>
      <c r="AA639" t="e">
        <f t="shared" si="101"/>
        <v>#VALUE!</v>
      </c>
      <c r="AB639" t="str">
        <f t="shared" si="102"/>
        <v/>
      </c>
      <c r="AC639" t="e">
        <f t="shared" si="100"/>
        <v>#VALUE!</v>
      </c>
      <c r="AD639" s="6"/>
      <c r="BJ639" s="39"/>
      <c r="BM639" s="39"/>
      <c r="BO639" s="19"/>
      <c r="BQ639" s="17"/>
    </row>
    <row r="640" spans="1:69" x14ac:dyDescent="0.2">
      <c r="A640" t="str">
        <f t="shared" si="103"/>
        <v/>
      </c>
      <c r="E640" s="4"/>
      <c r="F640" s="44"/>
      <c r="G640" s="4"/>
      <c r="H640" s="47"/>
      <c r="J640" s="45" t="str">
        <f t="shared" si="104"/>
        <v/>
      </c>
      <c r="N640" t="str">
        <f t="shared" si="106"/>
        <v/>
      </c>
      <c r="Q640" t="str">
        <f t="shared" si="105"/>
        <v/>
      </c>
      <c r="S640" t="str">
        <f>IF(A640=1,MAX(S$2:S639)+1,IF(OR(I640&lt;&gt;"",A640="x"),S639,""))</f>
        <v/>
      </c>
      <c r="T640" t="str">
        <f>IF(D640=1,MAX($T$2:$T639)+1,IF(S640=$S639,$S639,IF($D640="x",T639,IF($D639="x","",""))))</f>
        <v/>
      </c>
      <c r="U640" t="str">
        <f>IF(B640=1,MAX($U$2:$U639)+1,IF(AND($T640&lt;&gt;"",$T640=$T639),$U639,IF(B640="x",U639,"")))</f>
        <v/>
      </c>
      <c r="V640" t="str">
        <f>IF(C640=1,MAX($V$2:$V639)+1,IF(AND($T640&lt;&gt;"",$T640=$T639),$U639,IF(C640="x",V639,"")))</f>
        <v/>
      </c>
      <c r="W640" t="str" cm="1">
        <f t="array" ref="W640">IFERROR(_xlfn._xlws.FILTER(game_rosters!AB:AB,(game_rosters!J:J=events!X640)*(K640&lt;&gt;"")),"")</f>
        <v/>
      </c>
      <c r="X640" t="str" cm="1">
        <f t="array" ref="X640">IF(S640="","",IF($I640&lt;&gt;"",$I640,INDEX($I$2:$I639,ROW()-COUNTIFS($T$2:$T639,"="&amp;$T640,$S$2:$S639,"&lt;&gt;"&amp;$S640)-1)))</f>
        <v/>
      </c>
      <c r="Y640" t="b">
        <f>IF(X640&lt;&gt;"",VLOOKUP(X640,game_rosters!$C$43:$E$64,3,FALSE))</f>
        <v>0</v>
      </c>
      <c r="Z640" t="e" cm="1" vm="1">
        <f t="array" aca="1" ref="Z640" ca="1">IFERROR(IF(_xlfn._xlws.FILTER(game_rosters!$J:$J,(game_rosters!$G:$G=events!$AN640)*(game_rosters!$J:$J=events!$X640))&gt;0,1,""),"")</f>
        <v>#VALUE!</v>
      </c>
      <c r="AA640" t="e">
        <f t="shared" si="101"/>
        <v>#VALUE!</v>
      </c>
      <c r="AB640" t="str">
        <f t="shared" si="102"/>
        <v/>
      </c>
      <c r="AC640" t="e">
        <f t="shared" si="100"/>
        <v>#VALUE!</v>
      </c>
      <c r="AD640" s="6"/>
      <c r="BJ640" s="39"/>
      <c r="BM640" s="39"/>
      <c r="BO640" s="19"/>
      <c r="BQ640" s="17"/>
    </row>
    <row r="641" spans="1:69" x14ac:dyDescent="0.2">
      <c r="A641" t="str">
        <f t="shared" si="103"/>
        <v/>
      </c>
      <c r="E641" s="4"/>
      <c r="F641" s="44"/>
      <c r="G641" s="4"/>
      <c r="H641" s="47"/>
      <c r="J641" s="45" t="str">
        <f t="shared" si="104"/>
        <v/>
      </c>
      <c r="N641" t="str">
        <f t="shared" si="106"/>
        <v/>
      </c>
      <c r="Q641" t="str">
        <f t="shared" si="105"/>
        <v/>
      </c>
      <c r="S641" t="str">
        <f>IF(A641=1,MAX(S$2:S640)+1,IF(OR(I641&lt;&gt;"",A641="x"),S640,""))</f>
        <v/>
      </c>
      <c r="T641" t="str">
        <f>IF(D641=1,MAX($T$2:$T640)+1,IF(S641=$S640,$S640,IF($D641="x",T640,IF($D640="x","",""))))</f>
        <v/>
      </c>
      <c r="U641" t="str">
        <f>IF(B641=1,MAX($U$2:$U640)+1,IF(AND($T641&lt;&gt;"",$T641=$T640),$U640,IF(B641="x",U640,"")))</f>
        <v/>
      </c>
      <c r="V641" t="str">
        <f>IF(C641=1,MAX($V$2:$V640)+1,IF(AND($T641&lt;&gt;"",$T641=$T640),$U640,IF(C641="x",V640,"")))</f>
        <v/>
      </c>
      <c r="W641" t="str" cm="1">
        <f t="array" ref="W641">IFERROR(_xlfn._xlws.FILTER(game_rosters!AB:AB,(game_rosters!J:J=events!X641)*(K641&lt;&gt;"")),"")</f>
        <v/>
      </c>
      <c r="X641" t="str" cm="1">
        <f t="array" ref="X641">IF(S641="","",IF($I641&lt;&gt;"",$I641,INDEX($I$2:$I640,ROW()-COUNTIFS($T$2:$T640,"="&amp;$T641,$S$2:$S640,"&lt;&gt;"&amp;$S641)-1)))</f>
        <v/>
      </c>
      <c r="Y641" t="b">
        <f>IF(X641&lt;&gt;"",VLOOKUP(X641,game_rosters!$C$43:$E$64,3,FALSE))</f>
        <v>0</v>
      </c>
      <c r="Z641" t="e" cm="1" vm="1">
        <f t="array" aca="1" ref="Z641" ca="1">IFERROR(IF(_xlfn._xlws.FILTER(game_rosters!$J:$J,(game_rosters!$G:$G=events!$AN641)*(game_rosters!$J:$J=events!$X641))&gt;0,1,""),"")</f>
        <v>#VALUE!</v>
      </c>
      <c r="AA641" t="e">
        <f t="shared" si="101"/>
        <v>#VALUE!</v>
      </c>
      <c r="AB641" t="str">
        <f t="shared" si="102"/>
        <v/>
      </c>
      <c r="AC641" t="e">
        <f t="shared" si="100"/>
        <v>#VALUE!</v>
      </c>
      <c r="AD641" s="6"/>
      <c r="BJ641" s="39"/>
      <c r="BM641" s="39"/>
      <c r="BO641" s="19"/>
      <c r="BQ641" s="17"/>
    </row>
    <row r="642" spans="1:69" x14ac:dyDescent="0.2">
      <c r="A642" t="str">
        <f t="shared" si="103"/>
        <v/>
      </c>
      <c r="E642" s="4"/>
      <c r="F642" s="44"/>
      <c r="G642" s="4"/>
      <c r="H642" s="47"/>
      <c r="J642" s="45" t="str">
        <f t="shared" si="104"/>
        <v/>
      </c>
      <c r="N642" t="str">
        <f t="shared" si="106"/>
        <v/>
      </c>
      <c r="Q642" t="str">
        <f t="shared" si="105"/>
        <v/>
      </c>
      <c r="S642" t="str">
        <f>IF(A642=1,MAX(S$2:S641)+1,IF(OR(I642&lt;&gt;"",A642="x"),S641,""))</f>
        <v/>
      </c>
      <c r="T642" t="str">
        <f>IF(D642=1,MAX($T$2:$T641)+1,IF(S642=$S641,$S641,IF($D642="x",T641,IF($D641="x","",""))))</f>
        <v/>
      </c>
      <c r="U642" t="str">
        <f>IF(B642=1,MAX($U$2:$U641)+1,IF(AND($T642&lt;&gt;"",$T642=$T641),$U641,IF(B642="x",U641,"")))</f>
        <v/>
      </c>
      <c r="V642" t="str">
        <f>IF(C642=1,MAX($V$2:$V641)+1,IF(AND($T642&lt;&gt;"",$T642=$T641),$U641,IF(C642="x",V641,"")))</f>
        <v/>
      </c>
      <c r="W642" t="str" cm="1">
        <f t="array" ref="W642">IFERROR(_xlfn._xlws.FILTER(game_rosters!AB:AB,(game_rosters!J:J=events!X642)*(K642&lt;&gt;"")),"")</f>
        <v/>
      </c>
      <c r="X642" t="str" cm="1">
        <f t="array" ref="X642">IF(S642="","",IF($I642&lt;&gt;"",$I642,INDEX($I$2:$I641,ROW()-COUNTIFS($T$2:$T641,"="&amp;$T642,$S$2:$S641,"&lt;&gt;"&amp;$S642)-1)))</f>
        <v/>
      </c>
      <c r="Y642" t="b">
        <f>IF(X642&lt;&gt;"",VLOOKUP(X642,game_rosters!$C$43:$E$64,3,FALSE))</f>
        <v>0</v>
      </c>
      <c r="Z642" t="e" cm="1" vm="1">
        <f t="array" aca="1" ref="Z642" ca="1">IFERROR(IF(_xlfn._xlws.FILTER(game_rosters!$J:$J,(game_rosters!$G:$G=events!$AN642)*(game_rosters!$J:$J=events!$X642))&gt;0,1,""),"")</f>
        <v>#VALUE!</v>
      </c>
      <c r="AA642" t="e">
        <f t="shared" si="101"/>
        <v>#VALUE!</v>
      </c>
      <c r="AB642" t="str">
        <f t="shared" si="102"/>
        <v/>
      </c>
      <c r="AC642" t="e">
        <f t="shared" ref="AC642:AC705" si="107">IF(AB642&lt;&gt;"",AB642,S642+1000)</f>
        <v>#VALUE!</v>
      </c>
      <c r="AD642" s="6"/>
      <c r="BJ642" s="39"/>
      <c r="BM642" s="39"/>
      <c r="BO642" s="19"/>
      <c r="BQ642" s="17"/>
    </row>
    <row r="643" spans="1:69" x14ac:dyDescent="0.2">
      <c r="A643" t="str">
        <f t="shared" si="103"/>
        <v/>
      </c>
      <c r="E643" s="4"/>
      <c r="F643" s="44"/>
      <c r="G643" s="4"/>
      <c r="H643" s="47"/>
      <c r="J643" s="45" t="str">
        <f t="shared" si="104"/>
        <v/>
      </c>
      <c r="N643" t="str">
        <f t="shared" si="106"/>
        <v/>
      </c>
      <c r="Q643" t="str">
        <f t="shared" si="105"/>
        <v/>
      </c>
      <c r="S643" t="str">
        <f>IF(A643=1,MAX(S$2:S642)+1,IF(OR(I643&lt;&gt;"",A643="x"),S642,""))</f>
        <v/>
      </c>
      <c r="T643" t="str">
        <f>IF(D643=1,MAX($T$2:$T642)+1,IF(S643=$S642,$S642,IF($D643="x",T642,IF($D642="x","",""))))</f>
        <v/>
      </c>
      <c r="U643" t="str">
        <f>IF(B643=1,MAX($U$2:$U642)+1,IF(AND($T643&lt;&gt;"",$T643=$T642),$U642,IF(B643="x",U642,"")))</f>
        <v/>
      </c>
      <c r="V643" t="str">
        <f>IF(C643=1,MAX($V$2:$V642)+1,IF(AND($T643&lt;&gt;"",$T643=$T642),$U642,IF(C643="x",V642,"")))</f>
        <v/>
      </c>
      <c r="W643" t="str" cm="1">
        <f t="array" ref="W643">IFERROR(_xlfn._xlws.FILTER(game_rosters!AB:AB,(game_rosters!J:J=events!X643)*(K643&lt;&gt;"")),"")</f>
        <v/>
      </c>
      <c r="X643" t="str" cm="1">
        <f t="array" ref="X643">IF(S643="","",IF($I643&lt;&gt;"",$I643,INDEX($I$2:$I642,ROW()-COUNTIFS($T$2:$T642,"="&amp;$T643,$S$2:$S642,"&lt;&gt;"&amp;$S643)-1)))</f>
        <v/>
      </c>
      <c r="Y643" t="b">
        <f>IF(X643&lt;&gt;"",VLOOKUP(X643,game_rosters!$C$43:$E$64,3,FALSE))</f>
        <v>0</v>
      </c>
      <c r="Z643" t="e" cm="1" vm="1">
        <f t="array" aca="1" ref="Z643" ca="1">IFERROR(IF(_xlfn._xlws.FILTER(game_rosters!$J:$J,(game_rosters!$G:$G=events!$AN643)*(game_rosters!$J:$J=events!$X643))&gt;0,1,""),"")</f>
        <v>#VALUE!</v>
      </c>
      <c r="AA643" t="e">
        <f t="shared" si="101"/>
        <v>#VALUE!</v>
      </c>
      <c r="AB643" t="str">
        <f t="shared" si="102"/>
        <v/>
      </c>
      <c r="AC643" t="e">
        <f t="shared" si="107"/>
        <v>#VALUE!</v>
      </c>
      <c r="AD643" s="6"/>
      <c r="BJ643" s="39"/>
      <c r="BM643" s="39"/>
      <c r="BO643" s="19"/>
      <c r="BQ643" s="17"/>
    </row>
    <row r="644" spans="1:69" x14ac:dyDescent="0.2">
      <c r="A644" t="str">
        <f t="shared" si="103"/>
        <v/>
      </c>
      <c r="E644" s="4"/>
      <c r="F644" s="44"/>
      <c r="G644" s="4"/>
      <c r="H644" s="47"/>
      <c r="J644" s="45" t="str">
        <f t="shared" si="104"/>
        <v/>
      </c>
      <c r="N644" t="str">
        <f t="shared" si="106"/>
        <v/>
      </c>
      <c r="Q644" t="str">
        <f t="shared" si="105"/>
        <v/>
      </c>
      <c r="S644" t="str">
        <f>IF(A644=1,MAX(S$2:S643)+1,IF(OR(I644&lt;&gt;"",A644="x"),S643,""))</f>
        <v/>
      </c>
      <c r="T644" t="str">
        <f>IF(D644=1,MAX($T$2:$T643)+1,IF(S644=$S643,$S643,IF($D644="x",T643,IF($D643="x","",""))))</f>
        <v/>
      </c>
      <c r="U644" t="str">
        <f>IF(B644=1,MAX($U$2:$U643)+1,IF(AND($T644&lt;&gt;"",$T644=$T643),$U643,IF(B644="x",U643,"")))</f>
        <v/>
      </c>
      <c r="V644" t="str">
        <f>IF(C644=1,MAX($V$2:$V643)+1,IF(AND($T644&lt;&gt;"",$T644=$T643),$U643,IF(C644="x",V643,"")))</f>
        <v/>
      </c>
      <c r="W644" t="str" cm="1">
        <f t="array" ref="W644">IFERROR(_xlfn._xlws.FILTER(game_rosters!AB:AB,(game_rosters!J:J=events!X644)*(K644&lt;&gt;"")),"")</f>
        <v/>
      </c>
      <c r="X644" t="str" cm="1">
        <f t="array" ref="X644">IF(S644="","",IF($I644&lt;&gt;"",$I644,INDEX($I$2:$I643,ROW()-COUNTIFS($T$2:$T643,"="&amp;$T644,$S$2:$S643,"&lt;&gt;"&amp;$S644)-1)))</f>
        <v/>
      </c>
      <c r="Y644" t="b">
        <f>IF(X644&lt;&gt;"",VLOOKUP(X644,game_rosters!$C$43:$E$64,3,FALSE))</f>
        <v>0</v>
      </c>
      <c r="Z644" t="e" cm="1" vm="1">
        <f t="array" aca="1" ref="Z644" ca="1">IFERROR(IF(_xlfn._xlws.FILTER(game_rosters!$J:$J,(game_rosters!$G:$G=events!$AN644)*(game_rosters!$J:$J=events!$X644))&gt;0,1,""),"")</f>
        <v>#VALUE!</v>
      </c>
      <c r="AA644" t="e">
        <f t="shared" ref="AA644:AA707" si="108">S644+1000</f>
        <v>#VALUE!</v>
      </c>
      <c r="AB644" t="str">
        <f t="shared" ref="AB644:AB707" si="109">IF(T644&lt;&gt;"",9000+T644,"")</f>
        <v/>
      </c>
      <c r="AC644" t="e">
        <f t="shared" si="107"/>
        <v>#VALUE!</v>
      </c>
      <c r="AD644" s="6"/>
      <c r="BJ644" s="39"/>
      <c r="BM644" s="39"/>
      <c r="BO644" s="19"/>
      <c r="BQ644" s="17"/>
    </row>
    <row r="645" spans="1:69" x14ac:dyDescent="0.2">
      <c r="A645" t="str">
        <f t="shared" ref="A645:A708" si="110">IF(K645&lt;&gt;"",1,IF(D645="x","x",""))</f>
        <v/>
      </c>
      <c r="E645" s="4"/>
      <c r="F645" s="44"/>
      <c r="G645" s="4"/>
      <c r="H645" s="47"/>
      <c r="J645" s="45" t="str">
        <f t="shared" si="104"/>
        <v/>
      </c>
      <c r="N645" t="str">
        <f t="shared" si="106"/>
        <v/>
      </c>
      <c r="Q645" t="str">
        <f t="shared" si="105"/>
        <v/>
      </c>
      <c r="S645" t="str">
        <f>IF(A645=1,MAX(S$2:S644)+1,IF(OR(I645&lt;&gt;"",A645="x"),S644,""))</f>
        <v/>
      </c>
      <c r="T645" t="str">
        <f>IF(D645=1,MAX($T$2:$T644)+1,IF(S645=$S644,$S644,IF($D645="x",T644,IF($D644="x","",""))))</f>
        <v/>
      </c>
      <c r="U645" t="str">
        <f>IF(B645=1,MAX($U$2:$U644)+1,IF(AND($T645&lt;&gt;"",$T645=$T644),$U644,IF(B645="x",U644,"")))</f>
        <v/>
      </c>
      <c r="V645" t="str">
        <f>IF(C645=1,MAX($V$2:$V644)+1,IF(AND($T645&lt;&gt;"",$T645=$T644),$U644,IF(C645="x",V644,"")))</f>
        <v/>
      </c>
      <c r="W645" t="str" cm="1">
        <f t="array" ref="W645">IFERROR(_xlfn._xlws.FILTER(game_rosters!AB:AB,(game_rosters!J:J=events!X645)*(K645&lt;&gt;"")),"")</f>
        <v/>
      </c>
      <c r="X645" t="str" cm="1">
        <f t="array" ref="X645">IF(S645="","",IF($I645&lt;&gt;"",$I645,INDEX($I$2:$I644,ROW()-COUNTIFS($T$2:$T644,"="&amp;$T645,$S$2:$S644,"&lt;&gt;"&amp;$S645)-1)))</f>
        <v/>
      </c>
      <c r="Y645" t="b">
        <f>IF(X645&lt;&gt;"",VLOOKUP(X645,game_rosters!$C$43:$E$64,3,FALSE))</f>
        <v>0</v>
      </c>
      <c r="Z645" t="e" cm="1" vm="1">
        <f t="array" aca="1" ref="Z645" ca="1">IFERROR(IF(_xlfn._xlws.FILTER(game_rosters!$J:$J,(game_rosters!$G:$G=events!$AN645)*(game_rosters!$J:$J=events!$X645))&gt;0,1,""),"")</f>
        <v>#VALUE!</v>
      </c>
      <c r="AA645" t="e">
        <f t="shared" si="108"/>
        <v>#VALUE!</v>
      </c>
      <c r="AB645" t="str">
        <f t="shared" si="109"/>
        <v/>
      </c>
      <c r="AC645" t="e">
        <f t="shared" si="107"/>
        <v>#VALUE!</v>
      </c>
      <c r="AD645" s="6"/>
      <c r="BJ645" s="39"/>
      <c r="BM645" s="39"/>
      <c r="BO645" s="19"/>
      <c r="BQ645" s="17"/>
    </row>
    <row r="646" spans="1:69" x14ac:dyDescent="0.2">
      <c r="A646" t="str">
        <f t="shared" si="110"/>
        <v/>
      </c>
      <c r="E646" s="4"/>
      <c r="F646" s="44"/>
      <c r="G646" s="4"/>
      <c r="H646" s="47"/>
      <c r="J646" s="45" t="str">
        <f t="shared" ref="J646:J709" si="111">IF(OR(K646="Goal",K646="Shot",L646="Zone_Entry",M646="Stoppage-Goal",M645="Stoppage-Goal"),"o",IF(OR(K646="Save",K646="Rebound",L646="Zone_Exit",M646="Stoppage-GoalieStoppage",M645="Stoppage-GoalieStoppage"),"d",IF(OR(L646="Faceoff_AfterGoal",L646="Faceoff_PeriodStart",698="Faceoff_GameStart",M645="Stoppage-Goal"),"n","")))</f>
        <v/>
      </c>
      <c r="N646" t="str">
        <f t="shared" si="106"/>
        <v/>
      </c>
      <c r="Q646" t="str">
        <f t="shared" si="105"/>
        <v/>
      </c>
      <c r="S646" t="str">
        <f>IF(A646=1,MAX(S$2:S645)+1,IF(OR(I646&lt;&gt;"",A646="x"),S645,""))</f>
        <v/>
      </c>
      <c r="T646" t="str">
        <f>IF(D646=1,MAX($T$2:$T645)+1,IF(S646=$S645,$S645,IF($D646="x",T645,IF($D645="x","",""))))</f>
        <v/>
      </c>
      <c r="U646" t="str">
        <f>IF(B646=1,MAX($U$2:$U645)+1,IF(AND($T646&lt;&gt;"",$T646=$T645),$U645,IF(B646="x",U645,"")))</f>
        <v/>
      </c>
      <c r="V646" t="str">
        <f>IF(C646=1,MAX($V$2:$V645)+1,IF(AND($T646&lt;&gt;"",$T646=$T645),$U645,IF(C646="x",V645,"")))</f>
        <v/>
      </c>
      <c r="W646" t="str" cm="1">
        <f t="array" ref="W646">IFERROR(_xlfn._xlws.FILTER(game_rosters!AB:AB,(game_rosters!J:J=events!X646)*(K646&lt;&gt;"")),"")</f>
        <v/>
      </c>
      <c r="X646" t="str" cm="1">
        <f t="array" ref="X646">IF(S646="","",IF($I646&lt;&gt;"",$I646,INDEX($I$2:$I645,ROW()-COUNTIFS($T$2:$T645,"="&amp;$T646,$S$2:$S645,"&lt;&gt;"&amp;$S646)-1)))</f>
        <v/>
      </c>
      <c r="Y646" t="b">
        <f>IF(X646&lt;&gt;"",VLOOKUP(X646,game_rosters!$C$43:$E$64,3,FALSE))</f>
        <v>0</v>
      </c>
      <c r="Z646" t="e" cm="1" vm="1">
        <f t="array" aca="1" ref="Z646" ca="1">IFERROR(IF(_xlfn._xlws.FILTER(game_rosters!$J:$J,(game_rosters!$G:$G=events!$AN646)*(game_rosters!$J:$J=events!$X646))&gt;0,1,""),"")</f>
        <v>#VALUE!</v>
      </c>
      <c r="AA646" t="e">
        <f t="shared" si="108"/>
        <v>#VALUE!</v>
      </c>
      <c r="AB646" t="str">
        <f t="shared" si="109"/>
        <v/>
      </c>
      <c r="AC646" t="e">
        <f t="shared" si="107"/>
        <v>#VALUE!</v>
      </c>
      <c r="AD646" s="6"/>
      <c r="BJ646" s="39"/>
      <c r="BM646" s="39"/>
      <c r="BO646" s="19"/>
      <c r="BQ646" s="17"/>
    </row>
    <row r="647" spans="1:69" x14ac:dyDescent="0.2">
      <c r="A647" t="str">
        <f t="shared" si="110"/>
        <v/>
      </c>
      <c r="E647" s="4"/>
      <c r="F647" s="44"/>
      <c r="G647" s="4"/>
      <c r="H647" s="47"/>
      <c r="J647" s="45" t="str">
        <f t="shared" si="111"/>
        <v/>
      </c>
      <c r="N647" t="str">
        <f t="shared" si="106"/>
        <v/>
      </c>
      <c r="Q647" t="str">
        <f t="shared" si="105"/>
        <v/>
      </c>
      <c r="S647" t="str">
        <f>IF(A647=1,MAX(S$2:S646)+1,IF(OR(I647&lt;&gt;"",A647="x"),S646,""))</f>
        <v/>
      </c>
      <c r="T647" t="str">
        <f>IF(D647=1,MAX($T$2:$T646)+1,IF(S647=$S646,$S646,IF($D647="x",T646,IF($D646="x","",""))))</f>
        <v/>
      </c>
      <c r="U647" t="str">
        <f>IF(B647=1,MAX($U$2:$U646)+1,IF(AND($T647&lt;&gt;"",$T647=$T646),$U646,IF(B647="x",U646,"")))</f>
        <v/>
      </c>
      <c r="V647" t="str">
        <f>IF(C647=1,MAX($V$2:$V646)+1,IF(AND($T647&lt;&gt;"",$T647=$T646),$U646,IF(C647="x",V646,"")))</f>
        <v/>
      </c>
      <c r="W647" t="str" cm="1">
        <f t="array" ref="W647">IFERROR(_xlfn._xlws.FILTER(game_rosters!AB:AB,(game_rosters!J:J=events!X647)*(K647&lt;&gt;"")),"")</f>
        <v/>
      </c>
      <c r="X647" t="str" cm="1">
        <f t="array" ref="X647">IF(S647="","",IF($I647&lt;&gt;"",$I647,INDEX($I$2:$I646,ROW()-COUNTIFS($T$2:$T646,"="&amp;$T647,$S$2:$S646,"&lt;&gt;"&amp;$S647)-1)))</f>
        <v/>
      </c>
      <c r="Y647" t="b">
        <f>IF(X647&lt;&gt;"",VLOOKUP(X647,game_rosters!$C$43:$E$64,3,FALSE))</f>
        <v>0</v>
      </c>
      <c r="Z647" t="e" cm="1" vm="1">
        <f t="array" aca="1" ref="Z647" ca="1">IFERROR(IF(_xlfn._xlws.FILTER(game_rosters!$J:$J,(game_rosters!$G:$G=events!$AN647)*(game_rosters!$J:$J=events!$X647))&gt;0,1,""),"")</f>
        <v>#VALUE!</v>
      </c>
      <c r="AA647" t="e">
        <f t="shared" si="108"/>
        <v>#VALUE!</v>
      </c>
      <c r="AB647" t="str">
        <f t="shared" si="109"/>
        <v/>
      </c>
      <c r="AC647" t="e">
        <f t="shared" si="107"/>
        <v>#VALUE!</v>
      </c>
      <c r="AD647" s="6"/>
      <c r="BJ647" s="39"/>
      <c r="BM647" s="39"/>
      <c r="BO647" s="19"/>
      <c r="BQ647" s="17"/>
    </row>
    <row r="648" spans="1:69" x14ac:dyDescent="0.2">
      <c r="A648" t="str">
        <f t="shared" si="110"/>
        <v/>
      </c>
      <c r="E648" s="4"/>
      <c r="F648" s="44"/>
      <c r="G648" s="4"/>
      <c r="H648" s="47"/>
      <c r="J648" s="45" t="str">
        <f t="shared" si="111"/>
        <v/>
      </c>
      <c r="N648" t="str">
        <f t="shared" si="106"/>
        <v/>
      </c>
      <c r="Q648" t="str">
        <f t="shared" si="105"/>
        <v/>
      </c>
      <c r="S648" t="str">
        <f>IF(A648=1,MAX(S$2:S647)+1,IF(OR(I648&lt;&gt;"",A648="x"),S647,""))</f>
        <v/>
      </c>
      <c r="T648" t="str">
        <f>IF(D648=1,MAX($T$2:$T647)+1,IF(S648=$S647,$S647,IF($D648="x",T647,IF($D647="x","",""))))</f>
        <v/>
      </c>
      <c r="U648" t="str">
        <f>IF(B648=1,MAX($U$2:$U647)+1,IF(AND($T648&lt;&gt;"",$T648=$T647),$U647,IF(B648="x",U647,"")))</f>
        <v/>
      </c>
      <c r="V648" t="str">
        <f>IF(C648=1,MAX($V$2:$V647)+1,IF(AND($T648&lt;&gt;"",$T648=$T647),$U647,IF(C648="x",V647,"")))</f>
        <v/>
      </c>
      <c r="W648" t="str" cm="1">
        <f t="array" ref="W648">IFERROR(_xlfn._xlws.FILTER(game_rosters!AB:AB,(game_rosters!J:J=events!X648)*(K648&lt;&gt;"")),"")</f>
        <v/>
      </c>
      <c r="X648" t="str" cm="1">
        <f t="array" ref="X648">IF(S648="","",IF($I648&lt;&gt;"",$I648,INDEX($I$2:$I647,ROW()-COUNTIFS($T$2:$T647,"="&amp;$T648,$S$2:$S647,"&lt;&gt;"&amp;$S648)-1)))</f>
        <v/>
      </c>
      <c r="Y648" t="b">
        <f>IF(X648&lt;&gt;"",VLOOKUP(X648,game_rosters!$C$43:$E$64,3,FALSE))</f>
        <v>0</v>
      </c>
      <c r="Z648" t="e" cm="1" vm="1">
        <f t="array" aca="1" ref="Z648" ca="1">IFERROR(IF(_xlfn._xlws.FILTER(game_rosters!$J:$J,(game_rosters!$G:$G=events!$AN648)*(game_rosters!$J:$J=events!$X648))&gt;0,1,""),"")</f>
        <v>#VALUE!</v>
      </c>
      <c r="AA648" t="e">
        <f t="shared" si="108"/>
        <v>#VALUE!</v>
      </c>
      <c r="AB648" t="str">
        <f t="shared" si="109"/>
        <v/>
      </c>
      <c r="AC648" t="e">
        <f t="shared" si="107"/>
        <v>#VALUE!</v>
      </c>
      <c r="AD648" s="6"/>
      <c r="BJ648" s="39"/>
      <c r="BM648" s="39"/>
      <c r="BO648" s="19"/>
      <c r="BQ648" s="17"/>
    </row>
    <row r="649" spans="1:69" x14ac:dyDescent="0.2">
      <c r="A649" t="str">
        <f t="shared" si="110"/>
        <v/>
      </c>
      <c r="E649" s="4"/>
      <c r="F649" s="44"/>
      <c r="G649" s="4"/>
      <c r="H649" s="47"/>
      <c r="J649" s="45" t="str">
        <f t="shared" si="111"/>
        <v/>
      </c>
      <c r="N649" t="str">
        <f t="shared" si="106"/>
        <v/>
      </c>
      <c r="Q649" t="str">
        <f t="shared" si="105"/>
        <v/>
      </c>
      <c r="S649" t="str">
        <f>IF(A649=1,MAX(S$2:S648)+1,IF(OR(I649&lt;&gt;"",A649="x"),S648,""))</f>
        <v/>
      </c>
      <c r="T649" t="str">
        <f>IF(D649=1,MAX($T$2:$T648)+1,IF(S649=$S648,$S648,IF($D649="x",T648,IF($D648="x","",""))))</f>
        <v/>
      </c>
      <c r="U649" t="str">
        <f>IF(B649=1,MAX($U$2:$U648)+1,IF(AND($T649&lt;&gt;"",$T649=$T648),$U648,IF(B649="x",U648,"")))</f>
        <v/>
      </c>
      <c r="V649" t="str">
        <f>IF(C649=1,MAX($V$2:$V648)+1,IF(AND($T649&lt;&gt;"",$T649=$T648),$U648,IF(C649="x",V648,"")))</f>
        <v/>
      </c>
      <c r="W649" t="str" cm="1">
        <f t="array" ref="W649">IFERROR(_xlfn._xlws.FILTER(game_rosters!AB:AB,(game_rosters!J:J=events!X649)*(K649&lt;&gt;"")),"")</f>
        <v/>
      </c>
      <c r="X649" t="str" cm="1">
        <f t="array" ref="X649">IF(S649="","",IF($I649&lt;&gt;"",$I649,INDEX($I$2:$I648,ROW()-COUNTIFS($T$2:$T648,"="&amp;$T649,$S$2:$S648,"&lt;&gt;"&amp;$S649)-1)))</f>
        <v/>
      </c>
      <c r="Y649" t="b">
        <f>IF(X649&lt;&gt;"",VLOOKUP(X649,game_rosters!$C$43:$E$64,3,FALSE))</f>
        <v>0</v>
      </c>
      <c r="Z649" t="e" cm="1" vm="1">
        <f t="array" aca="1" ref="Z649" ca="1">IFERROR(IF(_xlfn._xlws.FILTER(game_rosters!$J:$J,(game_rosters!$G:$G=events!$AN649)*(game_rosters!$J:$J=events!$X649))&gt;0,1,""),"")</f>
        <v>#VALUE!</v>
      </c>
      <c r="AA649" t="e">
        <f t="shared" si="108"/>
        <v>#VALUE!</v>
      </c>
      <c r="AB649" t="str">
        <f t="shared" si="109"/>
        <v/>
      </c>
      <c r="AC649" t="e">
        <f t="shared" si="107"/>
        <v>#VALUE!</v>
      </c>
      <c r="AD649" s="6"/>
      <c r="BJ649" s="39"/>
      <c r="BM649" s="39"/>
      <c r="BO649" s="19"/>
      <c r="BQ649" s="17"/>
    </row>
    <row r="650" spans="1:69" x14ac:dyDescent="0.2">
      <c r="A650" t="str">
        <f t="shared" si="110"/>
        <v/>
      </c>
      <c r="E650" s="4"/>
      <c r="F650" s="44"/>
      <c r="G650" s="4"/>
      <c r="H650" s="47"/>
      <c r="J650" s="45" t="str">
        <f t="shared" si="111"/>
        <v/>
      </c>
      <c r="N650" t="str">
        <f t="shared" si="106"/>
        <v/>
      </c>
      <c r="Q650" t="str">
        <f t="shared" si="105"/>
        <v/>
      </c>
      <c r="S650" t="str">
        <f>IF(A650=1,MAX(S$2:S649)+1,IF(OR(I650&lt;&gt;"",A650="x"),S649,""))</f>
        <v/>
      </c>
      <c r="T650" t="str">
        <f>IF(D650=1,MAX($T$2:$T649)+1,IF(S650=$S649,$S649,IF($D650="x",T649,IF($D649="x","",""))))</f>
        <v/>
      </c>
      <c r="U650" t="str">
        <f>IF(B650=1,MAX($U$2:$U649)+1,IF(AND($T650&lt;&gt;"",$T650=$T649),$U649,IF(B650="x",U649,"")))</f>
        <v/>
      </c>
      <c r="V650" t="str">
        <f>IF(C650=1,MAX($V$2:$V649)+1,IF(AND($T650&lt;&gt;"",$T650=$T649),$U649,IF(C650="x",V649,"")))</f>
        <v/>
      </c>
      <c r="W650" t="str" cm="1">
        <f t="array" ref="W650">IFERROR(_xlfn._xlws.FILTER(game_rosters!AB:AB,(game_rosters!J:J=events!X650)*(K650&lt;&gt;"")),"")</f>
        <v/>
      </c>
      <c r="X650" t="str" cm="1">
        <f t="array" ref="X650">IF(S650="","",IF($I650&lt;&gt;"",$I650,INDEX($I$2:$I649,ROW()-COUNTIFS($T$2:$T649,"="&amp;$T650,$S$2:$S649,"&lt;&gt;"&amp;$S650)-1)))</f>
        <v/>
      </c>
      <c r="Y650" t="b">
        <f>IF(X650&lt;&gt;"",VLOOKUP(X650,game_rosters!$C$43:$E$64,3,FALSE))</f>
        <v>0</v>
      </c>
      <c r="Z650" t="e" cm="1" vm="1">
        <f t="array" aca="1" ref="Z650" ca="1">IFERROR(IF(_xlfn._xlws.FILTER(game_rosters!$J:$J,(game_rosters!$G:$G=events!$AN650)*(game_rosters!$J:$J=events!$X650))&gt;0,1,""),"")</f>
        <v>#VALUE!</v>
      </c>
      <c r="AA650" t="e">
        <f t="shared" si="108"/>
        <v>#VALUE!</v>
      </c>
      <c r="AB650" t="str">
        <f t="shared" si="109"/>
        <v/>
      </c>
      <c r="AC650" t="e">
        <f t="shared" si="107"/>
        <v>#VALUE!</v>
      </c>
      <c r="AD650" s="6"/>
      <c r="BJ650" s="39"/>
      <c r="BM650" s="39"/>
      <c r="BO650" s="19"/>
      <c r="BQ650" s="17"/>
    </row>
    <row r="651" spans="1:69" x14ac:dyDescent="0.2">
      <c r="A651" t="str">
        <f t="shared" si="110"/>
        <v/>
      </c>
      <c r="E651" s="4"/>
      <c r="F651" s="44"/>
      <c r="G651" s="4"/>
      <c r="H651" s="47"/>
      <c r="J651" s="45" t="str">
        <f t="shared" si="111"/>
        <v/>
      </c>
      <c r="N651" t="str">
        <f t="shared" si="106"/>
        <v/>
      </c>
      <c r="Q651" t="str">
        <f t="shared" si="105"/>
        <v/>
      </c>
      <c r="S651" t="str">
        <f>IF(A651=1,MAX(S$2:S650)+1,IF(OR(I651&lt;&gt;"",A651="x"),S650,""))</f>
        <v/>
      </c>
      <c r="T651" t="str">
        <f>IF(D651=1,MAX($T$2:$T650)+1,IF(S651=$S650,$S650,IF($D651="x",T650,IF($D650="x","",""))))</f>
        <v/>
      </c>
      <c r="U651" t="str">
        <f>IF(B651=1,MAX($U$2:$U650)+1,IF(AND($T651&lt;&gt;"",$T651=$T650),$U650,IF(B651="x",U650,"")))</f>
        <v/>
      </c>
      <c r="V651" t="str">
        <f>IF(C651=1,MAX($V$2:$V650)+1,IF(AND($T651&lt;&gt;"",$T651=$T650),$U650,IF(C651="x",V650,"")))</f>
        <v/>
      </c>
      <c r="W651" t="str" cm="1">
        <f t="array" ref="W651">IFERROR(_xlfn._xlws.FILTER(game_rosters!AB:AB,(game_rosters!J:J=events!X651)*(K651&lt;&gt;"")),"")</f>
        <v/>
      </c>
      <c r="X651" t="str" cm="1">
        <f t="array" ref="X651">IF(S651="","",IF($I651&lt;&gt;"",$I651,INDEX($I$2:$I650,ROW()-COUNTIFS($T$2:$T650,"="&amp;$T651,$S$2:$S650,"&lt;&gt;"&amp;$S651)-1)))</f>
        <v/>
      </c>
      <c r="Y651" t="b">
        <f>IF(X651&lt;&gt;"",VLOOKUP(X651,game_rosters!$C$43:$E$64,3,FALSE))</f>
        <v>0</v>
      </c>
      <c r="Z651" t="e" cm="1" vm="1">
        <f t="array" aca="1" ref="Z651" ca="1">IFERROR(IF(_xlfn._xlws.FILTER(game_rosters!$J:$J,(game_rosters!$G:$G=events!$AN651)*(game_rosters!$J:$J=events!$X651))&gt;0,1,""),"")</f>
        <v>#VALUE!</v>
      </c>
      <c r="AA651" t="e">
        <f t="shared" si="108"/>
        <v>#VALUE!</v>
      </c>
      <c r="AB651" t="str">
        <f t="shared" si="109"/>
        <v/>
      </c>
      <c r="AC651" t="e">
        <f t="shared" si="107"/>
        <v>#VALUE!</v>
      </c>
      <c r="AD651" s="6"/>
      <c r="BJ651" s="39"/>
      <c r="BM651" s="39"/>
      <c r="BO651" s="19"/>
      <c r="BQ651" s="17"/>
    </row>
    <row r="652" spans="1:69" x14ac:dyDescent="0.2">
      <c r="A652" t="str">
        <f t="shared" si="110"/>
        <v/>
      </c>
      <c r="E652" s="4"/>
      <c r="F652" s="44"/>
      <c r="G652" s="4"/>
      <c r="H652" s="47"/>
      <c r="J652" s="45" t="str">
        <f t="shared" si="111"/>
        <v/>
      </c>
      <c r="N652" t="str">
        <f t="shared" si="106"/>
        <v/>
      </c>
      <c r="Q652" t="str">
        <f t="shared" si="105"/>
        <v/>
      </c>
      <c r="S652" t="str">
        <f>IF(A652=1,MAX(S$2:S651)+1,IF(OR(I652&lt;&gt;"",A652="x"),S651,""))</f>
        <v/>
      </c>
      <c r="T652" t="str">
        <f>IF(D652=1,MAX($T$2:$T651)+1,IF(S652=$S651,$S651,IF($D652="x",T651,IF($D651="x","",""))))</f>
        <v/>
      </c>
      <c r="U652" t="str">
        <f>IF(B652=1,MAX($U$2:$U651)+1,IF(AND($T652&lt;&gt;"",$T652=$T651),$U651,IF(B652="x",U651,"")))</f>
        <v/>
      </c>
      <c r="V652" t="str">
        <f>IF(C652=1,MAX($V$2:$V651)+1,IF(AND($T652&lt;&gt;"",$T652=$T651),$U651,IF(C652="x",V651,"")))</f>
        <v/>
      </c>
      <c r="W652" t="str" cm="1">
        <f t="array" ref="W652">IFERROR(_xlfn._xlws.FILTER(game_rosters!AB:AB,(game_rosters!J:J=events!X652)*(K652&lt;&gt;"")),"")</f>
        <v/>
      </c>
      <c r="X652" t="str" cm="1">
        <f t="array" ref="X652">IF(S652="","",IF($I652&lt;&gt;"",$I652,INDEX($I$2:$I651,ROW()-COUNTIFS($T$2:$T651,"="&amp;$T652,$S$2:$S651,"&lt;&gt;"&amp;$S652)-1)))</f>
        <v/>
      </c>
      <c r="Y652" t="b">
        <f>IF(X652&lt;&gt;"",VLOOKUP(X652,game_rosters!$C$43:$E$64,3,FALSE))</f>
        <v>0</v>
      </c>
      <c r="Z652" t="e" cm="1" vm="1">
        <f t="array" aca="1" ref="Z652" ca="1">IFERROR(IF(_xlfn._xlws.FILTER(game_rosters!$J:$J,(game_rosters!$G:$G=events!$AN652)*(game_rosters!$J:$J=events!$X652))&gt;0,1,""),"")</f>
        <v>#VALUE!</v>
      </c>
      <c r="AA652" t="e">
        <f t="shared" si="108"/>
        <v>#VALUE!</v>
      </c>
      <c r="AB652" t="str">
        <f t="shared" si="109"/>
        <v/>
      </c>
      <c r="AC652" t="e">
        <f t="shared" si="107"/>
        <v>#VALUE!</v>
      </c>
      <c r="AD652" s="6"/>
      <c r="BJ652" s="39"/>
      <c r="BM652" s="39"/>
      <c r="BO652" s="19"/>
      <c r="BQ652" s="17"/>
    </row>
    <row r="653" spans="1:69" x14ac:dyDescent="0.2">
      <c r="A653" t="str">
        <f t="shared" si="110"/>
        <v/>
      </c>
      <c r="E653" s="4"/>
      <c r="F653" s="44"/>
      <c r="G653" s="4"/>
      <c r="H653" s="47"/>
      <c r="J653" s="45" t="str">
        <f t="shared" si="111"/>
        <v/>
      </c>
      <c r="N653" t="str">
        <f t="shared" si="106"/>
        <v/>
      </c>
      <c r="Q653" t="str">
        <f t="shared" si="105"/>
        <v/>
      </c>
      <c r="S653" t="str">
        <f>IF(A653=1,MAX(S$2:S652)+1,IF(OR(I653&lt;&gt;"",A653="x"),S652,""))</f>
        <v/>
      </c>
      <c r="T653" t="str">
        <f>IF(D653=1,MAX($T$2:$T652)+1,IF(S653=$S652,$S652,IF($D653="x",T652,IF($D652="x","",""))))</f>
        <v/>
      </c>
      <c r="U653" t="str">
        <f>IF(B653=1,MAX($U$2:$U652)+1,IF(AND($T653&lt;&gt;"",$T653=$T652),$U652,IF(B653="x",U652,"")))</f>
        <v/>
      </c>
      <c r="V653" t="str">
        <f>IF(C653=1,MAX($V$2:$V652)+1,IF(AND($T653&lt;&gt;"",$T653=$T652),$U652,IF(C653="x",V652,"")))</f>
        <v/>
      </c>
      <c r="W653" t="str" cm="1">
        <f t="array" ref="W653">IFERROR(_xlfn._xlws.FILTER(game_rosters!AB:AB,(game_rosters!J:J=events!X653)*(K653&lt;&gt;"")),"")</f>
        <v/>
      </c>
      <c r="X653" t="str" cm="1">
        <f t="array" ref="X653">IF(S653="","",IF($I653&lt;&gt;"",$I653,INDEX($I$2:$I652,ROW()-COUNTIFS($T$2:$T652,"="&amp;$T653,$S$2:$S652,"&lt;&gt;"&amp;$S653)-1)))</f>
        <v/>
      </c>
      <c r="Y653" t="b">
        <f>IF(X653&lt;&gt;"",VLOOKUP(X653,game_rosters!$C$43:$E$64,3,FALSE))</f>
        <v>0</v>
      </c>
      <c r="Z653" t="e" cm="1" vm="1">
        <f t="array" aca="1" ref="Z653" ca="1">IFERROR(IF(_xlfn._xlws.FILTER(game_rosters!$J:$J,(game_rosters!$G:$G=events!$AN653)*(game_rosters!$J:$J=events!$X653))&gt;0,1,""),"")</f>
        <v>#VALUE!</v>
      </c>
      <c r="AA653" t="e">
        <f t="shared" si="108"/>
        <v>#VALUE!</v>
      </c>
      <c r="AB653" t="str">
        <f t="shared" si="109"/>
        <v/>
      </c>
      <c r="AC653" t="e">
        <f t="shared" si="107"/>
        <v>#VALUE!</v>
      </c>
      <c r="AD653" s="6"/>
      <c r="BJ653" s="39"/>
      <c r="BM653" s="39"/>
      <c r="BO653" s="19"/>
      <c r="BQ653" s="17"/>
    </row>
    <row r="654" spans="1:69" x14ac:dyDescent="0.2">
      <c r="A654" t="str">
        <f t="shared" si="110"/>
        <v/>
      </c>
      <c r="E654" s="4"/>
      <c r="F654" s="44"/>
      <c r="G654" s="4"/>
      <c r="H654" s="47"/>
      <c r="J654" s="45" t="str">
        <f t="shared" si="111"/>
        <v/>
      </c>
      <c r="N654" t="str">
        <f t="shared" si="106"/>
        <v/>
      </c>
      <c r="Q654" t="str">
        <f t="shared" si="105"/>
        <v/>
      </c>
      <c r="S654" t="str">
        <f>IF(A654=1,MAX(S$2:S653)+1,IF(OR(I654&lt;&gt;"",A654="x"),S653,""))</f>
        <v/>
      </c>
      <c r="T654" t="str">
        <f>IF(D654=1,MAX($T$2:$T653)+1,IF(S654=$S653,$S653,IF($D654="x",T653,IF($D653="x","",""))))</f>
        <v/>
      </c>
      <c r="U654" t="str">
        <f>IF(B654=1,MAX($U$2:$U653)+1,IF(AND($T654&lt;&gt;"",$T654=$T653),$U653,IF(B654="x",U653,"")))</f>
        <v/>
      </c>
      <c r="V654" t="str">
        <f>IF(C654=1,MAX($V$2:$V653)+1,IF(AND($T654&lt;&gt;"",$T654=$T653),$U653,IF(C654="x",V653,"")))</f>
        <v/>
      </c>
      <c r="W654" t="str" cm="1">
        <f t="array" ref="W654">IFERROR(_xlfn._xlws.FILTER(game_rosters!AB:AB,(game_rosters!J:J=events!X654)*(K654&lt;&gt;"")),"")</f>
        <v/>
      </c>
      <c r="X654" t="str" cm="1">
        <f t="array" ref="X654">IF(S654="","",IF($I654&lt;&gt;"",$I654,INDEX($I$2:$I653,ROW()-COUNTIFS($T$2:$T653,"="&amp;$T654,$S$2:$S653,"&lt;&gt;"&amp;$S654)-1)))</f>
        <v/>
      </c>
      <c r="Y654" t="b">
        <f>IF(X654&lt;&gt;"",VLOOKUP(X654,game_rosters!$C$43:$E$64,3,FALSE))</f>
        <v>0</v>
      </c>
      <c r="Z654" t="e" cm="1" vm="1">
        <f t="array" aca="1" ref="Z654" ca="1">IFERROR(IF(_xlfn._xlws.FILTER(game_rosters!$J:$J,(game_rosters!$G:$G=events!$AN654)*(game_rosters!$J:$J=events!$X654))&gt;0,1,""),"")</f>
        <v>#VALUE!</v>
      </c>
      <c r="AA654" t="e">
        <f t="shared" si="108"/>
        <v>#VALUE!</v>
      </c>
      <c r="AB654" t="str">
        <f t="shared" si="109"/>
        <v/>
      </c>
      <c r="AC654" t="e">
        <f t="shared" si="107"/>
        <v>#VALUE!</v>
      </c>
      <c r="AD654" s="6"/>
      <c r="BJ654" s="39"/>
      <c r="BM654" s="39"/>
      <c r="BO654" s="19"/>
      <c r="BQ654" s="17"/>
    </row>
    <row r="655" spans="1:69" x14ac:dyDescent="0.2">
      <c r="A655" t="str">
        <f t="shared" si="110"/>
        <v/>
      </c>
      <c r="E655" s="4"/>
      <c r="F655" s="44"/>
      <c r="G655" s="4"/>
      <c r="H655" s="47"/>
      <c r="J655" s="45" t="str">
        <f t="shared" si="111"/>
        <v/>
      </c>
      <c r="N655" t="str">
        <f t="shared" si="106"/>
        <v/>
      </c>
      <c r="Q655" t="str">
        <f t="shared" si="105"/>
        <v/>
      </c>
      <c r="S655" t="str">
        <f>IF(A655=1,MAX(S$2:S654)+1,IF(OR(I655&lt;&gt;"",A655="x"),S654,""))</f>
        <v/>
      </c>
      <c r="T655" t="str">
        <f>IF(D655=1,MAX($T$2:$T654)+1,IF(S655=$S654,$S654,IF($D655="x",T654,IF($D654="x","",""))))</f>
        <v/>
      </c>
      <c r="U655" t="str">
        <f>IF(B655=1,MAX($U$2:$U654)+1,IF(AND($T655&lt;&gt;"",$T655=$T654),$U654,IF(B655="x",U654,"")))</f>
        <v/>
      </c>
      <c r="V655" t="str">
        <f>IF(C655=1,MAX($V$2:$V654)+1,IF(AND($T655&lt;&gt;"",$T655=$T654),$U654,IF(C655="x",V654,"")))</f>
        <v/>
      </c>
      <c r="W655" t="str" cm="1">
        <f t="array" ref="W655">IFERROR(_xlfn._xlws.FILTER(game_rosters!AB:AB,(game_rosters!J:J=events!X655)*(K655&lt;&gt;"")),"")</f>
        <v/>
      </c>
      <c r="X655" t="str" cm="1">
        <f t="array" ref="X655">IF(S655="","",IF($I655&lt;&gt;"",$I655,INDEX($I$2:$I654,ROW()-COUNTIFS($T$2:$T654,"="&amp;$T655,$S$2:$S654,"&lt;&gt;"&amp;$S655)-1)))</f>
        <v/>
      </c>
      <c r="Y655" t="b">
        <f>IF(X655&lt;&gt;"",VLOOKUP(X655,game_rosters!$C$43:$E$64,3,FALSE))</f>
        <v>0</v>
      </c>
      <c r="Z655" t="e" cm="1" vm="1">
        <f t="array" aca="1" ref="Z655" ca="1">IFERROR(IF(_xlfn._xlws.FILTER(game_rosters!$J:$J,(game_rosters!$G:$G=events!$AN655)*(game_rosters!$J:$J=events!$X655))&gt;0,1,""),"")</f>
        <v>#VALUE!</v>
      </c>
      <c r="AA655" t="e">
        <f t="shared" si="108"/>
        <v>#VALUE!</v>
      </c>
      <c r="AB655" t="str">
        <f t="shared" si="109"/>
        <v/>
      </c>
      <c r="AC655" t="e">
        <f t="shared" si="107"/>
        <v>#VALUE!</v>
      </c>
      <c r="AD655" s="6"/>
      <c r="BJ655" s="39"/>
      <c r="BM655" s="39"/>
      <c r="BO655" s="19"/>
      <c r="BQ655" s="17"/>
    </row>
    <row r="656" spans="1:69" x14ac:dyDescent="0.2">
      <c r="A656" t="str">
        <f t="shared" si="110"/>
        <v/>
      </c>
      <c r="E656" s="4"/>
      <c r="F656" s="44"/>
      <c r="G656" s="4"/>
      <c r="H656" s="47"/>
      <c r="J656" s="45" t="str">
        <f t="shared" si="111"/>
        <v/>
      </c>
      <c r="N656" t="str">
        <f t="shared" si="106"/>
        <v/>
      </c>
      <c r="Q656" t="str">
        <f t="shared" ref="Q656:Q719" si="112">IF(O656="","",IF(AND(N656&lt;&gt;"",OR(O656&lt;&gt;"",P656&lt;&gt;"")),N656,IF(OR(ISNUMBER(SEARCH("attemp",O656)),ISNUMBER(SEARCH("beat",O656)),ISNUMBER(SEARCH("mis",O656)),ISNUMBER(SEARCH("fail",O656)),ISNUMBER(SEARCH("loss",O656)),ISNUMBER(SEARCH("lost",O656)),ISNUMBER(SEARCH("attemp",P656)),ISNUMBER(SEARCH("mis",P656)),ISNUMBER(SEARCH("fail",P656)),ISNUMBER(SEARCH("loss",P656)),ISNUMBER(SEARCH("beat",P656)),ISNUMBER(SEARCH("lost",P656))),"u","")))</f>
        <v/>
      </c>
      <c r="S656" t="str">
        <f>IF(A656=1,MAX(S$2:S655)+1,IF(OR(I656&lt;&gt;"",A656="x"),S655,""))</f>
        <v/>
      </c>
      <c r="T656" t="str">
        <f>IF(D656=1,MAX($T$2:$T655)+1,IF(S656=$S655,$S655,IF($D656="x",T655,IF($D655="x","",""))))</f>
        <v/>
      </c>
      <c r="U656" t="str">
        <f>IF(B656=1,MAX($U$2:$U655)+1,IF(AND($T656&lt;&gt;"",$T656=$T655),$U655,IF(B656="x",U655,"")))</f>
        <v/>
      </c>
      <c r="V656" t="str">
        <f>IF(C656=1,MAX($V$2:$V655)+1,IF(AND($T656&lt;&gt;"",$T656=$T655),$U655,IF(C656="x",V655,"")))</f>
        <v/>
      </c>
      <c r="W656" t="str" cm="1">
        <f t="array" ref="W656">IFERROR(_xlfn._xlws.FILTER(game_rosters!AB:AB,(game_rosters!J:J=events!X656)*(K656&lt;&gt;"")),"")</f>
        <v/>
      </c>
      <c r="X656" t="str" cm="1">
        <f t="array" ref="X656">IF(S656="","",IF($I656&lt;&gt;"",$I656,INDEX($I$2:$I655,ROW()-COUNTIFS($T$2:$T655,"="&amp;$T656,$S$2:$S655,"&lt;&gt;"&amp;$S656)-1)))</f>
        <v/>
      </c>
      <c r="Y656" t="b">
        <f>IF(X656&lt;&gt;"",VLOOKUP(X656,game_rosters!$C$43:$E$64,3,FALSE))</f>
        <v>0</v>
      </c>
      <c r="Z656" t="e" cm="1" vm="1">
        <f t="array" aca="1" ref="Z656" ca="1">IFERROR(IF(_xlfn._xlws.FILTER(game_rosters!$J:$J,(game_rosters!$G:$G=events!$AN656)*(game_rosters!$J:$J=events!$X656))&gt;0,1,""),"")</f>
        <v>#VALUE!</v>
      </c>
      <c r="AA656" t="e">
        <f t="shared" si="108"/>
        <v>#VALUE!</v>
      </c>
      <c r="AB656" t="str">
        <f t="shared" si="109"/>
        <v/>
      </c>
      <c r="AC656" t="e">
        <f t="shared" si="107"/>
        <v>#VALUE!</v>
      </c>
      <c r="AD656" s="6"/>
      <c r="BJ656" s="39"/>
      <c r="BM656" s="39"/>
      <c r="BO656" s="19"/>
      <c r="BQ656" s="17"/>
    </row>
    <row r="657" spans="1:69" x14ac:dyDescent="0.2">
      <c r="A657" t="str">
        <f t="shared" si="110"/>
        <v/>
      </c>
      <c r="E657" s="4"/>
      <c r="F657" s="44"/>
      <c r="G657" s="4"/>
      <c r="H657" s="47"/>
      <c r="J657" s="45" t="str">
        <f t="shared" si="111"/>
        <v/>
      </c>
      <c r="N657" t="str">
        <f t="shared" si="106"/>
        <v/>
      </c>
      <c r="Q657" t="str">
        <f t="shared" si="112"/>
        <v/>
      </c>
      <c r="S657" t="str">
        <f>IF(A657=1,MAX(S$2:S656)+1,IF(OR(I657&lt;&gt;"",A657="x"),S656,""))</f>
        <v/>
      </c>
      <c r="T657" t="str">
        <f>IF(D657=1,MAX($T$2:$T656)+1,IF(S657=$S656,$S656,IF($D657="x",T656,IF($D656="x","",""))))</f>
        <v/>
      </c>
      <c r="U657" t="str">
        <f>IF(B657=1,MAX($U$2:$U656)+1,IF(AND($T657&lt;&gt;"",$T657=$T656),$U656,IF(B657="x",U656,"")))</f>
        <v/>
      </c>
      <c r="V657" t="str">
        <f>IF(C657=1,MAX($V$2:$V656)+1,IF(AND($T657&lt;&gt;"",$T657=$T656),$U656,IF(C657="x",V656,"")))</f>
        <v/>
      </c>
      <c r="W657" t="str" cm="1">
        <f t="array" ref="W657">IFERROR(_xlfn._xlws.FILTER(game_rosters!AB:AB,(game_rosters!J:J=events!X657)*(K657&lt;&gt;"")),"")</f>
        <v/>
      </c>
      <c r="X657" t="str" cm="1">
        <f t="array" ref="X657">IF(S657="","",IF($I657&lt;&gt;"",$I657,INDEX($I$2:$I656,ROW()-COUNTIFS($T$2:$T656,"="&amp;$T657,$S$2:$S656,"&lt;&gt;"&amp;$S657)-1)))</f>
        <v/>
      </c>
      <c r="Y657" t="b">
        <f>IF(X657&lt;&gt;"",VLOOKUP(X657,game_rosters!$C$43:$E$64,3,FALSE))</f>
        <v>0</v>
      </c>
      <c r="Z657" t="e" cm="1" vm="1">
        <f t="array" aca="1" ref="Z657" ca="1">IFERROR(IF(_xlfn._xlws.FILTER(game_rosters!$J:$J,(game_rosters!$G:$G=events!$AN657)*(game_rosters!$J:$J=events!$X657))&gt;0,1,""),"")</f>
        <v>#VALUE!</v>
      </c>
      <c r="AA657" t="e">
        <f t="shared" si="108"/>
        <v>#VALUE!</v>
      </c>
      <c r="AB657" t="str">
        <f t="shared" si="109"/>
        <v/>
      </c>
      <c r="AC657" t="e">
        <f t="shared" si="107"/>
        <v>#VALUE!</v>
      </c>
      <c r="AD657" s="6"/>
      <c r="BJ657" s="39"/>
      <c r="BM657" s="39"/>
      <c r="BO657" s="19"/>
      <c r="BQ657" s="17"/>
    </row>
    <row r="658" spans="1:69" x14ac:dyDescent="0.2">
      <c r="A658" t="str">
        <f t="shared" si="110"/>
        <v/>
      </c>
      <c r="E658" s="4"/>
      <c r="F658" s="44"/>
      <c r="G658" s="4"/>
      <c r="H658" s="47"/>
      <c r="J658" s="45" t="str">
        <f t="shared" si="111"/>
        <v/>
      </c>
      <c r="N658" t="str">
        <f t="shared" si="106"/>
        <v/>
      </c>
      <c r="Q658" t="str">
        <f t="shared" si="112"/>
        <v/>
      </c>
      <c r="S658" t="str">
        <f>IF(A658=1,MAX(S$2:S657)+1,IF(OR(I658&lt;&gt;"",A658="x"),S657,""))</f>
        <v/>
      </c>
      <c r="T658" t="str">
        <f>IF(D658=1,MAX($T$2:$T657)+1,IF(S658=$S657,$S657,IF($D658="x",T657,IF($D657="x","",""))))</f>
        <v/>
      </c>
      <c r="U658" t="str">
        <f>IF(B658=1,MAX($U$2:$U657)+1,IF(AND($T658&lt;&gt;"",$T658=$T657),$U657,IF(B658="x",U657,"")))</f>
        <v/>
      </c>
      <c r="V658" t="str">
        <f>IF(C658=1,MAX($V$2:$V657)+1,IF(AND($T658&lt;&gt;"",$T658=$T657),$U657,IF(C658="x",V657,"")))</f>
        <v/>
      </c>
      <c r="W658" t="str" cm="1">
        <f t="array" ref="W658">IFERROR(_xlfn._xlws.FILTER(game_rosters!AB:AB,(game_rosters!J:J=events!X658)*(K658&lt;&gt;"")),"")</f>
        <v/>
      </c>
      <c r="X658" t="str" cm="1">
        <f t="array" ref="X658">IF(S658="","",IF($I658&lt;&gt;"",$I658,INDEX($I$2:$I657,ROW()-COUNTIFS($T$2:$T657,"="&amp;$T658,$S$2:$S657,"&lt;&gt;"&amp;$S658)-1)))</f>
        <v/>
      </c>
      <c r="Y658" t="b">
        <f>IF(X658&lt;&gt;"",VLOOKUP(X658,game_rosters!$C$43:$E$64,3,FALSE))</f>
        <v>0</v>
      </c>
      <c r="Z658" t="e" cm="1" vm="1">
        <f t="array" aca="1" ref="Z658" ca="1">IFERROR(IF(_xlfn._xlws.FILTER(game_rosters!$J:$J,(game_rosters!$G:$G=events!$AN658)*(game_rosters!$J:$J=events!$X658))&gt;0,1,""),"")</f>
        <v>#VALUE!</v>
      </c>
      <c r="AA658" t="e">
        <f t="shared" si="108"/>
        <v>#VALUE!</v>
      </c>
      <c r="AB658" t="str">
        <f t="shared" si="109"/>
        <v/>
      </c>
      <c r="AC658" t="e">
        <f t="shared" si="107"/>
        <v>#VALUE!</v>
      </c>
      <c r="AD658" s="6"/>
      <c r="BJ658" s="39"/>
      <c r="BM658" s="39"/>
      <c r="BO658" s="19"/>
      <c r="BQ658" s="17"/>
    </row>
    <row r="659" spans="1:69" x14ac:dyDescent="0.2">
      <c r="A659" t="str">
        <f t="shared" si="110"/>
        <v/>
      </c>
      <c r="E659" s="4"/>
      <c r="F659" s="44"/>
      <c r="G659" s="4"/>
      <c r="H659" s="47"/>
      <c r="J659" s="45" t="str">
        <f t="shared" si="111"/>
        <v/>
      </c>
      <c r="N659" t="str">
        <f t="shared" si="106"/>
        <v/>
      </c>
      <c r="Q659" t="str">
        <f t="shared" si="112"/>
        <v/>
      </c>
      <c r="S659" t="str">
        <f>IF(A659=1,MAX(S$2:S658)+1,IF(OR(I659&lt;&gt;"",A659="x"),S658,""))</f>
        <v/>
      </c>
      <c r="T659" t="str">
        <f>IF(D659=1,MAX($T$2:$T658)+1,IF(S659=$S658,$S658,IF($D659="x",T658,IF($D658="x","",""))))</f>
        <v/>
      </c>
      <c r="U659" t="str">
        <f>IF(B659=1,MAX($U$2:$U658)+1,IF(AND($T659&lt;&gt;"",$T659=$T658),$U658,IF(B659="x",U658,"")))</f>
        <v/>
      </c>
      <c r="V659" t="str">
        <f>IF(C659=1,MAX($V$2:$V658)+1,IF(AND($T659&lt;&gt;"",$T659=$T658),$U658,IF(C659="x",V658,"")))</f>
        <v/>
      </c>
      <c r="W659" t="str" cm="1">
        <f t="array" ref="W659">IFERROR(_xlfn._xlws.FILTER(game_rosters!AB:AB,(game_rosters!J:J=events!X659)*(K659&lt;&gt;"")),"")</f>
        <v/>
      </c>
      <c r="X659" t="str" cm="1">
        <f t="array" ref="X659">IF(S659="","",IF($I659&lt;&gt;"",$I659,INDEX($I$2:$I658,ROW()-COUNTIFS($T$2:$T658,"="&amp;$T659,$S$2:$S658,"&lt;&gt;"&amp;$S659)-1)))</f>
        <v/>
      </c>
      <c r="Y659" t="b">
        <f>IF(X659&lt;&gt;"",VLOOKUP(X659,game_rosters!$C$43:$E$64,3,FALSE))</f>
        <v>0</v>
      </c>
      <c r="Z659" t="e" cm="1" vm="1">
        <f t="array" aca="1" ref="Z659" ca="1">IFERROR(IF(_xlfn._xlws.FILTER(game_rosters!$J:$J,(game_rosters!$G:$G=events!$AN659)*(game_rosters!$J:$J=events!$X659))&gt;0,1,""),"")</f>
        <v>#VALUE!</v>
      </c>
      <c r="AA659" t="e">
        <f t="shared" si="108"/>
        <v>#VALUE!</v>
      </c>
      <c r="AB659" t="str">
        <f t="shared" si="109"/>
        <v/>
      </c>
      <c r="AC659" t="e">
        <f t="shared" si="107"/>
        <v>#VALUE!</v>
      </c>
      <c r="AD659" s="6"/>
      <c r="BJ659" s="39"/>
      <c r="BM659" s="39"/>
      <c r="BO659" s="19"/>
      <c r="BQ659" s="17"/>
    </row>
    <row r="660" spans="1:69" x14ac:dyDescent="0.2">
      <c r="A660" t="str">
        <f t="shared" si="110"/>
        <v/>
      </c>
      <c r="E660" s="4"/>
      <c r="F660" s="44"/>
      <c r="G660" s="4"/>
      <c r="H660" s="47"/>
      <c r="J660" s="45" t="str">
        <f t="shared" si="111"/>
        <v/>
      </c>
      <c r="N660" t="str">
        <f t="shared" si="106"/>
        <v/>
      </c>
      <c r="Q660" t="str">
        <f t="shared" si="112"/>
        <v/>
      </c>
      <c r="S660" t="str">
        <f>IF(A660=1,MAX(S$2:S659)+1,IF(OR(I660&lt;&gt;"",A660="x"),S659,""))</f>
        <v/>
      </c>
      <c r="T660" t="str">
        <f>IF(D660=1,MAX($T$2:$T659)+1,IF(S660=$S659,$S659,IF($D660="x",T659,IF($D659="x","",""))))</f>
        <v/>
      </c>
      <c r="U660" t="str">
        <f>IF(B660=1,MAX($U$2:$U659)+1,IF(AND($T660&lt;&gt;"",$T660=$T659),$U659,IF(B660="x",U659,"")))</f>
        <v/>
      </c>
      <c r="V660" t="str">
        <f>IF(C660=1,MAX($V$2:$V659)+1,IF(AND($T660&lt;&gt;"",$T660=$T659),$U659,IF(C660="x",V659,"")))</f>
        <v/>
      </c>
      <c r="W660" t="str" cm="1">
        <f t="array" ref="W660">IFERROR(_xlfn._xlws.FILTER(game_rosters!AB:AB,(game_rosters!J:J=events!X660)*(K660&lt;&gt;"")),"")</f>
        <v/>
      </c>
      <c r="X660" t="str" cm="1">
        <f t="array" ref="X660">IF(S660="","",IF($I660&lt;&gt;"",$I660,INDEX($I$2:$I659,ROW()-COUNTIFS($T$2:$T659,"="&amp;$T660,$S$2:$S659,"&lt;&gt;"&amp;$S660)-1)))</f>
        <v/>
      </c>
      <c r="Y660" t="b">
        <f>IF(X660&lt;&gt;"",VLOOKUP(X660,game_rosters!$C$43:$E$64,3,FALSE))</f>
        <v>0</v>
      </c>
      <c r="Z660" t="e" cm="1" vm="1">
        <f t="array" aca="1" ref="Z660" ca="1">IFERROR(IF(_xlfn._xlws.FILTER(game_rosters!$J:$J,(game_rosters!$G:$G=events!$AN660)*(game_rosters!$J:$J=events!$X660))&gt;0,1,""),"")</f>
        <v>#VALUE!</v>
      </c>
      <c r="AA660" t="e">
        <f t="shared" si="108"/>
        <v>#VALUE!</v>
      </c>
      <c r="AB660" t="str">
        <f t="shared" si="109"/>
        <v/>
      </c>
      <c r="AC660" t="e">
        <f t="shared" si="107"/>
        <v>#VALUE!</v>
      </c>
      <c r="AD660" s="6"/>
      <c r="BJ660" s="39"/>
      <c r="BM660" s="39"/>
      <c r="BO660" s="19"/>
      <c r="BQ660" s="17"/>
    </row>
    <row r="661" spans="1:69" x14ac:dyDescent="0.2">
      <c r="A661" t="str">
        <f t="shared" si="110"/>
        <v/>
      </c>
      <c r="E661" s="4"/>
      <c r="F661" s="44"/>
      <c r="G661" s="4"/>
      <c r="H661" s="47"/>
      <c r="J661" s="45" t="str">
        <f t="shared" si="111"/>
        <v/>
      </c>
      <c r="N661" t="str">
        <f t="shared" ref="N661:N724" si="113">IF(K661="","",IF(K661="Goal","s",IF(AND(K661="Zone_Entry_Exit",OR(ISNUMBER(SEARCH("fail",L661)),ISNUMBER(SEARCH("FromExitClear",M661)),ISNUMBER(SEARCH("miss",M661)))),"u",IF(AND(K661="Zone_Entry_Exit",OR(NOT(ISNUMBER(SEARCH("fail",L661))),NOT(ISNUMBER(SEARCH("FromExitClear",M661))),NOT(ISNUMBER(SEARCH("miss",M661))))),"s",IF(AND(OR(K661="Shot",K661="Pass"),OR(ISNUMBER(SEARCH("complete",L661)),ISNUMBER(SEARCH("goal",L661)),ISNUMBER(SEARCH("OnNet",L661)))),"s",IF(L661="Turnover_Giveaway","u",IF(AND(OR(K661="Shot",K661="Pass"),OR(ISNUMBER(SEARCH("fail",L661)),NOT(ISNUMBER(SEARCH("complete",L661))),NOT(ISNUMBER(SEARCH("OnNet",L661))))),"u","")))))))</f>
        <v/>
      </c>
      <c r="Q661" t="str">
        <f t="shared" si="112"/>
        <v/>
      </c>
      <c r="S661" t="str">
        <f>IF(A661=1,MAX(S$2:S660)+1,IF(OR(I661&lt;&gt;"",A661="x"),S660,""))</f>
        <v/>
      </c>
      <c r="T661" t="str">
        <f>IF(D661=1,MAX($T$2:$T660)+1,IF(S661=$S660,$S660,IF($D661="x",T660,IF($D660="x","",""))))</f>
        <v/>
      </c>
      <c r="U661" t="str">
        <f>IF(B661=1,MAX($U$2:$U660)+1,IF(AND($T661&lt;&gt;"",$T661=$T660),$U660,IF(B661="x",U660,"")))</f>
        <v/>
      </c>
      <c r="V661" t="str">
        <f>IF(C661=1,MAX($V$2:$V660)+1,IF(AND($T661&lt;&gt;"",$T661=$T660),$U660,IF(C661="x",V660,"")))</f>
        <v/>
      </c>
      <c r="W661" t="str" cm="1">
        <f t="array" ref="W661">IFERROR(_xlfn._xlws.FILTER(game_rosters!AB:AB,(game_rosters!J:J=events!X661)*(K661&lt;&gt;"")),"")</f>
        <v/>
      </c>
      <c r="X661" t="str" cm="1">
        <f t="array" ref="X661">IF(S661="","",IF($I661&lt;&gt;"",$I661,INDEX($I$2:$I660,ROW()-COUNTIFS($T$2:$T660,"="&amp;$T661,$S$2:$S660,"&lt;&gt;"&amp;$S661)-1)))</f>
        <v/>
      </c>
      <c r="Y661" t="b">
        <f>IF(X661&lt;&gt;"",VLOOKUP(X661,game_rosters!$C$43:$E$64,3,FALSE))</f>
        <v>0</v>
      </c>
      <c r="Z661" t="e" cm="1" vm="1">
        <f t="array" aca="1" ref="Z661" ca="1">IFERROR(IF(_xlfn._xlws.FILTER(game_rosters!$J:$J,(game_rosters!$G:$G=events!$AN661)*(game_rosters!$J:$J=events!$X661))&gt;0,1,""),"")</f>
        <v>#VALUE!</v>
      </c>
      <c r="AA661" t="e">
        <f t="shared" si="108"/>
        <v>#VALUE!</v>
      </c>
      <c r="AB661" t="str">
        <f t="shared" si="109"/>
        <v/>
      </c>
      <c r="AC661" t="e">
        <f t="shared" si="107"/>
        <v>#VALUE!</v>
      </c>
      <c r="AD661" s="6"/>
      <c r="BJ661" s="39"/>
      <c r="BM661" s="39"/>
      <c r="BO661" s="19"/>
      <c r="BQ661" s="17"/>
    </row>
    <row r="662" spans="1:69" x14ac:dyDescent="0.2">
      <c r="A662" t="str">
        <f t="shared" si="110"/>
        <v/>
      </c>
      <c r="E662" s="4"/>
      <c r="F662" s="44"/>
      <c r="G662" s="4"/>
      <c r="H662" s="47"/>
      <c r="J662" s="45" t="str">
        <f t="shared" si="111"/>
        <v/>
      </c>
      <c r="N662" t="str">
        <f t="shared" si="113"/>
        <v/>
      </c>
      <c r="Q662" t="str">
        <f t="shared" si="112"/>
        <v/>
      </c>
      <c r="S662" t="str">
        <f>IF(A662=1,MAX(S$2:S661)+1,IF(OR(I662&lt;&gt;"",A662="x"),S661,""))</f>
        <v/>
      </c>
      <c r="T662" t="str">
        <f>IF(D662=1,MAX($T$2:$T661)+1,IF(S662=$S661,$S661,IF($D662="x",T661,IF($D661="x","",""))))</f>
        <v/>
      </c>
      <c r="U662" t="str">
        <f>IF(B662=1,MAX($U$2:$U661)+1,IF(AND($T662&lt;&gt;"",$T662=$T661),$U661,IF(B662="x",U661,"")))</f>
        <v/>
      </c>
      <c r="V662" t="str">
        <f>IF(C662=1,MAX($V$2:$V661)+1,IF(AND($T662&lt;&gt;"",$T662=$T661),$U661,IF(C662="x",V661,"")))</f>
        <v/>
      </c>
      <c r="W662" t="str" cm="1">
        <f t="array" ref="W662">IFERROR(_xlfn._xlws.FILTER(game_rosters!AB:AB,(game_rosters!J:J=events!X662)*(K662&lt;&gt;"")),"")</f>
        <v/>
      </c>
      <c r="X662" t="str" cm="1">
        <f t="array" ref="X662">IF(S662="","",IF($I662&lt;&gt;"",$I662,INDEX($I$2:$I661,ROW()-COUNTIFS($T$2:$T661,"="&amp;$T662,$S$2:$S661,"&lt;&gt;"&amp;$S662)-1)))</f>
        <v/>
      </c>
      <c r="Y662" t="b">
        <f>IF(X662&lt;&gt;"",VLOOKUP(X662,game_rosters!$C$43:$E$64,3,FALSE))</f>
        <v>0</v>
      </c>
      <c r="Z662" t="e" cm="1" vm="1">
        <f t="array" aca="1" ref="Z662" ca="1">IFERROR(IF(_xlfn._xlws.FILTER(game_rosters!$J:$J,(game_rosters!$G:$G=events!$AN662)*(game_rosters!$J:$J=events!$X662))&gt;0,1,""),"")</f>
        <v>#VALUE!</v>
      </c>
      <c r="AA662" t="e">
        <f t="shared" si="108"/>
        <v>#VALUE!</v>
      </c>
      <c r="AB662" t="str">
        <f t="shared" si="109"/>
        <v/>
      </c>
      <c r="AC662" t="e">
        <f t="shared" si="107"/>
        <v>#VALUE!</v>
      </c>
      <c r="AD662" s="6"/>
      <c r="BJ662" s="39"/>
      <c r="BM662" s="39"/>
      <c r="BO662" s="19"/>
      <c r="BQ662" s="17"/>
    </row>
    <row r="663" spans="1:69" x14ac:dyDescent="0.2">
      <c r="A663" t="str">
        <f t="shared" si="110"/>
        <v/>
      </c>
      <c r="E663" s="4"/>
      <c r="F663" s="44"/>
      <c r="G663" s="4"/>
      <c r="H663" s="47"/>
      <c r="J663" s="45" t="str">
        <f t="shared" si="111"/>
        <v/>
      </c>
      <c r="N663" t="str">
        <f t="shared" si="113"/>
        <v/>
      </c>
      <c r="Q663" t="str">
        <f t="shared" si="112"/>
        <v/>
      </c>
      <c r="S663" t="str">
        <f>IF(A663=1,MAX(S$2:S662)+1,IF(OR(I663&lt;&gt;"",A663="x"),S662,""))</f>
        <v/>
      </c>
      <c r="T663" t="str">
        <f>IF(D663=1,MAX($T$2:$T662)+1,IF(S663=$S662,$S662,IF($D663="x",T662,IF($D662="x","",""))))</f>
        <v/>
      </c>
      <c r="U663" t="str">
        <f>IF(B663=1,MAX($U$2:$U662)+1,IF(AND($T663&lt;&gt;"",$T663=$T662),$U662,IF(B663="x",U662,"")))</f>
        <v/>
      </c>
      <c r="V663" t="str">
        <f>IF(C663=1,MAX($V$2:$V662)+1,IF(AND($T663&lt;&gt;"",$T663=$T662),$U662,IF(C663="x",V662,"")))</f>
        <v/>
      </c>
      <c r="W663" t="str" cm="1">
        <f t="array" ref="W663">IFERROR(_xlfn._xlws.FILTER(game_rosters!AB:AB,(game_rosters!J:J=events!X663)*(K663&lt;&gt;"")),"")</f>
        <v/>
      </c>
      <c r="X663" t="str" cm="1">
        <f t="array" ref="X663">IF(S663="","",IF($I663&lt;&gt;"",$I663,INDEX($I$2:$I662,ROW()-COUNTIFS($T$2:$T662,"="&amp;$T663,$S$2:$S662,"&lt;&gt;"&amp;$S663)-1)))</f>
        <v/>
      </c>
      <c r="Y663" t="b">
        <f>IF(X663&lt;&gt;"",VLOOKUP(X663,game_rosters!$C$43:$E$64,3,FALSE))</f>
        <v>0</v>
      </c>
      <c r="Z663" t="e" cm="1" vm="1">
        <f t="array" aca="1" ref="Z663" ca="1">IFERROR(IF(_xlfn._xlws.FILTER(game_rosters!$J:$J,(game_rosters!$G:$G=events!$AN663)*(game_rosters!$J:$J=events!$X663))&gt;0,1,""),"")</f>
        <v>#VALUE!</v>
      </c>
      <c r="AA663" t="e">
        <f t="shared" si="108"/>
        <v>#VALUE!</v>
      </c>
      <c r="AB663" t="str">
        <f t="shared" si="109"/>
        <v/>
      </c>
      <c r="AC663" t="e">
        <f t="shared" si="107"/>
        <v>#VALUE!</v>
      </c>
      <c r="AD663" s="6"/>
      <c r="BJ663" s="39"/>
      <c r="BM663" s="39"/>
      <c r="BO663" s="19"/>
      <c r="BQ663" s="17"/>
    </row>
    <row r="664" spans="1:69" x14ac:dyDescent="0.2">
      <c r="A664" t="str">
        <f t="shared" si="110"/>
        <v/>
      </c>
      <c r="E664" s="4"/>
      <c r="F664" s="44"/>
      <c r="G664" s="4"/>
      <c r="H664" s="47"/>
      <c r="J664" s="45" t="str">
        <f t="shared" si="111"/>
        <v/>
      </c>
      <c r="N664" t="str">
        <f t="shared" si="113"/>
        <v/>
      </c>
      <c r="Q664" t="str">
        <f t="shared" si="112"/>
        <v/>
      </c>
      <c r="S664" t="str">
        <f>IF(A664=1,MAX(S$2:S663)+1,IF(OR(I664&lt;&gt;"",A664="x"),S663,""))</f>
        <v/>
      </c>
      <c r="T664" t="str">
        <f>IF(D664=1,MAX($T$2:$T663)+1,IF(S664=$S663,$S663,IF($D664="x",T663,IF($D663="x","",""))))</f>
        <v/>
      </c>
      <c r="U664" t="str">
        <f>IF(B664=1,MAX($U$2:$U663)+1,IF(AND($T664&lt;&gt;"",$T664=$T663),$U663,IF(B664="x",U663,"")))</f>
        <v/>
      </c>
      <c r="V664" t="str">
        <f>IF(C664=1,MAX($V$2:$V663)+1,IF(AND($T664&lt;&gt;"",$T664=$T663),$U663,IF(C664="x",V663,"")))</f>
        <v/>
      </c>
      <c r="W664" t="str" cm="1">
        <f t="array" ref="W664">IFERROR(_xlfn._xlws.FILTER(game_rosters!AB:AB,(game_rosters!J:J=events!X664)*(K664&lt;&gt;"")),"")</f>
        <v/>
      </c>
      <c r="X664" t="str" cm="1">
        <f t="array" ref="X664">IF(S664="","",IF($I664&lt;&gt;"",$I664,INDEX($I$2:$I663,ROW()-COUNTIFS($T$2:$T663,"="&amp;$T664,$S$2:$S663,"&lt;&gt;"&amp;$S664)-1)))</f>
        <v/>
      </c>
      <c r="Y664" t="b">
        <f>IF(X664&lt;&gt;"",VLOOKUP(X664,game_rosters!$C$43:$E$64,3,FALSE))</f>
        <v>0</v>
      </c>
      <c r="Z664" t="e" cm="1" vm="1">
        <f t="array" aca="1" ref="Z664" ca="1">IFERROR(IF(_xlfn._xlws.FILTER(game_rosters!$J:$J,(game_rosters!$G:$G=events!$AN664)*(game_rosters!$J:$J=events!$X664))&gt;0,1,""),"")</f>
        <v>#VALUE!</v>
      </c>
      <c r="AA664" t="e">
        <f t="shared" si="108"/>
        <v>#VALUE!</v>
      </c>
      <c r="AB664" t="str">
        <f t="shared" si="109"/>
        <v/>
      </c>
      <c r="AC664" t="e">
        <f t="shared" si="107"/>
        <v>#VALUE!</v>
      </c>
      <c r="AD664" s="6"/>
      <c r="BJ664" s="39"/>
      <c r="BM664" s="39"/>
      <c r="BO664" s="19"/>
      <c r="BQ664" s="17"/>
    </row>
    <row r="665" spans="1:69" x14ac:dyDescent="0.2">
      <c r="A665" t="str">
        <f t="shared" si="110"/>
        <v/>
      </c>
      <c r="E665" s="4"/>
      <c r="F665" s="44"/>
      <c r="G665" s="4"/>
      <c r="H665" s="47"/>
      <c r="J665" s="45" t="str">
        <f t="shared" si="111"/>
        <v/>
      </c>
      <c r="N665" t="str">
        <f t="shared" si="113"/>
        <v/>
      </c>
      <c r="Q665" t="str">
        <f t="shared" si="112"/>
        <v/>
      </c>
      <c r="S665" t="str">
        <f>IF(A665=1,MAX(S$2:S664)+1,IF(OR(I665&lt;&gt;"",A665="x"),S664,""))</f>
        <v/>
      </c>
      <c r="T665" t="str">
        <f>IF(D665=1,MAX($T$2:$T664)+1,IF(S665=$S664,$S664,IF($D665="x",T664,IF($D664="x","",""))))</f>
        <v/>
      </c>
      <c r="U665" t="str">
        <f>IF(B665=1,MAX($U$2:$U664)+1,IF(AND($T665&lt;&gt;"",$T665=$T664),$U664,IF(B665="x",U664,"")))</f>
        <v/>
      </c>
      <c r="V665" t="str">
        <f>IF(C665=1,MAX($V$2:$V664)+1,IF(AND($T665&lt;&gt;"",$T665=$T664),$U664,IF(C665="x",V664,"")))</f>
        <v/>
      </c>
      <c r="W665" t="str" cm="1">
        <f t="array" ref="W665">IFERROR(_xlfn._xlws.FILTER(game_rosters!AB:AB,(game_rosters!J:J=events!X665)*(K665&lt;&gt;"")),"")</f>
        <v/>
      </c>
      <c r="X665" t="str" cm="1">
        <f t="array" ref="X665">IF(S665="","",IF($I665&lt;&gt;"",$I665,INDEX($I$2:$I664,ROW()-COUNTIFS($T$2:$T664,"="&amp;$T665,$S$2:$S664,"&lt;&gt;"&amp;$S665)-1)))</f>
        <v/>
      </c>
      <c r="Y665" t="b">
        <f>IF(X665&lt;&gt;"",VLOOKUP(X665,game_rosters!$C$43:$E$64,3,FALSE))</f>
        <v>0</v>
      </c>
      <c r="Z665" t="e" cm="1" vm="1">
        <f t="array" aca="1" ref="Z665" ca="1">IFERROR(IF(_xlfn._xlws.FILTER(game_rosters!$J:$J,(game_rosters!$G:$G=events!$AN665)*(game_rosters!$J:$J=events!$X665))&gt;0,1,""),"")</f>
        <v>#VALUE!</v>
      </c>
      <c r="AA665" t="e">
        <f t="shared" si="108"/>
        <v>#VALUE!</v>
      </c>
      <c r="AB665" t="str">
        <f t="shared" si="109"/>
        <v/>
      </c>
      <c r="AC665" t="e">
        <f t="shared" si="107"/>
        <v>#VALUE!</v>
      </c>
      <c r="AD665" s="6"/>
      <c r="BJ665" s="39"/>
      <c r="BM665" s="39"/>
      <c r="BO665" s="19"/>
      <c r="BQ665" s="17"/>
    </row>
    <row r="666" spans="1:69" x14ac:dyDescent="0.2">
      <c r="A666" t="str">
        <f t="shared" si="110"/>
        <v/>
      </c>
      <c r="E666" s="4"/>
      <c r="F666" s="44"/>
      <c r="G666" s="4"/>
      <c r="H666" s="47"/>
      <c r="J666" s="45" t="str">
        <f t="shared" si="111"/>
        <v/>
      </c>
      <c r="N666" t="str">
        <f t="shared" si="113"/>
        <v/>
      </c>
      <c r="Q666" t="str">
        <f t="shared" si="112"/>
        <v/>
      </c>
      <c r="S666" t="str">
        <f>IF(A666=1,MAX(S$2:S665)+1,IF(OR(I666&lt;&gt;"",A666="x"),S665,""))</f>
        <v/>
      </c>
      <c r="T666" t="str">
        <f>IF(D666=1,MAX($T$2:$T665)+1,IF(S666=$S665,$S665,IF($D666="x",T665,IF($D665="x","",""))))</f>
        <v/>
      </c>
      <c r="U666" t="str">
        <f>IF(B666=1,MAX($U$2:$U665)+1,IF(AND($T666&lt;&gt;"",$T666=$T665),$U665,IF(B666="x",U665,"")))</f>
        <v/>
      </c>
      <c r="V666" t="str">
        <f>IF(C666=1,MAX($V$2:$V665)+1,IF(AND($T666&lt;&gt;"",$T666=$T665),$U665,IF(C666="x",V665,"")))</f>
        <v/>
      </c>
      <c r="W666" t="str" cm="1">
        <f t="array" ref="W666">IFERROR(_xlfn._xlws.FILTER(game_rosters!AB:AB,(game_rosters!J:J=events!X666)*(K666&lt;&gt;"")),"")</f>
        <v/>
      </c>
      <c r="X666" t="str" cm="1">
        <f t="array" ref="X666">IF(S666="","",IF($I666&lt;&gt;"",$I666,INDEX($I$2:$I665,ROW()-COUNTIFS($T$2:$T665,"="&amp;$T666,$S$2:$S665,"&lt;&gt;"&amp;$S666)-1)))</f>
        <v/>
      </c>
      <c r="Y666" t="b">
        <f>IF(X666&lt;&gt;"",VLOOKUP(X666,game_rosters!$C$43:$E$64,3,FALSE))</f>
        <v>0</v>
      </c>
      <c r="Z666" t="e" cm="1" vm="1">
        <f t="array" aca="1" ref="Z666" ca="1">IFERROR(IF(_xlfn._xlws.FILTER(game_rosters!$J:$J,(game_rosters!$G:$G=events!$AN666)*(game_rosters!$J:$J=events!$X666))&gt;0,1,""),"")</f>
        <v>#VALUE!</v>
      </c>
      <c r="AA666" t="e">
        <f t="shared" si="108"/>
        <v>#VALUE!</v>
      </c>
      <c r="AB666" t="str">
        <f t="shared" si="109"/>
        <v/>
      </c>
      <c r="AC666" t="e">
        <f t="shared" si="107"/>
        <v>#VALUE!</v>
      </c>
      <c r="AD666" s="6"/>
      <c r="BJ666" s="39"/>
      <c r="BM666" s="39"/>
      <c r="BO666" s="19"/>
      <c r="BQ666" s="17"/>
    </row>
    <row r="667" spans="1:69" x14ac:dyDescent="0.2">
      <c r="A667" t="str">
        <f t="shared" si="110"/>
        <v/>
      </c>
      <c r="E667" s="4"/>
      <c r="F667" s="44"/>
      <c r="G667" s="4"/>
      <c r="H667" s="47"/>
      <c r="J667" s="45" t="str">
        <f t="shared" si="111"/>
        <v/>
      </c>
      <c r="N667" t="str">
        <f t="shared" si="113"/>
        <v/>
      </c>
      <c r="Q667" t="str">
        <f t="shared" si="112"/>
        <v/>
      </c>
      <c r="S667" t="str">
        <f>IF(A667=1,MAX(S$2:S666)+1,IF(OR(I667&lt;&gt;"",A667="x"),S666,""))</f>
        <v/>
      </c>
      <c r="T667" t="str">
        <f>IF(D667=1,MAX($T$2:$T666)+1,IF(S667=$S666,$S666,IF($D667="x",T666,IF($D666="x","",""))))</f>
        <v/>
      </c>
      <c r="U667" t="str">
        <f>IF(B667=1,MAX($U$2:$U666)+1,IF(AND($T667&lt;&gt;"",$T667=$T666),$U666,IF(B667="x",U666,"")))</f>
        <v/>
      </c>
      <c r="V667" t="str">
        <f>IF(C667=1,MAX($V$2:$V666)+1,IF(AND($T667&lt;&gt;"",$T667=$T666),$U666,IF(C667="x",V666,"")))</f>
        <v/>
      </c>
      <c r="W667" t="str" cm="1">
        <f t="array" ref="W667">IFERROR(_xlfn._xlws.FILTER(game_rosters!AB:AB,(game_rosters!J:J=events!X667)*(K667&lt;&gt;"")),"")</f>
        <v/>
      </c>
      <c r="X667" t="str" cm="1">
        <f t="array" ref="X667">IF(S667="","",IF($I667&lt;&gt;"",$I667,INDEX($I$2:$I666,ROW()-COUNTIFS($T$2:$T666,"="&amp;$T667,$S$2:$S666,"&lt;&gt;"&amp;$S667)-1)))</f>
        <v/>
      </c>
      <c r="Y667" t="b">
        <f>IF(X667&lt;&gt;"",VLOOKUP(X667,game_rosters!$C$43:$E$64,3,FALSE))</f>
        <v>0</v>
      </c>
      <c r="Z667" t="e" cm="1" vm="1">
        <f t="array" aca="1" ref="Z667" ca="1">IFERROR(IF(_xlfn._xlws.FILTER(game_rosters!$J:$J,(game_rosters!$G:$G=events!$AN667)*(game_rosters!$J:$J=events!$X667))&gt;0,1,""),"")</f>
        <v>#VALUE!</v>
      </c>
      <c r="AA667" t="e">
        <f t="shared" si="108"/>
        <v>#VALUE!</v>
      </c>
      <c r="AB667" t="str">
        <f t="shared" si="109"/>
        <v/>
      </c>
      <c r="AC667" t="e">
        <f t="shared" si="107"/>
        <v>#VALUE!</v>
      </c>
      <c r="AD667" s="6"/>
      <c r="BJ667" s="39"/>
      <c r="BM667" s="39"/>
      <c r="BO667" s="19"/>
      <c r="BQ667" s="17"/>
    </row>
    <row r="668" spans="1:69" x14ac:dyDescent="0.2">
      <c r="A668" t="str">
        <f t="shared" si="110"/>
        <v/>
      </c>
      <c r="E668" s="4"/>
      <c r="F668" s="44"/>
      <c r="G668" s="4"/>
      <c r="H668" s="47"/>
      <c r="J668" s="45" t="str">
        <f t="shared" si="111"/>
        <v/>
      </c>
      <c r="N668" t="str">
        <f t="shared" si="113"/>
        <v/>
      </c>
      <c r="Q668" t="str">
        <f t="shared" si="112"/>
        <v/>
      </c>
      <c r="S668" t="str">
        <f>IF(A668=1,MAX(S$2:S667)+1,IF(OR(I668&lt;&gt;"",A668="x"),S667,""))</f>
        <v/>
      </c>
      <c r="T668" t="str">
        <f>IF(D668=1,MAX($T$2:$T667)+1,IF(S668=$S667,$S667,IF($D668="x",T667,IF($D667="x","",""))))</f>
        <v/>
      </c>
      <c r="U668" t="str">
        <f>IF(B668=1,MAX($U$2:$U667)+1,IF(AND($T668&lt;&gt;"",$T668=$T667),$U667,IF(B668="x",U667,"")))</f>
        <v/>
      </c>
      <c r="V668" t="str">
        <f>IF(C668=1,MAX($V$2:$V667)+1,IF(AND($T668&lt;&gt;"",$T668=$T667),$U667,IF(C668="x",V667,"")))</f>
        <v/>
      </c>
      <c r="W668" t="str" cm="1">
        <f t="array" ref="W668">IFERROR(_xlfn._xlws.FILTER(game_rosters!AB:AB,(game_rosters!J:J=events!X668)*(K668&lt;&gt;"")),"")</f>
        <v/>
      </c>
      <c r="X668" t="str" cm="1">
        <f t="array" ref="X668">IF(S668="","",IF($I668&lt;&gt;"",$I668,INDEX($I$2:$I667,ROW()-COUNTIFS($T$2:$T667,"="&amp;$T668,$S$2:$S667,"&lt;&gt;"&amp;$S668)-1)))</f>
        <v/>
      </c>
      <c r="Y668" t="b">
        <f>IF(X668&lt;&gt;"",VLOOKUP(X668,game_rosters!$C$43:$E$64,3,FALSE))</f>
        <v>0</v>
      </c>
      <c r="Z668" t="e" cm="1" vm="1">
        <f t="array" aca="1" ref="Z668" ca="1">IFERROR(IF(_xlfn._xlws.FILTER(game_rosters!$J:$J,(game_rosters!$G:$G=events!$AN668)*(game_rosters!$J:$J=events!$X668))&gt;0,1,""),"")</f>
        <v>#VALUE!</v>
      </c>
      <c r="AA668" t="e">
        <f t="shared" si="108"/>
        <v>#VALUE!</v>
      </c>
      <c r="AB668" t="str">
        <f t="shared" si="109"/>
        <v/>
      </c>
      <c r="AC668" t="e">
        <f t="shared" si="107"/>
        <v>#VALUE!</v>
      </c>
      <c r="AD668" s="6"/>
      <c r="BJ668" s="39"/>
      <c r="BM668" s="39"/>
      <c r="BO668" s="19"/>
      <c r="BQ668" s="17"/>
    </row>
    <row r="669" spans="1:69" x14ac:dyDescent="0.2">
      <c r="A669" t="str">
        <f t="shared" si="110"/>
        <v/>
      </c>
      <c r="E669" s="4"/>
      <c r="F669" s="44"/>
      <c r="G669" s="4"/>
      <c r="H669" s="47"/>
      <c r="J669" s="45" t="str">
        <f t="shared" si="111"/>
        <v/>
      </c>
      <c r="N669" t="str">
        <f t="shared" si="113"/>
        <v/>
      </c>
      <c r="Q669" t="str">
        <f t="shared" si="112"/>
        <v/>
      </c>
      <c r="S669" t="str">
        <f>IF(A669=1,MAX(S$2:S668)+1,IF(OR(I669&lt;&gt;"",A669="x"),S668,""))</f>
        <v/>
      </c>
      <c r="T669" t="str">
        <f>IF(D669=1,MAX($T$2:$T668)+1,IF(S669=$S668,$S668,IF($D669="x",T668,IF($D668="x","",""))))</f>
        <v/>
      </c>
      <c r="U669" t="str">
        <f>IF(B669=1,MAX($U$2:$U668)+1,IF(AND($T669&lt;&gt;"",$T669=$T668),$U668,IF(B669="x",U668,"")))</f>
        <v/>
      </c>
      <c r="V669" t="str">
        <f>IF(C669=1,MAX($V$2:$V668)+1,IF(AND($T669&lt;&gt;"",$T669=$T668),$U668,IF(C669="x",V668,"")))</f>
        <v/>
      </c>
      <c r="W669" t="str" cm="1">
        <f t="array" ref="W669">IFERROR(_xlfn._xlws.FILTER(game_rosters!AB:AB,(game_rosters!J:J=events!X669)*(K669&lt;&gt;"")),"")</f>
        <v/>
      </c>
      <c r="X669" t="str" cm="1">
        <f t="array" ref="X669">IF(S669="","",IF($I669&lt;&gt;"",$I669,INDEX($I$2:$I668,ROW()-COUNTIFS($T$2:$T668,"="&amp;$T669,$S$2:$S668,"&lt;&gt;"&amp;$S669)-1)))</f>
        <v/>
      </c>
      <c r="Y669" t="b">
        <f>IF(X669&lt;&gt;"",VLOOKUP(X669,game_rosters!$C$43:$E$64,3,FALSE))</f>
        <v>0</v>
      </c>
      <c r="Z669" t="e" cm="1" vm="1">
        <f t="array" aca="1" ref="Z669" ca="1">IFERROR(IF(_xlfn._xlws.FILTER(game_rosters!$J:$J,(game_rosters!$G:$G=events!$AN669)*(game_rosters!$J:$J=events!$X669))&gt;0,1,""),"")</f>
        <v>#VALUE!</v>
      </c>
      <c r="AA669" t="e">
        <f t="shared" si="108"/>
        <v>#VALUE!</v>
      </c>
      <c r="AB669" t="str">
        <f t="shared" si="109"/>
        <v/>
      </c>
      <c r="AC669" t="e">
        <f t="shared" si="107"/>
        <v>#VALUE!</v>
      </c>
      <c r="AD669" s="6"/>
      <c r="BJ669" s="39"/>
      <c r="BM669" s="39"/>
      <c r="BO669" s="19"/>
      <c r="BQ669" s="17"/>
    </row>
    <row r="670" spans="1:69" x14ac:dyDescent="0.2">
      <c r="A670" t="str">
        <f t="shared" si="110"/>
        <v/>
      </c>
      <c r="E670" s="4"/>
      <c r="F670" s="44"/>
      <c r="G670" s="4"/>
      <c r="H670" s="47"/>
      <c r="J670" s="45" t="str">
        <f t="shared" si="111"/>
        <v/>
      </c>
      <c r="N670" t="str">
        <f t="shared" si="113"/>
        <v/>
      </c>
      <c r="Q670" t="str">
        <f t="shared" si="112"/>
        <v/>
      </c>
      <c r="S670" t="str">
        <f>IF(A670=1,MAX(S$2:S669)+1,IF(OR(I670&lt;&gt;"",A670="x"),S669,""))</f>
        <v/>
      </c>
      <c r="T670" t="str">
        <f>IF(D670=1,MAX($T$2:$T669)+1,IF(S670=$S669,$S669,IF($D670="x",T669,IF($D669="x","",""))))</f>
        <v/>
      </c>
      <c r="U670" t="str">
        <f>IF(B670=1,MAX($U$2:$U669)+1,IF(AND($T670&lt;&gt;"",$T670=$T669),$U669,IF(B670="x",U669,"")))</f>
        <v/>
      </c>
      <c r="V670" t="str">
        <f>IF(C670=1,MAX($V$2:$V669)+1,IF(AND($T670&lt;&gt;"",$T670=$T669),$U669,IF(C670="x",V669,"")))</f>
        <v/>
      </c>
      <c r="W670" t="str" cm="1">
        <f t="array" ref="W670">IFERROR(_xlfn._xlws.FILTER(game_rosters!AB:AB,(game_rosters!J:J=events!X670)*(K670&lt;&gt;"")),"")</f>
        <v/>
      </c>
      <c r="X670" t="str" cm="1">
        <f t="array" ref="X670">IF(S670="","",IF($I670&lt;&gt;"",$I670,INDEX($I$2:$I669,ROW()-COUNTIFS($T$2:$T669,"="&amp;$T670,$S$2:$S669,"&lt;&gt;"&amp;$S670)-1)))</f>
        <v/>
      </c>
      <c r="Y670" t="b">
        <f>IF(X670&lt;&gt;"",VLOOKUP(X670,game_rosters!$C$43:$E$64,3,FALSE))</f>
        <v>0</v>
      </c>
      <c r="Z670" t="e" cm="1" vm="1">
        <f t="array" aca="1" ref="Z670" ca="1">IFERROR(IF(_xlfn._xlws.FILTER(game_rosters!$J:$J,(game_rosters!$G:$G=events!$AN670)*(game_rosters!$J:$J=events!$X670))&gt;0,1,""),"")</f>
        <v>#VALUE!</v>
      </c>
      <c r="AA670" t="e">
        <f t="shared" si="108"/>
        <v>#VALUE!</v>
      </c>
      <c r="AB670" t="str">
        <f t="shared" si="109"/>
        <v/>
      </c>
      <c r="AC670" t="e">
        <f t="shared" si="107"/>
        <v>#VALUE!</v>
      </c>
      <c r="AD670" s="6"/>
      <c r="BJ670" s="39"/>
      <c r="BM670" s="39"/>
      <c r="BO670" s="19"/>
      <c r="BQ670" s="17"/>
    </row>
    <row r="671" spans="1:69" x14ac:dyDescent="0.2">
      <c r="A671" t="str">
        <f t="shared" si="110"/>
        <v/>
      </c>
      <c r="E671" s="4"/>
      <c r="F671" s="44"/>
      <c r="G671" s="4"/>
      <c r="H671" s="47"/>
      <c r="J671" s="45" t="str">
        <f t="shared" si="111"/>
        <v/>
      </c>
      <c r="N671" t="str">
        <f t="shared" si="113"/>
        <v/>
      </c>
      <c r="Q671" t="str">
        <f t="shared" si="112"/>
        <v/>
      </c>
      <c r="S671" t="str">
        <f>IF(A671=1,MAX(S$2:S670)+1,IF(OR(I671&lt;&gt;"",A671="x"),S670,""))</f>
        <v/>
      </c>
      <c r="T671" t="str">
        <f>IF(D671=1,MAX($T$2:$T670)+1,IF(S671=$S670,$S670,IF($D671="x",T670,IF($D670="x","",""))))</f>
        <v/>
      </c>
      <c r="U671" t="str">
        <f>IF(B671=1,MAX($U$2:$U670)+1,IF(AND($T671&lt;&gt;"",$T671=$T670),$U670,IF(B671="x",U670,"")))</f>
        <v/>
      </c>
      <c r="V671" t="str">
        <f>IF(C671=1,MAX($V$2:$V670)+1,IF(AND($T671&lt;&gt;"",$T671=$T670),$U670,IF(C671="x",V670,"")))</f>
        <v/>
      </c>
      <c r="W671" t="str" cm="1">
        <f t="array" ref="W671">IFERROR(_xlfn._xlws.FILTER(game_rosters!AB:AB,(game_rosters!J:J=events!X671)*(K671&lt;&gt;"")),"")</f>
        <v/>
      </c>
      <c r="X671" t="str" cm="1">
        <f t="array" ref="X671">IF(S671="","",IF($I671&lt;&gt;"",$I671,INDEX($I$2:$I670,ROW()-COUNTIFS($T$2:$T670,"="&amp;$T671,$S$2:$S670,"&lt;&gt;"&amp;$S671)-1)))</f>
        <v/>
      </c>
      <c r="Y671" t="b">
        <f>IF(X671&lt;&gt;"",VLOOKUP(X671,game_rosters!$C$43:$E$64,3,FALSE))</f>
        <v>0</v>
      </c>
      <c r="Z671" t="e" cm="1" vm="1">
        <f t="array" aca="1" ref="Z671" ca="1">IFERROR(IF(_xlfn._xlws.FILTER(game_rosters!$J:$J,(game_rosters!$G:$G=events!$AN671)*(game_rosters!$J:$J=events!$X671))&gt;0,1,""),"")</f>
        <v>#VALUE!</v>
      </c>
      <c r="AA671" t="e">
        <f t="shared" si="108"/>
        <v>#VALUE!</v>
      </c>
      <c r="AB671" t="str">
        <f t="shared" si="109"/>
        <v/>
      </c>
      <c r="AC671" t="e">
        <f t="shared" si="107"/>
        <v>#VALUE!</v>
      </c>
      <c r="AD671" s="6"/>
      <c r="BJ671" s="39"/>
      <c r="BM671" s="39"/>
      <c r="BO671" s="19"/>
      <c r="BQ671" s="17"/>
    </row>
    <row r="672" spans="1:69" x14ac:dyDescent="0.2">
      <c r="A672" t="str">
        <f t="shared" si="110"/>
        <v/>
      </c>
      <c r="E672" s="4"/>
      <c r="F672" s="44"/>
      <c r="G672" s="4"/>
      <c r="H672" s="47"/>
      <c r="J672" s="45" t="str">
        <f t="shared" si="111"/>
        <v/>
      </c>
      <c r="N672" t="str">
        <f t="shared" si="113"/>
        <v/>
      </c>
      <c r="Q672" t="str">
        <f t="shared" si="112"/>
        <v/>
      </c>
      <c r="S672" t="str">
        <f>IF(A672=1,MAX(S$2:S671)+1,IF(OR(I672&lt;&gt;"",A672="x"),S671,""))</f>
        <v/>
      </c>
      <c r="T672" t="str">
        <f>IF(D672=1,MAX($T$2:$T671)+1,IF(S672=$S671,$S671,IF($D672="x",T671,IF($D671="x","",""))))</f>
        <v/>
      </c>
      <c r="U672" t="str">
        <f>IF(B672=1,MAX($U$2:$U671)+1,IF(AND($T672&lt;&gt;"",$T672=$T671),$U671,IF(B672="x",U671,"")))</f>
        <v/>
      </c>
      <c r="V672" t="str">
        <f>IF(C672=1,MAX($V$2:$V671)+1,IF(AND($T672&lt;&gt;"",$T672=$T671),$U671,IF(C672="x",V671,"")))</f>
        <v/>
      </c>
      <c r="W672" t="str" cm="1">
        <f t="array" ref="W672">IFERROR(_xlfn._xlws.FILTER(game_rosters!AB:AB,(game_rosters!J:J=events!X672)*(K672&lt;&gt;"")),"")</f>
        <v/>
      </c>
      <c r="X672" t="str" cm="1">
        <f t="array" ref="X672">IF(S672="","",IF($I672&lt;&gt;"",$I672,INDEX($I$2:$I671,ROW()-COUNTIFS($T$2:$T671,"="&amp;$T672,$S$2:$S671,"&lt;&gt;"&amp;$S672)-1)))</f>
        <v/>
      </c>
      <c r="Y672" t="b">
        <f>IF(X672&lt;&gt;"",VLOOKUP(X672,game_rosters!$C$43:$E$64,3,FALSE))</f>
        <v>0</v>
      </c>
      <c r="Z672" t="e" cm="1" vm="1">
        <f t="array" aca="1" ref="Z672" ca="1">IFERROR(IF(_xlfn._xlws.FILTER(game_rosters!$J:$J,(game_rosters!$G:$G=events!$AN672)*(game_rosters!$J:$J=events!$X672))&gt;0,1,""),"")</f>
        <v>#VALUE!</v>
      </c>
      <c r="AA672" t="e">
        <f t="shared" si="108"/>
        <v>#VALUE!</v>
      </c>
      <c r="AB672" t="str">
        <f t="shared" si="109"/>
        <v/>
      </c>
      <c r="AC672" t="e">
        <f t="shared" si="107"/>
        <v>#VALUE!</v>
      </c>
      <c r="AD672" s="6"/>
      <c r="BJ672" s="39"/>
      <c r="BM672" s="39"/>
      <c r="BO672" s="19"/>
      <c r="BQ672" s="17"/>
    </row>
    <row r="673" spans="1:69" x14ac:dyDescent="0.2">
      <c r="A673" t="str">
        <f t="shared" si="110"/>
        <v/>
      </c>
      <c r="E673" s="4"/>
      <c r="F673" s="44"/>
      <c r="G673" s="4"/>
      <c r="H673" s="47"/>
      <c r="J673" s="45" t="str">
        <f t="shared" si="111"/>
        <v/>
      </c>
      <c r="N673" t="str">
        <f t="shared" si="113"/>
        <v/>
      </c>
      <c r="Q673" t="str">
        <f t="shared" si="112"/>
        <v/>
      </c>
      <c r="S673" t="str">
        <f>IF(A673=1,MAX(S$2:S672)+1,IF(OR(I673&lt;&gt;"",A673="x"),S672,""))</f>
        <v/>
      </c>
      <c r="T673" t="str">
        <f>IF(D673=1,MAX($T$2:$T672)+1,IF(S673=$S672,$S672,IF($D673="x",T672,IF($D672="x","",""))))</f>
        <v/>
      </c>
      <c r="U673" t="str">
        <f>IF(B673=1,MAX($U$2:$U672)+1,IF(AND($T673&lt;&gt;"",$T673=$T672),$U672,IF(B673="x",U672,"")))</f>
        <v/>
      </c>
      <c r="V673" t="str">
        <f>IF(C673=1,MAX($V$2:$V672)+1,IF(AND($T673&lt;&gt;"",$T673=$T672),$U672,IF(C673="x",V672,"")))</f>
        <v/>
      </c>
      <c r="W673" t="str" cm="1">
        <f t="array" ref="W673">IFERROR(_xlfn._xlws.FILTER(game_rosters!AB:AB,(game_rosters!J:J=events!X673)*(K673&lt;&gt;"")),"")</f>
        <v/>
      </c>
      <c r="X673" t="str" cm="1">
        <f t="array" ref="X673">IF(S673="","",IF($I673&lt;&gt;"",$I673,INDEX($I$2:$I672,ROW()-COUNTIFS($T$2:$T672,"="&amp;$T673,$S$2:$S672,"&lt;&gt;"&amp;$S673)-1)))</f>
        <v/>
      </c>
      <c r="Y673" t="b">
        <f>IF(X673&lt;&gt;"",VLOOKUP(X673,game_rosters!$C$43:$E$64,3,FALSE))</f>
        <v>0</v>
      </c>
      <c r="Z673" t="e" cm="1" vm="1">
        <f t="array" aca="1" ref="Z673" ca="1">IFERROR(IF(_xlfn._xlws.FILTER(game_rosters!$J:$J,(game_rosters!$G:$G=events!$AN673)*(game_rosters!$J:$J=events!$X673))&gt;0,1,""),"")</f>
        <v>#VALUE!</v>
      </c>
      <c r="AA673" t="e">
        <f t="shared" si="108"/>
        <v>#VALUE!</v>
      </c>
      <c r="AB673" t="str">
        <f t="shared" si="109"/>
        <v/>
      </c>
      <c r="AC673" t="e">
        <f t="shared" si="107"/>
        <v>#VALUE!</v>
      </c>
      <c r="AD673" s="6"/>
      <c r="BJ673" s="39"/>
      <c r="BM673" s="39"/>
      <c r="BO673" s="19"/>
      <c r="BQ673" s="17"/>
    </row>
    <row r="674" spans="1:69" x14ac:dyDescent="0.2">
      <c r="A674" t="str">
        <f t="shared" si="110"/>
        <v/>
      </c>
      <c r="E674" s="4"/>
      <c r="F674" s="44"/>
      <c r="G674" s="4"/>
      <c r="H674" s="47"/>
      <c r="J674" s="45" t="str">
        <f t="shared" si="111"/>
        <v/>
      </c>
      <c r="N674" t="str">
        <f t="shared" si="113"/>
        <v/>
      </c>
      <c r="Q674" t="str">
        <f t="shared" si="112"/>
        <v/>
      </c>
      <c r="S674" t="str">
        <f>IF(A674=1,MAX(S$2:S673)+1,IF(OR(I674&lt;&gt;"",A674="x"),S673,""))</f>
        <v/>
      </c>
      <c r="T674" t="str">
        <f>IF(D674=1,MAX($T$2:$T673)+1,IF(S674=$S673,$S673,IF($D674="x",T673,IF($D673="x","",""))))</f>
        <v/>
      </c>
      <c r="U674" t="str">
        <f>IF(B674=1,MAX($U$2:$U673)+1,IF(AND($T674&lt;&gt;"",$T674=$T673),$U673,IF(B674="x",U673,"")))</f>
        <v/>
      </c>
      <c r="V674" t="str">
        <f>IF(C674=1,MAX($V$2:$V673)+1,IF(AND($T674&lt;&gt;"",$T674=$T673),$U673,IF(C674="x",V673,"")))</f>
        <v/>
      </c>
      <c r="W674" t="str" cm="1">
        <f t="array" ref="W674">IFERROR(_xlfn._xlws.FILTER(game_rosters!AB:AB,(game_rosters!J:J=events!X674)*(K674&lt;&gt;"")),"")</f>
        <v/>
      </c>
      <c r="X674" t="str" cm="1">
        <f t="array" ref="X674">IF(S674="","",IF($I674&lt;&gt;"",$I674,INDEX($I$2:$I673,ROW()-COUNTIFS($T$2:$T673,"="&amp;$T674,$S$2:$S673,"&lt;&gt;"&amp;$S674)-1)))</f>
        <v/>
      </c>
      <c r="Y674" t="b">
        <f>IF(X674&lt;&gt;"",VLOOKUP(X674,game_rosters!$C$43:$E$64,3,FALSE))</f>
        <v>0</v>
      </c>
      <c r="Z674" t="e" cm="1" vm="1">
        <f t="array" aca="1" ref="Z674" ca="1">IFERROR(IF(_xlfn._xlws.FILTER(game_rosters!$J:$J,(game_rosters!$G:$G=events!$AN674)*(game_rosters!$J:$J=events!$X674))&gt;0,1,""),"")</f>
        <v>#VALUE!</v>
      </c>
      <c r="AA674" t="e">
        <f t="shared" si="108"/>
        <v>#VALUE!</v>
      </c>
      <c r="AB674" t="str">
        <f t="shared" si="109"/>
        <v/>
      </c>
      <c r="AC674" t="e">
        <f t="shared" si="107"/>
        <v>#VALUE!</v>
      </c>
      <c r="AD674" s="6"/>
      <c r="BJ674" s="39"/>
      <c r="BM674" s="39"/>
      <c r="BO674" s="19"/>
      <c r="BQ674" s="17"/>
    </row>
    <row r="675" spans="1:69" x14ac:dyDescent="0.2">
      <c r="A675" t="str">
        <f t="shared" si="110"/>
        <v/>
      </c>
      <c r="E675" s="4"/>
      <c r="F675" s="44"/>
      <c r="G675" s="4"/>
      <c r="H675" s="47"/>
      <c r="J675" s="45" t="str">
        <f t="shared" si="111"/>
        <v/>
      </c>
      <c r="N675" t="str">
        <f t="shared" si="113"/>
        <v/>
      </c>
      <c r="Q675" t="str">
        <f t="shared" si="112"/>
        <v/>
      </c>
      <c r="S675" t="str">
        <f>IF(A675=1,MAX(S$2:S674)+1,IF(OR(I675&lt;&gt;"",A675="x"),S674,""))</f>
        <v/>
      </c>
      <c r="T675" t="str">
        <f>IF(D675=1,MAX($T$2:$T674)+1,IF(S675=$S674,$S674,IF($D675="x",T674,IF($D674="x","",""))))</f>
        <v/>
      </c>
      <c r="U675" t="str">
        <f>IF(B675=1,MAX($U$2:$U674)+1,IF(AND($T675&lt;&gt;"",$T675=$T674),$U674,IF(B675="x",U674,"")))</f>
        <v/>
      </c>
      <c r="V675" t="str">
        <f>IF(C675=1,MAX($V$2:$V674)+1,IF(AND($T675&lt;&gt;"",$T675=$T674),$U674,IF(C675="x",V674,"")))</f>
        <v/>
      </c>
      <c r="W675" t="str" cm="1">
        <f t="array" ref="W675">IFERROR(_xlfn._xlws.FILTER(game_rosters!AB:AB,(game_rosters!J:J=events!X675)*(K675&lt;&gt;"")),"")</f>
        <v/>
      </c>
      <c r="X675" t="str" cm="1">
        <f t="array" ref="X675">IF(S675="","",IF($I675&lt;&gt;"",$I675,INDEX($I$2:$I674,ROW()-COUNTIFS($T$2:$T674,"="&amp;$T675,$S$2:$S674,"&lt;&gt;"&amp;$S675)-1)))</f>
        <v/>
      </c>
      <c r="Y675" t="b">
        <f>IF(X675&lt;&gt;"",VLOOKUP(X675,game_rosters!$C$43:$E$64,3,FALSE))</f>
        <v>0</v>
      </c>
      <c r="Z675" t="e" cm="1" vm="1">
        <f t="array" aca="1" ref="Z675" ca="1">IFERROR(IF(_xlfn._xlws.FILTER(game_rosters!$J:$J,(game_rosters!$G:$G=events!$AN675)*(game_rosters!$J:$J=events!$X675))&gt;0,1,""),"")</f>
        <v>#VALUE!</v>
      </c>
      <c r="AA675" t="e">
        <f t="shared" si="108"/>
        <v>#VALUE!</v>
      </c>
      <c r="AB675" t="str">
        <f t="shared" si="109"/>
        <v/>
      </c>
      <c r="AC675" t="e">
        <f t="shared" si="107"/>
        <v>#VALUE!</v>
      </c>
      <c r="AD675" s="6"/>
      <c r="BJ675" s="39"/>
      <c r="BM675" s="39"/>
      <c r="BO675" s="19"/>
      <c r="BQ675" s="17"/>
    </row>
    <row r="676" spans="1:69" x14ac:dyDescent="0.2">
      <c r="A676" t="str">
        <f t="shared" si="110"/>
        <v/>
      </c>
      <c r="E676" s="4"/>
      <c r="F676" s="44"/>
      <c r="G676" s="4"/>
      <c r="H676" s="47"/>
      <c r="J676" s="45" t="str">
        <f t="shared" si="111"/>
        <v/>
      </c>
      <c r="N676" t="str">
        <f t="shared" si="113"/>
        <v/>
      </c>
      <c r="Q676" t="str">
        <f t="shared" si="112"/>
        <v/>
      </c>
      <c r="S676" t="str">
        <f>IF(A676=1,MAX(S$2:S675)+1,IF(OR(I676&lt;&gt;"",A676="x"),S675,""))</f>
        <v/>
      </c>
      <c r="T676" t="str">
        <f>IF(D676=1,MAX($T$2:$T675)+1,IF(S676=$S675,$S675,IF($D676="x",T675,IF($D675="x","",""))))</f>
        <v/>
      </c>
      <c r="U676" t="str">
        <f>IF(B676=1,MAX($U$2:$U675)+1,IF(AND($T676&lt;&gt;"",$T676=$T675),$U675,IF(B676="x",U675,"")))</f>
        <v/>
      </c>
      <c r="V676" t="str">
        <f>IF(C676=1,MAX($V$2:$V675)+1,IF(AND($T676&lt;&gt;"",$T676=$T675),$U675,IF(C676="x",V675,"")))</f>
        <v/>
      </c>
      <c r="W676" t="str" cm="1">
        <f t="array" ref="W676">IFERROR(_xlfn._xlws.FILTER(game_rosters!AB:AB,(game_rosters!J:J=events!X676)*(K676&lt;&gt;"")),"")</f>
        <v/>
      </c>
      <c r="X676" t="str" cm="1">
        <f t="array" ref="X676">IF(S676="","",IF($I676&lt;&gt;"",$I676,INDEX($I$2:$I675,ROW()-COUNTIFS($T$2:$T675,"="&amp;$T676,$S$2:$S675,"&lt;&gt;"&amp;$S676)-1)))</f>
        <v/>
      </c>
      <c r="Y676" t="b">
        <f>IF(X676&lt;&gt;"",VLOOKUP(X676,game_rosters!$C$43:$E$64,3,FALSE))</f>
        <v>0</v>
      </c>
      <c r="Z676" t="e" cm="1" vm="1">
        <f t="array" aca="1" ref="Z676" ca="1">IFERROR(IF(_xlfn._xlws.FILTER(game_rosters!$J:$J,(game_rosters!$G:$G=events!$AN676)*(game_rosters!$J:$J=events!$X676))&gt;0,1,""),"")</f>
        <v>#VALUE!</v>
      </c>
      <c r="AA676" t="e">
        <f t="shared" si="108"/>
        <v>#VALUE!</v>
      </c>
      <c r="AB676" t="str">
        <f t="shared" si="109"/>
        <v/>
      </c>
      <c r="AC676" t="e">
        <f t="shared" si="107"/>
        <v>#VALUE!</v>
      </c>
      <c r="AD676" s="6"/>
      <c r="BJ676" s="39"/>
      <c r="BM676" s="39"/>
      <c r="BO676" s="19"/>
      <c r="BQ676" s="17"/>
    </row>
    <row r="677" spans="1:69" x14ac:dyDescent="0.2">
      <c r="A677" t="str">
        <f t="shared" si="110"/>
        <v/>
      </c>
      <c r="E677" s="4"/>
      <c r="F677" s="44"/>
      <c r="G677" s="4"/>
      <c r="H677" s="47"/>
      <c r="J677" s="45" t="str">
        <f t="shared" si="111"/>
        <v/>
      </c>
      <c r="N677" t="str">
        <f t="shared" si="113"/>
        <v/>
      </c>
      <c r="Q677" t="str">
        <f t="shared" si="112"/>
        <v/>
      </c>
      <c r="S677" t="str">
        <f>IF(A677=1,MAX(S$2:S676)+1,IF(OR(I677&lt;&gt;"",A677="x"),S676,""))</f>
        <v/>
      </c>
      <c r="T677" t="str">
        <f>IF(D677=1,MAX($T$2:$T676)+1,IF(S677=$S676,$S676,IF($D677="x",T676,IF($D676="x","",""))))</f>
        <v/>
      </c>
      <c r="U677" t="str">
        <f>IF(B677=1,MAX($U$2:$U676)+1,IF(AND($T677&lt;&gt;"",$T677=$T676),$U676,IF(B677="x",U676,"")))</f>
        <v/>
      </c>
      <c r="V677" t="str">
        <f>IF(C677=1,MAX($V$2:$V676)+1,IF(AND($T677&lt;&gt;"",$T677=$T676),$U676,IF(C677="x",V676,"")))</f>
        <v/>
      </c>
      <c r="W677" t="str" cm="1">
        <f t="array" ref="W677">IFERROR(_xlfn._xlws.FILTER(game_rosters!AB:AB,(game_rosters!J:J=events!X677)*(K677&lt;&gt;"")),"")</f>
        <v/>
      </c>
      <c r="X677" t="str" cm="1">
        <f t="array" ref="X677">IF(S677="","",IF($I677&lt;&gt;"",$I677,INDEX($I$2:$I676,ROW()-COUNTIFS($T$2:$T676,"="&amp;$T677,$S$2:$S676,"&lt;&gt;"&amp;$S677)-1)))</f>
        <v/>
      </c>
      <c r="Y677" t="b">
        <f>IF(X677&lt;&gt;"",VLOOKUP(X677,game_rosters!$C$43:$E$64,3,FALSE))</f>
        <v>0</v>
      </c>
      <c r="Z677" t="e" cm="1" vm="1">
        <f t="array" aca="1" ref="Z677" ca="1">IFERROR(IF(_xlfn._xlws.FILTER(game_rosters!$J:$J,(game_rosters!$G:$G=events!$AN677)*(game_rosters!$J:$J=events!$X677))&gt;0,1,""),"")</f>
        <v>#VALUE!</v>
      </c>
      <c r="AA677" t="e">
        <f t="shared" si="108"/>
        <v>#VALUE!</v>
      </c>
      <c r="AB677" t="str">
        <f t="shared" si="109"/>
        <v/>
      </c>
      <c r="AC677" t="e">
        <f t="shared" si="107"/>
        <v>#VALUE!</v>
      </c>
      <c r="AD677" s="6"/>
      <c r="BJ677" s="39"/>
      <c r="BM677" s="39"/>
      <c r="BO677" s="19"/>
      <c r="BQ677" s="17"/>
    </row>
    <row r="678" spans="1:69" x14ac:dyDescent="0.2">
      <c r="A678" t="str">
        <f t="shared" si="110"/>
        <v/>
      </c>
      <c r="E678" s="4"/>
      <c r="F678" s="44"/>
      <c r="G678" s="4"/>
      <c r="H678" s="47"/>
      <c r="J678" s="45" t="str">
        <f t="shared" si="111"/>
        <v/>
      </c>
      <c r="N678" t="str">
        <f t="shared" si="113"/>
        <v/>
      </c>
      <c r="Q678" t="str">
        <f t="shared" si="112"/>
        <v/>
      </c>
      <c r="S678" t="str">
        <f>IF(A678=1,MAX(S$2:S677)+1,IF(OR(I678&lt;&gt;"",A678="x"),S677,""))</f>
        <v/>
      </c>
      <c r="T678" t="str">
        <f>IF(D678=1,MAX($T$2:$T677)+1,IF(S678=$S677,$S677,IF($D678="x",T677,IF($D677="x","",""))))</f>
        <v/>
      </c>
      <c r="U678" t="str">
        <f>IF(B678=1,MAX($U$2:$U677)+1,IF(AND($T678&lt;&gt;"",$T678=$T677),$U677,IF(B678="x",U677,"")))</f>
        <v/>
      </c>
      <c r="V678" t="str">
        <f>IF(C678=1,MAX($V$2:$V677)+1,IF(AND($T678&lt;&gt;"",$T678=$T677),$U677,IF(C678="x",V677,"")))</f>
        <v/>
      </c>
      <c r="W678" t="str" cm="1">
        <f t="array" ref="W678">IFERROR(_xlfn._xlws.FILTER(game_rosters!AB:AB,(game_rosters!J:J=events!X678)*(K678&lt;&gt;"")),"")</f>
        <v/>
      </c>
      <c r="X678" t="str" cm="1">
        <f t="array" ref="X678">IF(S678="","",IF($I678&lt;&gt;"",$I678,INDEX($I$2:$I677,ROW()-COUNTIFS($T$2:$T677,"="&amp;$T678,$S$2:$S677,"&lt;&gt;"&amp;$S678)-1)))</f>
        <v/>
      </c>
      <c r="Y678" t="b">
        <f>IF(X678&lt;&gt;"",VLOOKUP(X678,game_rosters!$C$43:$E$64,3,FALSE))</f>
        <v>0</v>
      </c>
      <c r="Z678" t="e" cm="1" vm="1">
        <f t="array" aca="1" ref="Z678" ca="1">IFERROR(IF(_xlfn._xlws.FILTER(game_rosters!$J:$J,(game_rosters!$G:$G=events!$AN678)*(game_rosters!$J:$J=events!$X678))&gt;0,1,""),"")</f>
        <v>#VALUE!</v>
      </c>
      <c r="AA678" t="e">
        <f t="shared" si="108"/>
        <v>#VALUE!</v>
      </c>
      <c r="AB678" t="str">
        <f t="shared" si="109"/>
        <v/>
      </c>
      <c r="AC678" t="e">
        <f t="shared" si="107"/>
        <v>#VALUE!</v>
      </c>
      <c r="AD678" s="6"/>
      <c r="BJ678" s="39"/>
      <c r="BM678" s="39"/>
      <c r="BO678" s="19"/>
      <c r="BQ678" s="17"/>
    </row>
    <row r="679" spans="1:69" x14ac:dyDescent="0.2">
      <c r="A679" t="str">
        <f t="shared" si="110"/>
        <v/>
      </c>
      <c r="E679" s="4"/>
      <c r="F679" s="44"/>
      <c r="G679" s="4"/>
      <c r="H679" s="47"/>
      <c r="J679" s="45" t="str">
        <f t="shared" si="111"/>
        <v/>
      </c>
      <c r="N679" t="str">
        <f t="shared" si="113"/>
        <v/>
      </c>
      <c r="Q679" t="str">
        <f t="shared" si="112"/>
        <v/>
      </c>
      <c r="S679" t="str">
        <f>IF(A679=1,MAX(S$2:S678)+1,IF(OR(I679&lt;&gt;"",A679="x"),S678,""))</f>
        <v/>
      </c>
      <c r="T679" t="str">
        <f>IF(D679=1,MAX($T$2:$T678)+1,IF(S679=$S678,$S678,IF($D679="x",T678,IF($D678="x","",""))))</f>
        <v/>
      </c>
      <c r="U679" t="str">
        <f>IF(B679=1,MAX($U$2:$U678)+1,IF(AND($T679&lt;&gt;"",$T679=$T678),$U678,IF(B679="x",U678,"")))</f>
        <v/>
      </c>
      <c r="V679" t="str">
        <f>IF(C679=1,MAX($V$2:$V678)+1,IF(AND($T679&lt;&gt;"",$T679=$T678),$U678,IF(C679="x",V678,"")))</f>
        <v/>
      </c>
      <c r="W679" t="str" cm="1">
        <f t="array" ref="W679">IFERROR(_xlfn._xlws.FILTER(game_rosters!AB:AB,(game_rosters!J:J=events!X679)*(K679&lt;&gt;"")),"")</f>
        <v/>
      </c>
      <c r="X679" t="str" cm="1">
        <f t="array" ref="X679">IF(S679="","",IF($I679&lt;&gt;"",$I679,INDEX($I$2:$I678,ROW()-COUNTIFS($T$2:$T678,"="&amp;$T679,$S$2:$S678,"&lt;&gt;"&amp;$S679)-1)))</f>
        <v/>
      </c>
      <c r="Y679" t="b">
        <f>IF(X679&lt;&gt;"",VLOOKUP(X679,game_rosters!$C$43:$E$64,3,FALSE))</f>
        <v>0</v>
      </c>
      <c r="Z679" t="e" cm="1" vm="1">
        <f t="array" aca="1" ref="Z679" ca="1">IFERROR(IF(_xlfn._xlws.FILTER(game_rosters!$J:$J,(game_rosters!$G:$G=events!$AN679)*(game_rosters!$J:$J=events!$X679))&gt;0,1,""),"")</f>
        <v>#VALUE!</v>
      </c>
      <c r="AA679" t="e">
        <f t="shared" si="108"/>
        <v>#VALUE!</v>
      </c>
      <c r="AB679" t="str">
        <f t="shared" si="109"/>
        <v/>
      </c>
      <c r="AC679" t="e">
        <f t="shared" si="107"/>
        <v>#VALUE!</v>
      </c>
      <c r="AD679" s="6"/>
      <c r="BJ679" s="39"/>
      <c r="BM679" s="39"/>
      <c r="BO679" s="19"/>
      <c r="BQ679" s="17"/>
    </row>
    <row r="680" spans="1:69" x14ac:dyDescent="0.2">
      <c r="A680" t="str">
        <f t="shared" si="110"/>
        <v/>
      </c>
      <c r="E680" s="4"/>
      <c r="F680" s="44"/>
      <c r="G680" s="4"/>
      <c r="H680" s="47"/>
      <c r="J680" s="45" t="str">
        <f t="shared" si="111"/>
        <v/>
      </c>
      <c r="N680" t="str">
        <f t="shared" si="113"/>
        <v/>
      </c>
      <c r="Q680" t="str">
        <f t="shared" si="112"/>
        <v/>
      </c>
      <c r="S680" t="str">
        <f>IF(A680=1,MAX(S$2:S679)+1,IF(OR(I680&lt;&gt;"",A680="x"),S679,""))</f>
        <v/>
      </c>
      <c r="T680" t="str">
        <f>IF(D680=1,MAX($T$2:$T679)+1,IF(S680=$S679,$S679,IF($D680="x",T679,IF($D679="x","",""))))</f>
        <v/>
      </c>
      <c r="U680" t="str">
        <f>IF(B680=1,MAX($U$2:$U679)+1,IF(AND($T680&lt;&gt;"",$T680=$T679),$U679,IF(B680="x",U679,"")))</f>
        <v/>
      </c>
      <c r="V680" t="str">
        <f>IF(C680=1,MAX($V$2:$V679)+1,IF(AND($T680&lt;&gt;"",$T680=$T679),$U679,IF(C680="x",V679,"")))</f>
        <v/>
      </c>
      <c r="W680" t="str" cm="1">
        <f t="array" ref="W680">IFERROR(_xlfn._xlws.FILTER(game_rosters!AB:AB,(game_rosters!J:J=events!X680)*(K680&lt;&gt;"")),"")</f>
        <v/>
      </c>
      <c r="X680" t="str" cm="1">
        <f t="array" ref="X680">IF(S680="","",IF($I680&lt;&gt;"",$I680,INDEX($I$2:$I679,ROW()-COUNTIFS($T$2:$T679,"="&amp;$T680,$S$2:$S679,"&lt;&gt;"&amp;$S680)-1)))</f>
        <v/>
      </c>
      <c r="Y680" t="b">
        <f>IF(X680&lt;&gt;"",VLOOKUP(X680,game_rosters!$C$43:$E$64,3,FALSE))</f>
        <v>0</v>
      </c>
      <c r="Z680" t="e" cm="1" vm="1">
        <f t="array" aca="1" ref="Z680" ca="1">IFERROR(IF(_xlfn._xlws.FILTER(game_rosters!$J:$J,(game_rosters!$G:$G=events!$AN680)*(game_rosters!$J:$J=events!$X680))&gt;0,1,""),"")</f>
        <v>#VALUE!</v>
      </c>
      <c r="AA680" t="e">
        <f t="shared" si="108"/>
        <v>#VALUE!</v>
      </c>
      <c r="AB680" t="str">
        <f t="shared" si="109"/>
        <v/>
      </c>
      <c r="AC680" t="e">
        <f t="shared" si="107"/>
        <v>#VALUE!</v>
      </c>
      <c r="AD680" s="6"/>
      <c r="BJ680" s="39"/>
      <c r="BM680" s="39"/>
      <c r="BO680" s="19"/>
      <c r="BQ680" s="17"/>
    </row>
    <row r="681" spans="1:69" x14ac:dyDescent="0.2">
      <c r="A681" t="str">
        <f t="shared" si="110"/>
        <v/>
      </c>
      <c r="E681" s="4"/>
      <c r="F681" s="44"/>
      <c r="G681" s="4"/>
      <c r="H681" s="47"/>
      <c r="J681" s="45" t="str">
        <f t="shared" si="111"/>
        <v/>
      </c>
      <c r="N681" t="str">
        <f t="shared" si="113"/>
        <v/>
      </c>
      <c r="Q681" t="str">
        <f t="shared" si="112"/>
        <v/>
      </c>
      <c r="S681" t="str">
        <f>IF(A681=1,MAX(S$2:S680)+1,IF(OR(I681&lt;&gt;"",A681="x"),S680,""))</f>
        <v/>
      </c>
      <c r="T681" t="str">
        <f>IF(D681=1,MAX($T$2:$T680)+1,IF(S681=$S680,$S680,IF($D681="x",T680,IF($D680="x","",""))))</f>
        <v/>
      </c>
      <c r="U681" t="str">
        <f>IF(B681=1,MAX($U$2:$U680)+1,IF(AND($T681&lt;&gt;"",$T681=$T680),$U680,IF(B681="x",U680,"")))</f>
        <v/>
      </c>
      <c r="V681" t="str">
        <f>IF(C681=1,MAX($V$2:$V680)+1,IF(AND($T681&lt;&gt;"",$T681=$T680),$U680,IF(C681="x",V680,"")))</f>
        <v/>
      </c>
      <c r="W681" t="str" cm="1">
        <f t="array" ref="W681">IFERROR(_xlfn._xlws.FILTER(game_rosters!AB:AB,(game_rosters!J:J=events!X681)*(K681&lt;&gt;"")),"")</f>
        <v/>
      </c>
      <c r="X681" t="str" cm="1">
        <f t="array" ref="X681">IF(S681="","",IF($I681&lt;&gt;"",$I681,INDEX($I$2:$I680,ROW()-COUNTIFS($T$2:$T680,"="&amp;$T681,$S$2:$S680,"&lt;&gt;"&amp;$S681)-1)))</f>
        <v/>
      </c>
      <c r="Y681" t="b">
        <f>IF(X681&lt;&gt;"",VLOOKUP(X681,game_rosters!$C$43:$E$64,3,FALSE))</f>
        <v>0</v>
      </c>
      <c r="Z681" t="e" cm="1" vm="1">
        <f t="array" aca="1" ref="Z681" ca="1">IFERROR(IF(_xlfn._xlws.FILTER(game_rosters!$J:$J,(game_rosters!$G:$G=events!$AN681)*(game_rosters!$J:$J=events!$X681))&gt;0,1,""),"")</f>
        <v>#VALUE!</v>
      </c>
      <c r="AA681" t="e">
        <f t="shared" si="108"/>
        <v>#VALUE!</v>
      </c>
      <c r="AB681" t="str">
        <f t="shared" si="109"/>
        <v/>
      </c>
      <c r="AC681" t="e">
        <f t="shared" si="107"/>
        <v>#VALUE!</v>
      </c>
      <c r="AD681" s="6"/>
      <c r="BJ681" s="39"/>
      <c r="BM681" s="39"/>
      <c r="BO681" s="19"/>
      <c r="BQ681" s="17"/>
    </row>
    <row r="682" spans="1:69" x14ac:dyDescent="0.2">
      <c r="A682" t="str">
        <f t="shared" si="110"/>
        <v/>
      </c>
      <c r="E682" s="4"/>
      <c r="F682" s="44"/>
      <c r="G682" s="4"/>
      <c r="H682" s="47"/>
      <c r="J682" s="45" t="str">
        <f t="shared" si="111"/>
        <v/>
      </c>
      <c r="N682" t="str">
        <f t="shared" si="113"/>
        <v/>
      </c>
      <c r="Q682" t="str">
        <f t="shared" si="112"/>
        <v/>
      </c>
      <c r="S682" t="str">
        <f>IF(A682=1,MAX(S$2:S681)+1,IF(OR(I682&lt;&gt;"",A682="x"),S681,""))</f>
        <v/>
      </c>
      <c r="T682" t="str">
        <f>IF(D682=1,MAX($T$2:$T681)+1,IF(S682=$S681,$S681,IF($D682="x",T681,IF($D681="x","",""))))</f>
        <v/>
      </c>
      <c r="U682" t="str">
        <f>IF(B682=1,MAX($U$2:$U681)+1,IF(AND($T682&lt;&gt;"",$T682=$T681),$U681,IF(B682="x",U681,"")))</f>
        <v/>
      </c>
      <c r="V682" t="str">
        <f>IF(C682=1,MAX($V$2:$V681)+1,IF(AND($T682&lt;&gt;"",$T682=$T681),$U681,IF(C682="x",V681,"")))</f>
        <v/>
      </c>
      <c r="W682" t="str" cm="1">
        <f t="array" ref="W682">IFERROR(_xlfn._xlws.FILTER(game_rosters!AB:AB,(game_rosters!J:J=events!X682)*(K682&lt;&gt;"")),"")</f>
        <v/>
      </c>
      <c r="X682" t="str" cm="1">
        <f t="array" ref="X682">IF(S682="","",IF($I682&lt;&gt;"",$I682,INDEX($I$2:$I681,ROW()-COUNTIFS($T$2:$T681,"="&amp;$T682,$S$2:$S681,"&lt;&gt;"&amp;$S682)-1)))</f>
        <v/>
      </c>
      <c r="Y682" t="b">
        <f>IF(X682&lt;&gt;"",VLOOKUP(X682,game_rosters!$C$43:$E$64,3,FALSE))</f>
        <v>0</v>
      </c>
      <c r="Z682" t="e" cm="1" vm="1">
        <f t="array" aca="1" ref="Z682" ca="1">IFERROR(IF(_xlfn._xlws.FILTER(game_rosters!$J:$J,(game_rosters!$G:$G=events!$AN682)*(game_rosters!$J:$J=events!$X682))&gt;0,1,""),"")</f>
        <v>#VALUE!</v>
      </c>
      <c r="AA682" t="e">
        <f t="shared" si="108"/>
        <v>#VALUE!</v>
      </c>
      <c r="AB682" t="str">
        <f t="shared" si="109"/>
        <v/>
      </c>
      <c r="AC682" t="e">
        <f t="shared" si="107"/>
        <v>#VALUE!</v>
      </c>
      <c r="AD682" s="6"/>
      <c r="BJ682" s="39"/>
      <c r="BM682" s="39"/>
      <c r="BO682" s="19"/>
      <c r="BQ682" s="17"/>
    </row>
    <row r="683" spans="1:69" x14ac:dyDescent="0.2">
      <c r="A683" t="str">
        <f t="shared" si="110"/>
        <v/>
      </c>
      <c r="E683" s="4"/>
      <c r="F683" s="44"/>
      <c r="G683" s="4"/>
      <c r="H683" s="47"/>
      <c r="J683" s="45" t="str">
        <f t="shared" si="111"/>
        <v/>
      </c>
      <c r="N683" t="str">
        <f t="shared" si="113"/>
        <v/>
      </c>
      <c r="Q683" t="str">
        <f t="shared" si="112"/>
        <v/>
      </c>
      <c r="S683" t="str">
        <f>IF(A683=1,MAX(S$2:S682)+1,IF(OR(I683&lt;&gt;"",A683="x"),S682,""))</f>
        <v/>
      </c>
      <c r="T683" t="str">
        <f>IF(D683=1,MAX($T$2:$T682)+1,IF(S683=$S682,$S682,IF($D683="x",T682,IF($D682="x","",""))))</f>
        <v/>
      </c>
      <c r="U683" t="str">
        <f>IF(B683=1,MAX($U$2:$U682)+1,IF(AND($T683&lt;&gt;"",$T683=$T682),$U682,IF(B683="x",U682,"")))</f>
        <v/>
      </c>
      <c r="V683" t="str">
        <f>IF(C683=1,MAX($V$2:$V682)+1,IF(AND($T683&lt;&gt;"",$T683=$T682),$U682,IF(C683="x",V682,"")))</f>
        <v/>
      </c>
      <c r="W683" t="str" cm="1">
        <f t="array" ref="W683">IFERROR(_xlfn._xlws.FILTER(game_rosters!AB:AB,(game_rosters!J:J=events!X683)*(K683&lt;&gt;"")),"")</f>
        <v/>
      </c>
      <c r="X683" t="str" cm="1">
        <f t="array" ref="X683">IF(S683="","",IF($I683&lt;&gt;"",$I683,INDEX($I$2:$I682,ROW()-COUNTIFS($T$2:$T682,"="&amp;$T683,$S$2:$S682,"&lt;&gt;"&amp;$S683)-1)))</f>
        <v/>
      </c>
      <c r="Y683" t="b">
        <f>IF(X683&lt;&gt;"",VLOOKUP(X683,game_rosters!$C$43:$E$64,3,FALSE))</f>
        <v>0</v>
      </c>
      <c r="Z683" t="e" cm="1" vm="1">
        <f t="array" aca="1" ref="Z683" ca="1">IFERROR(IF(_xlfn._xlws.FILTER(game_rosters!$J:$J,(game_rosters!$G:$G=events!$AN683)*(game_rosters!$J:$J=events!$X683))&gt;0,1,""),"")</f>
        <v>#VALUE!</v>
      </c>
      <c r="AA683" t="e">
        <f t="shared" si="108"/>
        <v>#VALUE!</v>
      </c>
      <c r="AB683" t="str">
        <f t="shared" si="109"/>
        <v/>
      </c>
      <c r="AC683" t="e">
        <f t="shared" si="107"/>
        <v>#VALUE!</v>
      </c>
      <c r="AD683" s="6"/>
      <c r="BJ683" s="39"/>
      <c r="BM683" s="39"/>
      <c r="BO683" s="19"/>
      <c r="BQ683" s="17"/>
    </row>
    <row r="684" spans="1:69" x14ac:dyDescent="0.2">
      <c r="A684" t="str">
        <f t="shared" si="110"/>
        <v/>
      </c>
      <c r="E684" s="4"/>
      <c r="F684" s="44"/>
      <c r="G684" s="4"/>
      <c r="H684" s="47"/>
      <c r="J684" s="45" t="str">
        <f t="shared" si="111"/>
        <v/>
      </c>
      <c r="N684" t="str">
        <f t="shared" si="113"/>
        <v/>
      </c>
      <c r="Q684" t="str">
        <f t="shared" si="112"/>
        <v/>
      </c>
      <c r="S684" t="str">
        <f>IF(A684=1,MAX(S$2:S683)+1,IF(OR(I684&lt;&gt;"",A684="x"),S683,""))</f>
        <v/>
      </c>
      <c r="T684" t="str">
        <f>IF(D684=1,MAX($T$2:$T683)+1,IF(S684=$S683,$S683,IF($D684="x",T683,IF($D683="x","",""))))</f>
        <v/>
      </c>
      <c r="U684" t="str">
        <f>IF(B684=1,MAX($U$2:$U683)+1,IF(AND($T684&lt;&gt;"",$T684=$T683),$U683,IF(B684="x",U683,"")))</f>
        <v/>
      </c>
      <c r="V684" t="str">
        <f>IF(C684=1,MAX($V$2:$V683)+1,IF(AND($T684&lt;&gt;"",$T684=$T683),$U683,IF(C684="x",V683,"")))</f>
        <v/>
      </c>
      <c r="W684" t="str" cm="1">
        <f t="array" ref="W684">IFERROR(_xlfn._xlws.FILTER(game_rosters!AB:AB,(game_rosters!J:J=events!X684)*(K684&lt;&gt;"")),"")</f>
        <v/>
      </c>
      <c r="X684" t="str" cm="1">
        <f t="array" ref="X684">IF(S684="","",IF($I684&lt;&gt;"",$I684,INDEX($I$2:$I683,ROW()-COUNTIFS($T$2:$T683,"="&amp;$T684,$S$2:$S683,"&lt;&gt;"&amp;$S684)-1)))</f>
        <v/>
      </c>
      <c r="Y684" t="b">
        <f>IF(X684&lt;&gt;"",VLOOKUP(X684,game_rosters!$C$43:$E$64,3,FALSE))</f>
        <v>0</v>
      </c>
      <c r="Z684" t="e" cm="1" vm="1">
        <f t="array" aca="1" ref="Z684" ca="1">IFERROR(IF(_xlfn._xlws.FILTER(game_rosters!$J:$J,(game_rosters!$G:$G=events!$AN684)*(game_rosters!$J:$J=events!$X684))&gt;0,1,""),"")</f>
        <v>#VALUE!</v>
      </c>
      <c r="AA684" t="e">
        <f t="shared" si="108"/>
        <v>#VALUE!</v>
      </c>
      <c r="AB684" t="str">
        <f t="shared" si="109"/>
        <v/>
      </c>
      <c r="AC684" t="e">
        <f t="shared" si="107"/>
        <v>#VALUE!</v>
      </c>
      <c r="AD684" s="6"/>
      <c r="BJ684" s="39"/>
      <c r="BM684" s="39"/>
      <c r="BO684" s="19"/>
      <c r="BQ684" s="17"/>
    </row>
    <row r="685" spans="1:69" x14ac:dyDescent="0.2">
      <c r="A685" t="str">
        <f t="shared" si="110"/>
        <v/>
      </c>
      <c r="E685" s="4"/>
      <c r="F685" s="44"/>
      <c r="G685" s="4"/>
      <c r="H685" s="47"/>
      <c r="J685" s="45" t="str">
        <f t="shared" si="111"/>
        <v/>
      </c>
      <c r="N685" t="str">
        <f t="shared" si="113"/>
        <v/>
      </c>
      <c r="Q685" t="str">
        <f t="shared" si="112"/>
        <v/>
      </c>
      <c r="S685" t="str">
        <f>IF(A685=1,MAX(S$2:S684)+1,IF(OR(I685&lt;&gt;"",A685="x"),S684,""))</f>
        <v/>
      </c>
      <c r="T685" t="str">
        <f>IF(D685=1,MAX($T$2:$T684)+1,IF(S685=$S684,$S684,IF($D685="x",T684,IF($D684="x","",""))))</f>
        <v/>
      </c>
      <c r="U685" t="str">
        <f>IF(B685=1,MAX($U$2:$U684)+1,IF(AND($T685&lt;&gt;"",$T685=$T684),$U684,IF(B685="x",U684,"")))</f>
        <v/>
      </c>
      <c r="V685" t="str">
        <f>IF(C685=1,MAX($V$2:$V684)+1,IF(AND($T685&lt;&gt;"",$T685=$T684),$U684,IF(C685="x",V684,"")))</f>
        <v/>
      </c>
      <c r="W685" t="str" cm="1">
        <f t="array" ref="W685">IFERROR(_xlfn._xlws.FILTER(game_rosters!AB:AB,(game_rosters!J:J=events!X685)*(K685&lt;&gt;"")),"")</f>
        <v/>
      </c>
      <c r="X685" t="str" cm="1">
        <f t="array" ref="X685">IF(S685="","",IF($I685&lt;&gt;"",$I685,INDEX($I$2:$I684,ROW()-COUNTIFS($T$2:$T684,"="&amp;$T685,$S$2:$S684,"&lt;&gt;"&amp;$S685)-1)))</f>
        <v/>
      </c>
      <c r="Y685" t="b">
        <f>IF(X685&lt;&gt;"",VLOOKUP(X685,game_rosters!$C$43:$E$64,3,FALSE))</f>
        <v>0</v>
      </c>
      <c r="Z685" t="e" cm="1" vm="1">
        <f t="array" aca="1" ref="Z685" ca="1">IFERROR(IF(_xlfn._xlws.FILTER(game_rosters!$J:$J,(game_rosters!$G:$G=events!$AN685)*(game_rosters!$J:$J=events!$X685))&gt;0,1,""),"")</f>
        <v>#VALUE!</v>
      </c>
      <c r="AA685" t="e">
        <f t="shared" si="108"/>
        <v>#VALUE!</v>
      </c>
      <c r="AB685" t="str">
        <f t="shared" si="109"/>
        <v/>
      </c>
      <c r="AC685" t="e">
        <f t="shared" si="107"/>
        <v>#VALUE!</v>
      </c>
      <c r="AD685" s="6"/>
      <c r="BJ685" s="39"/>
      <c r="BM685" s="39"/>
      <c r="BO685" s="19"/>
      <c r="BQ685" s="17"/>
    </row>
    <row r="686" spans="1:69" x14ac:dyDescent="0.2">
      <c r="A686" t="str">
        <f t="shared" si="110"/>
        <v/>
      </c>
      <c r="E686" s="4"/>
      <c r="F686" s="44"/>
      <c r="G686" s="4"/>
      <c r="H686" s="47"/>
      <c r="J686" s="45" t="str">
        <f t="shared" si="111"/>
        <v/>
      </c>
      <c r="N686" t="str">
        <f t="shared" si="113"/>
        <v/>
      </c>
      <c r="Q686" t="str">
        <f t="shared" si="112"/>
        <v/>
      </c>
      <c r="S686" t="str">
        <f>IF(A686=1,MAX(S$2:S685)+1,IF(OR(I686&lt;&gt;"",A686="x"),S685,""))</f>
        <v/>
      </c>
      <c r="T686" t="str">
        <f>IF(D686=1,MAX($T$2:$T685)+1,IF(S686=$S685,$S685,IF($D686="x",T685,IF($D685="x","",""))))</f>
        <v/>
      </c>
      <c r="U686" t="str">
        <f>IF(B686=1,MAX($U$2:$U685)+1,IF(AND($T686&lt;&gt;"",$T686=$T685),$U685,IF(B686="x",U685,"")))</f>
        <v/>
      </c>
      <c r="V686" t="str">
        <f>IF(C686=1,MAX($V$2:$V685)+1,IF(AND($T686&lt;&gt;"",$T686=$T685),$U685,IF(C686="x",V685,"")))</f>
        <v/>
      </c>
      <c r="W686" t="str" cm="1">
        <f t="array" ref="W686">IFERROR(_xlfn._xlws.FILTER(game_rosters!AB:AB,(game_rosters!J:J=events!X686)*(K686&lt;&gt;"")),"")</f>
        <v/>
      </c>
      <c r="X686" t="str" cm="1">
        <f t="array" ref="X686">IF(S686="","",IF($I686&lt;&gt;"",$I686,INDEX($I$2:$I685,ROW()-COUNTIFS($T$2:$T685,"="&amp;$T686,$S$2:$S685,"&lt;&gt;"&amp;$S686)-1)))</f>
        <v/>
      </c>
      <c r="Y686" t="b">
        <f>IF(X686&lt;&gt;"",VLOOKUP(X686,game_rosters!$C$43:$E$64,3,FALSE))</f>
        <v>0</v>
      </c>
      <c r="Z686" t="e" cm="1" vm="1">
        <f t="array" aca="1" ref="Z686" ca="1">IFERROR(IF(_xlfn._xlws.FILTER(game_rosters!$J:$J,(game_rosters!$G:$G=events!$AN686)*(game_rosters!$J:$J=events!$X686))&gt;0,1,""),"")</f>
        <v>#VALUE!</v>
      </c>
      <c r="AA686" t="e">
        <f t="shared" si="108"/>
        <v>#VALUE!</v>
      </c>
      <c r="AB686" t="str">
        <f t="shared" si="109"/>
        <v/>
      </c>
      <c r="AC686" t="e">
        <f t="shared" si="107"/>
        <v>#VALUE!</v>
      </c>
      <c r="AD686" s="6"/>
      <c r="BJ686" s="39"/>
      <c r="BM686" s="39"/>
      <c r="BO686" s="19"/>
      <c r="BQ686" s="17"/>
    </row>
    <row r="687" spans="1:69" x14ac:dyDescent="0.2">
      <c r="A687" t="str">
        <f t="shared" si="110"/>
        <v/>
      </c>
      <c r="E687" s="4"/>
      <c r="F687" s="44"/>
      <c r="G687" s="4"/>
      <c r="H687" s="47"/>
      <c r="J687" s="45" t="str">
        <f t="shared" si="111"/>
        <v/>
      </c>
      <c r="N687" t="str">
        <f t="shared" si="113"/>
        <v/>
      </c>
      <c r="Q687" t="str">
        <f t="shared" si="112"/>
        <v/>
      </c>
      <c r="S687" t="str">
        <f>IF(A687=1,MAX(S$2:S686)+1,IF(OR(I687&lt;&gt;"",A687="x"),S686,""))</f>
        <v/>
      </c>
      <c r="T687" t="str">
        <f>IF(D687=1,MAX($T$2:$T686)+1,IF(S687=$S686,$S686,IF($D687="x",T686,IF($D686="x","",""))))</f>
        <v/>
      </c>
      <c r="U687" t="str">
        <f>IF(B687=1,MAX($U$2:$U686)+1,IF(AND($T687&lt;&gt;"",$T687=$T686),$U686,IF(B687="x",U686,"")))</f>
        <v/>
      </c>
      <c r="V687" t="str">
        <f>IF(C687=1,MAX($V$2:$V686)+1,IF(AND($T687&lt;&gt;"",$T687=$T686),$U686,IF(C687="x",V686,"")))</f>
        <v/>
      </c>
      <c r="W687" t="str" cm="1">
        <f t="array" ref="W687">IFERROR(_xlfn._xlws.FILTER(game_rosters!AB:AB,(game_rosters!J:J=events!X687)*(K687&lt;&gt;"")),"")</f>
        <v/>
      </c>
      <c r="X687" t="str" cm="1">
        <f t="array" ref="X687">IF(S687="","",IF($I687&lt;&gt;"",$I687,INDEX($I$2:$I686,ROW()-COUNTIFS($T$2:$T686,"="&amp;$T687,$S$2:$S686,"&lt;&gt;"&amp;$S687)-1)))</f>
        <v/>
      </c>
      <c r="Y687" t="b">
        <f>IF(X687&lt;&gt;"",VLOOKUP(X687,game_rosters!$C$43:$E$64,3,FALSE))</f>
        <v>0</v>
      </c>
      <c r="Z687" t="e" cm="1" vm="1">
        <f t="array" aca="1" ref="Z687" ca="1">IFERROR(IF(_xlfn._xlws.FILTER(game_rosters!$J:$J,(game_rosters!$G:$G=events!$AN687)*(game_rosters!$J:$J=events!$X687))&gt;0,1,""),"")</f>
        <v>#VALUE!</v>
      </c>
      <c r="AA687" t="e">
        <f t="shared" si="108"/>
        <v>#VALUE!</v>
      </c>
      <c r="AB687" t="str">
        <f t="shared" si="109"/>
        <v/>
      </c>
      <c r="AC687" t="e">
        <f t="shared" si="107"/>
        <v>#VALUE!</v>
      </c>
      <c r="AD687" s="6"/>
      <c r="BJ687" s="39"/>
      <c r="BM687" s="39"/>
      <c r="BO687" s="19"/>
      <c r="BQ687" s="17"/>
    </row>
    <row r="688" spans="1:69" x14ac:dyDescent="0.2">
      <c r="A688" t="str">
        <f t="shared" si="110"/>
        <v/>
      </c>
      <c r="E688" s="4"/>
      <c r="F688" s="44"/>
      <c r="G688" s="4"/>
      <c r="H688" s="47"/>
      <c r="J688" s="45" t="str">
        <f t="shared" si="111"/>
        <v/>
      </c>
      <c r="N688" t="str">
        <f t="shared" si="113"/>
        <v/>
      </c>
      <c r="Q688" t="str">
        <f t="shared" si="112"/>
        <v/>
      </c>
      <c r="S688" t="str">
        <f>IF(A688=1,MAX(S$2:S687)+1,IF(OR(I688&lt;&gt;"",A688="x"),S687,""))</f>
        <v/>
      </c>
      <c r="T688" t="str">
        <f>IF(D688=1,MAX($T$2:$T687)+1,IF(S688=$S687,$S687,IF($D688="x",T687,IF($D687="x","",""))))</f>
        <v/>
      </c>
      <c r="U688" t="str">
        <f>IF(B688=1,MAX($U$2:$U687)+1,IF(AND($T688&lt;&gt;"",$T688=$T687),$U687,IF(B688="x",U687,"")))</f>
        <v/>
      </c>
      <c r="V688" t="str">
        <f>IF(C688=1,MAX($V$2:$V687)+1,IF(AND($T688&lt;&gt;"",$T688=$T687),$U687,IF(C688="x",V687,"")))</f>
        <v/>
      </c>
      <c r="W688" t="str" cm="1">
        <f t="array" ref="W688">IFERROR(_xlfn._xlws.FILTER(game_rosters!AB:AB,(game_rosters!J:J=events!X688)*(K688&lt;&gt;"")),"")</f>
        <v/>
      </c>
      <c r="X688" t="str" cm="1">
        <f t="array" ref="X688">IF(S688="","",IF($I688&lt;&gt;"",$I688,INDEX($I$2:$I687,ROW()-COUNTIFS($T$2:$T687,"="&amp;$T688,$S$2:$S687,"&lt;&gt;"&amp;$S688)-1)))</f>
        <v/>
      </c>
      <c r="Y688" t="b">
        <f>IF(X688&lt;&gt;"",VLOOKUP(X688,game_rosters!$C$43:$E$64,3,FALSE))</f>
        <v>0</v>
      </c>
      <c r="Z688" t="e" cm="1" vm="1">
        <f t="array" aca="1" ref="Z688" ca="1">IFERROR(IF(_xlfn._xlws.FILTER(game_rosters!$J:$J,(game_rosters!$G:$G=events!$AN688)*(game_rosters!$J:$J=events!$X688))&gt;0,1,""),"")</f>
        <v>#VALUE!</v>
      </c>
      <c r="AA688" t="e">
        <f t="shared" si="108"/>
        <v>#VALUE!</v>
      </c>
      <c r="AB688" t="str">
        <f t="shared" si="109"/>
        <v/>
      </c>
      <c r="AC688" t="e">
        <f t="shared" si="107"/>
        <v>#VALUE!</v>
      </c>
      <c r="AD688" s="6"/>
      <c r="BJ688" s="39"/>
      <c r="BM688" s="39"/>
      <c r="BO688" s="19"/>
      <c r="BQ688" s="17"/>
    </row>
    <row r="689" spans="1:69" x14ac:dyDescent="0.2">
      <c r="A689" t="str">
        <f t="shared" si="110"/>
        <v/>
      </c>
      <c r="E689" s="4"/>
      <c r="F689" s="44"/>
      <c r="G689" s="4"/>
      <c r="H689" s="47"/>
      <c r="J689" s="45" t="str">
        <f t="shared" si="111"/>
        <v/>
      </c>
      <c r="N689" t="str">
        <f t="shared" si="113"/>
        <v/>
      </c>
      <c r="Q689" t="str">
        <f t="shared" si="112"/>
        <v/>
      </c>
      <c r="S689" t="str">
        <f>IF(A689=1,MAX(S$2:S688)+1,IF(OR(I689&lt;&gt;"",A689="x"),S688,""))</f>
        <v/>
      </c>
      <c r="T689" t="str">
        <f>IF(D689=1,MAX($T$2:$T688)+1,IF(S689=$S688,$S688,IF($D689="x",T688,IF($D688="x","",""))))</f>
        <v/>
      </c>
      <c r="U689" t="str">
        <f>IF(B689=1,MAX($U$2:$U688)+1,IF(AND($T689&lt;&gt;"",$T689=$T688),$U688,IF(B689="x",U688,"")))</f>
        <v/>
      </c>
      <c r="V689" t="str">
        <f>IF(C689=1,MAX($V$2:$V688)+1,IF(AND($T689&lt;&gt;"",$T689=$T688),$U688,IF(C689="x",V688,"")))</f>
        <v/>
      </c>
      <c r="W689" t="str" cm="1">
        <f t="array" ref="W689">IFERROR(_xlfn._xlws.FILTER(game_rosters!AB:AB,(game_rosters!J:J=events!X689)*(K689&lt;&gt;"")),"")</f>
        <v/>
      </c>
      <c r="X689" t="str" cm="1">
        <f t="array" ref="X689">IF(S689="","",IF($I689&lt;&gt;"",$I689,INDEX($I$2:$I688,ROW()-COUNTIFS($T$2:$T688,"="&amp;$T689,$S$2:$S688,"&lt;&gt;"&amp;$S689)-1)))</f>
        <v/>
      </c>
      <c r="Y689" t="b">
        <f>IF(X689&lt;&gt;"",VLOOKUP(X689,game_rosters!$C$43:$E$64,3,FALSE))</f>
        <v>0</v>
      </c>
      <c r="Z689" t="e" cm="1" vm="1">
        <f t="array" aca="1" ref="Z689" ca="1">IFERROR(IF(_xlfn._xlws.FILTER(game_rosters!$J:$J,(game_rosters!$G:$G=events!$AN689)*(game_rosters!$J:$J=events!$X689))&gt;0,1,""),"")</f>
        <v>#VALUE!</v>
      </c>
      <c r="AA689" t="e">
        <f t="shared" si="108"/>
        <v>#VALUE!</v>
      </c>
      <c r="AB689" t="str">
        <f t="shared" si="109"/>
        <v/>
      </c>
      <c r="AC689" t="e">
        <f t="shared" si="107"/>
        <v>#VALUE!</v>
      </c>
      <c r="AD689" s="6"/>
      <c r="BJ689" s="39"/>
      <c r="BM689" s="39"/>
      <c r="BO689" s="19"/>
      <c r="BQ689" s="17"/>
    </row>
    <row r="690" spans="1:69" x14ac:dyDescent="0.2">
      <c r="A690" t="str">
        <f t="shared" si="110"/>
        <v/>
      </c>
      <c r="E690" s="4"/>
      <c r="F690" s="44"/>
      <c r="G690" s="4"/>
      <c r="H690" s="47"/>
      <c r="J690" s="45" t="str">
        <f t="shared" si="111"/>
        <v/>
      </c>
      <c r="N690" t="str">
        <f t="shared" si="113"/>
        <v/>
      </c>
      <c r="Q690" t="str">
        <f t="shared" si="112"/>
        <v/>
      </c>
      <c r="S690" t="str">
        <f>IF(A690=1,MAX(S$2:S689)+1,IF(OR(I690&lt;&gt;"",A690="x"),S689,""))</f>
        <v/>
      </c>
      <c r="T690" t="str">
        <f>IF(D690=1,MAX($T$2:$T689)+1,IF(S690=$S689,$S689,IF($D690="x",T689,IF($D689="x","",""))))</f>
        <v/>
      </c>
      <c r="U690" t="str">
        <f>IF(B690=1,MAX($U$2:$U689)+1,IF(AND($T690&lt;&gt;"",$T690=$T689),$U689,IF(B690="x",U689,"")))</f>
        <v/>
      </c>
      <c r="V690" t="str">
        <f>IF(C690=1,MAX($V$2:$V689)+1,IF(AND($T690&lt;&gt;"",$T690=$T689),$U689,IF(C690="x",V689,"")))</f>
        <v/>
      </c>
      <c r="W690" t="str" cm="1">
        <f t="array" ref="W690">IFERROR(_xlfn._xlws.FILTER(game_rosters!AB:AB,(game_rosters!J:J=events!X690)*(K690&lt;&gt;"")),"")</f>
        <v/>
      </c>
      <c r="X690" t="str" cm="1">
        <f t="array" ref="X690">IF(S690="","",IF($I690&lt;&gt;"",$I690,INDEX($I$2:$I689,ROW()-COUNTIFS($T$2:$T689,"="&amp;$T690,$S$2:$S689,"&lt;&gt;"&amp;$S690)-1)))</f>
        <v/>
      </c>
      <c r="Y690" t="b">
        <f>IF(X690&lt;&gt;"",VLOOKUP(X690,game_rosters!$C$43:$E$64,3,FALSE))</f>
        <v>0</v>
      </c>
      <c r="Z690" t="e" cm="1" vm="1">
        <f t="array" aca="1" ref="Z690" ca="1">IFERROR(IF(_xlfn._xlws.FILTER(game_rosters!$J:$J,(game_rosters!$G:$G=events!$AN690)*(game_rosters!$J:$J=events!$X690))&gt;0,1,""),"")</f>
        <v>#VALUE!</v>
      </c>
      <c r="AA690" t="e">
        <f t="shared" si="108"/>
        <v>#VALUE!</v>
      </c>
      <c r="AB690" t="str">
        <f t="shared" si="109"/>
        <v/>
      </c>
      <c r="AC690" t="e">
        <f t="shared" si="107"/>
        <v>#VALUE!</v>
      </c>
      <c r="AD690" s="6"/>
      <c r="BJ690" s="39"/>
      <c r="BM690" s="39"/>
      <c r="BO690" s="19"/>
      <c r="BQ690" s="17"/>
    </row>
    <row r="691" spans="1:69" x14ac:dyDescent="0.2">
      <c r="A691" t="str">
        <f t="shared" si="110"/>
        <v/>
      </c>
      <c r="E691" s="4"/>
      <c r="F691" s="44"/>
      <c r="G691" s="4"/>
      <c r="H691" s="47"/>
      <c r="J691" s="45" t="str">
        <f t="shared" si="111"/>
        <v/>
      </c>
      <c r="N691" t="str">
        <f t="shared" si="113"/>
        <v/>
      </c>
      <c r="Q691" t="str">
        <f t="shared" si="112"/>
        <v/>
      </c>
      <c r="S691" t="str">
        <f>IF(A691=1,MAX(S$2:S690)+1,IF(OR(I691&lt;&gt;"",A691="x"),S690,""))</f>
        <v/>
      </c>
      <c r="T691" t="str">
        <f>IF(D691=1,MAX($T$2:$T690)+1,IF(S691=$S690,$S690,IF($D691="x",T690,IF($D690="x","",""))))</f>
        <v/>
      </c>
      <c r="U691" t="str">
        <f>IF(B691=1,MAX($U$2:$U690)+1,IF(AND($T691&lt;&gt;"",$T691=$T690),$U690,IF(B691="x",U690,"")))</f>
        <v/>
      </c>
      <c r="V691" t="str">
        <f>IF(C691=1,MAX($V$2:$V690)+1,IF(AND($T691&lt;&gt;"",$T691=$T690),$U690,IF(C691="x",V690,"")))</f>
        <v/>
      </c>
      <c r="W691" t="str" cm="1">
        <f t="array" ref="W691">IFERROR(_xlfn._xlws.FILTER(game_rosters!AB:AB,(game_rosters!J:J=events!X691)*(K691&lt;&gt;"")),"")</f>
        <v/>
      </c>
      <c r="X691" t="str" cm="1">
        <f t="array" ref="X691">IF(S691="","",IF($I691&lt;&gt;"",$I691,INDEX($I$2:$I690,ROW()-COUNTIFS($T$2:$T690,"="&amp;$T691,$S$2:$S690,"&lt;&gt;"&amp;$S691)-1)))</f>
        <v/>
      </c>
      <c r="Y691" t="b">
        <f>IF(X691&lt;&gt;"",VLOOKUP(X691,game_rosters!$C$43:$E$64,3,FALSE))</f>
        <v>0</v>
      </c>
      <c r="Z691" t="e" cm="1" vm="1">
        <f t="array" aca="1" ref="Z691" ca="1">IFERROR(IF(_xlfn._xlws.FILTER(game_rosters!$J:$J,(game_rosters!$G:$G=events!$AN691)*(game_rosters!$J:$J=events!$X691))&gt;0,1,""),"")</f>
        <v>#VALUE!</v>
      </c>
      <c r="AA691" t="e">
        <f t="shared" si="108"/>
        <v>#VALUE!</v>
      </c>
      <c r="AB691" t="str">
        <f t="shared" si="109"/>
        <v/>
      </c>
      <c r="AC691" t="e">
        <f t="shared" si="107"/>
        <v>#VALUE!</v>
      </c>
      <c r="AD691" s="6"/>
      <c r="BJ691" s="39"/>
      <c r="BM691" s="39"/>
      <c r="BO691" s="19"/>
      <c r="BQ691" s="17"/>
    </row>
    <row r="692" spans="1:69" x14ac:dyDescent="0.2">
      <c r="A692" t="str">
        <f t="shared" si="110"/>
        <v/>
      </c>
      <c r="E692" s="4"/>
      <c r="F692" s="44"/>
      <c r="G692" s="4"/>
      <c r="H692" s="47"/>
      <c r="J692" s="45" t="str">
        <f t="shared" si="111"/>
        <v/>
      </c>
      <c r="N692" t="str">
        <f t="shared" si="113"/>
        <v/>
      </c>
      <c r="Q692" t="str">
        <f t="shared" si="112"/>
        <v/>
      </c>
      <c r="S692" t="str">
        <f>IF(A692=1,MAX(S$2:S691)+1,IF(OR(I692&lt;&gt;"",A692="x"),S691,""))</f>
        <v/>
      </c>
      <c r="T692" t="str">
        <f>IF(D692=1,MAX($T$2:$T691)+1,IF(S692=$S691,$S691,IF($D692="x",T691,IF($D691="x","",""))))</f>
        <v/>
      </c>
      <c r="U692" t="str">
        <f>IF(B692=1,MAX($U$2:$U691)+1,IF(AND($T692&lt;&gt;"",$T692=$T691),$U691,IF(B692="x",U691,"")))</f>
        <v/>
      </c>
      <c r="V692" t="str">
        <f>IF(C692=1,MAX($V$2:$V691)+1,IF(AND($T692&lt;&gt;"",$T692=$T691),$U691,IF(C692="x",V691,"")))</f>
        <v/>
      </c>
      <c r="W692" t="str" cm="1">
        <f t="array" ref="W692">IFERROR(_xlfn._xlws.FILTER(game_rosters!AB:AB,(game_rosters!J:J=events!X692)*(K692&lt;&gt;"")),"")</f>
        <v/>
      </c>
      <c r="X692" t="str" cm="1">
        <f t="array" ref="X692">IF(S692="","",IF($I692&lt;&gt;"",$I692,INDEX($I$2:$I691,ROW()-COUNTIFS($T$2:$T691,"="&amp;$T692,$S$2:$S691,"&lt;&gt;"&amp;$S692)-1)))</f>
        <v/>
      </c>
      <c r="Y692" t="b">
        <f>IF(X692&lt;&gt;"",VLOOKUP(X692,game_rosters!$C$43:$E$64,3,FALSE))</f>
        <v>0</v>
      </c>
      <c r="Z692" t="e" cm="1" vm="1">
        <f t="array" aca="1" ref="Z692" ca="1">IFERROR(IF(_xlfn._xlws.FILTER(game_rosters!$J:$J,(game_rosters!$G:$G=events!$AN692)*(game_rosters!$J:$J=events!$X692))&gt;0,1,""),"")</f>
        <v>#VALUE!</v>
      </c>
      <c r="AA692" t="e">
        <f t="shared" si="108"/>
        <v>#VALUE!</v>
      </c>
      <c r="AB692" t="str">
        <f t="shared" si="109"/>
        <v/>
      </c>
      <c r="AC692" t="e">
        <f t="shared" si="107"/>
        <v>#VALUE!</v>
      </c>
      <c r="AD692" s="6"/>
      <c r="BJ692" s="39"/>
      <c r="BM692" s="39"/>
      <c r="BO692" s="19"/>
      <c r="BQ692" s="17"/>
    </row>
    <row r="693" spans="1:69" x14ac:dyDescent="0.2">
      <c r="A693" t="str">
        <f t="shared" si="110"/>
        <v/>
      </c>
      <c r="E693" s="4"/>
      <c r="F693" s="44"/>
      <c r="G693" s="4"/>
      <c r="H693" s="47"/>
      <c r="J693" s="45" t="str">
        <f t="shared" si="111"/>
        <v/>
      </c>
      <c r="N693" t="str">
        <f t="shared" si="113"/>
        <v/>
      </c>
      <c r="Q693" t="str">
        <f t="shared" si="112"/>
        <v/>
      </c>
      <c r="S693" t="str">
        <f>IF(A693=1,MAX(S$2:S692)+1,IF(OR(I693&lt;&gt;"",A693="x"),S692,""))</f>
        <v/>
      </c>
      <c r="T693" t="str">
        <f>IF(D693=1,MAX($T$2:$T692)+1,IF(S693=$S692,$S692,IF($D693="x",T692,IF($D692="x","",""))))</f>
        <v/>
      </c>
      <c r="U693" t="str">
        <f>IF(B693=1,MAX($U$2:$U692)+1,IF(AND($T693&lt;&gt;"",$T693=$T692),$U692,IF(B693="x",U692,"")))</f>
        <v/>
      </c>
      <c r="V693" t="str">
        <f>IF(C693=1,MAX($V$2:$V692)+1,IF(AND($T693&lt;&gt;"",$T693=$T692),$U692,IF(C693="x",V692,"")))</f>
        <v/>
      </c>
      <c r="W693" t="str" cm="1">
        <f t="array" ref="W693">IFERROR(_xlfn._xlws.FILTER(game_rosters!AB:AB,(game_rosters!J:J=events!X693)*(K693&lt;&gt;"")),"")</f>
        <v/>
      </c>
      <c r="X693" t="str" cm="1">
        <f t="array" ref="X693">IF(S693="","",IF($I693&lt;&gt;"",$I693,INDEX($I$2:$I692,ROW()-COUNTIFS($T$2:$T692,"="&amp;$T693,$S$2:$S692,"&lt;&gt;"&amp;$S693)-1)))</f>
        <v/>
      </c>
      <c r="Y693" t="b">
        <f>IF(X693&lt;&gt;"",VLOOKUP(X693,game_rosters!$C$43:$E$64,3,FALSE))</f>
        <v>0</v>
      </c>
      <c r="Z693" t="e" cm="1" vm="1">
        <f t="array" aca="1" ref="Z693" ca="1">IFERROR(IF(_xlfn._xlws.FILTER(game_rosters!$J:$J,(game_rosters!$G:$G=events!$AN693)*(game_rosters!$J:$J=events!$X693))&gt;0,1,""),"")</f>
        <v>#VALUE!</v>
      </c>
      <c r="AA693" t="e">
        <f t="shared" si="108"/>
        <v>#VALUE!</v>
      </c>
      <c r="AB693" t="str">
        <f t="shared" si="109"/>
        <v/>
      </c>
      <c r="AC693" t="e">
        <f t="shared" si="107"/>
        <v>#VALUE!</v>
      </c>
      <c r="AD693" s="6"/>
      <c r="BJ693" s="39"/>
      <c r="BM693" s="39"/>
      <c r="BO693" s="19"/>
      <c r="BQ693" s="17"/>
    </row>
    <row r="694" spans="1:69" x14ac:dyDescent="0.2">
      <c r="A694" t="str">
        <f t="shared" si="110"/>
        <v/>
      </c>
      <c r="E694" s="4"/>
      <c r="F694" s="44"/>
      <c r="G694" s="4"/>
      <c r="H694" s="47"/>
      <c r="J694" s="45" t="str">
        <f t="shared" si="111"/>
        <v/>
      </c>
      <c r="N694" t="str">
        <f t="shared" si="113"/>
        <v/>
      </c>
      <c r="Q694" t="str">
        <f t="shared" si="112"/>
        <v/>
      </c>
      <c r="S694" t="str">
        <f>IF(A694=1,MAX(S$2:S693)+1,IF(OR(I694&lt;&gt;"",A694="x"),S693,""))</f>
        <v/>
      </c>
      <c r="T694" t="str">
        <f>IF(D694=1,MAX($T$2:$T693)+1,IF(S694=$S693,$S693,IF($D694="x",T693,IF($D693="x","",""))))</f>
        <v/>
      </c>
      <c r="U694" t="str">
        <f>IF(B694=1,MAX($U$2:$U693)+1,IF(AND($T694&lt;&gt;"",$T694=$T693),$U693,IF(B694="x",U693,"")))</f>
        <v/>
      </c>
      <c r="V694" t="str">
        <f>IF(C694=1,MAX($V$2:$V693)+1,IF(AND($T694&lt;&gt;"",$T694=$T693),$U693,IF(C694="x",V693,"")))</f>
        <v/>
      </c>
      <c r="W694" t="str" cm="1">
        <f t="array" ref="W694">IFERROR(_xlfn._xlws.FILTER(game_rosters!AB:AB,(game_rosters!J:J=events!X694)*(K694&lt;&gt;"")),"")</f>
        <v/>
      </c>
      <c r="X694" t="str" cm="1">
        <f t="array" ref="X694">IF(S694="","",IF($I694&lt;&gt;"",$I694,INDEX($I$2:$I693,ROW()-COUNTIFS($T$2:$T693,"="&amp;$T694,$S$2:$S693,"&lt;&gt;"&amp;$S694)-1)))</f>
        <v/>
      </c>
      <c r="Y694" t="b">
        <f>IF(X694&lt;&gt;"",VLOOKUP(X694,game_rosters!$C$43:$E$64,3,FALSE))</f>
        <v>0</v>
      </c>
      <c r="Z694" t="e" cm="1" vm="1">
        <f t="array" aca="1" ref="Z694" ca="1">IFERROR(IF(_xlfn._xlws.FILTER(game_rosters!$J:$J,(game_rosters!$G:$G=events!$AN694)*(game_rosters!$J:$J=events!$X694))&gt;0,1,""),"")</f>
        <v>#VALUE!</v>
      </c>
      <c r="AA694" t="e">
        <f t="shared" si="108"/>
        <v>#VALUE!</v>
      </c>
      <c r="AB694" t="str">
        <f t="shared" si="109"/>
        <v/>
      </c>
      <c r="AC694" t="e">
        <f t="shared" si="107"/>
        <v>#VALUE!</v>
      </c>
      <c r="AD694" s="6"/>
      <c r="BJ694" s="39"/>
      <c r="BM694" s="39"/>
      <c r="BO694" s="19"/>
      <c r="BQ694" s="17"/>
    </row>
    <row r="695" spans="1:69" x14ac:dyDescent="0.2">
      <c r="A695" t="str">
        <f t="shared" si="110"/>
        <v/>
      </c>
      <c r="E695" s="4"/>
      <c r="F695" s="44"/>
      <c r="G695" s="4"/>
      <c r="H695" s="47"/>
      <c r="J695" s="45" t="str">
        <f t="shared" si="111"/>
        <v/>
      </c>
      <c r="N695" t="str">
        <f t="shared" si="113"/>
        <v/>
      </c>
      <c r="Q695" t="str">
        <f t="shared" si="112"/>
        <v/>
      </c>
      <c r="S695" t="str">
        <f>IF(A695=1,MAX(S$2:S694)+1,IF(OR(I695&lt;&gt;"",A695="x"),S694,""))</f>
        <v/>
      </c>
      <c r="T695" t="str">
        <f>IF(D695=1,MAX($T$2:$T694)+1,IF(S695=$S694,$S694,IF($D695="x",T694,IF($D694="x","",""))))</f>
        <v/>
      </c>
      <c r="U695" t="str">
        <f>IF(B695=1,MAX($U$2:$U694)+1,IF(AND($T695&lt;&gt;"",$T695=$T694),$U694,IF(B695="x",U694,"")))</f>
        <v/>
      </c>
      <c r="V695" t="str">
        <f>IF(C695=1,MAX($V$2:$V694)+1,IF(AND($T695&lt;&gt;"",$T695=$T694),$U694,IF(C695="x",V694,"")))</f>
        <v/>
      </c>
      <c r="W695" t="str" cm="1">
        <f t="array" ref="W695">IFERROR(_xlfn._xlws.FILTER(game_rosters!AB:AB,(game_rosters!J:J=events!X695)*(K695&lt;&gt;"")),"")</f>
        <v/>
      </c>
      <c r="X695" t="str" cm="1">
        <f t="array" ref="X695">IF(S695="","",IF($I695&lt;&gt;"",$I695,INDEX($I$2:$I694,ROW()-COUNTIFS($T$2:$T694,"="&amp;$T695,$S$2:$S694,"&lt;&gt;"&amp;$S695)-1)))</f>
        <v/>
      </c>
      <c r="Y695" t="b">
        <f>IF(X695&lt;&gt;"",VLOOKUP(X695,game_rosters!$C$43:$E$64,3,FALSE))</f>
        <v>0</v>
      </c>
      <c r="Z695" t="e" cm="1" vm="1">
        <f t="array" aca="1" ref="Z695" ca="1">IFERROR(IF(_xlfn._xlws.FILTER(game_rosters!$J:$J,(game_rosters!$G:$G=events!$AN695)*(game_rosters!$J:$J=events!$X695))&gt;0,1,""),"")</f>
        <v>#VALUE!</v>
      </c>
      <c r="AA695" t="e">
        <f t="shared" si="108"/>
        <v>#VALUE!</v>
      </c>
      <c r="AB695" t="str">
        <f t="shared" si="109"/>
        <v/>
      </c>
      <c r="AC695" t="e">
        <f t="shared" si="107"/>
        <v>#VALUE!</v>
      </c>
      <c r="AD695" s="6"/>
      <c r="BJ695" s="39"/>
      <c r="BM695" s="39"/>
      <c r="BO695" s="19"/>
      <c r="BQ695" s="17"/>
    </row>
    <row r="696" spans="1:69" x14ac:dyDescent="0.2">
      <c r="A696" t="str">
        <f t="shared" si="110"/>
        <v/>
      </c>
      <c r="E696" s="4"/>
      <c r="F696" s="44"/>
      <c r="G696" s="4"/>
      <c r="H696" s="47"/>
      <c r="J696" s="45" t="str">
        <f t="shared" si="111"/>
        <v/>
      </c>
      <c r="N696" t="str">
        <f t="shared" si="113"/>
        <v/>
      </c>
      <c r="Q696" t="str">
        <f t="shared" si="112"/>
        <v/>
      </c>
      <c r="S696" t="str">
        <f>IF(A696=1,MAX(S$2:S695)+1,IF(OR(I696&lt;&gt;"",A696="x"),S695,""))</f>
        <v/>
      </c>
      <c r="T696" t="str">
        <f>IF(D696=1,MAX($T$2:$T695)+1,IF(S696=$S695,$S695,IF($D696="x",T695,IF($D695="x","",""))))</f>
        <v/>
      </c>
      <c r="U696" t="str">
        <f>IF(B696=1,MAX($U$2:$U695)+1,IF(AND($T696&lt;&gt;"",$T696=$T695),$U695,IF(B696="x",U695,"")))</f>
        <v/>
      </c>
      <c r="V696" t="str">
        <f>IF(C696=1,MAX($V$2:$V695)+1,IF(AND($T696&lt;&gt;"",$T696=$T695),$U695,IF(C696="x",V695,"")))</f>
        <v/>
      </c>
      <c r="W696" t="str" cm="1">
        <f t="array" ref="W696">IFERROR(_xlfn._xlws.FILTER(game_rosters!AB:AB,(game_rosters!J:J=events!X696)*(K696&lt;&gt;"")),"")</f>
        <v/>
      </c>
      <c r="X696" t="str" cm="1">
        <f t="array" ref="X696">IF(S696="","",IF($I696&lt;&gt;"",$I696,INDEX($I$2:$I695,ROW()-COUNTIFS($T$2:$T695,"="&amp;$T696,$S$2:$S695,"&lt;&gt;"&amp;$S696)-1)))</f>
        <v/>
      </c>
      <c r="Y696" t="b">
        <f>IF(X696&lt;&gt;"",VLOOKUP(X696,game_rosters!$C$43:$E$64,3,FALSE))</f>
        <v>0</v>
      </c>
      <c r="Z696" t="e" cm="1" vm="1">
        <f t="array" aca="1" ref="Z696" ca="1">IFERROR(IF(_xlfn._xlws.FILTER(game_rosters!$J:$J,(game_rosters!$G:$G=events!$AN696)*(game_rosters!$J:$J=events!$X696))&gt;0,1,""),"")</f>
        <v>#VALUE!</v>
      </c>
      <c r="AA696" t="e">
        <f t="shared" si="108"/>
        <v>#VALUE!</v>
      </c>
      <c r="AB696" t="str">
        <f t="shared" si="109"/>
        <v/>
      </c>
      <c r="AC696" t="e">
        <f t="shared" si="107"/>
        <v>#VALUE!</v>
      </c>
      <c r="AD696" s="6"/>
      <c r="BJ696" s="39"/>
      <c r="BM696" s="39"/>
      <c r="BO696" s="19"/>
      <c r="BQ696" s="17"/>
    </row>
    <row r="697" spans="1:69" x14ac:dyDescent="0.2">
      <c r="A697" t="str">
        <f t="shared" si="110"/>
        <v/>
      </c>
      <c r="E697" s="4"/>
      <c r="F697" s="44"/>
      <c r="G697" s="4"/>
      <c r="H697" s="47"/>
      <c r="J697" s="45" t="str">
        <f t="shared" si="111"/>
        <v/>
      </c>
      <c r="N697" t="str">
        <f t="shared" si="113"/>
        <v/>
      </c>
      <c r="Q697" t="str">
        <f t="shared" si="112"/>
        <v/>
      </c>
      <c r="S697" t="str">
        <f>IF(A697=1,MAX(S$2:S696)+1,IF(OR(I697&lt;&gt;"",A697="x"),S696,""))</f>
        <v/>
      </c>
      <c r="T697" t="str">
        <f>IF(D697=1,MAX($T$2:$T696)+1,IF(S697=$S696,$S696,IF($D697="x",T696,IF($D696="x","",""))))</f>
        <v/>
      </c>
      <c r="U697" t="str">
        <f>IF(B697=1,MAX($U$2:$U696)+1,IF(AND($T697&lt;&gt;"",$T697=$T696),$U696,IF(B697="x",U696,"")))</f>
        <v/>
      </c>
      <c r="V697" t="str">
        <f>IF(C697=1,MAX($V$2:$V696)+1,IF(AND($T697&lt;&gt;"",$T697=$T696),$U696,IF(C697="x",V696,"")))</f>
        <v/>
      </c>
      <c r="W697" t="str" cm="1">
        <f t="array" ref="W697">IFERROR(_xlfn._xlws.FILTER(game_rosters!AB:AB,(game_rosters!J:J=events!X697)*(K697&lt;&gt;"")),"")</f>
        <v/>
      </c>
      <c r="X697" t="str" cm="1">
        <f t="array" ref="X697">IF(S697="","",IF($I697&lt;&gt;"",$I697,INDEX($I$2:$I696,ROW()-COUNTIFS($T$2:$T696,"="&amp;$T697,$S$2:$S696,"&lt;&gt;"&amp;$S697)-1)))</f>
        <v/>
      </c>
      <c r="Y697" t="b">
        <f>IF(X697&lt;&gt;"",VLOOKUP(X697,game_rosters!$C$43:$E$64,3,FALSE))</f>
        <v>0</v>
      </c>
      <c r="Z697" t="e" cm="1" vm="1">
        <f t="array" aca="1" ref="Z697" ca="1">IFERROR(IF(_xlfn._xlws.FILTER(game_rosters!$J:$J,(game_rosters!$G:$G=events!$AN697)*(game_rosters!$J:$J=events!$X697))&gt;0,1,""),"")</f>
        <v>#VALUE!</v>
      </c>
      <c r="AA697" t="e">
        <f t="shared" si="108"/>
        <v>#VALUE!</v>
      </c>
      <c r="AB697" t="str">
        <f t="shared" si="109"/>
        <v/>
      </c>
      <c r="AC697" t="e">
        <f t="shared" si="107"/>
        <v>#VALUE!</v>
      </c>
      <c r="AD697" s="6"/>
      <c r="BJ697" s="39"/>
      <c r="BM697" s="39"/>
      <c r="BO697" s="19"/>
      <c r="BQ697" s="17"/>
    </row>
    <row r="698" spans="1:69" x14ac:dyDescent="0.2">
      <c r="A698" t="str">
        <f t="shared" si="110"/>
        <v/>
      </c>
      <c r="E698" s="4"/>
      <c r="F698" s="44"/>
      <c r="G698" s="4"/>
      <c r="H698" s="47"/>
      <c r="J698" s="45" t="str">
        <f t="shared" si="111"/>
        <v/>
      </c>
      <c r="N698" t="str">
        <f t="shared" si="113"/>
        <v/>
      </c>
      <c r="Q698" t="str">
        <f t="shared" si="112"/>
        <v/>
      </c>
      <c r="S698" t="str">
        <f>IF(A698=1,MAX(S$2:S697)+1,IF(OR(I698&lt;&gt;"",A698="x"),S697,""))</f>
        <v/>
      </c>
      <c r="T698" t="str">
        <f>IF(D698=1,MAX($T$2:$T697)+1,IF(S698=$S697,$S697,IF($D698="x",T697,IF($D697="x","",""))))</f>
        <v/>
      </c>
      <c r="U698" t="str">
        <f>IF(B698=1,MAX($U$2:$U697)+1,IF(AND($T698&lt;&gt;"",$T698=$T697),$U697,IF(B698="x",U697,"")))</f>
        <v/>
      </c>
      <c r="V698" t="str">
        <f>IF(C698=1,MAX($V$2:$V697)+1,IF(AND($T698&lt;&gt;"",$T698=$T697),$U697,IF(C698="x",V697,"")))</f>
        <v/>
      </c>
      <c r="W698" t="str" cm="1">
        <f t="array" ref="W698">IFERROR(_xlfn._xlws.FILTER(game_rosters!AB:AB,(game_rosters!J:J=events!X698)*(K698&lt;&gt;"")),"")</f>
        <v/>
      </c>
      <c r="X698" t="str" cm="1">
        <f t="array" ref="X698">IF(S698="","",IF($I698&lt;&gt;"",$I698,INDEX($I$2:$I697,ROW()-COUNTIFS($T$2:$T697,"="&amp;$T698,$S$2:$S697,"&lt;&gt;"&amp;$S698)-1)))</f>
        <v/>
      </c>
      <c r="Y698" t="b">
        <f>IF(X698&lt;&gt;"",VLOOKUP(X698,game_rosters!$C$43:$E$64,3,FALSE))</f>
        <v>0</v>
      </c>
      <c r="Z698" t="e" cm="1" vm="1">
        <f t="array" aca="1" ref="Z698" ca="1">IFERROR(IF(_xlfn._xlws.FILTER(game_rosters!$J:$J,(game_rosters!$G:$G=events!$AN698)*(game_rosters!$J:$J=events!$X698))&gt;0,1,""),"")</f>
        <v>#VALUE!</v>
      </c>
      <c r="AA698" t="e">
        <f t="shared" si="108"/>
        <v>#VALUE!</v>
      </c>
      <c r="AB698" t="str">
        <f t="shared" si="109"/>
        <v/>
      </c>
      <c r="AC698" t="e">
        <f t="shared" si="107"/>
        <v>#VALUE!</v>
      </c>
      <c r="AD698" s="6"/>
      <c r="BJ698" s="39"/>
      <c r="BM698" s="39"/>
      <c r="BO698" s="19"/>
      <c r="BQ698" s="17"/>
    </row>
    <row r="699" spans="1:69" x14ac:dyDescent="0.2">
      <c r="A699" t="str">
        <f t="shared" si="110"/>
        <v/>
      </c>
      <c r="E699" s="4"/>
      <c r="F699" s="44"/>
      <c r="G699" s="4"/>
      <c r="H699" s="47"/>
      <c r="J699" s="45" t="str">
        <f t="shared" si="111"/>
        <v/>
      </c>
      <c r="N699" t="str">
        <f t="shared" si="113"/>
        <v/>
      </c>
      <c r="Q699" t="str">
        <f t="shared" si="112"/>
        <v/>
      </c>
      <c r="S699" t="str">
        <f>IF(A699=1,MAX(S$2:S698)+1,IF(OR(I699&lt;&gt;"",A699="x"),S698,""))</f>
        <v/>
      </c>
      <c r="T699" t="str">
        <f>IF(D699=1,MAX($T$2:$T698)+1,IF(S699=$S698,$S698,IF($D699="x",T698,IF($D698="x","",""))))</f>
        <v/>
      </c>
      <c r="U699" t="str">
        <f>IF(B699=1,MAX($U$2:$U698)+1,IF(AND($T699&lt;&gt;"",$T699=$T698),$U698,IF(B699="x",U698,"")))</f>
        <v/>
      </c>
      <c r="V699" t="str">
        <f>IF(C699=1,MAX($V$2:$V698)+1,IF(AND($T699&lt;&gt;"",$T699=$T698),$U698,IF(C699="x",V698,"")))</f>
        <v/>
      </c>
      <c r="W699" t="str" cm="1">
        <f t="array" ref="W699">IFERROR(_xlfn._xlws.FILTER(game_rosters!AB:AB,(game_rosters!J:J=events!X699)*(K699&lt;&gt;"")),"")</f>
        <v/>
      </c>
      <c r="X699" t="str" cm="1">
        <f t="array" ref="X699">IF(S699="","",IF($I699&lt;&gt;"",$I699,INDEX($I$2:$I698,ROW()-COUNTIFS($T$2:$T698,"="&amp;$T699,$S$2:$S698,"&lt;&gt;"&amp;$S699)-1)))</f>
        <v/>
      </c>
      <c r="Y699" t="b">
        <f>IF(X699&lt;&gt;"",VLOOKUP(X699,game_rosters!$C$43:$E$64,3,FALSE))</f>
        <v>0</v>
      </c>
      <c r="Z699" t="e" cm="1" vm="1">
        <f t="array" aca="1" ref="Z699" ca="1">IFERROR(IF(_xlfn._xlws.FILTER(game_rosters!$J:$J,(game_rosters!$G:$G=events!$AN699)*(game_rosters!$J:$J=events!$X699))&gt;0,1,""),"")</f>
        <v>#VALUE!</v>
      </c>
      <c r="AA699" t="e">
        <f t="shared" si="108"/>
        <v>#VALUE!</v>
      </c>
      <c r="AB699" t="str">
        <f t="shared" si="109"/>
        <v/>
      </c>
      <c r="AC699" t="e">
        <f t="shared" si="107"/>
        <v>#VALUE!</v>
      </c>
      <c r="AD699" s="6"/>
      <c r="BJ699" s="39"/>
      <c r="BM699" s="39"/>
      <c r="BO699" s="19"/>
      <c r="BQ699" s="17"/>
    </row>
    <row r="700" spans="1:69" x14ac:dyDescent="0.2">
      <c r="A700" t="str">
        <f t="shared" si="110"/>
        <v/>
      </c>
      <c r="E700" s="4"/>
      <c r="F700" s="44"/>
      <c r="G700" s="4"/>
      <c r="H700" s="47"/>
      <c r="J700" s="45" t="str">
        <f t="shared" si="111"/>
        <v/>
      </c>
      <c r="N700" t="str">
        <f t="shared" si="113"/>
        <v/>
      </c>
      <c r="Q700" t="str">
        <f t="shared" si="112"/>
        <v/>
      </c>
      <c r="S700" t="str">
        <f>IF(A700=1,MAX(S$2:S699)+1,IF(OR(I700&lt;&gt;"",A700="x"),S699,""))</f>
        <v/>
      </c>
      <c r="T700" t="str">
        <f>IF(D700=1,MAX($T$2:$T699)+1,IF(S700=$S699,$S699,IF($D700="x",T699,IF($D699="x","",""))))</f>
        <v/>
      </c>
      <c r="U700" t="str">
        <f>IF(B700=1,MAX($U$2:$U699)+1,IF(AND($T700&lt;&gt;"",$T700=$T699),$U699,IF(B700="x",U699,"")))</f>
        <v/>
      </c>
      <c r="V700" t="str">
        <f>IF(C700=1,MAX($V$2:$V699)+1,IF(AND($T700&lt;&gt;"",$T700=$T699),$U699,IF(C700="x",V699,"")))</f>
        <v/>
      </c>
      <c r="W700" t="str" cm="1">
        <f t="array" ref="W700">IFERROR(_xlfn._xlws.FILTER(game_rosters!AB:AB,(game_rosters!J:J=events!X700)*(K700&lt;&gt;"")),"")</f>
        <v/>
      </c>
      <c r="X700" t="str" cm="1">
        <f t="array" ref="X700">IF(S700="","",IF($I700&lt;&gt;"",$I700,INDEX($I$2:$I699,ROW()-COUNTIFS($T$2:$T699,"="&amp;$T700,$S$2:$S699,"&lt;&gt;"&amp;$S700)-1)))</f>
        <v/>
      </c>
      <c r="Y700" t="b">
        <f>IF(X700&lt;&gt;"",VLOOKUP(X700,game_rosters!$C$43:$E$64,3,FALSE))</f>
        <v>0</v>
      </c>
      <c r="Z700" t="e" cm="1" vm="1">
        <f t="array" aca="1" ref="Z700" ca="1">IFERROR(IF(_xlfn._xlws.FILTER(game_rosters!$J:$J,(game_rosters!$G:$G=events!$AN700)*(game_rosters!$J:$J=events!$X700))&gt;0,1,""),"")</f>
        <v>#VALUE!</v>
      </c>
      <c r="AA700" t="e">
        <f t="shared" si="108"/>
        <v>#VALUE!</v>
      </c>
      <c r="AB700" t="str">
        <f t="shared" si="109"/>
        <v/>
      </c>
      <c r="AC700" t="e">
        <f t="shared" si="107"/>
        <v>#VALUE!</v>
      </c>
      <c r="AD700" s="6"/>
      <c r="BJ700" s="39"/>
      <c r="BM700" s="39"/>
      <c r="BO700" s="19"/>
      <c r="BQ700" s="17"/>
    </row>
    <row r="701" spans="1:69" x14ac:dyDescent="0.2">
      <c r="A701" t="str">
        <f t="shared" si="110"/>
        <v/>
      </c>
      <c r="E701" s="4"/>
      <c r="F701" s="44"/>
      <c r="G701" s="4"/>
      <c r="H701" s="47"/>
      <c r="J701" s="45" t="str">
        <f t="shared" si="111"/>
        <v/>
      </c>
      <c r="N701" t="str">
        <f t="shared" si="113"/>
        <v/>
      </c>
      <c r="Q701" t="str">
        <f t="shared" si="112"/>
        <v/>
      </c>
      <c r="S701" t="str">
        <f>IF(A701=1,MAX(S$2:S700)+1,IF(OR(I701&lt;&gt;"",A701="x"),S700,""))</f>
        <v/>
      </c>
      <c r="T701" t="str">
        <f>IF(D701=1,MAX($T$2:$T700)+1,IF(S701=$S700,$S700,IF($D701="x",T700,IF($D700="x","",""))))</f>
        <v/>
      </c>
      <c r="U701" t="str">
        <f>IF(B701=1,MAX($U$2:$U700)+1,IF(AND($T701&lt;&gt;"",$T701=$T700),$U700,IF(B701="x",U700,"")))</f>
        <v/>
      </c>
      <c r="V701" t="str">
        <f>IF(C701=1,MAX($V$2:$V700)+1,IF(AND($T701&lt;&gt;"",$T701=$T700),$U700,IF(C701="x",V700,"")))</f>
        <v/>
      </c>
      <c r="W701" t="str" cm="1">
        <f t="array" ref="W701">IFERROR(_xlfn._xlws.FILTER(game_rosters!AB:AB,(game_rosters!J:J=events!X701)*(K701&lt;&gt;"")),"")</f>
        <v/>
      </c>
      <c r="X701" t="str" cm="1">
        <f t="array" ref="X701">IF(S701="","",IF($I701&lt;&gt;"",$I701,INDEX($I$2:$I700,ROW()-COUNTIFS($T$2:$T700,"="&amp;$T701,$S$2:$S700,"&lt;&gt;"&amp;$S701)-1)))</f>
        <v/>
      </c>
      <c r="Y701" t="b">
        <f>IF(X701&lt;&gt;"",VLOOKUP(X701,game_rosters!$C$43:$E$64,3,FALSE))</f>
        <v>0</v>
      </c>
      <c r="Z701" t="e" cm="1" vm="1">
        <f t="array" aca="1" ref="Z701" ca="1">IFERROR(IF(_xlfn._xlws.FILTER(game_rosters!$J:$J,(game_rosters!$G:$G=events!$AN701)*(game_rosters!$J:$J=events!$X701))&gt;0,1,""),"")</f>
        <v>#VALUE!</v>
      </c>
      <c r="AA701" t="e">
        <f t="shared" si="108"/>
        <v>#VALUE!</v>
      </c>
      <c r="AB701" t="str">
        <f t="shared" si="109"/>
        <v/>
      </c>
      <c r="AC701" t="e">
        <f t="shared" si="107"/>
        <v>#VALUE!</v>
      </c>
      <c r="AD701" s="6"/>
      <c r="BJ701" s="39"/>
      <c r="BM701" s="39"/>
      <c r="BO701" s="19"/>
      <c r="BQ701" s="17"/>
    </row>
    <row r="702" spans="1:69" x14ac:dyDescent="0.2">
      <c r="A702" t="str">
        <f t="shared" si="110"/>
        <v/>
      </c>
      <c r="E702" s="4"/>
      <c r="F702" s="44"/>
      <c r="G702" s="4"/>
      <c r="H702" s="47"/>
      <c r="J702" s="45" t="str">
        <f t="shared" si="111"/>
        <v/>
      </c>
      <c r="N702" t="str">
        <f t="shared" si="113"/>
        <v/>
      </c>
      <c r="Q702" t="str">
        <f t="shared" si="112"/>
        <v/>
      </c>
      <c r="S702" t="str">
        <f>IF(A702=1,MAX(S$2:S701)+1,IF(OR(I702&lt;&gt;"",A702="x"),S701,""))</f>
        <v/>
      </c>
      <c r="T702" t="str">
        <f>IF(D702=1,MAX($T$2:$T701)+1,IF(S702=$S701,$S701,IF($D702="x",T701,IF($D701="x","",""))))</f>
        <v/>
      </c>
      <c r="U702" t="str">
        <f>IF(B702=1,MAX($U$2:$U701)+1,IF(AND($T702&lt;&gt;"",$T702=$T701),$U701,IF(B702="x",U701,"")))</f>
        <v/>
      </c>
      <c r="V702" t="str">
        <f>IF(C702=1,MAX($V$2:$V701)+1,IF(AND($T702&lt;&gt;"",$T702=$T701),$U701,IF(C702="x",V701,"")))</f>
        <v/>
      </c>
      <c r="W702" t="str" cm="1">
        <f t="array" ref="W702">IFERROR(_xlfn._xlws.FILTER(game_rosters!AB:AB,(game_rosters!J:J=events!X702)*(K702&lt;&gt;"")),"")</f>
        <v/>
      </c>
      <c r="X702" t="str" cm="1">
        <f t="array" ref="X702">IF(S702="","",IF($I702&lt;&gt;"",$I702,INDEX($I$2:$I701,ROW()-COUNTIFS($T$2:$T701,"="&amp;$T702,$S$2:$S701,"&lt;&gt;"&amp;$S702)-1)))</f>
        <v/>
      </c>
      <c r="Y702" t="b">
        <f>IF(X702&lt;&gt;"",VLOOKUP(X702,game_rosters!$C$43:$E$64,3,FALSE))</f>
        <v>0</v>
      </c>
      <c r="Z702" t="e" cm="1" vm="1">
        <f t="array" aca="1" ref="Z702" ca="1">IFERROR(IF(_xlfn._xlws.FILTER(game_rosters!$J:$J,(game_rosters!$G:$G=events!$AN702)*(game_rosters!$J:$J=events!$X702))&gt;0,1,""),"")</f>
        <v>#VALUE!</v>
      </c>
      <c r="AA702" t="e">
        <f t="shared" si="108"/>
        <v>#VALUE!</v>
      </c>
      <c r="AB702" t="str">
        <f t="shared" si="109"/>
        <v/>
      </c>
      <c r="AC702" t="e">
        <f t="shared" si="107"/>
        <v>#VALUE!</v>
      </c>
      <c r="AD702" s="6"/>
      <c r="BJ702" s="39"/>
      <c r="BM702" s="39"/>
      <c r="BO702" s="19"/>
      <c r="BQ702" s="17"/>
    </row>
    <row r="703" spans="1:69" x14ac:dyDescent="0.2">
      <c r="A703" t="str">
        <f t="shared" si="110"/>
        <v/>
      </c>
      <c r="E703" s="4"/>
      <c r="F703" s="44"/>
      <c r="G703" s="4"/>
      <c r="H703" s="47"/>
      <c r="J703" s="45" t="str">
        <f t="shared" si="111"/>
        <v/>
      </c>
      <c r="N703" t="str">
        <f t="shared" si="113"/>
        <v/>
      </c>
      <c r="Q703" t="str">
        <f t="shared" si="112"/>
        <v/>
      </c>
      <c r="S703" t="str">
        <f>IF(A703=1,MAX(S$2:S702)+1,IF(OR(I703&lt;&gt;"",A703="x"),S702,""))</f>
        <v/>
      </c>
      <c r="T703" t="str">
        <f>IF(D703=1,MAX($T$2:$T702)+1,IF(S703=$S702,$S702,IF($D703="x",T702,IF($D702="x","",""))))</f>
        <v/>
      </c>
      <c r="U703" t="str">
        <f>IF(B703=1,MAX($U$2:$U702)+1,IF(AND($T703&lt;&gt;"",$T703=$T702),$U702,IF(B703="x",U702,"")))</f>
        <v/>
      </c>
      <c r="V703" t="str">
        <f>IF(C703=1,MAX($V$2:$V702)+1,IF(AND($T703&lt;&gt;"",$T703=$T702),$U702,IF(C703="x",V702,"")))</f>
        <v/>
      </c>
      <c r="W703" t="str" cm="1">
        <f t="array" ref="W703">IFERROR(_xlfn._xlws.FILTER(game_rosters!AB:AB,(game_rosters!J:J=events!X703)*(K703&lt;&gt;"")),"")</f>
        <v/>
      </c>
      <c r="X703" t="str" cm="1">
        <f t="array" ref="X703">IF(S703="","",IF($I703&lt;&gt;"",$I703,INDEX($I$2:$I702,ROW()-COUNTIFS($T$2:$T702,"="&amp;$T703,$S$2:$S702,"&lt;&gt;"&amp;$S703)-1)))</f>
        <v/>
      </c>
      <c r="Y703" t="b">
        <f>IF(X703&lt;&gt;"",VLOOKUP(X703,game_rosters!$C$43:$E$64,3,FALSE))</f>
        <v>0</v>
      </c>
      <c r="Z703" t="e" cm="1" vm="1">
        <f t="array" aca="1" ref="Z703" ca="1">IFERROR(IF(_xlfn._xlws.FILTER(game_rosters!$J:$J,(game_rosters!$G:$G=events!$AN703)*(game_rosters!$J:$J=events!$X703))&gt;0,1,""),"")</f>
        <v>#VALUE!</v>
      </c>
      <c r="AA703" t="e">
        <f t="shared" si="108"/>
        <v>#VALUE!</v>
      </c>
      <c r="AB703" t="str">
        <f t="shared" si="109"/>
        <v/>
      </c>
      <c r="AC703" t="e">
        <f t="shared" si="107"/>
        <v>#VALUE!</v>
      </c>
      <c r="AD703" s="6"/>
      <c r="BJ703" s="39"/>
      <c r="BM703" s="39"/>
      <c r="BO703" s="19"/>
      <c r="BQ703" s="17"/>
    </row>
    <row r="704" spans="1:69" x14ac:dyDescent="0.2">
      <c r="A704" t="str">
        <f t="shared" si="110"/>
        <v/>
      </c>
      <c r="E704" s="4"/>
      <c r="F704" s="44"/>
      <c r="G704" s="4"/>
      <c r="H704" s="47"/>
      <c r="J704" s="45" t="str">
        <f t="shared" si="111"/>
        <v/>
      </c>
      <c r="N704" t="str">
        <f t="shared" si="113"/>
        <v/>
      </c>
      <c r="Q704" t="str">
        <f t="shared" si="112"/>
        <v/>
      </c>
      <c r="S704" t="str">
        <f>IF(A704=1,MAX(S$2:S703)+1,IF(OR(I704&lt;&gt;"",A704="x"),S703,""))</f>
        <v/>
      </c>
      <c r="T704" t="str">
        <f>IF(D704=1,MAX($T$2:$T703)+1,IF(S704=$S703,$S703,IF($D704="x",T703,IF($D703="x","",""))))</f>
        <v/>
      </c>
      <c r="U704" t="str">
        <f>IF(B704=1,MAX($U$2:$U703)+1,IF(AND($T704&lt;&gt;"",$T704=$T703),$U703,IF(B704="x",U703,"")))</f>
        <v/>
      </c>
      <c r="V704" t="str">
        <f>IF(C704=1,MAX($V$2:$V703)+1,IF(AND($T704&lt;&gt;"",$T704=$T703),$U703,IF(C704="x",V703,"")))</f>
        <v/>
      </c>
      <c r="W704" t="str" cm="1">
        <f t="array" ref="W704">IFERROR(_xlfn._xlws.FILTER(game_rosters!AB:AB,(game_rosters!J:J=events!X704)*(K704&lt;&gt;"")),"")</f>
        <v/>
      </c>
      <c r="X704" t="str" cm="1">
        <f t="array" ref="X704">IF(S704="","",IF($I704&lt;&gt;"",$I704,INDEX($I$2:$I703,ROW()-COUNTIFS($T$2:$T703,"="&amp;$T704,$S$2:$S703,"&lt;&gt;"&amp;$S704)-1)))</f>
        <v/>
      </c>
      <c r="Y704" t="b">
        <f>IF(X704&lt;&gt;"",VLOOKUP(X704,game_rosters!$C$43:$E$64,3,FALSE))</f>
        <v>0</v>
      </c>
      <c r="Z704" t="e" cm="1" vm="1">
        <f t="array" aca="1" ref="Z704" ca="1">IFERROR(IF(_xlfn._xlws.FILTER(game_rosters!$J:$J,(game_rosters!$G:$G=events!$AN704)*(game_rosters!$J:$J=events!$X704))&gt;0,1,""),"")</f>
        <v>#VALUE!</v>
      </c>
      <c r="AA704" t="e">
        <f t="shared" si="108"/>
        <v>#VALUE!</v>
      </c>
      <c r="AB704" t="str">
        <f t="shared" si="109"/>
        <v/>
      </c>
      <c r="AC704" t="e">
        <f t="shared" si="107"/>
        <v>#VALUE!</v>
      </c>
      <c r="AD704" s="6"/>
      <c r="BJ704" s="39"/>
      <c r="BM704" s="39"/>
      <c r="BO704" s="19"/>
      <c r="BQ704" s="17"/>
    </row>
    <row r="705" spans="1:69" x14ac:dyDescent="0.2">
      <c r="A705" t="str">
        <f t="shared" si="110"/>
        <v/>
      </c>
      <c r="E705" s="4"/>
      <c r="F705" s="44"/>
      <c r="G705" s="4"/>
      <c r="H705" s="47"/>
      <c r="J705" s="45" t="str">
        <f t="shared" si="111"/>
        <v/>
      </c>
      <c r="N705" t="str">
        <f t="shared" si="113"/>
        <v/>
      </c>
      <c r="Q705" t="str">
        <f t="shared" si="112"/>
        <v/>
      </c>
      <c r="S705" t="str">
        <f>IF(A705=1,MAX(S$2:S704)+1,IF(OR(I705&lt;&gt;"",A705="x"),S704,""))</f>
        <v/>
      </c>
      <c r="T705" t="str">
        <f>IF(D705=1,MAX($T$2:$T704)+1,IF(S705=$S704,$S704,IF($D705="x",T704,IF($D704="x","",""))))</f>
        <v/>
      </c>
      <c r="U705" t="str">
        <f>IF(B705=1,MAX($U$2:$U704)+1,IF(AND($T705&lt;&gt;"",$T705=$T704),$U704,IF(B705="x",U704,"")))</f>
        <v/>
      </c>
      <c r="V705" t="str">
        <f>IF(C705=1,MAX($V$2:$V704)+1,IF(AND($T705&lt;&gt;"",$T705=$T704),$U704,IF(C705="x",V704,"")))</f>
        <v/>
      </c>
      <c r="W705" t="str" cm="1">
        <f t="array" ref="W705">IFERROR(_xlfn._xlws.FILTER(game_rosters!AB:AB,(game_rosters!J:J=events!X705)*(K705&lt;&gt;"")),"")</f>
        <v/>
      </c>
      <c r="X705" t="str" cm="1">
        <f t="array" ref="X705">IF(S705="","",IF($I705&lt;&gt;"",$I705,INDEX($I$2:$I704,ROW()-COUNTIFS($T$2:$T704,"="&amp;$T705,$S$2:$S704,"&lt;&gt;"&amp;$S705)-1)))</f>
        <v/>
      </c>
      <c r="Y705" t="b">
        <f>IF(X705&lt;&gt;"",VLOOKUP(X705,game_rosters!$C$43:$E$64,3,FALSE))</f>
        <v>0</v>
      </c>
      <c r="Z705" t="e" cm="1" vm="1">
        <f t="array" aca="1" ref="Z705" ca="1">IFERROR(IF(_xlfn._xlws.FILTER(game_rosters!$J:$J,(game_rosters!$G:$G=events!$AN705)*(game_rosters!$J:$J=events!$X705))&gt;0,1,""),"")</f>
        <v>#VALUE!</v>
      </c>
      <c r="AA705" t="e">
        <f t="shared" si="108"/>
        <v>#VALUE!</v>
      </c>
      <c r="AB705" t="str">
        <f t="shared" si="109"/>
        <v/>
      </c>
      <c r="AC705" t="e">
        <f t="shared" si="107"/>
        <v>#VALUE!</v>
      </c>
      <c r="AD705" s="6"/>
      <c r="BJ705" s="39"/>
      <c r="BM705" s="39"/>
      <c r="BO705" s="19"/>
      <c r="BQ705" s="17"/>
    </row>
    <row r="706" spans="1:69" x14ac:dyDescent="0.2">
      <c r="A706" t="str">
        <f t="shared" si="110"/>
        <v/>
      </c>
      <c r="E706" s="4"/>
      <c r="F706" s="44"/>
      <c r="G706" s="4"/>
      <c r="H706" s="47"/>
      <c r="J706" s="45" t="str">
        <f t="shared" si="111"/>
        <v/>
      </c>
      <c r="N706" t="str">
        <f t="shared" si="113"/>
        <v/>
      </c>
      <c r="Q706" t="str">
        <f t="shared" si="112"/>
        <v/>
      </c>
      <c r="S706" t="str">
        <f>IF(A706=1,MAX(S$2:S705)+1,IF(OR(I706&lt;&gt;"",A706="x"),S705,""))</f>
        <v/>
      </c>
      <c r="T706" t="str">
        <f>IF(D706=1,MAX($T$2:$T705)+1,IF(S706=$S705,$S705,IF($D706="x",T705,IF($D705="x","",""))))</f>
        <v/>
      </c>
      <c r="U706" t="str">
        <f>IF(B706=1,MAX($U$2:$U705)+1,IF(AND($T706&lt;&gt;"",$T706=$T705),$U705,IF(B706="x",U705,"")))</f>
        <v/>
      </c>
      <c r="V706" t="str">
        <f>IF(C706=1,MAX($V$2:$V705)+1,IF(AND($T706&lt;&gt;"",$T706=$T705),$U705,IF(C706="x",V705,"")))</f>
        <v/>
      </c>
      <c r="W706" t="str" cm="1">
        <f t="array" ref="W706">IFERROR(_xlfn._xlws.FILTER(game_rosters!AB:AB,(game_rosters!J:J=events!X706)*(K706&lt;&gt;"")),"")</f>
        <v/>
      </c>
      <c r="X706" t="str" cm="1">
        <f t="array" ref="X706">IF(S706="","",IF($I706&lt;&gt;"",$I706,INDEX($I$2:$I705,ROW()-COUNTIFS($T$2:$T705,"="&amp;$T706,$S$2:$S705,"&lt;&gt;"&amp;$S706)-1)))</f>
        <v/>
      </c>
      <c r="Y706" t="b">
        <f>IF(X706&lt;&gt;"",VLOOKUP(X706,game_rosters!$C$43:$E$64,3,FALSE))</f>
        <v>0</v>
      </c>
      <c r="Z706" t="e" cm="1" vm="1">
        <f t="array" aca="1" ref="Z706" ca="1">IFERROR(IF(_xlfn._xlws.FILTER(game_rosters!$J:$J,(game_rosters!$G:$G=events!$AN706)*(game_rosters!$J:$J=events!$X706))&gt;0,1,""),"")</f>
        <v>#VALUE!</v>
      </c>
      <c r="AA706" t="e">
        <f t="shared" si="108"/>
        <v>#VALUE!</v>
      </c>
      <c r="AB706" t="str">
        <f t="shared" si="109"/>
        <v/>
      </c>
      <c r="AC706" t="e">
        <f t="shared" ref="AC706:AC769" si="114">IF(AB706&lt;&gt;"",AB706,S706+1000)</f>
        <v>#VALUE!</v>
      </c>
      <c r="AD706" s="6"/>
      <c r="BJ706" s="39"/>
      <c r="BM706" s="39"/>
      <c r="BO706" s="19"/>
      <c r="BQ706" s="17"/>
    </row>
    <row r="707" spans="1:69" x14ac:dyDescent="0.2">
      <c r="A707" t="str">
        <f t="shared" si="110"/>
        <v/>
      </c>
      <c r="E707" s="4"/>
      <c r="F707" s="44"/>
      <c r="G707" s="4"/>
      <c r="H707" s="47"/>
      <c r="J707" s="45" t="str">
        <f t="shared" si="111"/>
        <v/>
      </c>
      <c r="N707" t="str">
        <f t="shared" si="113"/>
        <v/>
      </c>
      <c r="Q707" t="str">
        <f t="shared" si="112"/>
        <v/>
      </c>
      <c r="S707" t="str">
        <f>IF(A707=1,MAX(S$2:S706)+1,IF(OR(I707&lt;&gt;"",A707="x"),S706,""))</f>
        <v/>
      </c>
      <c r="T707" t="str">
        <f>IF(D707=1,MAX($T$2:$T706)+1,IF(S707=$S706,$S706,IF($D707="x",T706,IF($D706="x","",""))))</f>
        <v/>
      </c>
      <c r="U707" t="str">
        <f>IF(B707=1,MAX($U$2:$U706)+1,IF(AND($T707&lt;&gt;"",$T707=$T706),$U706,IF(B707="x",U706,"")))</f>
        <v/>
      </c>
      <c r="V707" t="str">
        <f>IF(C707=1,MAX($V$2:$V706)+1,IF(AND($T707&lt;&gt;"",$T707=$T706),$U706,IF(C707="x",V706,"")))</f>
        <v/>
      </c>
      <c r="W707" t="str" cm="1">
        <f t="array" ref="W707">IFERROR(_xlfn._xlws.FILTER(game_rosters!AB:AB,(game_rosters!J:J=events!X707)*(K707&lt;&gt;"")),"")</f>
        <v/>
      </c>
      <c r="X707" t="str" cm="1">
        <f t="array" ref="X707">IF(S707="","",IF($I707&lt;&gt;"",$I707,INDEX($I$2:$I706,ROW()-COUNTIFS($T$2:$T706,"="&amp;$T707,$S$2:$S706,"&lt;&gt;"&amp;$S707)-1)))</f>
        <v/>
      </c>
      <c r="Y707" t="b">
        <f>IF(X707&lt;&gt;"",VLOOKUP(X707,game_rosters!$C$43:$E$64,3,FALSE))</f>
        <v>0</v>
      </c>
      <c r="Z707" t="e" cm="1" vm="1">
        <f t="array" aca="1" ref="Z707" ca="1">IFERROR(IF(_xlfn._xlws.FILTER(game_rosters!$J:$J,(game_rosters!$G:$G=events!$AN707)*(game_rosters!$J:$J=events!$X707))&gt;0,1,""),"")</f>
        <v>#VALUE!</v>
      </c>
      <c r="AA707" t="e">
        <f t="shared" si="108"/>
        <v>#VALUE!</v>
      </c>
      <c r="AB707" t="str">
        <f t="shared" si="109"/>
        <v/>
      </c>
      <c r="AC707" t="e">
        <f t="shared" si="114"/>
        <v>#VALUE!</v>
      </c>
      <c r="AD707" s="6"/>
      <c r="BJ707" s="39"/>
      <c r="BM707" s="39"/>
      <c r="BO707" s="19"/>
      <c r="BQ707" s="17"/>
    </row>
    <row r="708" spans="1:69" x14ac:dyDescent="0.2">
      <c r="A708" t="str">
        <f t="shared" si="110"/>
        <v/>
      </c>
      <c r="E708" s="4"/>
      <c r="F708" s="44"/>
      <c r="G708" s="4"/>
      <c r="H708" s="47"/>
      <c r="J708" s="45" t="str">
        <f t="shared" si="111"/>
        <v/>
      </c>
      <c r="N708" t="str">
        <f t="shared" si="113"/>
        <v/>
      </c>
      <c r="Q708" t="str">
        <f t="shared" si="112"/>
        <v/>
      </c>
      <c r="S708" t="str">
        <f>IF(A708=1,MAX(S$2:S707)+1,IF(OR(I708&lt;&gt;"",A708="x"),S707,""))</f>
        <v/>
      </c>
      <c r="T708" t="str">
        <f>IF(D708=1,MAX($T$2:$T707)+1,IF(S708=$S707,$S707,IF($D708="x",T707,IF($D707="x","",""))))</f>
        <v/>
      </c>
      <c r="U708" t="str">
        <f>IF(B708=1,MAX($U$2:$U707)+1,IF(AND($T708&lt;&gt;"",$T708=$T707),$U707,IF(B708="x",U707,"")))</f>
        <v/>
      </c>
      <c r="V708" t="str">
        <f>IF(C708=1,MAX($V$2:$V707)+1,IF(AND($T708&lt;&gt;"",$T708=$T707),$U707,IF(C708="x",V707,"")))</f>
        <v/>
      </c>
      <c r="W708" t="str" cm="1">
        <f t="array" ref="W708">IFERROR(_xlfn._xlws.FILTER(game_rosters!AB:AB,(game_rosters!J:J=events!X708)*(K708&lt;&gt;"")),"")</f>
        <v/>
      </c>
      <c r="X708" t="str" cm="1">
        <f t="array" ref="X708">IF(S708="","",IF($I708&lt;&gt;"",$I708,INDEX($I$2:$I707,ROW()-COUNTIFS($T$2:$T707,"="&amp;$T708,$S$2:$S707,"&lt;&gt;"&amp;$S708)-1)))</f>
        <v/>
      </c>
      <c r="Y708" t="b">
        <f>IF(X708&lt;&gt;"",VLOOKUP(X708,game_rosters!$C$43:$E$64,3,FALSE))</f>
        <v>0</v>
      </c>
      <c r="Z708" t="e" cm="1" vm="1">
        <f t="array" aca="1" ref="Z708" ca="1">IFERROR(IF(_xlfn._xlws.FILTER(game_rosters!$J:$J,(game_rosters!$G:$G=events!$AN708)*(game_rosters!$J:$J=events!$X708))&gt;0,1,""),"")</f>
        <v>#VALUE!</v>
      </c>
      <c r="AA708" t="e">
        <f t="shared" ref="AA708:AA771" si="115">S708+1000</f>
        <v>#VALUE!</v>
      </c>
      <c r="AB708" t="str">
        <f t="shared" ref="AB708:AB771" si="116">IF(T708&lt;&gt;"",9000+T708,"")</f>
        <v/>
      </c>
      <c r="AC708" t="e">
        <f t="shared" si="114"/>
        <v>#VALUE!</v>
      </c>
      <c r="AD708" s="6"/>
      <c r="BJ708" s="39"/>
      <c r="BM708" s="39"/>
      <c r="BO708" s="19"/>
      <c r="BQ708" s="17"/>
    </row>
    <row r="709" spans="1:69" x14ac:dyDescent="0.2">
      <c r="A709" t="str">
        <f t="shared" ref="A709:A772" si="117">IF(K709&lt;&gt;"",1,IF(D709="x","x",""))</f>
        <v/>
      </c>
      <c r="E709" s="4"/>
      <c r="F709" s="44"/>
      <c r="G709" s="4"/>
      <c r="H709" s="47"/>
      <c r="J709" s="45" t="str">
        <f t="shared" si="111"/>
        <v/>
      </c>
      <c r="N709" t="str">
        <f t="shared" si="113"/>
        <v/>
      </c>
      <c r="Q709" t="str">
        <f t="shared" si="112"/>
        <v/>
      </c>
      <c r="S709" t="str">
        <f>IF(A709=1,MAX(S$2:S708)+1,IF(OR(I709&lt;&gt;"",A709="x"),S708,""))</f>
        <v/>
      </c>
      <c r="T709" t="str">
        <f>IF(D709=1,MAX($T$2:$T708)+1,IF(S709=$S708,$S708,IF($D709="x",T708,IF($D708="x","",""))))</f>
        <v/>
      </c>
      <c r="U709" t="str">
        <f>IF(B709=1,MAX($U$2:$U708)+1,IF(AND($T709&lt;&gt;"",$T709=$T708),$U708,IF(B709="x",U708,"")))</f>
        <v/>
      </c>
      <c r="V709" t="str">
        <f>IF(C709=1,MAX($V$2:$V708)+1,IF(AND($T709&lt;&gt;"",$T709=$T708),$U708,IF(C709="x",V708,"")))</f>
        <v/>
      </c>
      <c r="W709" t="str" cm="1">
        <f t="array" ref="W709">IFERROR(_xlfn._xlws.FILTER(game_rosters!AB:AB,(game_rosters!J:J=events!X709)*(K709&lt;&gt;"")),"")</f>
        <v/>
      </c>
      <c r="X709" t="str" cm="1">
        <f t="array" ref="X709">IF(S709="","",IF($I709&lt;&gt;"",$I709,INDEX($I$2:$I708,ROW()-COUNTIFS($T$2:$T708,"="&amp;$T709,$S$2:$S708,"&lt;&gt;"&amp;$S709)-1)))</f>
        <v/>
      </c>
      <c r="Y709" t="b">
        <f>IF(X709&lt;&gt;"",VLOOKUP(X709,game_rosters!$C$43:$E$64,3,FALSE))</f>
        <v>0</v>
      </c>
      <c r="Z709" t="e" cm="1" vm="1">
        <f t="array" aca="1" ref="Z709" ca="1">IFERROR(IF(_xlfn._xlws.FILTER(game_rosters!$J:$J,(game_rosters!$G:$G=events!$AN709)*(game_rosters!$J:$J=events!$X709))&gt;0,1,""),"")</f>
        <v>#VALUE!</v>
      </c>
      <c r="AA709" t="e">
        <f t="shared" si="115"/>
        <v>#VALUE!</v>
      </c>
      <c r="AB709" t="str">
        <f t="shared" si="116"/>
        <v/>
      </c>
      <c r="AC709" t="e">
        <f t="shared" si="114"/>
        <v>#VALUE!</v>
      </c>
      <c r="AD709" s="6"/>
      <c r="BJ709" s="39"/>
      <c r="BM709" s="39"/>
      <c r="BO709" s="19"/>
      <c r="BQ709" s="17"/>
    </row>
    <row r="710" spans="1:69" x14ac:dyDescent="0.2">
      <c r="A710" t="str">
        <f t="shared" si="117"/>
        <v/>
      </c>
      <c r="E710" s="4"/>
      <c r="F710" s="44"/>
      <c r="G710" s="4"/>
      <c r="H710" s="47"/>
      <c r="J710" s="45" t="str">
        <f t="shared" ref="J710:J773" si="118">IF(OR(K710="Goal",K710="Shot",L710="Zone_Entry",M710="Stoppage-Goal",M709="Stoppage-Goal"),"o",IF(OR(K710="Save",K710="Rebound",L710="Zone_Exit",M710="Stoppage-GoalieStoppage",M709="Stoppage-GoalieStoppage"),"d",IF(OR(L710="Faceoff_AfterGoal",L710="Faceoff_PeriodStart",698="Faceoff_GameStart",M709="Stoppage-Goal"),"n","")))</f>
        <v/>
      </c>
      <c r="N710" t="str">
        <f t="shared" si="113"/>
        <v/>
      </c>
      <c r="Q710" t="str">
        <f t="shared" si="112"/>
        <v/>
      </c>
      <c r="S710" t="str">
        <f>IF(A710=1,MAX(S$2:S709)+1,IF(OR(I710&lt;&gt;"",A710="x"),S709,""))</f>
        <v/>
      </c>
      <c r="T710" t="str">
        <f>IF(D710=1,MAX($T$2:$T709)+1,IF(S710=$S709,$S709,IF($D710="x",T709,IF($D709="x","",""))))</f>
        <v/>
      </c>
      <c r="U710" t="str">
        <f>IF(B710=1,MAX($U$2:$U709)+1,IF(AND($T710&lt;&gt;"",$T710=$T709),$U709,IF(B710="x",U709,"")))</f>
        <v/>
      </c>
      <c r="V710" t="str">
        <f>IF(C710=1,MAX($V$2:$V709)+1,IF(AND($T710&lt;&gt;"",$T710=$T709),$U709,IF(C710="x",V709,"")))</f>
        <v/>
      </c>
      <c r="W710" t="str" cm="1">
        <f t="array" ref="W710">IFERROR(_xlfn._xlws.FILTER(game_rosters!AB:AB,(game_rosters!J:J=events!X710)*(K710&lt;&gt;"")),"")</f>
        <v/>
      </c>
      <c r="X710" t="str" cm="1">
        <f t="array" ref="X710">IF(S710="","",IF($I710&lt;&gt;"",$I710,INDEX($I$2:$I709,ROW()-COUNTIFS($T$2:$T709,"="&amp;$T710,$S$2:$S709,"&lt;&gt;"&amp;$S710)-1)))</f>
        <v/>
      </c>
      <c r="Y710" t="b">
        <f>IF(X710&lt;&gt;"",VLOOKUP(X710,game_rosters!$C$43:$E$64,3,FALSE))</f>
        <v>0</v>
      </c>
      <c r="Z710" t="e" cm="1" vm="1">
        <f t="array" aca="1" ref="Z710" ca="1">IFERROR(IF(_xlfn._xlws.FILTER(game_rosters!$J:$J,(game_rosters!$G:$G=events!$AN710)*(game_rosters!$J:$J=events!$X710))&gt;0,1,""),"")</f>
        <v>#VALUE!</v>
      </c>
      <c r="AA710" t="e">
        <f t="shared" si="115"/>
        <v>#VALUE!</v>
      </c>
      <c r="AB710" t="str">
        <f t="shared" si="116"/>
        <v/>
      </c>
      <c r="AC710" t="e">
        <f t="shared" si="114"/>
        <v>#VALUE!</v>
      </c>
      <c r="AD710" s="6"/>
      <c r="BJ710" s="39"/>
      <c r="BM710" s="39"/>
      <c r="BO710" s="19"/>
      <c r="BQ710" s="17"/>
    </row>
    <row r="711" spans="1:69" x14ac:dyDescent="0.2">
      <c r="A711" t="str">
        <f t="shared" si="117"/>
        <v/>
      </c>
      <c r="E711" s="4"/>
      <c r="F711" s="44"/>
      <c r="G711" s="4"/>
      <c r="H711" s="47"/>
      <c r="J711" s="45" t="str">
        <f t="shared" si="118"/>
        <v/>
      </c>
      <c r="N711" t="str">
        <f t="shared" si="113"/>
        <v/>
      </c>
      <c r="Q711" t="str">
        <f t="shared" si="112"/>
        <v/>
      </c>
      <c r="S711" t="str">
        <f>IF(A711=1,MAX(S$2:S710)+1,IF(OR(I711&lt;&gt;"",A711="x"),S710,""))</f>
        <v/>
      </c>
      <c r="T711" t="str">
        <f>IF(D711=1,MAX($T$2:$T710)+1,IF(S711=$S710,$S710,IF($D711="x",T710,IF($D710="x","",""))))</f>
        <v/>
      </c>
      <c r="U711" t="str">
        <f>IF(B711=1,MAX($U$2:$U710)+1,IF(AND($T711&lt;&gt;"",$T711=$T710),$U710,IF(B711="x",U710,"")))</f>
        <v/>
      </c>
      <c r="V711" t="str">
        <f>IF(C711=1,MAX($V$2:$V710)+1,IF(AND($T711&lt;&gt;"",$T711=$T710),$U710,IF(C711="x",V710,"")))</f>
        <v/>
      </c>
      <c r="W711" t="str" cm="1">
        <f t="array" ref="W711">IFERROR(_xlfn._xlws.FILTER(game_rosters!AB:AB,(game_rosters!J:J=events!X711)*(K711&lt;&gt;"")),"")</f>
        <v/>
      </c>
      <c r="X711" t="str" cm="1">
        <f t="array" ref="X711">IF(S711="","",IF($I711&lt;&gt;"",$I711,INDEX($I$2:$I710,ROW()-COUNTIFS($T$2:$T710,"="&amp;$T711,$S$2:$S710,"&lt;&gt;"&amp;$S711)-1)))</f>
        <v/>
      </c>
      <c r="Y711" t="b">
        <f>IF(X711&lt;&gt;"",VLOOKUP(X711,game_rosters!$C$43:$E$64,3,FALSE))</f>
        <v>0</v>
      </c>
      <c r="Z711" t="e" cm="1" vm="1">
        <f t="array" aca="1" ref="Z711" ca="1">IFERROR(IF(_xlfn._xlws.FILTER(game_rosters!$J:$J,(game_rosters!$G:$G=events!$AN711)*(game_rosters!$J:$J=events!$X711))&gt;0,1,""),"")</f>
        <v>#VALUE!</v>
      </c>
      <c r="AA711" t="e">
        <f t="shared" si="115"/>
        <v>#VALUE!</v>
      </c>
      <c r="AB711" t="str">
        <f t="shared" si="116"/>
        <v/>
      </c>
      <c r="AC711" t="e">
        <f t="shared" si="114"/>
        <v>#VALUE!</v>
      </c>
      <c r="AD711" s="6"/>
      <c r="BJ711" s="39"/>
      <c r="BM711" s="39"/>
      <c r="BO711" s="19"/>
      <c r="BQ711" s="17"/>
    </row>
    <row r="712" spans="1:69" x14ac:dyDescent="0.2">
      <c r="A712" t="str">
        <f t="shared" si="117"/>
        <v/>
      </c>
      <c r="E712" s="4"/>
      <c r="F712" s="44"/>
      <c r="G712" s="4"/>
      <c r="H712" s="47"/>
      <c r="J712" s="45" t="str">
        <f t="shared" si="118"/>
        <v/>
      </c>
      <c r="N712" t="str">
        <f t="shared" si="113"/>
        <v/>
      </c>
      <c r="Q712" t="str">
        <f t="shared" si="112"/>
        <v/>
      </c>
      <c r="S712" t="str">
        <f>IF(A712=1,MAX(S$2:S711)+1,IF(OR(I712&lt;&gt;"",A712="x"),S711,""))</f>
        <v/>
      </c>
      <c r="T712" t="str">
        <f>IF(D712=1,MAX($T$2:$T711)+1,IF(S712=$S711,$S711,IF($D712="x",T711,IF($D711="x","",""))))</f>
        <v/>
      </c>
      <c r="U712" t="str">
        <f>IF(B712=1,MAX($U$2:$U711)+1,IF(AND($T712&lt;&gt;"",$T712=$T711),$U711,IF(B712="x",U711,"")))</f>
        <v/>
      </c>
      <c r="V712" t="str">
        <f>IF(C712=1,MAX($V$2:$V711)+1,IF(AND($T712&lt;&gt;"",$T712=$T711),$U711,IF(C712="x",V711,"")))</f>
        <v/>
      </c>
      <c r="W712" t="str" cm="1">
        <f t="array" ref="W712">IFERROR(_xlfn._xlws.FILTER(game_rosters!AB:AB,(game_rosters!J:J=events!X712)*(K712&lt;&gt;"")),"")</f>
        <v/>
      </c>
      <c r="X712" t="str" cm="1">
        <f t="array" ref="X712">IF(S712="","",IF($I712&lt;&gt;"",$I712,INDEX($I$2:$I711,ROW()-COUNTIFS($T$2:$T711,"="&amp;$T712,$S$2:$S711,"&lt;&gt;"&amp;$S712)-1)))</f>
        <v/>
      </c>
      <c r="Y712" t="b">
        <f>IF(X712&lt;&gt;"",VLOOKUP(X712,game_rosters!$C$43:$E$64,3,FALSE))</f>
        <v>0</v>
      </c>
      <c r="Z712" t="e" cm="1" vm="1">
        <f t="array" aca="1" ref="Z712" ca="1">IFERROR(IF(_xlfn._xlws.FILTER(game_rosters!$J:$J,(game_rosters!$G:$G=events!$AN712)*(game_rosters!$J:$J=events!$X712))&gt;0,1,""),"")</f>
        <v>#VALUE!</v>
      </c>
      <c r="AA712" t="e">
        <f t="shared" si="115"/>
        <v>#VALUE!</v>
      </c>
      <c r="AB712" t="str">
        <f t="shared" si="116"/>
        <v/>
      </c>
      <c r="AC712" t="e">
        <f t="shared" si="114"/>
        <v>#VALUE!</v>
      </c>
      <c r="AD712" s="6"/>
      <c r="BJ712" s="39"/>
      <c r="BM712" s="39"/>
      <c r="BO712" s="19"/>
      <c r="BQ712" s="17"/>
    </row>
    <row r="713" spans="1:69" x14ac:dyDescent="0.2">
      <c r="A713" t="str">
        <f t="shared" si="117"/>
        <v/>
      </c>
      <c r="E713" s="4"/>
      <c r="F713" s="44"/>
      <c r="G713" s="4"/>
      <c r="H713" s="47"/>
      <c r="J713" s="45" t="str">
        <f t="shared" si="118"/>
        <v/>
      </c>
      <c r="N713" t="str">
        <f t="shared" si="113"/>
        <v/>
      </c>
      <c r="Q713" t="str">
        <f t="shared" si="112"/>
        <v/>
      </c>
      <c r="S713" t="str">
        <f>IF(A713=1,MAX(S$2:S712)+1,IF(OR(I713&lt;&gt;"",A713="x"),S712,""))</f>
        <v/>
      </c>
      <c r="T713" t="str">
        <f>IF(D713=1,MAX($T$2:$T712)+1,IF(S713=$S712,$S712,IF($D713="x",T712,IF($D712="x","",""))))</f>
        <v/>
      </c>
      <c r="U713" t="str">
        <f>IF(B713=1,MAX($U$2:$U712)+1,IF(AND($T713&lt;&gt;"",$T713=$T712),$U712,IF(B713="x",U712,"")))</f>
        <v/>
      </c>
      <c r="V713" t="str">
        <f>IF(C713=1,MAX($V$2:$V712)+1,IF(AND($T713&lt;&gt;"",$T713=$T712),$U712,IF(C713="x",V712,"")))</f>
        <v/>
      </c>
      <c r="W713" t="str" cm="1">
        <f t="array" ref="W713">IFERROR(_xlfn._xlws.FILTER(game_rosters!AB:AB,(game_rosters!J:J=events!X713)*(K713&lt;&gt;"")),"")</f>
        <v/>
      </c>
      <c r="X713" t="str" cm="1">
        <f t="array" ref="X713">IF(S713="","",IF($I713&lt;&gt;"",$I713,INDEX($I$2:$I712,ROW()-COUNTIFS($T$2:$T712,"="&amp;$T713,$S$2:$S712,"&lt;&gt;"&amp;$S713)-1)))</f>
        <v/>
      </c>
      <c r="Y713" t="b">
        <f>IF(X713&lt;&gt;"",VLOOKUP(X713,game_rosters!$C$43:$E$64,3,FALSE))</f>
        <v>0</v>
      </c>
      <c r="Z713" t="e" cm="1" vm="1">
        <f t="array" aca="1" ref="Z713" ca="1">IFERROR(IF(_xlfn._xlws.FILTER(game_rosters!$J:$J,(game_rosters!$G:$G=events!$AN713)*(game_rosters!$J:$J=events!$X713))&gt;0,1,""),"")</f>
        <v>#VALUE!</v>
      </c>
      <c r="AA713" t="e">
        <f t="shared" si="115"/>
        <v>#VALUE!</v>
      </c>
      <c r="AB713" t="str">
        <f t="shared" si="116"/>
        <v/>
      </c>
      <c r="AC713" t="e">
        <f t="shared" si="114"/>
        <v>#VALUE!</v>
      </c>
      <c r="AD713" s="6"/>
      <c r="BJ713" s="39"/>
      <c r="BM713" s="39"/>
      <c r="BO713" s="19"/>
      <c r="BQ713" s="17"/>
    </row>
    <row r="714" spans="1:69" x14ac:dyDescent="0.2">
      <c r="A714" t="str">
        <f t="shared" si="117"/>
        <v/>
      </c>
      <c r="E714" s="4"/>
      <c r="F714" s="44"/>
      <c r="G714" s="4"/>
      <c r="H714" s="47"/>
      <c r="J714" s="45" t="str">
        <f t="shared" si="118"/>
        <v/>
      </c>
      <c r="N714" t="str">
        <f t="shared" si="113"/>
        <v/>
      </c>
      <c r="Q714" t="str">
        <f t="shared" si="112"/>
        <v/>
      </c>
      <c r="S714" t="str">
        <f>IF(A714=1,MAX(S$2:S713)+1,IF(OR(I714&lt;&gt;"",A714="x"),S713,""))</f>
        <v/>
      </c>
      <c r="T714" t="str">
        <f>IF(D714=1,MAX($T$2:$T713)+1,IF(S714=$S713,$S713,IF($D714="x",T713,IF($D713="x","",""))))</f>
        <v/>
      </c>
      <c r="U714" t="str">
        <f>IF(B714=1,MAX($U$2:$U713)+1,IF(AND($T714&lt;&gt;"",$T714=$T713),$U713,IF(B714="x",U713,"")))</f>
        <v/>
      </c>
      <c r="V714" t="str">
        <f>IF(C714=1,MAX($V$2:$V713)+1,IF(AND($T714&lt;&gt;"",$T714=$T713),$U713,IF(C714="x",V713,"")))</f>
        <v/>
      </c>
      <c r="W714" t="str" cm="1">
        <f t="array" ref="W714">IFERROR(_xlfn._xlws.FILTER(game_rosters!AB:AB,(game_rosters!J:J=events!X714)*(K714&lt;&gt;"")),"")</f>
        <v/>
      </c>
      <c r="X714" t="str" cm="1">
        <f t="array" ref="X714">IF(S714="","",IF($I714&lt;&gt;"",$I714,INDEX($I$2:$I713,ROW()-COUNTIFS($T$2:$T713,"="&amp;$T714,$S$2:$S713,"&lt;&gt;"&amp;$S714)-1)))</f>
        <v/>
      </c>
      <c r="Y714" t="b">
        <f>IF(X714&lt;&gt;"",VLOOKUP(X714,game_rosters!$C$43:$E$64,3,FALSE))</f>
        <v>0</v>
      </c>
      <c r="Z714" t="e" cm="1" vm="1">
        <f t="array" aca="1" ref="Z714" ca="1">IFERROR(IF(_xlfn._xlws.FILTER(game_rosters!$J:$J,(game_rosters!$G:$G=events!$AN714)*(game_rosters!$J:$J=events!$X714))&gt;0,1,""),"")</f>
        <v>#VALUE!</v>
      </c>
      <c r="AA714" t="e">
        <f t="shared" si="115"/>
        <v>#VALUE!</v>
      </c>
      <c r="AB714" t="str">
        <f t="shared" si="116"/>
        <v/>
      </c>
      <c r="AC714" t="e">
        <f t="shared" si="114"/>
        <v>#VALUE!</v>
      </c>
      <c r="AD714" s="6"/>
      <c r="BJ714" s="39"/>
      <c r="BM714" s="39"/>
      <c r="BO714" s="19"/>
      <c r="BQ714" s="17"/>
    </row>
    <row r="715" spans="1:69" x14ac:dyDescent="0.2">
      <c r="A715" t="str">
        <f t="shared" si="117"/>
        <v/>
      </c>
      <c r="E715" s="4"/>
      <c r="F715" s="44"/>
      <c r="G715" s="4"/>
      <c r="H715" s="47"/>
      <c r="J715" s="45" t="str">
        <f t="shared" si="118"/>
        <v/>
      </c>
      <c r="N715" t="str">
        <f t="shared" si="113"/>
        <v/>
      </c>
      <c r="Q715" t="str">
        <f t="shared" si="112"/>
        <v/>
      </c>
      <c r="S715" t="str">
        <f>IF(A715=1,MAX(S$2:S714)+1,IF(OR(I715&lt;&gt;"",A715="x"),S714,""))</f>
        <v/>
      </c>
      <c r="T715" t="str">
        <f>IF(D715=1,MAX($T$2:$T714)+1,IF(S715=$S714,$S714,IF($D715="x",T714,IF($D714="x","",""))))</f>
        <v/>
      </c>
      <c r="U715" t="str">
        <f>IF(B715=1,MAX($U$2:$U714)+1,IF(AND($T715&lt;&gt;"",$T715=$T714),$U714,IF(B715="x",U714,"")))</f>
        <v/>
      </c>
      <c r="V715" t="str">
        <f>IF(C715=1,MAX($V$2:$V714)+1,IF(AND($T715&lt;&gt;"",$T715=$T714),$U714,IF(C715="x",V714,"")))</f>
        <v/>
      </c>
      <c r="W715" t="str" cm="1">
        <f t="array" ref="W715">IFERROR(_xlfn._xlws.FILTER(game_rosters!AB:AB,(game_rosters!J:J=events!X715)*(K715&lt;&gt;"")),"")</f>
        <v/>
      </c>
      <c r="X715" t="str" cm="1">
        <f t="array" ref="X715">IF(S715="","",IF($I715&lt;&gt;"",$I715,INDEX($I$2:$I714,ROW()-COUNTIFS($T$2:$T714,"="&amp;$T715,$S$2:$S714,"&lt;&gt;"&amp;$S715)-1)))</f>
        <v/>
      </c>
      <c r="Y715" t="b">
        <f>IF(X715&lt;&gt;"",VLOOKUP(X715,game_rosters!$C$43:$E$64,3,FALSE))</f>
        <v>0</v>
      </c>
      <c r="Z715" t="e" cm="1" vm="1">
        <f t="array" aca="1" ref="Z715" ca="1">IFERROR(IF(_xlfn._xlws.FILTER(game_rosters!$J:$J,(game_rosters!$G:$G=events!$AN715)*(game_rosters!$J:$J=events!$X715))&gt;0,1,""),"")</f>
        <v>#VALUE!</v>
      </c>
      <c r="AA715" t="e">
        <f t="shared" si="115"/>
        <v>#VALUE!</v>
      </c>
      <c r="AB715" t="str">
        <f t="shared" si="116"/>
        <v/>
      </c>
      <c r="AC715" t="e">
        <f t="shared" si="114"/>
        <v>#VALUE!</v>
      </c>
      <c r="AD715" s="6"/>
      <c r="BJ715" s="39"/>
      <c r="BM715" s="39"/>
      <c r="BO715" s="19"/>
      <c r="BQ715" s="17"/>
    </row>
    <row r="716" spans="1:69" x14ac:dyDescent="0.2">
      <c r="A716" t="str">
        <f t="shared" si="117"/>
        <v/>
      </c>
      <c r="E716" s="4"/>
      <c r="F716" s="44"/>
      <c r="G716" s="4"/>
      <c r="H716" s="47"/>
      <c r="J716" s="45" t="str">
        <f t="shared" si="118"/>
        <v/>
      </c>
      <c r="N716" t="str">
        <f t="shared" si="113"/>
        <v/>
      </c>
      <c r="Q716" t="str">
        <f t="shared" si="112"/>
        <v/>
      </c>
      <c r="S716" t="str">
        <f>IF(A716=1,MAX(S$2:S715)+1,IF(OR(I716&lt;&gt;"",A716="x"),S715,""))</f>
        <v/>
      </c>
      <c r="T716" t="str">
        <f>IF(D716=1,MAX($T$2:$T715)+1,IF(S716=$S715,$S715,IF($D716="x",T715,IF($D715="x","",""))))</f>
        <v/>
      </c>
      <c r="U716" t="str">
        <f>IF(B716=1,MAX($U$2:$U715)+1,IF(AND($T716&lt;&gt;"",$T716=$T715),$U715,IF(B716="x",U715,"")))</f>
        <v/>
      </c>
      <c r="V716" t="str">
        <f>IF(C716=1,MAX($V$2:$V715)+1,IF(AND($T716&lt;&gt;"",$T716=$T715),$U715,IF(C716="x",V715,"")))</f>
        <v/>
      </c>
      <c r="W716" t="str" cm="1">
        <f t="array" ref="W716">IFERROR(_xlfn._xlws.FILTER(game_rosters!AB:AB,(game_rosters!J:J=events!X716)*(K716&lt;&gt;"")),"")</f>
        <v/>
      </c>
      <c r="X716" t="str" cm="1">
        <f t="array" ref="X716">IF(S716="","",IF($I716&lt;&gt;"",$I716,INDEX($I$2:$I715,ROW()-COUNTIFS($T$2:$T715,"="&amp;$T716,$S$2:$S715,"&lt;&gt;"&amp;$S716)-1)))</f>
        <v/>
      </c>
      <c r="Y716" t="b">
        <f>IF(X716&lt;&gt;"",VLOOKUP(X716,game_rosters!$C$43:$E$64,3,FALSE))</f>
        <v>0</v>
      </c>
      <c r="Z716" t="e" cm="1" vm="1">
        <f t="array" aca="1" ref="Z716" ca="1">IFERROR(IF(_xlfn._xlws.FILTER(game_rosters!$J:$J,(game_rosters!$G:$G=events!$AN716)*(game_rosters!$J:$J=events!$X716))&gt;0,1,""),"")</f>
        <v>#VALUE!</v>
      </c>
      <c r="AA716" t="e">
        <f t="shared" si="115"/>
        <v>#VALUE!</v>
      </c>
      <c r="AB716" t="str">
        <f t="shared" si="116"/>
        <v/>
      </c>
      <c r="AC716" t="e">
        <f t="shared" si="114"/>
        <v>#VALUE!</v>
      </c>
      <c r="AD716" s="6"/>
      <c r="BJ716" s="39"/>
      <c r="BM716" s="39"/>
      <c r="BO716" s="19"/>
      <c r="BQ716" s="17"/>
    </row>
    <row r="717" spans="1:69" x14ac:dyDescent="0.2">
      <c r="A717" t="str">
        <f t="shared" si="117"/>
        <v/>
      </c>
      <c r="E717" s="4"/>
      <c r="F717" s="44"/>
      <c r="G717" s="4"/>
      <c r="H717" s="47"/>
      <c r="J717" s="45" t="str">
        <f t="shared" si="118"/>
        <v/>
      </c>
      <c r="N717" t="str">
        <f t="shared" si="113"/>
        <v/>
      </c>
      <c r="Q717" t="str">
        <f t="shared" si="112"/>
        <v/>
      </c>
      <c r="S717" t="str">
        <f>IF(A717=1,MAX(S$2:S716)+1,IF(OR(I717&lt;&gt;"",A717="x"),S716,""))</f>
        <v/>
      </c>
      <c r="T717" t="str">
        <f>IF(D717=1,MAX($T$2:$T716)+1,IF(S717=$S716,$S716,IF($D717="x",T716,IF($D716="x","",""))))</f>
        <v/>
      </c>
      <c r="U717" t="str">
        <f>IF(B717=1,MAX($U$2:$U716)+1,IF(AND($T717&lt;&gt;"",$T717=$T716),$U716,IF(B717="x",U716,"")))</f>
        <v/>
      </c>
      <c r="V717" t="str">
        <f>IF(C717=1,MAX($V$2:$V716)+1,IF(AND($T717&lt;&gt;"",$T717=$T716),$U716,IF(C717="x",V716,"")))</f>
        <v/>
      </c>
      <c r="W717" t="str" cm="1">
        <f t="array" ref="W717">IFERROR(_xlfn._xlws.FILTER(game_rosters!AB:AB,(game_rosters!J:J=events!X717)*(K717&lt;&gt;"")),"")</f>
        <v/>
      </c>
      <c r="X717" t="str" cm="1">
        <f t="array" ref="X717">IF(S717="","",IF($I717&lt;&gt;"",$I717,INDEX($I$2:$I716,ROW()-COUNTIFS($T$2:$T716,"="&amp;$T717,$S$2:$S716,"&lt;&gt;"&amp;$S717)-1)))</f>
        <v/>
      </c>
      <c r="Y717" t="b">
        <f>IF(X717&lt;&gt;"",VLOOKUP(X717,game_rosters!$C$43:$E$64,3,FALSE))</f>
        <v>0</v>
      </c>
      <c r="Z717" t="e" cm="1" vm="1">
        <f t="array" aca="1" ref="Z717" ca="1">IFERROR(IF(_xlfn._xlws.FILTER(game_rosters!$J:$J,(game_rosters!$G:$G=events!$AN717)*(game_rosters!$J:$J=events!$X717))&gt;0,1,""),"")</f>
        <v>#VALUE!</v>
      </c>
      <c r="AA717" t="e">
        <f t="shared" si="115"/>
        <v>#VALUE!</v>
      </c>
      <c r="AB717" t="str">
        <f t="shared" si="116"/>
        <v/>
      </c>
      <c r="AC717" t="e">
        <f t="shared" si="114"/>
        <v>#VALUE!</v>
      </c>
      <c r="AD717" s="6"/>
      <c r="BJ717" s="39"/>
      <c r="BM717" s="39"/>
      <c r="BO717" s="19"/>
      <c r="BQ717" s="17"/>
    </row>
    <row r="718" spans="1:69" x14ac:dyDescent="0.2">
      <c r="A718" t="str">
        <f t="shared" si="117"/>
        <v/>
      </c>
      <c r="E718" s="4"/>
      <c r="F718" s="44"/>
      <c r="G718" s="4"/>
      <c r="H718" s="47"/>
      <c r="J718" s="45" t="str">
        <f t="shared" si="118"/>
        <v/>
      </c>
      <c r="N718" t="str">
        <f t="shared" si="113"/>
        <v/>
      </c>
      <c r="Q718" t="str">
        <f t="shared" si="112"/>
        <v/>
      </c>
      <c r="S718" t="str">
        <f>IF(A718=1,MAX(S$2:S717)+1,IF(OR(I718&lt;&gt;"",A718="x"),S717,""))</f>
        <v/>
      </c>
      <c r="T718" t="str">
        <f>IF(D718=1,MAX($T$2:$T717)+1,IF(S718=$S717,$S717,IF($D718="x",T717,IF($D717="x","",""))))</f>
        <v/>
      </c>
      <c r="U718" t="str">
        <f>IF(B718=1,MAX($U$2:$U717)+1,IF(AND($T718&lt;&gt;"",$T718=$T717),$U717,IF(B718="x",U717,"")))</f>
        <v/>
      </c>
      <c r="V718" t="str">
        <f>IF(C718=1,MAX($V$2:$V717)+1,IF(AND($T718&lt;&gt;"",$T718=$T717),$U717,IF(C718="x",V717,"")))</f>
        <v/>
      </c>
      <c r="W718" t="str" cm="1">
        <f t="array" ref="W718">IFERROR(_xlfn._xlws.FILTER(game_rosters!AB:AB,(game_rosters!J:J=events!X718)*(K718&lt;&gt;"")),"")</f>
        <v/>
      </c>
      <c r="X718" t="str" cm="1">
        <f t="array" ref="X718">IF(S718="","",IF($I718&lt;&gt;"",$I718,INDEX($I$2:$I717,ROW()-COUNTIFS($T$2:$T717,"="&amp;$T718,$S$2:$S717,"&lt;&gt;"&amp;$S718)-1)))</f>
        <v/>
      </c>
      <c r="Y718" t="b">
        <f>IF(X718&lt;&gt;"",VLOOKUP(X718,game_rosters!$C$43:$E$64,3,FALSE))</f>
        <v>0</v>
      </c>
      <c r="Z718" t="e" cm="1" vm="1">
        <f t="array" aca="1" ref="Z718" ca="1">IFERROR(IF(_xlfn._xlws.FILTER(game_rosters!$J:$J,(game_rosters!$G:$G=events!$AN718)*(game_rosters!$J:$J=events!$X718))&gt;0,1,""),"")</f>
        <v>#VALUE!</v>
      </c>
      <c r="AA718" t="e">
        <f t="shared" si="115"/>
        <v>#VALUE!</v>
      </c>
      <c r="AB718" t="str">
        <f t="shared" si="116"/>
        <v/>
      </c>
      <c r="AC718" t="e">
        <f t="shared" si="114"/>
        <v>#VALUE!</v>
      </c>
      <c r="AD718" s="6"/>
      <c r="BJ718" s="39"/>
      <c r="BM718" s="39"/>
      <c r="BO718" s="19"/>
      <c r="BQ718" s="17"/>
    </row>
    <row r="719" spans="1:69" x14ac:dyDescent="0.2">
      <c r="A719" t="str">
        <f t="shared" si="117"/>
        <v/>
      </c>
      <c r="E719" s="4"/>
      <c r="F719" s="44"/>
      <c r="G719" s="4"/>
      <c r="H719" s="47"/>
      <c r="J719" s="45" t="str">
        <f t="shared" si="118"/>
        <v/>
      </c>
      <c r="N719" t="str">
        <f t="shared" si="113"/>
        <v/>
      </c>
      <c r="Q719" t="str">
        <f t="shared" si="112"/>
        <v/>
      </c>
      <c r="S719" t="str">
        <f>IF(A719=1,MAX(S$2:S718)+1,IF(OR(I719&lt;&gt;"",A719="x"),S718,""))</f>
        <v/>
      </c>
      <c r="T719" t="str">
        <f>IF(D719=1,MAX($T$2:$T718)+1,IF(S719=$S718,$S718,IF($D719="x",T718,IF($D718="x","",""))))</f>
        <v/>
      </c>
      <c r="U719" t="str">
        <f>IF(B719=1,MAX($U$2:$U718)+1,IF(AND($T719&lt;&gt;"",$T719=$T718),$U718,IF(B719="x",U718,"")))</f>
        <v/>
      </c>
      <c r="V719" t="str">
        <f>IF(C719=1,MAX($V$2:$V718)+1,IF(AND($T719&lt;&gt;"",$T719=$T718),$U718,IF(C719="x",V718,"")))</f>
        <v/>
      </c>
      <c r="W719" t="str" cm="1">
        <f t="array" ref="W719">IFERROR(_xlfn._xlws.FILTER(game_rosters!AB:AB,(game_rosters!J:J=events!X719)*(K719&lt;&gt;"")),"")</f>
        <v/>
      </c>
      <c r="X719" t="str" cm="1">
        <f t="array" ref="X719">IF(S719="","",IF($I719&lt;&gt;"",$I719,INDEX($I$2:$I718,ROW()-COUNTIFS($T$2:$T718,"="&amp;$T719,$S$2:$S718,"&lt;&gt;"&amp;$S719)-1)))</f>
        <v/>
      </c>
      <c r="Y719" t="b">
        <f>IF(X719&lt;&gt;"",VLOOKUP(X719,game_rosters!$C$43:$E$64,3,FALSE))</f>
        <v>0</v>
      </c>
      <c r="Z719" t="e" cm="1" vm="1">
        <f t="array" aca="1" ref="Z719" ca="1">IFERROR(IF(_xlfn._xlws.FILTER(game_rosters!$J:$J,(game_rosters!$G:$G=events!$AN719)*(game_rosters!$J:$J=events!$X719))&gt;0,1,""),"")</f>
        <v>#VALUE!</v>
      </c>
      <c r="AA719" t="e">
        <f t="shared" si="115"/>
        <v>#VALUE!</v>
      </c>
      <c r="AB719" t="str">
        <f t="shared" si="116"/>
        <v/>
      </c>
      <c r="AC719" t="e">
        <f t="shared" si="114"/>
        <v>#VALUE!</v>
      </c>
      <c r="AD719" s="6"/>
      <c r="BJ719" s="39"/>
      <c r="BM719" s="39"/>
      <c r="BO719" s="19"/>
      <c r="BQ719" s="17"/>
    </row>
    <row r="720" spans="1:69" x14ac:dyDescent="0.2">
      <c r="A720" t="str">
        <f t="shared" si="117"/>
        <v/>
      </c>
      <c r="E720" s="4"/>
      <c r="F720" s="44"/>
      <c r="G720" s="4"/>
      <c r="H720" s="47"/>
      <c r="J720" s="45" t="str">
        <f t="shared" si="118"/>
        <v/>
      </c>
      <c r="N720" t="str">
        <f t="shared" si="113"/>
        <v/>
      </c>
      <c r="Q720" t="str">
        <f t="shared" ref="Q720:Q783" si="119">IF(O720="","",IF(AND(N720&lt;&gt;"",OR(O720&lt;&gt;"",P720&lt;&gt;"")),N720,IF(OR(ISNUMBER(SEARCH("attemp",O720)),ISNUMBER(SEARCH("beat",O720)),ISNUMBER(SEARCH("mis",O720)),ISNUMBER(SEARCH("fail",O720)),ISNUMBER(SEARCH("loss",O720)),ISNUMBER(SEARCH("lost",O720)),ISNUMBER(SEARCH("attemp",P720)),ISNUMBER(SEARCH("mis",P720)),ISNUMBER(SEARCH("fail",P720)),ISNUMBER(SEARCH("loss",P720)),ISNUMBER(SEARCH("beat",P720)),ISNUMBER(SEARCH("lost",P720))),"u","")))</f>
        <v/>
      </c>
      <c r="S720" t="str">
        <f>IF(A720=1,MAX(S$2:S719)+1,IF(OR(I720&lt;&gt;"",A720="x"),S719,""))</f>
        <v/>
      </c>
      <c r="T720" t="str">
        <f>IF(D720=1,MAX($T$2:$T719)+1,IF(S720=$S719,$S719,IF($D720="x",T719,IF($D719="x","",""))))</f>
        <v/>
      </c>
      <c r="U720" t="str">
        <f>IF(B720=1,MAX($U$2:$U719)+1,IF(AND($T720&lt;&gt;"",$T720=$T719),$U719,IF(B720="x",U719,"")))</f>
        <v/>
      </c>
      <c r="V720" t="str">
        <f>IF(C720=1,MAX($V$2:$V719)+1,IF(AND($T720&lt;&gt;"",$T720=$T719),$U719,IF(C720="x",V719,"")))</f>
        <v/>
      </c>
      <c r="W720" t="str" cm="1">
        <f t="array" ref="W720">IFERROR(_xlfn._xlws.FILTER(game_rosters!AB:AB,(game_rosters!J:J=events!X720)*(K720&lt;&gt;"")),"")</f>
        <v/>
      </c>
      <c r="X720" t="str" cm="1">
        <f t="array" ref="X720">IF(S720="","",IF($I720&lt;&gt;"",$I720,INDEX($I$2:$I719,ROW()-COUNTIFS($T$2:$T719,"="&amp;$T720,$S$2:$S719,"&lt;&gt;"&amp;$S720)-1)))</f>
        <v/>
      </c>
      <c r="Y720" t="b">
        <f>IF(X720&lt;&gt;"",VLOOKUP(X720,game_rosters!$C$43:$E$64,3,FALSE))</f>
        <v>0</v>
      </c>
      <c r="Z720" t="e" cm="1" vm="1">
        <f t="array" aca="1" ref="Z720" ca="1">IFERROR(IF(_xlfn._xlws.FILTER(game_rosters!$J:$J,(game_rosters!$G:$G=events!$AN720)*(game_rosters!$J:$J=events!$X720))&gt;0,1,""),"")</f>
        <v>#VALUE!</v>
      </c>
      <c r="AA720" t="e">
        <f t="shared" si="115"/>
        <v>#VALUE!</v>
      </c>
      <c r="AB720" t="str">
        <f t="shared" si="116"/>
        <v/>
      </c>
      <c r="AC720" t="e">
        <f t="shared" si="114"/>
        <v>#VALUE!</v>
      </c>
      <c r="AD720" s="6"/>
      <c r="BJ720" s="39"/>
      <c r="BM720" s="39"/>
      <c r="BO720" s="19"/>
      <c r="BQ720" s="17"/>
    </row>
    <row r="721" spans="1:69" x14ac:dyDescent="0.2">
      <c r="A721" t="str">
        <f t="shared" si="117"/>
        <v/>
      </c>
      <c r="E721" s="4"/>
      <c r="F721" s="44"/>
      <c r="G721" s="4"/>
      <c r="H721" s="47"/>
      <c r="J721" s="45" t="str">
        <f t="shared" si="118"/>
        <v/>
      </c>
      <c r="N721" t="str">
        <f t="shared" si="113"/>
        <v/>
      </c>
      <c r="Q721" t="str">
        <f t="shared" si="119"/>
        <v/>
      </c>
      <c r="S721" t="str">
        <f>IF(A721=1,MAX(S$2:S720)+1,IF(OR(I721&lt;&gt;"",A721="x"),S720,""))</f>
        <v/>
      </c>
      <c r="T721" t="str">
        <f>IF(D721=1,MAX($T$2:$T720)+1,IF(S721=$S720,$S720,IF($D721="x",T720,IF($D720="x","",""))))</f>
        <v/>
      </c>
      <c r="U721" t="str">
        <f>IF(B721=1,MAX($U$2:$U720)+1,IF(AND($T721&lt;&gt;"",$T721=$T720),$U720,IF(B721="x",U720,"")))</f>
        <v/>
      </c>
      <c r="V721" t="str">
        <f>IF(C721=1,MAX($V$2:$V720)+1,IF(AND($T721&lt;&gt;"",$T721=$T720),$U720,IF(C721="x",V720,"")))</f>
        <v/>
      </c>
      <c r="W721" t="str" cm="1">
        <f t="array" ref="W721">IFERROR(_xlfn._xlws.FILTER(game_rosters!AB:AB,(game_rosters!J:J=events!X721)*(K721&lt;&gt;"")),"")</f>
        <v/>
      </c>
      <c r="X721" t="str" cm="1">
        <f t="array" ref="X721">IF(S721="","",IF($I721&lt;&gt;"",$I721,INDEX($I$2:$I720,ROW()-COUNTIFS($T$2:$T720,"="&amp;$T721,$S$2:$S720,"&lt;&gt;"&amp;$S721)-1)))</f>
        <v/>
      </c>
      <c r="Y721" t="b">
        <f>IF(X721&lt;&gt;"",VLOOKUP(X721,game_rosters!$C$43:$E$64,3,FALSE))</f>
        <v>0</v>
      </c>
      <c r="Z721" t="e" cm="1" vm="1">
        <f t="array" aca="1" ref="Z721" ca="1">IFERROR(IF(_xlfn._xlws.FILTER(game_rosters!$J:$J,(game_rosters!$G:$G=events!$AN721)*(game_rosters!$J:$J=events!$X721))&gt;0,1,""),"")</f>
        <v>#VALUE!</v>
      </c>
      <c r="AA721" t="e">
        <f t="shared" si="115"/>
        <v>#VALUE!</v>
      </c>
      <c r="AB721" t="str">
        <f t="shared" si="116"/>
        <v/>
      </c>
      <c r="AC721" t="e">
        <f t="shared" si="114"/>
        <v>#VALUE!</v>
      </c>
      <c r="AD721" s="6"/>
      <c r="BJ721" s="39"/>
      <c r="BM721" s="39"/>
      <c r="BO721" s="19"/>
      <c r="BQ721" s="17"/>
    </row>
    <row r="722" spans="1:69" x14ac:dyDescent="0.2">
      <c r="A722" t="str">
        <f t="shared" si="117"/>
        <v/>
      </c>
      <c r="E722" s="4"/>
      <c r="F722" s="44"/>
      <c r="G722" s="4"/>
      <c r="H722" s="47"/>
      <c r="J722" s="45" t="str">
        <f t="shared" si="118"/>
        <v/>
      </c>
      <c r="N722" t="str">
        <f t="shared" si="113"/>
        <v/>
      </c>
      <c r="Q722" t="str">
        <f t="shared" si="119"/>
        <v/>
      </c>
      <c r="S722" t="str">
        <f>IF(A722=1,MAX(S$2:S721)+1,IF(OR(I722&lt;&gt;"",A722="x"),S721,""))</f>
        <v/>
      </c>
      <c r="T722" t="str">
        <f>IF(D722=1,MAX($T$2:$T721)+1,IF(S722=$S721,$S721,IF($D722="x",T721,IF($D721="x","",""))))</f>
        <v/>
      </c>
      <c r="U722" t="str">
        <f>IF(B722=1,MAX($U$2:$U721)+1,IF(AND($T722&lt;&gt;"",$T722=$T721),$U721,IF(B722="x",U721,"")))</f>
        <v/>
      </c>
      <c r="V722" t="str">
        <f>IF(C722=1,MAX($V$2:$V721)+1,IF(AND($T722&lt;&gt;"",$T722=$T721),$U721,IF(C722="x",V721,"")))</f>
        <v/>
      </c>
      <c r="W722" t="str" cm="1">
        <f t="array" ref="W722">IFERROR(_xlfn._xlws.FILTER(game_rosters!AB:AB,(game_rosters!J:J=events!X722)*(K722&lt;&gt;"")),"")</f>
        <v/>
      </c>
      <c r="X722" t="str" cm="1">
        <f t="array" ref="X722">IF(S722="","",IF($I722&lt;&gt;"",$I722,INDEX($I$2:$I721,ROW()-COUNTIFS($T$2:$T721,"="&amp;$T722,$S$2:$S721,"&lt;&gt;"&amp;$S722)-1)))</f>
        <v/>
      </c>
      <c r="Y722" t="b">
        <f>IF(X722&lt;&gt;"",VLOOKUP(X722,game_rosters!$C$43:$E$64,3,FALSE))</f>
        <v>0</v>
      </c>
      <c r="Z722" t="e" cm="1" vm="1">
        <f t="array" aca="1" ref="Z722" ca="1">IFERROR(IF(_xlfn._xlws.FILTER(game_rosters!$J:$J,(game_rosters!$G:$G=events!$AN722)*(game_rosters!$J:$J=events!$X722))&gt;0,1,""),"")</f>
        <v>#VALUE!</v>
      </c>
      <c r="AA722" t="e">
        <f t="shared" si="115"/>
        <v>#VALUE!</v>
      </c>
      <c r="AB722" t="str">
        <f t="shared" si="116"/>
        <v/>
      </c>
      <c r="AC722" t="e">
        <f t="shared" si="114"/>
        <v>#VALUE!</v>
      </c>
      <c r="AD722" s="6"/>
      <c r="BJ722" s="39"/>
      <c r="BM722" s="39"/>
      <c r="BO722" s="19"/>
      <c r="BQ722" s="17"/>
    </row>
    <row r="723" spans="1:69" x14ac:dyDescent="0.2">
      <c r="A723" t="str">
        <f t="shared" si="117"/>
        <v/>
      </c>
      <c r="E723" s="4"/>
      <c r="F723" s="44"/>
      <c r="G723" s="4"/>
      <c r="H723" s="47"/>
      <c r="J723" s="45" t="str">
        <f t="shared" si="118"/>
        <v/>
      </c>
      <c r="N723" t="str">
        <f t="shared" si="113"/>
        <v/>
      </c>
      <c r="Q723" t="str">
        <f t="shared" si="119"/>
        <v/>
      </c>
      <c r="S723" t="str">
        <f>IF(A723=1,MAX(S$2:S722)+1,IF(OR(I723&lt;&gt;"",A723="x"),S722,""))</f>
        <v/>
      </c>
      <c r="T723" t="str">
        <f>IF(D723=1,MAX($T$2:$T722)+1,IF(S723=$S722,$S722,IF($D723="x",T722,IF($D722="x","",""))))</f>
        <v/>
      </c>
      <c r="U723" t="str">
        <f>IF(B723=1,MAX($U$2:$U722)+1,IF(AND($T723&lt;&gt;"",$T723=$T722),$U722,IF(B723="x",U722,"")))</f>
        <v/>
      </c>
      <c r="V723" t="str">
        <f>IF(C723=1,MAX($V$2:$V722)+1,IF(AND($T723&lt;&gt;"",$T723=$T722),$U722,IF(C723="x",V722,"")))</f>
        <v/>
      </c>
      <c r="W723" t="str" cm="1">
        <f t="array" ref="W723">IFERROR(_xlfn._xlws.FILTER(game_rosters!AB:AB,(game_rosters!J:J=events!X723)*(K723&lt;&gt;"")),"")</f>
        <v/>
      </c>
      <c r="X723" t="str" cm="1">
        <f t="array" ref="X723">IF(S723="","",IF($I723&lt;&gt;"",$I723,INDEX($I$2:$I722,ROW()-COUNTIFS($T$2:$T722,"="&amp;$T723,$S$2:$S722,"&lt;&gt;"&amp;$S723)-1)))</f>
        <v/>
      </c>
      <c r="Y723" t="b">
        <f>IF(X723&lt;&gt;"",VLOOKUP(X723,game_rosters!$C$43:$E$64,3,FALSE))</f>
        <v>0</v>
      </c>
      <c r="Z723" t="e" cm="1" vm="1">
        <f t="array" aca="1" ref="Z723" ca="1">IFERROR(IF(_xlfn._xlws.FILTER(game_rosters!$J:$J,(game_rosters!$G:$G=events!$AN723)*(game_rosters!$J:$J=events!$X723))&gt;0,1,""),"")</f>
        <v>#VALUE!</v>
      </c>
      <c r="AA723" t="e">
        <f t="shared" si="115"/>
        <v>#VALUE!</v>
      </c>
      <c r="AB723" t="str">
        <f t="shared" si="116"/>
        <v/>
      </c>
      <c r="AC723" t="e">
        <f t="shared" si="114"/>
        <v>#VALUE!</v>
      </c>
      <c r="AD723" s="6"/>
      <c r="BJ723" s="39"/>
      <c r="BM723" s="39"/>
      <c r="BO723" s="19"/>
      <c r="BQ723" s="17"/>
    </row>
    <row r="724" spans="1:69" x14ac:dyDescent="0.2">
      <c r="A724" t="str">
        <f t="shared" si="117"/>
        <v/>
      </c>
      <c r="E724" s="4"/>
      <c r="F724" s="44"/>
      <c r="G724" s="4"/>
      <c r="H724" s="47"/>
      <c r="J724" s="45" t="str">
        <f t="shared" si="118"/>
        <v/>
      </c>
      <c r="N724" t="str">
        <f t="shared" si="113"/>
        <v/>
      </c>
      <c r="Q724" t="str">
        <f t="shared" si="119"/>
        <v/>
      </c>
      <c r="S724" t="str">
        <f>IF(A724=1,MAX(S$2:S723)+1,IF(OR(I724&lt;&gt;"",A724="x"),S723,""))</f>
        <v/>
      </c>
      <c r="T724" t="str">
        <f>IF(D724=1,MAX($T$2:$T723)+1,IF(S724=$S723,$S723,IF($D724="x",T723,IF($D723="x","",""))))</f>
        <v/>
      </c>
      <c r="U724" t="str">
        <f>IF(B724=1,MAX($U$2:$U723)+1,IF(AND($T724&lt;&gt;"",$T724=$T723),$U723,IF(B724="x",U723,"")))</f>
        <v/>
      </c>
      <c r="V724" t="str">
        <f>IF(C724=1,MAX($V$2:$V723)+1,IF(AND($T724&lt;&gt;"",$T724=$T723),$U723,IF(C724="x",V723,"")))</f>
        <v/>
      </c>
      <c r="W724" t="str" cm="1">
        <f t="array" ref="W724">IFERROR(_xlfn._xlws.FILTER(game_rosters!AB:AB,(game_rosters!J:J=events!X724)*(K724&lt;&gt;"")),"")</f>
        <v/>
      </c>
      <c r="X724" t="str" cm="1">
        <f t="array" ref="X724">IF(S724="","",IF($I724&lt;&gt;"",$I724,INDEX($I$2:$I723,ROW()-COUNTIFS($T$2:$T723,"="&amp;$T724,$S$2:$S723,"&lt;&gt;"&amp;$S724)-1)))</f>
        <v/>
      </c>
      <c r="Y724" t="b">
        <f>IF(X724&lt;&gt;"",VLOOKUP(X724,game_rosters!$C$43:$E$64,3,FALSE))</f>
        <v>0</v>
      </c>
      <c r="Z724" t="e" cm="1" vm="1">
        <f t="array" aca="1" ref="Z724" ca="1">IFERROR(IF(_xlfn._xlws.FILTER(game_rosters!$J:$J,(game_rosters!$G:$G=events!$AN724)*(game_rosters!$J:$J=events!$X724))&gt;0,1,""),"")</f>
        <v>#VALUE!</v>
      </c>
      <c r="AA724" t="e">
        <f t="shared" si="115"/>
        <v>#VALUE!</v>
      </c>
      <c r="AB724" t="str">
        <f t="shared" si="116"/>
        <v/>
      </c>
      <c r="AC724" t="e">
        <f t="shared" si="114"/>
        <v>#VALUE!</v>
      </c>
      <c r="AD724" s="6"/>
      <c r="BJ724" s="39"/>
      <c r="BM724" s="39"/>
      <c r="BO724" s="19"/>
      <c r="BQ724" s="17"/>
    </row>
    <row r="725" spans="1:69" x14ac:dyDescent="0.2">
      <c r="A725" t="str">
        <f t="shared" si="117"/>
        <v/>
      </c>
      <c r="E725" s="4"/>
      <c r="F725" s="44"/>
      <c r="G725" s="4"/>
      <c r="H725" s="47"/>
      <c r="J725" s="45" t="str">
        <f t="shared" si="118"/>
        <v/>
      </c>
      <c r="N725" t="str">
        <f t="shared" ref="N725:N788" si="120">IF(K725="","",IF(K725="Goal","s",IF(AND(K725="Zone_Entry_Exit",OR(ISNUMBER(SEARCH("fail",L725)),ISNUMBER(SEARCH("FromExitClear",M725)),ISNUMBER(SEARCH("miss",M725)))),"u",IF(AND(K725="Zone_Entry_Exit",OR(NOT(ISNUMBER(SEARCH("fail",L725))),NOT(ISNUMBER(SEARCH("FromExitClear",M725))),NOT(ISNUMBER(SEARCH("miss",M725))))),"s",IF(AND(OR(K725="Shot",K725="Pass"),OR(ISNUMBER(SEARCH("complete",L725)),ISNUMBER(SEARCH("goal",L725)),ISNUMBER(SEARCH("OnNet",L725)))),"s",IF(L725="Turnover_Giveaway","u",IF(AND(OR(K725="Shot",K725="Pass"),OR(ISNUMBER(SEARCH("fail",L725)),NOT(ISNUMBER(SEARCH("complete",L725))),NOT(ISNUMBER(SEARCH("OnNet",L725))))),"u","")))))))</f>
        <v/>
      </c>
      <c r="Q725" t="str">
        <f t="shared" si="119"/>
        <v/>
      </c>
      <c r="S725" t="str">
        <f>IF(A725=1,MAX(S$2:S724)+1,IF(OR(I725&lt;&gt;"",A725="x"),S724,""))</f>
        <v/>
      </c>
      <c r="T725" t="str">
        <f>IF(D725=1,MAX($T$2:$T724)+1,IF(S725=$S724,$S724,IF($D725="x",T724,IF($D724="x","",""))))</f>
        <v/>
      </c>
      <c r="U725" t="str">
        <f>IF(B725=1,MAX($U$2:$U724)+1,IF(AND($T725&lt;&gt;"",$T725=$T724),$U724,IF(B725="x",U724,"")))</f>
        <v/>
      </c>
      <c r="V725" t="str">
        <f>IF(C725=1,MAX($V$2:$V724)+1,IF(AND($T725&lt;&gt;"",$T725=$T724),$U724,IF(C725="x",V724,"")))</f>
        <v/>
      </c>
      <c r="W725" t="str" cm="1">
        <f t="array" ref="W725">IFERROR(_xlfn._xlws.FILTER(game_rosters!AB:AB,(game_rosters!J:J=events!X725)*(K725&lt;&gt;"")),"")</f>
        <v/>
      </c>
      <c r="X725" t="str" cm="1">
        <f t="array" ref="X725">IF(S725="","",IF($I725&lt;&gt;"",$I725,INDEX($I$2:$I724,ROW()-COUNTIFS($T$2:$T724,"="&amp;$T725,$S$2:$S724,"&lt;&gt;"&amp;$S725)-1)))</f>
        <v/>
      </c>
      <c r="Y725" t="b">
        <f>IF(X725&lt;&gt;"",VLOOKUP(X725,game_rosters!$C$43:$E$64,3,FALSE))</f>
        <v>0</v>
      </c>
      <c r="Z725" t="e" cm="1" vm="1">
        <f t="array" aca="1" ref="Z725" ca="1">IFERROR(IF(_xlfn._xlws.FILTER(game_rosters!$J:$J,(game_rosters!$G:$G=events!$AN725)*(game_rosters!$J:$J=events!$X725))&gt;0,1,""),"")</f>
        <v>#VALUE!</v>
      </c>
      <c r="AA725" t="e">
        <f t="shared" si="115"/>
        <v>#VALUE!</v>
      </c>
      <c r="AB725" t="str">
        <f t="shared" si="116"/>
        <v/>
      </c>
      <c r="AC725" t="e">
        <f t="shared" si="114"/>
        <v>#VALUE!</v>
      </c>
      <c r="AD725" s="6"/>
      <c r="BJ725" s="39"/>
      <c r="BM725" s="39"/>
      <c r="BO725" s="19"/>
      <c r="BQ725" s="17"/>
    </row>
    <row r="726" spans="1:69" x14ac:dyDescent="0.2">
      <c r="A726" t="str">
        <f t="shared" si="117"/>
        <v/>
      </c>
      <c r="E726" s="4"/>
      <c r="F726" s="44"/>
      <c r="G726" s="4"/>
      <c r="H726" s="47"/>
      <c r="J726" s="45" t="str">
        <f t="shared" si="118"/>
        <v/>
      </c>
      <c r="N726" t="str">
        <f t="shared" si="120"/>
        <v/>
      </c>
      <c r="Q726" t="str">
        <f t="shared" si="119"/>
        <v/>
      </c>
      <c r="S726" t="str">
        <f>IF(A726=1,MAX(S$2:S725)+1,IF(OR(I726&lt;&gt;"",A726="x"),S725,""))</f>
        <v/>
      </c>
      <c r="T726" t="str">
        <f>IF(D726=1,MAX($T$2:$T725)+1,IF(S726=$S725,$S725,IF($D726="x",T725,IF($D725="x","",""))))</f>
        <v/>
      </c>
      <c r="U726" t="str">
        <f>IF(B726=1,MAX($U$2:$U725)+1,IF(AND($T726&lt;&gt;"",$T726=$T725),$U725,IF(B726="x",U725,"")))</f>
        <v/>
      </c>
      <c r="V726" t="str">
        <f>IF(C726=1,MAX($V$2:$V725)+1,IF(AND($T726&lt;&gt;"",$T726=$T725),$U725,IF(C726="x",V725,"")))</f>
        <v/>
      </c>
      <c r="W726" t="str" cm="1">
        <f t="array" ref="W726">IFERROR(_xlfn._xlws.FILTER(game_rosters!AB:AB,(game_rosters!J:J=events!X726)*(K726&lt;&gt;"")),"")</f>
        <v/>
      </c>
      <c r="X726" t="str" cm="1">
        <f t="array" ref="X726">IF(S726="","",IF($I726&lt;&gt;"",$I726,INDEX($I$2:$I725,ROW()-COUNTIFS($T$2:$T725,"="&amp;$T726,$S$2:$S725,"&lt;&gt;"&amp;$S726)-1)))</f>
        <v/>
      </c>
      <c r="Y726" t="b">
        <f>IF(X726&lt;&gt;"",VLOOKUP(X726,game_rosters!$C$43:$E$64,3,FALSE))</f>
        <v>0</v>
      </c>
      <c r="Z726" t="e" cm="1" vm="1">
        <f t="array" aca="1" ref="Z726" ca="1">IFERROR(IF(_xlfn._xlws.FILTER(game_rosters!$J:$J,(game_rosters!$G:$G=events!$AN726)*(game_rosters!$J:$J=events!$X726))&gt;0,1,""),"")</f>
        <v>#VALUE!</v>
      </c>
      <c r="AA726" t="e">
        <f t="shared" si="115"/>
        <v>#VALUE!</v>
      </c>
      <c r="AB726" t="str">
        <f t="shared" si="116"/>
        <v/>
      </c>
      <c r="AC726" t="e">
        <f t="shared" si="114"/>
        <v>#VALUE!</v>
      </c>
      <c r="AD726" s="6"/>
      <c r="BJ726" s="39"/>
      <c r="BM726" s="39"/>
      <c r="BO726" s="19"/>
      <c r="BQ726" s="17"/>
    </row>
    <row r="727" spans="1:69" x14ac:dyDescent="0.2">
      <c r="A727" t="str">
        <f t="shared" si="117"/>
        <v/>
      </c>
      <c r="E727" s="4"/>
      <c r="F727" s="44"/>
      <c r="G727" s="4"/>
      <c r="H727" s="47"/>
      <c r="J727" s="45" t="str">
        <f t="shared" si="118"/>
        <v/>
      </c>
      <c r="N727" t="str">
        <f t="shared" si="120"/>
        <v/>
      </c>
      <c r="Q727" t="str">
        <f t="shared" si="119"/>
        <v/>
      </c>
      <c r="S727" t="str">
        <f>IF(A727=1,MAX(S$2:S726)+1,IF(OR(I727&lt;&gt;"",A727="x"),S726,""))</f>
        <v/>
      </c>
      <c r="T727" t="str">
        <f>IF(D727=1,MAX($T$2:$T726)+1,IF(S727=$S726,$S726,IF($D727="x",T726,IF($D726="x","",""))))</f>
        <v/>
      </c>
      <c r="U727" t="str">
        <f>IF(B727=1,MAX($U$2:$U726)+1,IF(AND($T727&lt;&gt;"",$T727=$T726),$U726,IF(B727="x",U726,"")))</f>
        <v/>
      </c>
      <c r="V727" t="str">
        <f>IF(C727=1,MAX($V$2:$V726)+1,IF(AND($T727&lt;&gt;"",$T727=$T726),$U726,IF(C727="x",V726,"")))</f>
        <v/>
      </c>
      <c r="W727" t="str" cm="1">
        <f t="array" ref="W727">IFERROR(_xlfn._xlws.FILTER(game_rosters!AB:AB,(game_rosters!J:J=events!X727)*(K727&lt;&gt;"")),"")</f>
        <v/>
      </c>
      <c r="X727" t="str" cm="1">
        <f t="array" ref="X727">IF(S727="","",IF($I727&lt;&gt;"",$I727,INDEX($I$2:$I726,ROW()-COUNTIFS($T$2:$T726,"="&amp;$T727,$S$2:$S726,"&lt;&gt;"&amp;$S727)-1)))</f>
        <v/>
      </c>
      <c r="Y727" t="b">
        <f>IF(X727&lt;&gt;"",VLOOKUP(X727,game_rosters!$C$43:$E$64,3,FALSE))</f>
        <v>0</v>
      </c>
      <c r="Z727" t="e" cm="1" vm="1">
        <f t="array" aca="1" ref="Z727" ca="1">IFERROR(IF(_xlfn._xlws.FILTER(game_rosters!$J:$J,(game_rosters!$G:$G=events!$AN727)*(game_rosters!$J:$J=events!$X727))&gt;0,1,""),"")</f>
        <v>#VALUE!</v>
      </c>
      <c r="AA727" t="e">
        <f t="shared" si="115"/>
        <v>#VALUE!</v>
      </c>
      <c r="AB727" t="str">
        <f t="shared" si="116"/>
        <v/>
      </c>
      <c r="AC727" t="e">
        <f t="shared" si="114"/>
        <v>#VALUE!</v>
      </c>
      <c r="AD727" s="6"/>
      <c r="BJ727" s="39"/>
      <c r="BM727" s="39"/>
      <c r="BO727" s="19"/>
      <c r="BQ727" s="17"/>
    </row>
    <row r="728" spans="1:69" x14ac:dyDescent="0.2">
      <c r="A728" t="str">
        <f t="shared" si="117"/>
        <v/>
      </c>
      <c r="E728" s="4"/>
      <c r="F728" s="44"/>
      <c r="G728" s="4"/>
      <c r="H728" s="47"/>
      <c r="J728" s="45" t="str">
        <f t="shared" si="118"/>
        <v/>
      </c>
      <c r="N728" t="str">
        <f t="shared" si="120"/>
        <v/>
      </c>
      <c r="Q728" t="str">
        <f t="shared" si="119"/>
        <v/>
      </c>
      <c r="S728" t="str">
        <f>IF(A728=1,MAX(S$2:S727)+1,IF(OR(I728&lt;&gt;"",A728="x"),S727,""))</f>
        <v/>
      </c>
      <c r="T728" t="str">
        <f>IF(D728=1,MAX($T$2:$T727)+1,IF(S728=$S727,$S727,IF($D728="x",T727,IF($D727="x","",""))))</f>
        <v/>
      </c>
      <c r="U728" t="str">
        <f>IF(B728=1,MAX($U$2:$U727)+1,IF(AND($T728&lt;&gt;"",$T728=$T727),$U727,IF(B728="x",U727,"")))</f>
        <v/>
      </c>
      <c r="V728" t="str">
        <f>IF(C728=1,MAX($V$2:$V727)+1,IF(AND($T728&lt;&gt;"",$T728=$T727),$U727,IF(C728="x",V727,"")))</f>
        <v/>
      </c>
      <c r="W728" t="str" cm="1">
        <f t="array" ref="W728">IFERROR(_xlfn._xlws.FILTER(game_rosters!AB:AB,(game_rosters!J:J=events!X728)*(K728&lt;&gt;"")),"")</f>
        <v/>
      </c>
      <c r="X728" t="str" cm="1">
        <f t="array" ref="X728">IF(S728="","",IF($I728&lt;&gt;"",$I728,INDEX($I$2:$I727,ROW()-COUNTIFS($T$2:$T727,"="&amp;$T728,$S$2:$S727,"&lt;&gt;"&amp;$S728)-1)))</f>
        <v/>
      </c>
      <c r="Y728" t="b">
        <f>IF(X728&lt;&gt;"",VLOOKUP(X728,game_rosters!$C$43:$E$64,3,FALSE))</f>
        <v>0</v>
      </c>
      <c r="Z728" t="e" cm="1" vm="1">
        <f t="array" aca="1" ref="Z728" ca="1">IFERROR(IF(_xlfn._xlws.FILTER(game_rosters!$J:$J,(game_rosters!$G:$G=events!$AN728)*(game_rosters!$J:$J=events!$X728))&gt;0,1,""),"")</f>
        <v>#VALUE!</v>
      </c>
      <c r="AA728" t="e">
        <f t="shared" si="115"/>
        <v>#VALUE!</v>
      </c>
      <c r="AB728" t="str">
        <f t="shared" si="116"/>
        <v/>
      </c>
      <c r="AC728" t="e">
        <f t="shared" si="114"/>
        <v>#VALUE!</v>
      </c>
      <c r="AD728" s="6"/>
      <c r="BJ728" s="39"/>
      <c r="BM728" s="39"/>
      <c r="BO728" s="19"/>
      <c r="BQ728" s="17"/>
    </row>
    <row r="729" spans="1:69" x14ac:dyDescent="0.2">
      <c r="A729" t="str">
        <f t="shared" si="117"/>
        <v/>
      </c>
      <c r="E729" s="4"/>
      <c r="F729" s="44"/>
      <c r="G729" s="4"/>
      <c r="H729" s="47"/>
      <c r="J729" s="45" t="str">
        <f t="shared" si="118"/>
        <v/>
      </c>
      <c r="N729" t="str">
        <f t="shared" si="120"/>
        <v/>
      </c>
      <c r="Q729" t="str">
        <f t="shared" si="119"/>
        <v/>
      </c>
      <c r="S729" t="str">
        <f>IF(A729=1,MAX(S$2:S728)+1,IF(OR(I729&lt;&gt;"",A729="x"),S728,""))</f>
        <v/>
      </c>
      <c r="T729" t="str">
        <f>IF(D729=1,MAX($T$2:$T728)+1,IF(S729=$S728,$S728,IF($D729="x",T728,IF($D728="x","",""))))</f>
        <v/>
      </c>
      <c r="U729" t="str">
        <f>IF(B729=1,MAX($U$2:$U728)+1,IF(AND($T729&lt;&gt;"",$T729=$T728),$U728,IF(B729="x",U728,"")))</f>
        <v/>
      </c>
      <c r="V729" t="str">
        <f>IF(C729=1,MAX($V$2:$V728)+1,IF(AND($T729&lt;&gt;"",$T729=$T728),$U728,IF(C729="x",V728,"")))</f>
        <v/>
      </c>
      <c r="W729" t="str" cm="1">
        <f t="array" ref="W729">IFERROR(_xlfn._xlws.FILTER(game_rosters!AB:AB,(game_rosters!J:J=events!X729)*(K729&lt;&gt;"")),"")</f>
        <v/>
      </c>
      <c r="X729" t="str" cm="1">
        <f t="array" ref="X729">IF(S729="","",IF($I729&lt;&gt;"",$I729,INDEX($I$2:$I728,ROW()-COUNTIFS($T$2:$T728,"="&amp;$T729,$S$2:$S728,"&lt;&gt;"&amp;$S729)-1)))</f>
        <v/>
      </c>
      <c r="Y729" t="b">
        <f>IF(X729&lt;&gt;"",VLOOKUP(X729,game_rosters!$C$43:$E$64,3,FALSE))</f>
        <v>0</v>
      </c>
      <c r="Z729" t="e" cm="1" vm="1">
        <f t="array" aca="1" ref="Z729" ca="1">IFERROR(IF(_xlfn._xlws.FILTER(game_rosters!$J:$J,(game_rosters!$G:$G=events!$AN729)*(game_rosters!$J:$J=events!$X729))&gt;0,1,""),"")</f>
        <v>#VALUE!</v>
      </c>
      <c r="AA729" t="e">
        <f t="shared" si="115"/>
        <v>#VALUE!</v>
      </c>
      <c r="AB729" t="str">
        <f t="shared" si="116"/>
        <v/>
      </c>
      <c r="AC729" t="e">
        <f t="shared" si="114"/>
        <v>#VALUE!</v>
      </c>
      <c r="AD729" s="6"/>
      <c r="BJ729" s="39"/>
      <c r="BM729" s="39"/>
      <c r="BO729" s="19"/>
      <c r="BQ729" s="17"/>
    </row>
    <row r="730" spans="1:69" x14ac:dyDescent="0.2">
      <c r="A730" t="str">
        <f t="shared" si="117"/>
        <v/>
      </c>
      <c r="E730" s="4"/>
      <c r="F730" s="44"/>
      <c r="G730" s="4"/>
      <c r="H730" s="47"/>
      <c r="J730" s="45" t="str">
        <f t="shared" si="118"/>
        <v/>
      </c>
      <c r="N730" t="str">
        <f t="shared" si="120"/>
        <v/>
      </c>
      <c r="Q730" t="str">
        <f t="shared" si="119"/>
        <v/>
      </c>
      <c r="S730" t="str">
        <f>IF(A730=1,MAX(S$2:S729)+1,IF(OR(I730&lt;&gt;"",A730="x"),S729,""))</f>
        <v/>
      </c>
      <c r="T730" t="str">
        <f>IF(D730=1,MAX($T$2:$T729)+1,IF(S730=$S729,$S729,IF($D730="x",T729,IF($D729="x","",""))))</f>
        <v/>
      </c>
      <c r="U730" t="str">
        <f>IF(B730=1,MAX($U$2:$U729)+1,IF(AND($T730&lt;&gt;"",$T730=$T729),$U729,IF(B730="x",U729,"")))</f>
        <v/>
      </c>
      <c r="V730" t="str">
        <f>IF(C730=1,MAX($V$2:$V729)+1,IF(AND($T730&lt;&gt;"",$T730=$T729),$U729,IF(C730="x",V729,"")))</f>
        <v/>
      </c>
      <c r="W730" t="str" cm="1">
        <f t="array" ref="W730">IFERROR(_xlfn._xlws.FILTER(game_rosters!AB:AB,(game_rosters!J:J=events!X730)*(K730&lt;&gt;"")),"")</f>
        <v/>
      </c>
      <c r="X730" t="str" cm="1">
        <f t="array" ref="X730">IF(S730="","",IF($I730&lt;&gt;"",$I730,INDEX($I$2:$I729,ROW()-COUNTIFS($T$2:$T729,"="&amp;$T730,$S$2:$S729,"&lt;&gt;"&amp;$S730)-1)))</f>
        <v/>
      </c>
      <c r="Y730" t="b">
        <f>IF(X730&lt;&gt;"",VLOOKUP(X730,game_rosters!$C$43:$E$64,3,FALSE))</f>
        <v>0</v>
      </c>
      <c r="Z730" t="e" cm="1" vm="1">
        <f t="array" aca="1" ref="Z730" ca="1">IFERROR(IF(_xlfn._xlws.FILTER(game_rosters!$J:$J,(game_rosters!$G:$G=events!$AN730)*(game_rosters!$J:$J=events!$X730))&gt;0,1,""),"")</f>
        <v>#VALUE!</v>
      </c>
      <c r="AA730" t="e">
        <f t="shared" si="115"/>
        <v>#VALUE!</v>
      </c>
      <c r="AB730" t="str">
        <f t="shared" si="116"/>
        <v/>
      </c>
      <c r="AC730" t="e">
        <f t="shared" si="114"/>
        <v>#VALUE!</v>
      </c>
      <c r="AD730" s="6"/>
      <c r="BJ730" s="39"/>
      <c r="BM730" s="39"/>
      <c r="BO730" s="19"/>
      <c r="BQ730" s="17"/>
    </row>
    <row r="731" spans="1:69" x14ac:dyDescent="0.2">
      <c r="A731" t="str">
        <f t="shared" si="117"/>
        <v/>
      </c>
      <c r="E731" s="4"/>
      <c r="F731" s="44"/>
      <c r="G731" s="4"/>
      <c r="H731" s="47"/>
      <c r="J731" s="45" t="str">
        <f t="shared" si="118"/>
        <v/>
      </c>
      <c r="N731" t="str">
        <f t="shared" si="120"/>
        <v/>
      </c>
      <c r="Q731" t="str">
        <f t="shared" si="119"/>
        <v/>
      </c>
      <c r="S731" t="str">
        <f>IF(A731=1,MAX(S$2:S730)+1,IF(OR(I731&lt;&gt;"",A731="x"),S730,""))</f>
        <v/>
      </c>
      <c r="T731" t="str">
        <f>IF(D731=1,MAX($T$2:$T730)+1,IF(S731=$S730,$S730,IF($D731="x",T730,IF($D730="x","",""))))</f>
        <v/>
      </c>
      <c r="U731" t="str">
        <f>IF(B731=1,MAX($U$2:$U730)+1,IF(AND($T731&lt;&gt;"",$T731=$T730),$U730,IF(B731="x",U730,"")))</f>
        <v/>
      </c>
      <c r="V731" t="str">
        <f>IF(C731=1,MAX($V$2:$V730)+1,IF(AND($T731&lt;&gt;"",$T731=$T730),$U730,IF(C731="x",V730,"")))</f>
        <v/>
      </c>
      <c r="W731" t="str" cm="1">
        <f t="array" ref="W731">IFERROR(_xlfn._xlws.FILTER(game_rosters!AB:AB,(game_rosters!J:J=events!X731)*(K731&lt;&gt;"")),"")</f>
        <v/>
      </c>
      <c r="X731" t="str" cm="1">
        <f t="array" ref="X731">IF(S731="","",IF($I731&lt;&gt;"",$I731,INDEX($I$2:$I730,ROW()-COUNTIFS($T$2:$T730,"="&amp;$T731,$S$2:$S730,"&lt;&gt;"&amp;$S731)-1)))</f>
        <v/>
      </c>
      <c r="Y731" t="b">
        <f>IF(X731&lt;&gt;"",VLOOKUP(X731,game_rosters!$C$43:$E$64,3,FALSE))</f>
        <v>0</v>
      </c>
      <c r="Z731" t="e" cm="1" vm="1">
        <f t="array" aca="1" ref="Z731" ca="1">IFERROR(IF(_xlfn._xlws.FILTER(game_rosters!$J:$J,(game_rosters!$G:$G=events!$AN731)*(game_rosters!$J:$J=events!$X731))&gt;0,1,""),"")</f>
        <v>#VALUE!</v>
      </c>
      <c r="AA731" t="e">
        <f t="shared" si="115"/>
        <v>#VALUE!</v>
      </c>
      <c r="AB731" t="str">
        <f t="shared" si="116"/>
        <v/>
      </c>
      <c r="AC731" t="e">
        <f t="shared" si="114"/>
        <v>#VALUE!</v>
      </c>
      <c r="AD731" s="6"/>
      <c r="BJ731" s="39"/>
      <c r="BM731" s="39"/>
      <c r="BO731" s="19"/>
      <c r="BQ731" s="17"/>
    </row>
    <row r="732" spans="1:69" x14ac:dyDescent="0.2">
      <c r="A732" t="str">
        <f t="shared" si="117"/>
        <v/>
      </c>
      <c r="E732" s="4"/>
      <c r="F732" s="44"/>
      <c r="G732" s="4"/>
      <c r="H732" s="47"/>
      <c r="J732" s="45" t="str">
        <f t="shared" si="118"/>
        <v/>
      </c>
      <c r="N732" t="str">
        <f t="shared" si="120"/>
        <v/>
      </c>
      <c r="Q732" t="str">
        <f t="shared" si="119"/>
        <v/>
      </c>
      <c r="S732" t="str">
        <f>IF(A732=1,MAX(S$2:S731)+1,IF(OR(I732&lt;&gt;"",A732="x"),S731,""))</f>
        <v/>
      </c>
      <c r="T732" t="str">
        <f>IF(D732=1,MAX($T$2:$T731)+1,IF(S732=$S731,$S731,IF($D732="x",T731,IF($D731="x","",""))))</f>
        <v/>
      </c>
      <c r="U732" t="str">
        <f>IF(B732=1,MAX($U$2:$U731)+1,IF(AND($T732&lt;&gt;"",$T732=$T731),$U731,IF(B732="x",U731,"")))</f>
        <v/>
      </c>
      <c r="V732" t="str">
        <f>IF(C732=1,MAX($V$2:$V731)+1,IF(AND($T732&lt;&gt;"",$T732=$T731),$U731,IF(C732="x",V731,"")))</f>
        <v/>
      </c>
      <c r="W732" t="str" cm="1">
        <f t="array" ref="W732">IFERROR(_xlfn._xlws.FILTER(game_rosters!AB:AB,(game_rosters!J:J=events!X732)*(K732&lt;&gt;"")),"")</f>
        <v/>
      </c>
      <c r="X732" t="str" cm="1">
        <f t="array" ref="X732">IF(S732="","",IF($I732&lt;&gt;"",$I732,INDEX($I$2:$I731,ROW()-COUNTIFS($T$2:$T731,"="&amp;$T732,$S$2:$S731,"&lt;&gt;"&amp;$S732)-1)))</f>
        <v/>
      </c>
      <c r="Y732" t="b">
        <f>IF(X732&lt;&gt;"",VLOOKUP(X732,game_rosters!$C$43:$E$64,3,FALSE))</f>
        <v>0</v>
      </c>
      <c r="Z732" t="e" cm="1" vm="1">
        <f t="array" aca="1" ref="Z732" ca="1">IFERROR(IF(_xlfn._xlws.FILTER(game_rosters!$J:$J,(game_rosters!$G:$G=events!$AN732)*(game_rosters!$J:$J=events!$X732))&gt;0,1,""),"")</f>
        <v>#VALUE!</v>
      </c>
      <c r="AA732" t="e">
        <f t="shared" si="115"/>
        <v>#VALUE!</v>
      </c>
      <c r="AB732" t="str">
        <f t="shared" si="116"/>
        <v/>
      </c>
      <c r="AC732" t="e">
        <f t="shared" si="114"/>
        <v>#VALUE!</v>
      </c>
      <c r="AD732" s="6"/>
      <c r="BJ732" s="39"/>
      <c r="BM732" s="39"/>
      <c r="BO732" s="19"/>
      <c r="BQ732" s="17"/>
    </row>
    <row r="733" spans="1:69" x14ac:dyDescent="0.2">
      <c r="A733" t="str">
        <f t="shared" si="117"/>
        <v/>
      </c>
      <c r="E733" s="4"/>
      <c r="F733" s="44"/>
      <c r="G733" s="4"/>
      <c r="H733" s="47"/>
      <c r="J733" s="45" t="str">
        <f t="shared" si="118"/>
        <v/>
      </c>
      <c r="N733" t="str">
        <f t="shared" si="120"/>
        <v/>
      </c>
      <c r="Q733" t="str">
        <f t="shared" si="119"/>
        <v/>
      </c>
      <c r="S733" t="str">
        <f>IF(A733=1,MAX(S$2:S732)+1,IF(OR(I733&lt;&gt;"",A733="x"),S732,""))</f>
        <v/>
      </c>
      <c r="T733" t="str">
        <f>IF(D733=1,MAX($T$2:$T732)+1,IF(S733=$S732,$S732,IF($D733="x",T732,IF($D732="x","",""))))</f>
        <v/>
      </c>
      <c r="U733" t="str">
        <f>IF(B733=1,MAX($U$2:$U732)+1,IF(AND($T733&lt;&gt;"",$T733=$T732),$U732,IF(B733="x",U732,"")))</f>
        <v/>
      </c>
      <c r="V733" t="str">
        <f>IF(C733=1,MAX($V$2:$V732)+1,IF(AND($T733&lt;&gt;"",$T733=$T732),$U732,IF(C733="x",V732,"")))</f>
        <v/>
      </c>
      <c r="W733" t="str" cm="1">
        <f t="array" ref="W733">IFERROR(_xlfn._xlws.FILTER(game_rosters!AB:AB,(game_rosters!J:J=events!X733)*(K733&lt;&gt;"")),"")</f>
        <v/>
      </c>
      <c r="X733" t="str" cm="1">
        <f t="array" ref="X733">IF(S733="","",IF($I733&lt;&gt;"",$I733,INDEX($I$2:$I732,ROW()-COUNTIFS($T$2:$T732,"="&amp;$T733,$S$2:$S732,"&lt;&gt;"&amp;$S733)-1)))</f>
        <v/>
      </c>
      <c r="Y733" t="b">
        <f>IF(X733&lt;&gt;"",VLOOKUP(X733,game_rosters!$C$43:$E$64,3,FALSE))</f>
        <v>0</v>
      </c>
      <c r="Z733" t="e" cm="1" vm="1">
        <f t="array" aca="1" ref="Z733" ca="1">IFERROR(IF(_xlfn._xlws.FILTER(game_rosters!$J:$J,(game_rosters!$G:$G=events!$AN733)*(game_rosters!$J:$J=events!$X733))&gt;0,1,""),"")</f>
        <v>#VALUE!</v>
      </c>
      <c r="AA733" t="e">
        <f t="shared" si="115"/>
        <v>#VALUE!</v>
      </c>
      <c r="AB733" t="str">
        <f t="shared" si="116"/>
        <v/>
      </c>
      <c r="AC733" t="e">
        <f t="shared" si="114"/>
        <v>#VALUE!</v>
      </c>
      <c r="AD733" s="6"/>
      <c r="BJ733" s="39"/>
      <c r="BM733" s="39"/>
      <c r="BO733" s="19"/>
      <c r="BQ733" s="17"/>
    </row>
    <row r="734" spans="1:69" x14ac:dyDescent="0.2">
      <c r="A734" t="str">
        <f t="shared" si="117"/>
        <v/>
      </c>
      <c r="E734" s="4"/>
      <c r="F734" s="44"/>
      <c r="G734" s="4"/>
      <c r="H734" s="47"/>
      <c r="J734" s="45" t="str">
        <f t="shared" si="118"/>
        <v/>
      </c>
      <c r="N734" t="str">
        <f t="shared" si="120"/>
        <v/>
      </c>
      <c r="Q734" t="str">
        <f t="shared" si="119"/>
        <v/>
      </c>
      <c r="S734" t="str">
        <f>IF(A734=1,MAX(S$2:S733)+1,IF(OR(I734&lt;&gt;"",A734="x"),S733,""))</f>
        <v/>
      </c>
      <c r="T734" t="str">
        <f>IF(D734=1,MAX($T$2:$T733)+1,IF(S734=$S733,$S733,IF($D734="x",T733,IF($D733="x","",""))))</f>
        <v/>
      </c>
      <c r="U734" t="str">
        <f>IF(B734=1,MAX($U$2:$U733)+1,IF(AND($T734&lt;&gt;"",$T734=$T733),$U733,IF(B734="x",U733,"")))</f>
        <v/>
      </c>
      <c r="V734" t="str">
        <f>IF(C734=1,MAX($V$2:$V733)+1,IF(AND($T734&lt;&gt;"",$T734=$T733),$U733,IF(C734="x",V733,"")))</f>
        <v/>
      </c>
      <c r="W734" t="str" cm="1">
        <f t="array" ref="W734">IFERROR(_xlfn._xlws.FILTER(game_rosters!AB:AB,(game_rosters!J:J=events!X734)*(K734&lt;&gt;"")),"")</f>
        <v/>
      </c>
      <c r="X734" t="str" cm="1">
        <f t="array" ref="X734">IF(S734="","",IF($I734&lt;&gt;"",$I734,INDEX($I$2:$I733,ROW()-COUNTIFS($T$2:$T733,"="&amp;$T734,$S$2:$S733,"&lt;&gt;"&amp;$S734)-1)))</f>
        <v/>
      </c>
      <c r="Y734" t="b">
        <f>IF(X734&lt;&gt;"",VLOOKUP(X734,game_rosters!$C$43:$E$64,3,FALSE))</f>
        <v>0</v>
      </c>
      <c r="Z734" t="e" cm="1" vm="1">
        <f t="array" aca="1" ref="Z734" ca="1">IFERROR(IF(_xlfn._xlws.FILTER(game_rosters!$J:$J,(game_rosters!$G:$G=events!$AN734)*(game_rosters!$J:$J=events!$X734))&gt;0,1,""),"")</f>
        <v>#VALUE!</v>
      </c>
      <c r="AA734" t="e">
        <f t="shared" si="115"/>
        <v>#VALUE!</v>
      </c>
      <c r="AB734" t="str">
        <f t="shared" si="116"/>
        <v/>
      </c>
      <c r="AC734" t="e">
        <f t="shared" si="114"/>
        <v>#VALUE!</v>
      </c>
      <c r="AD734" s="6"/>
      <c r="BJ734" s="39"/>
      <c r="BM734" s="39"/>
      <c r="BO734" s="19"/>
      <c r="BQ734" s="17"/>
    </row>
    <row r="735" spans="1:69" x14ac:dyDescent="0.2">
      <c r="A735" t="str">
        <f t="shared" si="117"/>
        <v/>
      </c>
      <c r="E735" s="4"/>
      <c r="F735" s="44"/>
      <c r="G735" s="4"/>
      <c r="H735" s="47"/>
      <c r="J735" s="45" t="str">
        <f t="shared" si="118"/>
        <v/>
      </c>
      <c r="N735" t="str">
        <f t="shared" si="120"/>
        <v/>
      </c>
      <c r="Q735" t="str">
        <f t="shared" si="119"/>
        <v/>
      </c>
      <c r="S735" t="str">
        <f>IF(A735=1,MAX(S$2:S734)+1,IF(OR(I735&lt;&gt;"",A735="x"),S734,""))</f>
        <v/>
      </c>
      <c r="T735" t="str">
        <f>IF(D735=1,MAX($T$2:$T734)+1,IF(S735=$S734,$S734,IF($D735="x",T734,IF($D734="x","",""))))</f>
        <v/>
      </c>
      <c r="U735" t="str">
        <f>IF(B735=1,MAX($U$2:$U734)+1,IF(AND($T735&lt;&gt;"",$T735=$T734),$U734,IF(B735="x",U734,"")))</f>
        <v/>
      </c>
      <c r="V735" t="str">
        <f>IF(C735=1,MAX($V$2:$V734)+1,IF(AND($T735&lt;&gt;"",$T735=$T734),$U734,IF(C735="x",V734,"")))</f>
        <v/>
      </c>
      <c r="W735" t="str" cm="1">
        <f t="array" ref="W735">IFERROR(_xlfn._xlws.FILTER(game_rosters!AB:AB,(game_rosters!J:J=events!X735)*(K735&lt;&gt;"")),"")</f>
        <v/>
      </c>
      <c r="X735" t="str" cm="1">
        <f t="array" ref="X735">IF(S735="","",IF($I735&lt;&gt;"",$I735,INDEX($I$2:$I734,ROW()-COUNTIFS($T$2:$T734,"="&amp;$T735,$S$2:$S734,"&lt;&gt;"&amp;$S735)-1)))</f>
        <v/>
      </c>
      <c r="Y735" t="b">
        <f>IF(X735&lt;&gt;"",VLOOKUP(X735,game_rosters!$C$43:$E$64,3,FALSE))</f>
        <v>0</v>
      </c>
      <c r="Z735" t="e" cm="1" vm="1">
        <f t="array" aca="1" ref="Z735" ca="1">IFERROR(IF(_xlfn._xlws.FILTER(game_rosters!$J:$J,(game_rosters!$G:$G=events!$AN735)*(game_rosters!$J:$J=events!$X735))&gt;0,1,""),"")</f>
        <v>#VALUE!</v>
      </c>
      <c r="AA735" t="e">
        <f t="shared" si="115"/>
        <v>#VALUE!</v>
      </c>
      <c r="AB735" t="str">
        <f t="shared" si="116"/>
        <v/>
      </c>
      <c r="AC735" t="e">
        <f t="shared" si="114"/>
        <v>#VALUE!</v>
      </c>
      <c r="AD735" s="6"/>
      <c r="BJ735" s="39"/>
      <c r="BM735" s="39"/>
      <c r="BO735" s="19"/>
      <c r="BQ735" s="17"/>
    </row>
    <row r="736" spans="1:69" x14ac:dyDescent="0.2">
      <c r="A736" t="str">
        <f t="shared" si="117"/>
        <v/>
      </c>
      <c r="E736" s="4"/>
      <c r="F736" s="44"/>
      <c r="G736" s="4"/>
      <c r="H736" s="47"/>
      <c r="J736" s="45" t="str">
        <f t="shared" si="118"/>
        <v/>
      </c>
      <c r="N736" t="str">
        <f t="shared" si="120"/>
        <v/>
      </c>
      <c r="Q736" t="str">
        <f t="shared" si="119"/>
        <v/>
      </c>
      <c r="S736" t="str">
        <f>IF(A736=1,MAX(S$2:S735)+1,IF(OR(I736&lt;&gt;"",A736="x"),S735,""))</f>
        <v/>
      </c>
      <c r="T736" t="str">
        <f>IF(D736=1,MAX($T$2:$T735)+1,IF(S736=$S735,$S735,IF($D736="x",T735,IF($D735="x","",""))))</f>
        <v/>
      </c>
      <c r="U736" t="str">
        <f>IF(B736=1,MAX($U$2:$U735)+1,IF(AND($T736&lt;&gt;"",$T736=$T735),$U735,IF(B736="x",U735,"")))</f>
        <v/>
      </c>
      <c r="V736" t="str">
        <f>IF(C736=1,MAX($V$2:$V735)+1,IF(AND($T736&lt;&gt;"",$T736=$T735),$U735,IF(C736="x",V735,"")))</f>
        <v/>
      </c>
      <c r="W736" t="str" cm="1">
        <f t="array" ref="W736">IFERROR(_xlfn._xlws.FILTER(game_rosters!AB:AB,(game_rosters!J:J=events!X736)*(K736&lt;&gt;"")),"")</f>
        <v/>
      </c>
      <c r="X736" t="str" cm="1">
        <f t="array" ref="X736">IF(S736="","",IF($I736&lt;&gt;"",$I736,INDEX($I$2:$I735,ROW()-COUNTIFS($T$2:$T735,"="&amp;$T736,$S$2:$S735,"&lt;&gt;"&amp;$S736)-1)))</f>
        <v/>
      </c>
      <c r="Y736" t="b">
        <f>IF(X736&lt;&gt;"",VLOOKUP(X736,game_rosters!$C$43:$E$64,3,FALSE))</f>
        <v>0</v>
      </c>
      <c r="Z736" t="e" cm="1" vm="1">
        <f t="array" aca="1" ref="Z736" ca="1">IFERROR(IF(_xlfn._xlws.FILTER(game_rosters!$J:$J,(game_rosters!$G:$G=events!$AN736)*(game_rosters!$J:$J=events!$X736))&gt;0,1,""),"")</f>
        <v>#VALUE!</v>
      </c>
      <c r="AA736" t="e">
        <f t="shared" si="115"/>
        <v>#VALUE!</v>
      </c>
      <c r="AB736" t="str">
        <f t="shared" si="116"/>
        <v/>
      </c>
      <c r="AC736" t="e">
        <f t="shared" si="114"/>
        <v>#VALUE!</v>
      </c>
      <c r="AD736" s="6"/>
      <c r="BJ736" s="39"/>
      <c r="BM736" s="39"/>
      <c r="BO736" s="19"/>
      <c r="BQ736" s="17"/>
    </row>
    <row r="737" spans="1:69" x14ac:dyDescent="0.2">
      <c r="A737" t="str">
        <f t="shared" si="117"/>
        <v/>
      </c>
      <c r="E737" s="4"/>
      <c r="F737" s="44"/>
      <c r="G737" s="4"/>
      <c r="H737" s="47"/>
      <c r="J737" s="45" t="str">
        <f t="shared" si="118"/>
        <v/>
      </c>
      <c r="N737" t="str">
        <f t="shared" si="120"/>
        <v/>
      </c>
      <c r="Q737" t="str">
        <f t="shared" si="119"/>
        <v/>
      </c>
      <c r="S737" t="str">
        <f>IF(A737=1,MAX(S$2:S736)+1,IF(OR(I737&lt;&gt;"",A737="x"),S736,""))</f>
        <v/>
      </c>
      <c r="T737" t="str">
        <f>IF(D737=1,MAX($T$2:$T736)+1,IF(S737=$S736,$S736,IF($D737="x",T736,IF($D736="x","",""))))</f>
        <v/>
      </c>
      <c r="U737" t="str">
        <f>IF(B737=1,MAX($U$2:$U736)+1,IF(AND($T737&lt;&gt;"",$T737=$T736),$U736,IF(B737="x",U736,"")))</f>
        <v/>
      </c>
      <c r="V737" t="str">
        <f>IF(C737=1,MAX($V$2:$V736)+1,IF(AND($T737&lt;&gt;"",$T737=$T736),$U736,IF(C737="x",V736,"")))</f>
        <v/>
      </c>
      <c r="W737" t="str" cm="1">
        <f t="array" ref="W737">IFERROR(_xlfn._xlws.FILTER(game_rosters!AB:AB,(game_rosters!J:J=events!X737)*(K737&lt;&gt;"")),"")</f>
        <v/>
      </c>
      <c r="X737" t="str" cm="1">
        <f t="array" ref="X737">IF(S737="","",IF($I737&lt;&gt;"",$I737,INDEX($I$2:$I736,ROW()-COUNTIFS($T$2:$T736,"="&amp;$T737,$S$2:$S736,"&lt;&gt;"&amp;$S737)-1)))</f>
        <v/>
      </c>
      <c r="Y737" t="b">
        <f>IF(X737&lt;&gt;"",VLOOKUP(X737,game_rosters!$C$43:$E$64,3,FALSE))</f>
        <v>0</v>
      </c>
      <c r="Z737" t="e" cm="1" vm="1">
        <f t="array" aca="1" ref="Z737" ca="1">IFERROR(IF(_xlfn._xlws.FILTER(game_rosters!$J:$J,(game_rosters!$G:$G=events!$AN737)*(game_rosters!$J:$J=events!$X737))&gt;0,1,""),"")</f>
        <v>#VALUE!</v>
      </c>
      <c r="AA737" t="e">
        <f t="shared" si="115"/>
        <v>#VALUE!</v>
      </c>
      <c r="AB737" t="str">
        <f t="shared" si="116"/>
        <v/>
      </c>
      <c r="AC737" t="e">
        <f t="shared" si="114"/>
        <v>#VALUE!</v>
      </c>
      <c r="AD737" s="6"/>
      <c r="BJ737" s="39"/>
      <c r="BM737" s="39"/>
      <c r="BO737" s="19"/>
      <c r="BQ737" s="17"/>
    </row>
    <row r="738" spans="1:69" x14ac:dyDescent="0.2">
      <c r="A738" t="str">
        <f t="shared" si="117"/>
        <v/>
      </c>
      <c r="E738" s="4"/>
      <c r="F738" s="44"/>
      <c r="G738" s="4"/>
      <c r="H738" s="47"/>
      <c r="J738" s="45" t="str">
        <f t="shared" si="118"/>
        <v/>
      </c>
      <c r="N738" t="str">
        <f t="shared" si="120"/>
        <v/>
      </c>
      <c r="Q738" t="str">
        <f t="shared" si="119"/>
        <v/>
      </c>
      <c r="S738" t="str">
        <f>IF(A738=1,MAX(S$2:S737)+1,IF(OR(I738&lt;&gt;"",A738="x"),S737,""))</f>
        <v/>
      </c>
      <c r="T738" t="str">
        <f>IF(D738=1,MAX($T$2:$T737)+1,IF(S738=$S737,$S737,IF($D738="x",T737,IF($D737="x","",""))))</f>
        <v/>
      </c>
      <c r="U738" t="str">
        <f>IF(B738=1,MAX($U$2:$U737)+1,IF(AND($T738&lt;&gt;"",$T738=$T737),$U737,IF(B738="x",U737,"")))</f>
        <v/>
      </c>
      <c r="V738" t="str">
        <f>IF(C738=1,MAX($V$2:$V737)+1,IF(AND($T738&lt;&gt;"",$T738=$T737),$U737,IF(C738="x",V737,"")))</f>
        <v/>
      </c>
      <c r="W738" t="str" cm="1">
        <f t="array" ref="W738">IFERROR(_xlfn._xlws.FILTER(game_rosters!AB:AB,(game_rosters!J:J=events!X738)*(K738&lt;&gt;"")),"")</f>
        <v/>
      </c>
      <c r="X738" t="str" cm="1">
        <f t="array" ref="X738">IF(S738="","",IF($I738&lt;&gt;"",$I738,INDEX($I$2:$I737,ROW()-COUNTIFS($T$2:$T737,"="&amp;$T738,$S$2:$S737,"&lt;&gt;"&amp;$S738)-1)))</f>
        <v/>
      </c>
      <c r="Y738" t="b">
        <f>IF(X738&lt;&gt;"",VLOOKUP(X738,game_rosters!$C$43:$E$64,3,FALSE))</f>
        <v>0</v>
      </c>
      <c r="Z738" t="e" cm="1" vm="1">
        <f t="array" aca="1" ref="Z738" ca="1">IFERROR(IF(_xlfn._xlws.FILTER(game_rosters!$J:$J,(game_rosters!$G:$G=events!$AN738)*(game_rosters!$J:$J=events!$X738))&gt;0,1,""),"")</f>
        <v>#VALUE!</v>
      </c>
      <c r="AA738" t="e">
        <f t="shared" si="115"/>
        <v>#VALUE!</v>
      </c>
      <c r="AB738" t="str">
        <f t="shared" si="116"/>
        <v/>
      </c>
      <c r="AC738" t="e">
        <f t="shared" si="114"/>
        <v>#VALUE!</v>
      </c>
      <c r="AD738" s="6"/>
      <c r="BJ738" s="39"/>
      <c r="BM738" s="39"/>
      <c r="BO738" s="19"/>
      <c r="BQ738" s="17"/>
    </row>
    <row r="739" spans="1:69" x14ac:dyDescent="0.2">
      <c r="A739" t="str">
        <f t="shared" si="117"/>
        <v/>
      </c>
      <c r="E739" s="4"/>
      <c r="F739" s="44"/>
      <c r="G739" s="4"/>
      <c r="H739" s="47"/>
      <c r="J739" s="45" t="str">
        <f t="shared" si="118"/>
        <v/>
      </c>
      <c r="N739" t="str">
        <f t="shared" si="120"/>
        <v/>
      </c>
      <c r="Q739" t="str">
        <f t="shared" si="119"/>
        <v/>
      </c>
      <c r="S739" t="str">
        <f>IF(A739=1,MAX(S$2:S738)+1,IF(OR(I739&lt;&gt;"",A739="x"),S738,""))</f>
        <v/>
      </c>
      <c r="T739" t="str">
        <f>IF(D739=1,MAX($T$2:$T738)+1,IF(S739=$S738,$S738,IF($D739="x",T738,IF($D738="x","",""))))</f>
        <v/>
      </c>
      <c r="U739" t="str">
        <f>IF(B739=1,MAX($U$2:$U738)+1,IF(AND($T739&lt;&gt;"",$T739=$T738),$U738,IF(B739="x",U738,"")))</f>
        <v/>
      </c>
      <c r="V739" t="str">
        <f>IF(C739=1,MAX($V$2:$V738)+1,IF(AND($T739&lt;&gt;"",$T739=$T738),$U738,IF(C739="x",V738,"")))</f>
        <v/>
      </c>
      <c r="W739" t="str" cm="1">
        <f t="array" ref="W739">IFERROR(_xlfn._xlws.FILTER(game_rosters!AB:AB,(game_rosters!J:J=events!X739)*(K739&lt;&gt;"")),"")</f>
        <v/>
      </c>
      <c r="X739" t="str" cm="1">
        <f t="array" ref="X739">IF(S739="","",IF($I739&lt;&gt;"",$I739,INDEX($I$2:$I738,ROW()-COUNTIFS($T$2:$T738,"="&amp;$T739,$S$2:$S738,"&lt;&gt;"&amp;$S739)-1)))</f>
        <v/>
      </c>
      <c r="Y739" t="b">
        <f>IF(X739&lt;&gt;"",VLOOKUP(X739,game_rosters!$C$43:$E$64,3,FALSE))</f>
        <v>0</v>
      </c>
      <c r="Z739" t="e" cm="1" vm="1">
        <f t="array" aca="1" ref="Z739" ca="1">IFERROR(IF(_xlfn._xlws.FILTER(game_rosters!$J:$J,(game_rosters!$G:$G=events!$AN739)*(game_rosters!$J:$J=events!$X739))&gt;0,1,""),"")</f>
        <v>#VALUE!</v>
      </c>
      <c r="AA739" t="e">
        <f t="shared" si="115"/>
        <v>#VALUE!</v>
      </c>
      <c r="AB739" t="str">
        <f t="shared" si="116"/>
        <v/>
      </c>
      <c r="AC739" t="e">
        <f t="shared" si="114"/>
        <v>#VALUE!</v>
      </c>
      <c r="AD739" s="6"/>
      <c r="BJ739" s="39"/>
      <c r="BM739" s="39"/>
      <c r="BO739" s="19"/>
      <c r="BQ739" s="17"/>
    </row>
    <row r="740" spans="1:69" x14ac:dyDescent="0.2">
      <c r="A740" t="str">
        <f t="shared" si="117"/>
        <v/>
      </c>
      <c r="E740" s="4"/>
      <c r="F740" s="44"/>
      <c r="G740" s="4"/>
      <c r="H740" s="47"/>
      <c r="J740" s="45" t="str">
        <f t="shared" si="118"/>
        <v/>
      </c>
      <c r="N740" t="str">
        <f t="shared" si="120"/>
        <v/>
      </c>
      <c r="Q740" t="str">
        <f t="shared" si="119"/>
        <v/>
      </c>
      <c r="S740" t="str">
        <f>IF(A740=1,MAX(S$2:S739)+1,IF(OR(I740&lt;&gt;"",A740="x"),S739,""))</f>
        <v/>
      </c>
      <c r="T740" t="str">
        <f>IF(D740=1,MAX($T$2:$T739)+1,IF(S740=$S739,$S739,IF($D740="x",T739,IF($D739="x","",""))))</f>
        <v/>
      </c>
      <c r="U740" t="str">
        <f>IF(B740=1,MAX($U$2:$U739)+1,IF(AND($T740&lt;&gt;"",$T740=$T739),$U739,IF(B740="x",U739,"")))</f>
        <v/>
      </c>
      <c r="V740" t="str">
        <f>IF(C740=1,MAX($V$2:$V739)+1,IF(AND($T740&lt;&gt;"",$T740=$T739),$U739,IF(C740="x",V739,"")))</f>
        <v/>
      </c>
      <c r="W740" t="str" cm="1">
        <f t="array" ref="W740">IFERROR(_xlfn._xlws.FILTER(game_rosters!AB:AB,(game_rosters!J:J=events!X740)*(K740&lt;&gt;"")),"")</f>
        <v/>
      </c>
      <c r="X740" t="str" cm="1">
        <f t="array" ref="X740">IF(S740="","",IF($I740&lt;&gt;"",$I740,INDEX($I$2:$I739,ROW()-COUNTIFS($T$2:$T739,"="&amp;$T740,$S$2:$S739,"&lt;&gt;"&amp;$S740)-1)))</f>
        <v/>
      </c>
      <c r="Y740" t="b">
        <f>IF(X740&lt;&gt;"",VLOOKUP(X740,game_rosters!$C$43:$E$64,3,FALSE))</f>
        <v>0</v>
      </c>
      <c r="Z740" t="e" cm="1" vm="1">
        <f t="array" aca="1" ref="Z740" ca="1">IFERROR(IF(_xlfn._xlws.FILTER(game_rosters!$J:$J,(game_rosters!$G:$G=events!$AN740)*(game_rosters!$J:$J=events!$X740))&gt;0,1,""),"")</f>
        <v>#VALUE!</v>
      </c>
      <c r="AA740" t="e">
        <f t="shared" si="115"/>
        <v>#VALUE!</v>
      </c>
      <c r="AB740" t="str">
        <f t="shared" si="116"/>
        <v/>
      </c>
      <c r="AC740" t="e">
        <f t="shared" si="114"/>
        <v>#VALUE!</v>
      </c>
      <c r="AD740" s="6"/>
      <c r="BJ740" s="39"/>
      <c r="BM740" s="39"/>
      <c r="BO740" s="19"/>
      <c r="BQ740" s="17"/>
    </row>
    <row r="741" spans="1:69" x14ac:dyDescent="0.2">
      <c r="A741" t="str">
        <f t="shared" si="117"/>
        <v/>
      </c>
      <c r="E741" s="4"/>
      <c r="F741" s="44"/>
      <c r="G741" s="4"/>
      <c r="H741" s="47"/>
      <c r="J741" s="45" t="str">
        <f t="shared" si="118"/>
        <v/>
      </c>
      <c r="N741" t="str">
        <f t="shared" si="120"/>
        <v/>
      </c>
      <c r="Q741" t="str">
        <f t="shared" si="119"/>
        <v/>
      </c>
      <c r="S741" t="str">
        <f>IF(A741=1,MAX(S$2:S740)+1,IF(OR(I741&lt;&gt;"",A741="x"),S740,""))</f>
        <v/>
      </c>
      <c r="T741" t="str">
        <f>IF(D741=1,MAX($T$2:$T740)+1,IF(S741=$S740,$S740,IF($D741="x",T740,IF($D740="x","",""))))</f>
        <v/>
      </c>
      <c r="U741" t="str">
        <f>IF(B741=1,MAX($U$2:$U740)+1,IF(AND($T741&lt;&gt;"",$T741=$T740),$U740,IF(B741="x",U740,"")))</f>
        <v/>
      </c>
      <c r="V741" t="str">
        <f>IF(C741=1,MAX($V$2:$V740)+1,IF(AND($T741&lt;&gt;"",$T741=$T740),$U740,IF(C741="x",V740,"")))</f>
        <v/>
      </c>
      <c r="W741" t="str" cm="1">
        <f t="array" ref="W741">IFERROR(_xlfn._xlws.FILTER(game_rosters!AB:AB,(game_rosters!J:J=events!X741)*(K741&lt;&gt;"")),"")</f>
        <v/>
      </c>
      <c r="X741" t="str" cm="1">
        <f t="array" ref="X741">IF(S741="","",IF($I741&lt;&gt;"",$I741,INDEX($I$2:$I740,ROW()-COUNTIFS($T$2:$T740,"="&amp;$T741,$S$2:$S740,"&lt;&gt;"&amp;$S741)-1)))</f>
        <v/>
      </c>
      <c r="Y741" t="b">
        <f>IF(X741&lt;&gt;"",VLOOKUP(X741,game_rosters!$C$43:$E$64,3,FALSE))</f>
        <v>0</v>
      </c>
      <c r="Z741" t="e" cm="1" vm="1">
        <f t="array" aca="1" ref="Z741" ca="1">IFERROR(IF(_xlfn._xlws.FILTER(game_rosters!$J:$J,(game_rosters!$G:$G=events!$AN741)*(game_rosters!$J:$J=events!$X741))&gt;0,1,""),"")</f>
        <v>#VALUE!</v>
      </c>
      <c r="AA741" t="e">
        <f t="shared" si="115"/>
        <v>#VALUE!</v>
      </c>
      <c r="AB741" t="str">
        <f t="shared" si="116"/>
        <v/>
      </c>
      <c r="AC741" t="e">
        <f t="shared" si="114"/>
        <v>#VALUE!</v>
      </c>
      <c r="AD741" s="6"/>
      <c r="BJ741" s="39"/>
      <c r="BM741" s="39"/>
      <c r="BO741" s="19"/>
      <c r="BQ741" s="17"/>
    </row>
    <row r="742" spans="1:69" x14ac:dyDescent="0.2">
      <c r="A742" t="str">
        <f t="shared" si="117"/>
        <v/>
      </c>
      <c r="E742" s="4"/>
      <c r="F742" s="44"/>
      <c r="G742" s="4"/>
      <c r="H742" s="47"/>
      <c r="J742" s="45" t="str">
        <f t="shared" si="118"/>
        <v/>
      </c>
      <c r="N742" t="str">
        <f t="shared" si="120"/>
        <v/>
      </c>
      <c r="Q742" t="str">
        <f t="shared" si="119"/>
        <v/>
      </c>
      <c r="S742" t="str">
        <f>IF(A742=1,MAX(S$2:S741)+1,IF(OR(I742&lt;&gt;"",A742="x"),S741,""))</f>
        <v/>
      </c>
      <c r="T742" t="str">
        <f>IF(D742=1,MAX($T$2:$T741)+1,IF(S742=$S741,$S741,IF($D742="x",T741,IF($D741="x","",""))))</f>
        <v/>
      </c>
      <c r="U742" t="str">
        <f>IF(B742=1,MAX($U$2:$U741)+1,IF(AND($T742&lt;&gt;"",$T742=$T741),$U741,IF(B742="x",U741,"")))</f>
        <v/>
      </c>
      <c r="V742" t="str">
        <f>IF(C742=1,MAX($V$2:$V741)+1,IF(AND($T742&lt;&gt;"",$T742=$T741),$U741,IF(C742="x",V741,"")))</f>
        <v/>
      </c>
      <c r="W742" t="str" cm="1">
        <f t="array" ref="W742">IFERROR(_xlfn._xlws.FILTER(game_rosters!AB:AB,(game_rosters!J:J=events!X742)*(K742&lt;&gt;"")),"")</f>
        <v/>
      </c>
      <c r="X742" t="str" cm="1">
        <f t="array" ref="X742">IF(S742="","",IF($I742&lt;&gt;"",$I742,INDEX($I$2:$I741,ROW()-COUNTIFS($T$2:$T741,"="&amp;$T742,$S$2:$S741,"&lt;&gt;"&amp;$S742)-1)))</f>
        <v/>
      </c>
      <c r="Y742" t="b">
        <f>IF(X742&lt;&gt;"",VLOOKUP(X742,game_rosters!$C$43:$E$64,3,FALSE))</f>
        <v>0</v>
      </c>
      <c r="Z742" t="e" cm="1" vm="1">
        <f t="array" aca="1" ref="Z742" ca="1">IFERROR(IF(_xlfn._xlws.FILTER(game_rosters!$J:$J,(game_rosters!$G:$G=events!$AN742)*(game_rosters!$J:$J=events!$X742))&gt;0,1,""),"")</f>
        <v>#VALUE!</v>
      </c>
      <c r="AA742" t="e">
        <f t="shared" si="115"/>
        <v>#VALUE!</v>
      </c>
      <c r="AB742" t="str">
        <f t="shared" si="116"/>
        <v/>
      </c>
      <c r="AC742" t="e">
        <f t="shared" si="114"/>
        <v>#VALUE!</v>
      </c>
      <c r="AD742" s="6"/>
      <c r="BJ742" s="39"/>
      <c r="BM742" s="39"/>
      <c r="BO742" s="19"/>
      <c r="BQ742" s="17"/>
    </row>
    <row r="743" spans="1:69" x14ac:dyDescent="0.2">
      <c r="A743" t="str">
        <f t="shared" si="117"/>
        <v/>
      </c>
      <c r="E743" s="4"/>
      <c r="F743" s="44"/>
      <c r="G743" s="4"/>
      <c r="H743" s="47"/>
      <c r="J743" s="45" t="str">
        <f t="shared" si="118"/>
        <v/>
      </c>
      <c r="N743" t="str">
        <f t="shared" si="120"/>
        <v/>
      </c>
      <c r="Q743" t="str">
        <f t="shared" si="119"/>
        <v/>
      </c>
      <c r="S743" t="str">
        <f>IF(A743=1,MAX(S$2:S742)+1,IF(OR(I743&lt;&gt;"",A743="x"),S742,""))</f>
        <v/>
      </c>
      <c r="T743" t="str">
        <f>IF(D743=1,MAX($T$2:$T742)+1,IF(S743=$S742,$S742,IF($D743="x",T742,IF($D742="x","",""))))</f>
        <v/>
      </c>
      <c r="U743" t="str">
        <f>IF(B743=1,MAX($U$2:$U742)+1,IF(AND($T743&lt;&gt;"",$T743=$T742),$U742,IF(B743="x",U742,"")))</f>
        <v/>
      </c>
      <c r="V743" t="str">
        <f>IF(C743=1,MAX($V$2:$V742)+1,IF(AND($T743&lt;&gt;"",$T743=$T742),$U742,IF(C743="x",V742,"")))</f>
        <v/>
      </c>
      <c r="W743" t="str" cm="1">
        <f t="array" ref="W743">IFERROR(_xlfn._xlws.FILTER(game_rosters!AB:AB,(game_rosters!J:J=events!X743)*(K743&lt;&gt;"")),"")</f>
        <v/>
      </c>
      <c r="X743" t="str" cm="1">
        <f t="array" ref="X743">IF(S743="","",IF($I743&lt;&gt;"",$I743,INDEX($I$2:$I742,ROW()-COUNTIFS($T$2:$T742,"="&amp;$T743,$S$2:$S742,"&lt;&gt;"&amp;$S743)-1)))</f>
        <v/>
      </c>
      <c r="Y743" t="b">
        <f>IF(X743&lt;&gt;"",VLOOKUP(X743,game_rosters!$C$43:$E$64,3,FALSE))</f>
        <v>0</v>
      </c>
      <c r="Z743" t="e" cm="1" vm="1">
        <f t="array" aca="1" ref="Z743" ca="1">IFERROR(IF(_xlfn._xlws.FILTER(game_rosters!$J:$J,(game_rosters!$G:$G=events!$AN743)*(game_rosters!$J:$J=events!$X743))&gt;0,1,""),"")</f>
        <v>#VALUE!</v>
      </c>
      <c r="AA743" t="e">
        <f t="shared" si="115"/>
        <v>#VALUE!</v>
      </c>
      <c r="AB743" t="str">
        <f t="shared" si="116"/>
        <v/>
      </c>
      <c r="AC743" t="e">
        <f t="shared" si="114"/>
        <v>#VALUE!</v>
      </c>
      <c r="AD743" s="6"/>
      <c r="BJ743" s="39"/>
      <c r="BM743" s="39"/>
      <c r="BO743" s="19"/>
      <c r="BQ743" s="17"/>
    </row>
    <row r="744" spans="1:69" x14ac:dyDescent="0.2">
      <c r="A744" t="str">
        <f t="shared" si="117"/>
        <v/>
      </c>
      <c r="E744" s="4"/>
      <c r="F744" s="44"/>
      <c r="G744" s="4"/>
      <c r="H744" s="47"/>
      <c r="J744" s="45" t="str">
        <f t="shared" si="118"/>
        <v/>
      </c>
      <c r="N744" t="str">
        <f t="shared" si="120"/>
        <v/>
      </c>
      <c r="Q744" t="str">
        <f t="shared" si="119"/>
        <v/>
      </c>
      <c r="S744" t="str">
        <f>IF(A744=1,MAX(S$2:S743)+1,IF(OR(I744&lt;&gt;"",A744="x"),S743,""))</f>
        <v/>
      </c>
      <c r="T744" t="str">
        <f>IF(D744=1,MAX($T$2:$T743)+1,IF(S744=$S743,$S743,IF($D744="x",T743,IF($D743="x","",""))))</f>
        <v/>
      </c>
      <c r="U744" t="str">
        <f>IF(B744=1,MAX($U$2:$U743)+1,IF(AND($T744&lt;&gt;"",$T744=$T743),$U743,IF(B744="x",U743,"")))</f>
        <v/>
      </c>
      <c r="V744" t="str">
        <f>IF(C744=1,MAX($V$2:$V743)+1,IF(AND($T744&lt;&gt;"",$T744=$T743),$U743,IF(C744="x",V743,"")))</f>
        <v/>
      </c>
      <c r="W744" t="str" cm="1">
        <f t="array" ref="W744">IFERROR(_xlfn._xlws.FILTER(game_rosters!AB:AB,(game_rosters!J:J=events!X744)*(K744&lt;&gt;"")),"")</f>
        <v/>
      </c>
      <c r="X744" t="str" cm="1">
        <f t="array" ref="X744">IF(S744="","",IF($I744&lt;&gt;"",$I744,INDEX($I$2:$I743,ROW()-COUNTIFS($T$2:$T743,"="&amp;$T744,$S$2:$S743,"&lt;&gt;"&amp;$S744)-1)))</f>
        <v/>
      </c>
      <c r="Y744" t="b">
        <f>IF(X744&lt;&gt;"",VLOOKUP(X744,game_rosters!$C$43:$E$64,3,FALSE))</f>
        <v>0</v>
      </c>
      <c r="Z744" t="e" cm="1" vm="1">
        <f t="array" aca="1" ref="Z744" ca="1">IFERROR(IF(_xlfn._xlws.FILTER(game_rosters!$J:$J,(game_rosters!$G:$G=events!$AN744)*(game_rosters!$J:$J=events!$X744))&gt;0,1,""),"")</f>
        <v>#VALUE!</v>
      </c>
      <c r="AA744" t="e">
        <f t="shared" si="115"/>
        <v>#VALUE!</v>
      </c>
      <c r="AB744" t="str">
        <f t="shared" si="116"/>
        <v/>
      </c>
      <c r="AC744" t="e">
        <f t="shared" si="114"/>
        <v>#VALUE!</v>
      </c>
      <c r="AD744" s="6"/>
      <c r="BJ744" s="39"/>
      <c r="BM744" s="39"/>
      <c r="BO744" s="19"/>
      <c r="BQ744" s="17"/>
    </row>
    <row r="745" spans="1:69" x14ac:dyDescent="0.2">
      <c r="A745" t="str">
        <f t="shared" si="117"/>
        <v/>
      </c>
      <c r="E745" s="4"/>
      <c r="F745" s="44"/>
      <c r="G745" s="4"/>
      <c r="H745" s="47"/>
      <c r="J745" s="45" t="str">
        <f t="shared" si="118"/>
        <v/>
      </c>
      <c r="N745" t="str">
        <f t="shared" si="120"/>
        <v/>
      </c>
      <c r="Q745" t="str">
        <f t="shared" si="119"/>
        <v/>
      </c>
      <c r="S745" t="str">
        <f>IF(A745=1,MAX(S$2:S744)+1,IF(OR(I745&lt;&gt;"",A745="x"),S744,""))</f>
        <v/>
      </c>
      <c r="T745" t="str">
        <f>IF(D745=1,MAX($T$2:$T744)+1,IF(S745=$S744,$S744,IF($D745="x",T744,IF($D744="x","",""))))</f>
        <v/>
      </c>
      <c r="U745" t="str">
        <f>IF(B745=1,MAX($U$2:$U744)+1,IF(AND($T745&lt;&gt;"",$T745=$T744),$U744,IF(B745="x",U744,"")))</f>
        <v/>
      </c>
      <c r="V745" t="str">
        <f>IF(C745=1,MAX($V$2:$V744)+1,IF(AND($T745&lt;&gt;"",$T745=$T744),$U744,IF(C745="x",V744,"")))</f>
        <v/>
      </c>
      <c r="W745" t="str" cm="1">
        <f t="array" ref="W745">IFERROR(_xlfn._xlws.FILTER(game_rosters!AB:AB,(game_rosters!J:J=events!X745)*(K745&lt;&gt;"")),"")</f>
        <v/>
      </c>
      <c r="X745" t="str" cm="1">
        <f t="array" ref="X745">IF(S745="","",IF($I745&lt;&gt;"",$I745,INDEX($I$2:$I744,ROW()-COUNTIFS($T$2:$T744,"="&amp;$T745,$S$2:$S744,"&lt;&gt;"&amp;$S745)-1)))</f>
        <v/>
      </c>
      <c r="Y745" t="b">
        <f>IF(X745&lt;&gt;"",VLOOKUP(X745,game_rosters!$C$43:$E$64,3,FALSE))</f>
        <v>0</v>
      </c>
      <c r="Z745" t="e" cm="1" vm="1">
        <f t="array" aca="1" ref="Z745" ca="1">IFERROR(IF(_xlfn._xlws.FILTER(game_rosters!$J:$J,(game_rosters!$G:$G=events!$AN745)*(game_rosters!$J:$J=events!$X745))&gt;0,1,""),"")</f>
        <v>#VALUE!</v>
      </c>
      <c r="AA745" t="e">
        <f t="shared" si="115"/>
        <v>#VALUE!</v>
      </c>
      <c r="AB745" t="str">
        <f t="shared" si="116"/>
        <v/>
      </c>
      <c r="AC745" t="e">
        <f t="shared" si="114"/>
        <v>#VALUE!</v>
      </c>
      <c r="AD745" s="6"/>
      <c r="BJ745" s="39"/>
      <c r="BM745" s="39"/>
      <c r="BO745" s="19"/>
      <c r="BQ745" s="17"/>
    </row>
    <row r="746" spans="1:69" x14ac:dyDescent="0.2">
      <c r="A746" t="str">
        <f t="shared" si="117"/>
        <v/>
      </c>
      <c r="E746" s="4"/>
      <c r="F746" s="44"/>
      <c r="G746" s="4"/>
      <c r="H746" s="47"/>
      <c r="J746" s="45" t="str">
        <f t="shared" si="118"/>
        <v/>
      </c>
      <c r="N746" t="str">
        <f t="shared" si="120"/>
        <v/>
      </c>
      <c r="Q746" t="str">
        <f t="shared" si="119"/>
        <v/>
      </c>
      <c r="S746" t="str">
        <f>IF(A746=1,MAX(S$2:S745)+1,IF(OR(I746&lt;&gt;"",A746="x"),S745,""))</f>
        <v/>
      </c>
      <c r="T746" t="str">
        <f>IF(D746=1,MAX($T$2:$T745)+1,IF(S746=$S745,$S745,IF($D746="x",T745,IF($D745="x","",""))))</f>
        <v/>
      </c>
      <c r="U746" t="str">
        <f>IF(B746=1,MAX($U$2:$U745)+1,IF(AND($T746&lt;&gt;"",$T746=$T745),$U745,IF(B746="x",U745,"")))</f>
        <v/>
      </c>
      <c r="V746" t="str">
        <f>IF(C746=1,MAX($V$2:$V745)+1,IF(AND($T746&lt;&gt;"",$T746=$T745),$U745,IF(C746="x",V745,"")))</f>
        <v/>
      </c>
      <c r="W746" t="str" cm="1">
        <f t="array" ref="W746">IFERROR(_xlfn._xlws.FILTER(game_rosters!AB:AB,(game_rosters!J:J=events!X746)*(K746&lt;&gt;"")),"")</f>
        <v/>
      </c>
      <c r="X746" t="str" cm="1">
        <f t="array" ref="X746">IF(S746="","",IF($I746&lt;&gt;"",$I746,INDEX($I$2:$I745,ROW()-COUNTIFS($T$2:$T745,"="&amp;$T746,$S$2:$S745,"&lt;&gt;"&amp;$S746)-1)))</f>
        <v/>
      </c>
      <c r="Y746" t="b">
        <f>IF(X746&lt;&gt;"",VLOOKUP(X746,game_rosters!$C$43:$E$64,3,FALSE))</f>
        <v>0</v>
      </c>
      <c r="Z746" t="e" cm="1" vm="1">
        <f t="array" aca="1" ref="Z746" ca="1">IFERROR(IF(_xlfn._xlws.FILTER(game_rosters!$J:$J,(game_rosters!$G:$G=events!$AN746)*(game_rosters!$J:$J=events!$X746))&gt;0,1,""),"")</f>
        <v>#VALUE!</v>
      </c>
      <c r="AA746" t="e">
        <f t="shared" si="115"/>
        <v>#VALUE!</v>
      </c>
      <c r="AB746" t="str">
        <f t="shared" si="116"/>
        <v/>
      </c>
      <c r="AC746" t="e">
        <f t="shared" si="114"/>
        <v>#VALUE!</v>
      </c>
      <c r="AD746" s="6"/>
      <c r="BJ746" s="39"/>
      <c r="BM746" s="39"/>
      <c r="BO746" s="19"/>
      <c r="BQ746" s="17"/>
    </row>
    <row r="747" spans="1:69" x14ac:dyDescent="0.2">
      <c r="A747" t="str">
        <f t="shared" si="117"/>
        <v/>
      </c>
      <c r="E747" s="4"/>
      <c r="F747" s="44"/>
      <c r="G747" s="4"/>
      <c r="H747" s="47"/>
      <c r="J747" s="45" t="str">
        <f t="shared" si="118"/>
        <v/>
      </c>
      <c r="N747" t="str">
        <f t="shared" si="120"/>
        <v/>
      </c>
      <c r="Q747" t="str">
        <f t="shared" si="119"/>
        <v/>
      </c>
      <c r="S747" t="str">
        <f>IF(A747=1,MAX(S$2:S746)+1,IF(OR(I747&lt;&gt;"",A747="x"),S746,""))</f>
        <v/>
      </c>
      <c r="T747" t="str">
        <f>IF(D747=1,MAX($T$2:$T746)+1,IF(S747=$S746,$S746,IF($D747="x",T746,IF($D746="x","",""))))</f>
        <v/>
      </c>
      <c r="U747" t="str">
        <f>IF(B747=1,MAX($U$2:$U746)+1,IF(AND($T747&lt;&gt;"",$T747=$T746),$U746,IF(B747="x",U746,"")))</f>
        <v/>
      </c>
      <c r="V747" t="str">
        <f>IF(C747=1,MAX($V$2:$V746)+1,IF(AND($T747&lt;&gt;"",$T747=$T746),$U746,IF(C747="x",V746,"")))</f>
        <v/>
      </c>
      <c r="W747" t="str" cm="1">
        <f t="array" ref="W747">IFERROR(_xlfn._xlws.FILTER(game_rosters!AB:AB,(game_rosters!J:J=events!X747)*(K747&lt;&gt;"")),"")</f>
        <v/>
      </c>
      <c r="X747" t="str" cm="1">
        <f t="array" ref="X747">IF(S747="","",IF($I747&lt;&gt;"",$I747,INDEX($I$2:$I746,ROW()-COUNTIFS($T$2:$T746,"="&amp;$T747,$S$2:$S746,"&lt;&gt;"&amp;$S747)-1)))</f>
        <v/>
      </c>
      <c r="Y747" t="b">
        <f>IF(X747&lt;&gt;"",VLOOKUP(X747,game_rosters!$C$43:$E$64,3,FALSE))</f>
        <v>0</v>
      </c>
      <c r="Z747" t="e" cm="1" vm="1">
        <f t="array" aca="1" ref="Z747" ca="1">IFERROR(IF(_xlfn._xlws.FILTER(game_rosters!$J:$J,(game_rosters!$G:$G=events!$AN747)*(game_rosters!$J:$J=events!$X747))&gt;0,1,""),"")</f>
        <v>#VALUE!</v>
      </c>
      <c r="AA747" t="e">
        <f t="shared" si="115"/>
        <v>#VALUE!</v>
      </c>
      <c r="AB747" t="str">
        <f t="shared" si="116"/>
        <v/>
      </c>
      <c r="AC747" t="e">
        <f t="shared" si="114"/>
        <v>#VALUE!</v>
      </c>
      <c r="AD747" s="6"/>
      <c r="BJ747" s="39"/>
      <c r="BM747" s="39"/>
      <c r="BO747" s="19"/>
      <c r="BQ747" s="17"/>
    </row>
    <row r="748" spans="1:69" x14ac:dyDescent="0.2">
      <c r="A748" t="str">
        <f t="shared" si="117"/>
        <v/>
      </c>
      <c r="E748" s="4"/>
      <c r="F748" s="44"/>
      <c r="G748" s="4"/>
      <c r="H748" s="47"/>
      <c r="J748" s="45" t="str">
        <f t="shared" si="118"/>
        <v/>
      </c>
      <c r="N748" t="str">
        <f t="shared" si="120"/>
        <v/>
      </c>
      <c r="Q748" t="str">
        <f t="shared" si="119"/>
        <v/>
      </c>
      <c r="S748" t="str">
        <f>IF(A748=1,MAX(S$2:S747)+1,IF(OR(I748&lt;&gt;"",A748="x"),S747,""))</f>
        <v/>
      </c>
      <c r="T748" t="str">
        <f>IF(D748=1,MAX($T$2:$T747)+1,IF(S748=$S747,$S747,IF($D748="x",T747,IF($D747="x","",""))))</f>
        <v/>
      </c>
      <c r="U748" t="str">
        <f>IF(B748=1,MAX($U$2:$U747)+1,IF(AND($T748&lt;&gt;"",$T748=$T747),$U747,IF(B748="x",U747,"")))</f>
        <v/>
      </c>
      <c r="V748" t="str">
        <f>IF(C748=1,MAX($V$2:$V747)+1,IF(AND($T748&lt;&gt;"",$T748=$T747),$U747,IF(C748="x",V747,"")))</f>
        <v/>
      </c>
      <c r="W748" t="str" cm="1">
        <f t="array" ref="W748">IFERROR(_xlfn._xlws.FILTER(game_rosters!AB:AB,(game_rosters!J:J=events!X748)*(K748&lt;&gt;"")),"")</f>
        <v/>
      </c>
      <c r="X748" t="str" cm="1">
        <f t="array" ref="X748">IF(S748="","",IF($I748&lt;&gt;"",$I748,INDEX($I$2:$I747,ROW()-COUNTIFS($T$2:$T747,"="&amp;$T748,$S$2:$S747,"&lt;&gt;"&amp;$S748)-1)))</f>
        <v/>
      </c>
      <c r="Y748" t="b">
        <f>IF(X748&lt;&gt;"",VLOOKUP(X748,game_rosters!$C$43:$E$64,3,FALSE))</f>
        <v>0</v>
      </c>
      <c r="Z748" t="e" cm="1" vm="1">
        <f t="array" aca="1" ref="Z748" ca="1">IFERROR(IF(_xlfn._xlws.FILTER(game_rosters!$J:$J,(game_rosters!$G:$G=events!$AN748)*(game_rosters!$J:$J=events!$X748))&gt;0,1,""),"")</f>
        <v>#VALUE!</v>
      </c>
      <c r="AA748" t="e">
        <f t="shared" si="115"/>
        <v>#VALUE!</v>
      </c>
      <c r="AB748" t="str">
        <f t="shared" si="116"/>
        <v/>
      </c>
      <c r="AC748" t="e">
        <f t="shared" si="114"/>
        <v>#VALUE!</v>
      </c>
      <c r="AD748" s="6"/>
      <c r="BJ748" s="39"/>
      <c r="BM748" s="39"/>
      <c r="BO748" s="19"/>
      <c r="BQ748" s="17"/>
    </row>
    <row r="749" spans="1:69" x14ac:dyDescent="0.2">
      <c r="A749" t="str">
        <f t="shared" si="117"/>
        <v/>
      </c>
      <c r="E749" s="4"/>
      <c r="F749" s="44"/>
      <c r="G749" s="4"/>
      <c r="H749" s="47"/>
      <c r="J749" s="45" t="str">
        <f t="shared" si="118"/>
        <v/>
      </c>
      <c r="N749" t="str">
        <f t="shared" si="120"/>
        <v/>
      </c>
      <c r="Q749" t="str">
        <f t="shared" si="119"/>
        <v/>
      </c>
      <c r="S749" t="str">
        <f>IF(A749=1,MAX(S$2:S748)+1,IF(OR(I749&lt;&gt;"",A749="x"),S748,""))</f>
        <v/>
      </c>
      <c r="T749" t="str">
        <f>IF(D749=1,MAX($T$2:$T748)+1,IF(S749=$S748,$S748,IF($D749="x",T748,IF($D748="x","",""))))</f>
        <v/>
      </c>
      <c r="U749" t="str">
        <f>IF(B749=1,MAX($U$2:$U748)+1,IF(AND($T749&lt;&gt;"",$T749=$T748),$U748,IF(B749="x",U748,"")))</f>
        <v/>
      </c>
      <c r="V749" t="str">
        <f>IF(C749=1,MAX($V$2:$V748)+1,IF(AND($T749&lt;&gt;"",$T749=$T748),$U748,IF(C749="x",V748,"")))</f>
        <v/>
      </c>
      <c r="W749" t="str" cm="1">
        <f t="array" ref="W749">IFERROR(_xlfn._xlws.FILTER(game_rosters!AB:AB,(game_rosters!J:J=events!X749)*(K749&lt;&gt;"")),"")</f>
        <v/>
      </c>
      <c r="X749" t="str" cm="1">
        <f t="array" ref="X749">IF(S749="","",IF($I749&lt;&gt;"",$I749,INDEX($I$2:$I748,ROW()-COUNTIFS($T$2:$T748,"="&amp;$T749,$S$2:$S748,"&lt;&gt;"&amp;$S749)-1)))</f>
        <v/>
      </c>
      <c r="Y749" t="b">
        <f>IF(X749&lt;&gt;"",VLOOKUP(X749,game_rosters!$C$43:$E$64,3,FALSE))</f>
        <v>0</v>
      </c>
      <c r="Z749" t="e" cm="1" vm="1">
        <f t="array" aca="1" ref="Z749" ca="1">IFERROR(IF(_xlfn._xlws.FILTER(game_rosters!$J:$J,(game_rosters!$G:$G=events!$AN749)*(game_rosters!$J:$J=events!$X749))&gt;0,1,""),"")</f>
        <v>#VALUE!</v>
      </c>
      <c r="AA749" t="e">
        <f t="shared" si="115"/>
        <v>#VALUE!</v>
      </c>
      <c r="AB749" t="str">
        <f t="shared" si="116"/>
        <v/>
      </c>
      <c r="AC749" t="e">
        <f t="shared" si="114"/>
        <v>#VALUE!</v>
      </c>
      <c r="AD749" s="6"/>
      <c r="BJ749" s="39"/>
      <c r="BM749" s="39"/>
      <c r="BO749" s="19"/>
      <c r="BQ749" s="17"/>
    </row>
    <row r="750" spans="1:69" x14ac:dyDescent="0.2">
      <c r="A750" t="str">
        <f t="shared" si="117"/>
        <v/>
      </c>
      <c r="E750" s="4"/>
      <c r="F750" s="44"/>
      <c r="G750" s="4"/>
      <c r="H750" s="47"/>
      <c r="J750" s="45" t="str">
        <f t="shared" si="118"/>
        <v/>
      </c>
      <c r="N750" t="str">
        <f t="shared" si="120"/>
        <v/>
      </c>
      <c r="Q750" t="str">
        <f t="shared" si="119"/>
        <v/>
      </c>
      <c r="S750" t="str">
        <f>IF(A750=1,MAX(S$2:S749)+1,IF(OR(I750&lt;&gt;"",A750="x"),S749,""))</f>
        <v/>
      </c>
      <c r="T750" t="str">
        <f>IF(D750=1,MAX($T$2:$T749)+1,IF(S750=$S749,$S749,IF($D750="x",T749,IF($D749="x","",""))))</f>
        <v/>
      </c>
      <c r="U750" t="str">
        <f>IF(B750=1,MAX($U$2:$U749)+1,IF(AND($T750&lt;&gt;"",$T750=$T749),$U749,IF(B750="x",U749,"")))</f>
        <v/>
      </c>
      <c r="V750" t="str">
        <f>IF(C750=1,MAX($V$2:$V749)+1,IF(AND($T750&lt;&gt;"",$T750=$T749),$U749,IF(C750="x",V749,"")))</f>
        <v/>
      </c>
      <c r="W750" t="str" cm="1">
        <f t="array" ref="W750">IFERROR(_xlfn._xlws.FILTER(game_rosters!AB:AB,(game_rosters!J:J=events!X750)*(K750&lt;&gt;"")),"")</f>
        <v/>
      </c>
      <c r="X750" t="str" cm="1">
        <f t="array" ref="X750">IF(S750="","",IF($I750&lt;&gt;"",$I750,INDEX($I$2:$I749,ROW()-COUNTIFS($T$2:$T749,"="&amp;$T750,$S$2:$S749,"&lt;&gt;"&amp;$S750)-1)))</f>
        <v/>
      </c>
      <c r="Y750" t="b">
        <f>IF(X750&lt;&gt;"",VLOOKUP(X750,game_rosters!$C$43:$E$64,3,FALSE))</f>
        <v>0</v>
      </c>
      <c r="Z750" t="e" cm="1" vm="1">
        <f t="array" aca="1" ref="Z750" ca="1">IFERROR(IF(_xlfn._xlws.FILTER(game_rosters!$J:$J,(game_rosters!$G:$G=events!$AN750)*(game_rosters!$J:$J=events!$X750))&gt;0,1,""),"")</f>
        <v>#VALUE!</v>
      </c>
      <c r="AA750" t="e">
        <f t="shared" si="115"/>
        <v>#VALUE!</v>
      </c>
      <c r="AB750" t="str">
        <f t="shared" si="116"/>
        <v/>
      </c>
      <c r="AC750" t="e">
        <f t="shared" si="114"/>
        <v>#VALUE!</v>
      </c>
      <c r="AD750" s="6"/>
      <c r="BJ750" s="39"/>
      <c r="BM750" s="39"/>
      <c r="BO750" s="19"/>
      <c r="BQ750" s="17"/>
    </row>
    <row r="751" spans="1:69" x14ac:dyDescent="0.2">
      <c r="A751" t="str">
        <f t="shared" si="117"/>
        <v/>
      </c>
      <c r="E751" s="4"/>
      <c r="F751" s="44"/>
      <c r="G751" s="4"/>
      <c r="H751" s="47"/>
      <c r="J751" s="45" t="str">
        <f t="shared" si="118"/>
        <v/>
      </c>
      <c r="N751" t="str">
        <f t="shared" si="120"/>
        <v/>
      </c>
      <c r="Q751" t="str">
        <f t="shared" si="119"/>
        <v/>
      </c>
      <c r="S751" t="str">
        <f>IF(A751=1,MAX(S$2:S750)+1,IF(OR(I751&lt;&gt;"",A751="x"),S750,""))</f>
        <v/>
      </c>
      <c r="T751" t="str">
        <f>IF(D751=1,MAX($T$2:$T750)+1,IF(S751=$S750,$S750,IF($D751="x",T750,IF($D750="x","",""))))</f>
        <v/>
      </c>
      <c r="U751" t="str">
        <f>IF(B751=1,MAX($U$2:$U750)+1,IF(AND($T751&lt;&gt;"",$T751=$T750),$U750,IF(B751="x",U750,"")))</f>
        <v/>
      </c>
      <c r="V751" t="str">
        <f>IF(C751=1,MAX($V$2:$V750)+1,IF(AND($T751&lt;&gt;"",$T751=$T750),$U750,IF(C751="x",V750,"")))</f>
        <v/>
      </c>
      <c r="W751" t="str" cm="1">
        <f t="array" ref="W751">IFERROR(_xlfn._xlws.FILTER(game_rosters!AB:AB,(game_rosters!J:J=events!X751)*(K751&lt;&gt;"")),"")</f>
        <v/>
      </c>
      <c r="X751" t="str" cm="1">
        <f t="array" ref="X751">IF(S751="","",IF($I751&lt;&gt;"",$I751,INDEX($I$2:$I750,ROW()-COUNTIFS($T$2:$T750,"="&amp;$T751,$S$2:$S750,"&lt;&gt;"&amp;$S751)-1)))</f>
        <v/>
      </c>
      <c r="Y751" t="b">
        <f>IF(X751&lt;&gt;"",VLOOKUP(X751,game_rosters!$C$43:$E$64,3,FALSE))</f>
        <v>0</v>
      </c>
      <c r="Z751" t="e" cm="1" vm="1">
        <f t="array" aca="1" ref="Z751" ca="1">IFERROR(IF(_xlfn._xlws.FILTER(game_rosters!$J:$J,(game_rosters!$G:$G=events!$AN751)*(game_rosters!$J:$J=events!$X751))&gt;0,1,""),"")</f>
        <v>#VALUE!</v>
      </c>
      <c r="AA751" t="e">
        <f t="shared" si="115"/>
        <v>#VALUE!</v>
      </c>
      <c r="AB751" t="str">
        <f t="shared" si="116"/>
        <v/>
      </c>
      <c r="AC751" t="e">
        <f t="shared" si="114"/>
        <v>#VALUE!</v>
      </c>
      <c r="AD751" s="6"/>
      <c r="BJ751" s="39"/>
      <c r="BM751" s="39"/>
      <c r="BO751" s="19"/>
      <c r="BQ751" s="17"/>
    </row>
    <row r="752" spans="1:69" x14ac:dyDescent="0.2">
      <c r="A752" t="str">
        <f t="shared" si="117"/>
        <v/>
      </c>
      <c r="E752" s="4"/>
      <c r="F752" s="44"/>
      <c r="G752" s="4"/>
      <c r="H752" s="47"/>
      <c r="J752" s="45" t="str">
        <f t="shared" si="118"/>
        <v/>
      </c>
      <c r="N752" t="str">
        <f t="shared" si="120"/>
        <v/>
      </c>
      <c r="Q752" t="str">
        <f t="shared" si="119"/>
        <v/>
      </c>
      <c r="S752" t="str">
        <f>IF(A752=1,MAX(S$2:S751)+1,IF(OR(I752&lt;&gt;"",A752="x"),S751,""))</f>
        <v/>
      </c>
      <c r="T752" t="str">
        <f>IF(D752=1,MAX($T$2:$T751)+1,IF(S752=$S751,$S751,IF($D752="x",T751,IF($D751="x","",""))))</f>
        <v/>
      </c>
      <c r="U752" t="str">
        <f>IF(B752=1,MAX($U$2:$U751)+1,IF(AND($T752&lt;&gt;"",$T752=$T751),$U751,IF(B752="x",U751,"")))</f>
        <v/>
      </c>
      <c r="V752" t="str">
        <f>IF(C752=1,MAX($V$2:$V751)+1,IF(AND($T752&lt;&gt;"",$T752=$T751),$U751,IF(C752="x",V751,"")))</f>
        <v/>
      </c>
      <c r="W752" t="str" cm="1">
        <f t="array" ref="W752">IFERROR(_xlfn._xlws.FILTER(game_rosters!AB:AB,(game_rosters!J:J=events!X752)*(K752&lt;&gt;"")),"")</f>
        <v/>
      </c>
      <c r="X752" t="str" cm="1">
        <f t="array" ref="X752">IF(S752="","",IF($I752&lt;&gt;"",$I752,INDEX($I$2:$I751,ROW()-COUNTIFS($T$2:$T751,"="&amp;$T752,$S$2:$S751,"&lt;&gt;"&amp;$S752)-1)))</f>
        <v/>
      </c>
      <c r="Y752" t="b">
        <f>IF(X752&lt;&gt;"",VLOOKUP(X752,game_rosters!$C$43:$E$64,3,FALSE))</f>
        <v>0</v>
      </c>
      <c r="Z752" t="e" cm="1" vm="1">
        <f t="array" aca="1" ref="Z752" ca="1">IFERROR(IF(_xlfn._xlws.FILTER(game_rosters!$J:$J,(game_rosters!$G:$G=events!$AN752)*(game_rosters!$J:$J=events!$X752))&gt;0,1,""),"")</f>
        <v>#VALUE!</v>
      </c>
      <c r="AA752" t="e">
        <f t="shared" si="115"/>
        <v>#VALUE!</v>
      </c>
      <c r="AB752" t="str">
        <f t="shared" si="116"/>
        <v/>
      </c>
      <c r="AC752" t="e">
        <f t="shared" si="114"/>
        <v>#VALUE!</v>
      </c>
      <c r="AD752" s="6"/>
      <c r="BJ752" s="39"/>
      <c r="BM752" s="39"/>
      <c r="BO752" s="19"/>
      <c r="BQ752" s="17"/>
    </row>
    <row r="753" spans="1:69" x14ac:dyDescent="0.2">
      <c r="A753" t="str">
        <f t="shared" si="117"/>
        <v/>
      </c>
      <c r="E753" s="4"/>
      <c r="F753" s="44"/>
      <c r="G753" s="4"/>
      <c r="H753" s="47"/>
      <c r="J753" s="45" t="str">
        <f t="shared" si="118"/>
        <v/>
      </c>
      <c r="N753" t="str">
        <f t="shared" si="120"/>
        <v/>
      </c>
      <c r="Q753" t="str">
        <f t="shared" si="119"/>
        <v/>
      </c>
      <c r="S753" t="str">
        <f>IF(A753=1,MAX(S$2:S752)+1,IF(OR(I753&lt;&gt;"",A753="x"),S752,""))</f>
        <v/>
      </c>
      <c r="T753" t="str">
        <f>IF(D753=1,MAX($T$2:$T752)+1,IF(S753=$S752,$S752,IF($D753="x",T752,IF($D752="x","",""))))</f>
        <v/>
      </c>
      <c r="U753" t="str">
        <f>IF(B753=1,MAX($U$2:$U752)+1,IF(AND($T753&lt;&gt;"",$T753=$T752),$U752,IF(B753="x",U752,"")))</f>
        <v/>
      </c>
      <c r="V753" t="str">
        <f>IF(C753=1,MAX($V$2:$V752)+1,IF(AND($T753&lt;&gt;"",$T753=$T752),$U752,IF(C753="x",V752,"")))</f>
        <v/>
      </c>
      <c r="W753" t="str" cm="1">
        <f t="array" ref="W753">IFERROR(_xlfn._xlws.FILTER(game_rosters!AB:AB,(game_rosters!J:J=events!X753)*(K753&lt;&gt;"")),"")</f>
        <v/>
      </c>
      <c r="X753" t="str" cm="1">
        <f t="array" ref="X753">IF(S753="","",IF($I753&lt;&gt;"",$I753,INDEX($I$2:$I752,ROW()-COUNTIFS($T$2:$T752,"="&amp;$T753,$S$2:$S752,"&lt;&gt;"&amp;$S753)-1)))</f>
        <v/>
      </c>
      <c r="Y753" t="b">
        <f>IF(X753&lt;&gt;"",VLOOKUP(X753,game_rosters!$C$43:$E$64,3,FALSE))</f>
        <v>0</v>
      </c>
      <c r="Z753" t="e" cm="1" vm="1">
        <f t="array" aca="1" ref="Z753" ca="1">IFERROR(IF(_xlfn._xlws.FILTER(game_rosters!$J:$J,(game_rosters!$G:$G=events!$AN753)*(game_rosters!$J:$J=events!$X753))&gt;0,1,""),"")</f>
        <v>#VALUE!</v>
      </c>
      <c r="AA753" t="e">
        <f t="shared" si="115"/>
        <v>#VALUE!</v>
      </c>
      <c r="AB753" t="str">
        <f t="shared" si="116"/>
        <v/>
      </c>
      <c r="AC753" t="e">
        <f t="shared" si="114"/>
        <v>#VALUE!</v>
      </c>
      <c r="AD753" s="6"/>
      <c r="BJ753" s="39"/>
      <c r="BM753" s="39"/>
      <c r="BO753" s="19"/>
      <c r="BQ753" s="17"/>
    </row>
    <row r="754" spans="1:69" x14ac:dyDescent="0.2">
      <c r="A754" t="str">
        <f t="shared" si="117"/>
        <v/>
      </c>
      <c r="E754" s="4"/>
      <c r="F754" s="44"/>
      <c r="G754" s="4"/>
      <c r="H754" s="47"/>
      <c r="J754" s="45" t="str">
        <f t="shared" si="118"/>
        <v/>
      </c>
      <c r="N754" t="str">
        <f t="shared" si="120"/>
        <v/>
      </c>
      <c r="Q754" t="str">
        <f t="shared" si="119"/>
        <v/>
      </c>
      <c r="S754" t="str">
        <f>IF(A754=1,MAX(S$2:S753)+1,IF(OR(I754&lt;&gt;"",A754="x"),S753,""))</f>
        <v/>
      </c>
      <c r="T754" t="str">
        <f>IF(D754=1,MAX($T$2:$T753)+1,IF(S754=$S753,$S753,IF($D754="x",T753,IF($D753="x","",""))))</f>
        <v/>
      </c>
      <c r="U754" t="str">
        <f>IF(B754=1,MAX($U$2:$U753)+1,IF(AND($T754&lt;&gt;"",$T754=$T753),$U753,IF(B754="x",U753,"")))</f>
        <v/>
      </c>
      <c r="V754" t="str">
        <f>IF(C754=1,MAX($V$2:$V753)+1,IF(AND($T754&lt;&gt;"",$T754=$T753),$U753,IF(C754="x",V753,"")))</f>
        <v/>
      </c>
      <c r="W754" t="str" cm="1">
        <f t="array" ref="W754">IFERROR(_xlfn._xlws.FILTER(game_rosters!AB:AB,(game_rosters!J:J=events!X754)*(K754&lt;&gt;"")),"")</f>
        <v/>
      </c>
      <c r="X754" t="str" cm="1">
        <f t="array" ref="X754">IF(S754="","",IF($I754&lt;&gt;"",$I754,INDEX($I$2:$I753,ROW()-COUNTIFS($T$2:$T753,"="&amp;$T754,$S$2:$S753,"&lt;&gt;"&amp;$S754)-1)))</f>
        <v/>
      </c>
      <c r="Y754" t="b">
        <f>IF(X754&lt;&gt;"",VLOOKUP(X754,game_rosters!$C$43:$E$64,3,FALSE))</f>
        <v>0</v>
      </c>
      <c r="Z754" t="e" cm="1" vm="1">
        <f t="array" aca="1" ref="Z754" ca="1">IFERROR(IF(_xlfn._xlws.FILTER(game_rosters!$J:$J,(game_rosters!$G:$G=events!$AN754)*(game_rosters!$J:$J=events!$X754))&gt;0,1,""),"")</f>
        <v>#VALUE!</v>
      </c>
      <c r="AA754" t="e">
        <f t="shared" si="115"/>
        <v>#VALUE!</v>
      </c>
      <c r="AB754" t="str">
        <f t="shared" si="116"/>
        <v/>
      </c>
      <c r="AC754" t="e">
        <f t="shared" si="114"/>
        <v>#VALUE!</v>
      </c>
      <c r="AD754" s="6"/>
      <c r="BJ754" s="39"/>
      <c r="BM754" s="39"/>
      <c r="BO754" s="19"/>
      <c r="BQ754" s="17"/>
    </row>
    <row r="755" spans="1:69" x14ac:dyDescent="0.2">
      <c r="A755" t="str">
        <f t="shared" si="117"/>
        <v/>
      </c>
      <c r="E755" s="4"/>
      <c r="F755" s="44"/>
      <c r="G755" s="4"/>
      <c r="H755" s="47"/>
      <c r="J755" s="45" t="str">
        <f t="shared" si="118"/>
        <v/>
      </c>
      <c r="N755" t="str">
        <f t="shared" si="120"/>
        <v/>
      </c>
      <c r="Q755" t="str">
        <f t="shared" si="119"/>
        <v/>
      </c>
      <c r="S755" t="str">
        <f>IF(A755=1,MAX(S$2:S754)+1,IF(OR(I755&lt;&gt;"",A755="x"),S754,""))</f>
        <v/>
      </c>
      <c r="T755" t="str">
        <f>IF(D755=1,MAX($T$2:$T754)+1,IF(S755=$S754,$S754,IF($D755="x",T754,IF($D754="x","",""))))</f>
        <v/>
      </c>
      <c r="U755" t="str">
        <f>IF(B755=1,MAX($U$2:$U754)+1,IF(AND($T755&lt;&gt;"",$T755=$T754),$U754,IF(B755="x",U754,"")))</f>
        <v/>
      </c>
      <c r="V755" t="str">
        <f>IF(C755=1,MAX($V$2:$V754)+1,IF(AND($T755&lt;&gt;"",$T755=$T754),$U754,IF(C755="x",V754,"")))</f>
        <v/>
      </c>
      <c r="W755" t="str" cm="1">
        <f t="array" ref="W755">IFERROR(_xlfn._xlws.FILTER(game_rosters!AB:AB,(game_rosters!J:J=events!X755)*(K755&lt;&gt;"")),"")</f>
        <v/>
      </c>
      <c r="X755" t="str" cm="1">
        <f t="array" ref="X755">IF(S755="","",IF($I755&lt;&gt;"",$I755,INDEX($I$2:$I754,ROW()-COUNTIFS($T$2:$T754,"="&amp;$T755,$S$2:$S754,"&lt;&gt;"&amp;$S755)-1)))</f>
        <v/>
      </c>
      <c r="Y755" t="b">
        <f>IF(X755&lt;&gt;"",VLOOKUP(X755,game_rosters!$C$43:$E$64,3,FALSE))</f>
        <v>0</v>
      </c>
      <c r="Z755" t="e" cm="1" vm="1">
        <f t="array" aca="1" ref="Z755" ca="1">IFERROR(IF(_xlfn._xlws.FILTER(game_rosters!$J:$J,(game_rosters!$G:$G=events!$AN755)*(game_rosters!$J:$J=events!$X755))&gt;0,1,""),"")</f>
        <v>#VALUE!</v>
      </c>
      <c r="AA755" t="e">
        <f t="shared" si="115"/>
        <v>#VALUE!</v>
      </c>
      <c r="AB755" t="str">
        <f t="shared" si="116"/>
        <v/>
      </c>
      <c r="AC755" t="e">
        <f t="shared" si="114"/>
        <v>#VALUE!</v>
      </c>
      <c r="AD755" s="6"/>
      <c r="BJ755" s="39"/>
      <c r="BM755" s="39"/>
      <c r="BO755" s="19"/>
      <c r="BQ755" s="17"/>
    </row>
    <row r="756" spans="1:69" x14ac:dyDescent="0.2">
      <c r="A756" t="str">
        <f t="shared" si="117"/>
        <v/>
      </c>
      <c r="E756" s="4"/>
      <c r="F756" s="44"/>
      <c r="G756" s="4"/>
      <c r="H756" s="47"/>
      <c r="J756" s="45" t="str">
        <f t="shared" si="118"/>
        <v/>
      </c>
      <c r="N756" t="str">
        <f t="shared" si="120"/>
        <v/>
      </c>
      <c r="Q756" t="str">
        <f t="shared" si="119"/>
        <v/>
      </c>
      <c r="S756" t="str">
        <f>IF(A756=1,MAX(S$2:S755)+1,IF(OR(I756&lt;&gt;"",A756="x"),S755,""))</f>
        <v/>
      </c>
      <c r="T756" t="str">
        <f>IF(D756=1,MAX($T$2:$T755)+1,IF(S756=$S755,$S755,IF($D756="x",T755,IF($D755="x","",""))))</f>
        <v/>
      </c>
      <c r="U756" t="str">
        <f>IF(B756=1,MAX($U$2:$U755)+1,IF(AND($T756&lt;&gt;"",$T756=$T755),$U755,IF(B756="x",U755,"")))</f>
        <v/>
      </c>
      <c r="V756" t="str">
        <f>IF(C756=1,MAX($V$2:$V755)+1,IF(AND($T756&lt;&gt;"",$T756=$T755),$U755,IF(C756="x",V755,"")))</f>
        <v/>
      </c>
      <c r="W756" t="str" cm="1">
        <f t="array" ref="W756">IFERROR(_xlfn._xlws.FILTER(game_rosters!AB:AB,(game_rosters!J:J=events!X756)*(K756&lt;&gt;"")),"")</f>
        <v/>
      </c>
      <c r="X756" t="str" cm="1">
        <f t="array" ref="X756">IF(S756="","",IF($I756&lt;&gt;"",$I756,INDEX($I$2:$I755,ROW()-COUNTIFS($T$2:$T755,"="&amp;$T756,$S$2:$S755,"&lt;&gt;"&amp;$S756)-1)))</f>
        <v/>
      </c>
      <c r="Y756" t="b">
        <f>IF(X756&lt;&gt;"",VLOOKUP(X756,game_rosters!$C$43:$E$64,3,FALSE))</f>
        <v>0</v>
      </c>
      <c r="Z756" t="e" cm="1" vm="1">
        <f t="array" aca="1" ref="Z756" ca="1">IFERROR(IF(_xlfn._xlws.FILTER(game_rosters!$J:$J,(game_rosters!$G:$G=events!$AN756)*(game_rosters!$J:$J=events!$X756))&gt;0,1,""),"")</f>
        <v>#VALUE!</v>
      </c>
      <c r="AA756" t="e">
        <f t="shared" si="115"/>
        <v>#VALUE!</v>
      </c>
      <c r="AB756" t="str">
        <f t="shared" si="116"/>
        <v/>
      </c>
      <c r="AC756" t="e">
        <f t="shared" si="114"/>
        <v>#VALUE!</v>
      </c>
      <c r="AD756" s="6"/>
      <c r="BJ756" s="39"/>
      <c r="BM756" s="39"/>
      <c r="BO756" s="19"/>
      <c r="BQ756" s="17"/>
    </row>
    <row r="757" spans="1:69" x14ac:dyDescent="0.2">
      <c r="A757" t="str">
        <f t="shared" si="117"/>
        <v/>
      </c>
      <c r="E757" s="4"/>
      <c r="F757" s="44"/>
      <c r="G757" s="4"/>
      <c r="H757" s="47"/>
      <c r="J757" s="45" t="str">
        <f t="shared" si="118"/>
        <v/>
      </c>
      <c r="N757" t="str">
        <f t="shared" si="120"/>
        <v/>
      </c>
      <c r="Q757" t="str">
        <f t="shared" si="119"/>
        <v/>
      </c>
      <c r="S757" t="str">
        <f>IF(A757=1,MAX(S$2:S756)+1,IF(OR(I757&lt;&gt;"",A757="x"),S756,""))</f>
        <v/>
      </c>
      <c r="T757" t="str">
        <f>IF(D757=1,MAX($T$2:$T756)+1,IF(S757=$S756,$S756,IF($D757="x",T756,IF($D756="x","",""))))</f>
        <v/>
      </c>
      <c r="U757" t="str">
        <f>IF(B757=1,MAX($U$2:$U756)+1,IF(AND($T757&lt;&gt;"",$T757=$T756),$U756,IF(B757="x",U756,"")))</f>
        <v/>
      </c>
      <c r="V757" t="str">
        <f>IF(C757=1,MAX($V$2:$V756)+1,IF(AND($T757&lt;&gt;"",$T757=$T756),$U756,IF(C757="x",V756,"")))</f>
        <v/>
      </c>
      <c r="W757" t="str" cm="1">
        <f t="array" ref="W757">IFERROR(_xlfn._xlws.FILTER(game_rosters!AB:AB,(game_rosters!J:J=events!X757)*(K757&lt;&gt;"")),"")</f>
        <v/>
      </c>
      <c r="X757" t="str" cm="1">
        <f t="array" ref="X757">IF(S757="","",IF($I757&lt;&gt;"",$I757,INDEX($I$2:$I756,ROW()-COUNTIFS($T$2:$T756,"="&amp;$T757,$S$2:$S756,"&lt;&gt;"&amp;$S757)-1)))</f>
        <v/>
      </c>
      <c r="Y757" t="b">
        <f>IF(X757&lt;&gt;"",VLOOKUP(X757,game_rosters!$C$43:$E$64,3,FALSE))</f>
        <v>0</v>
      </c>
      <c r="Z757" t="e" cm="1" vm="1">
        <f t="array" aca="1" ref="Z757" ca="1">IFERROR(IF(_xlfn._xlws.FILTER(game_rosters!$J:$J,(game_rosters!$G:$G=events!$AN757)*(game_rosters!$J:$J=events!$X757))&gt;0,1,""),"")</f>
        <v>#VALUE!</v>
      </c>
      <c r="AA757" t="e">
        <f t="shared" si="115"/>
        <v>#VALUE!</v>
      </c>
      <c r="AB757" t="str">
        <f t="shared" si="116"/>
        <v/>
      </c>
      <c r="AC757" t="e">
        <f t="shared" si="114"/>
        <v>#VALUE!</v>
      </c>
      <c r="AD757" s="6"/>
      <c r="BJ757" s="39"/>
      <c r="BM757" s="39"/>
      <c r="BO757" s="19"/>
      <c r="BQ757" s="17"/>
    </row>
    <row r="758" spans="1:69" x14ac:dyDescent="0.2">
      <c r="A758" t="str">
        <f t="shared" si="117"/>
        <v/>
      </c>
      <c r="E758" s="4"/>
      <c r="F758" s="44"/>
      <c r="G758" s="4"/>
      <c r="H758" s="47"/>
      <c r="J758" s="45" t="str">
        <f t="shared" si="118"/>
        <v/>
      </c>
      <c r="N758" t="str">
        <f t="shared" si="120"/>
        <v/>
      </c>
      <c r="Q758" t="str">
        <f t="shared" si="119"/>
        <v/>
      </c>
      <c r="S758" t="str">
        <f>IF(A758=1,MAX(S$2:S757)+1,IF(OR(I758&lt;&gt;"",A758="x"),S757,""))</f>
        <v/>
      </c>
      <c r="T758" t="str">
        <f>IF(D758=1,MAX($T$2:$T757)+1,IF(S758=$S757,$S757,IF($D758="x",T757,IF($D757="x","",""))))</f>
        <v/>
      </c>
      <c r="U758" t="str">
        <f>IF(B758=1,MAX($U$2:$U757)+1,IF(AND($T758&lt;&gt;"",$T758=$T757),$U757,IF(B758="x",U757,"")))</f>
        <v/>
      </c>
      <c r="V758" t="str">
        <f>IF(C758=1,MAX($V$2:$V757)+1,IF(AND($T758&lt;&gt;"",$T758=$T757),$U757,IF(C758="x",V757,"")))</f>
        <v/>
      </c>
      <c r="W758" t="str" cm="1">
        <f t="array" ref="W758">IFERROR(_xlfn._xlws.FILTER(game_rosters!AB:AB,(game_rosters!J:J=events!X758)*(K758&lt;&gt;"")),"")</f>
        <v/>
      </c>
      <c r="X758" t="str" cm="1">
        <f t="array" ref="X758">IF(S758="","",IF($I758&lt;&gt;"",$I758,INDEX($I$2:$I757,ROW()-COUNTIFS($T$2:$T757,"="&amp;$T758,$S$2:$S757,"&lt;&gt;"&amp;$S758)-1)))</f>
        <v/>
      </c>
      <c r="Y758" t="b">
        <f>IF(X758&lt;&gt;"",VLOOKUP(X758,game_rosters!$C$43:$E$64,3,FALSE))</f>
        <v>0</v>
      </c>
      <c r="Z758" t="e" cm="1" vm="1">
        <f t="array" aca="1" ref="Z758" ca="1">IFERROR(IF(_xlfn._xlws.FILTER(game_rosters!$J:$J,(game_rosters!$G:$G=events!$AN758)*(game_rosters!$J:$J=events!$X758))&gt;0,1,""),"")</f>
        <v>#VALUE!</v>
      </c>
      <c r="AA758" t="e">
        <f t="shared" si="115"/>
        <v>#VALUE!</v>
      </c>
      <c r="AB758" t="str">
        <f t="shared" si="116"/>
        <v/>
      </c>
      <c r="AC758" t="e">
        <f t="shared" si="114"/>
        <v>#VALUE!</v>
      </c>
      <c r="AD758" s="6"/>
      <c r="BJ758" s="39"/>
      <c r="BM758" s="39"/>
      <c r="BO758" s="19"/>
      <c r="BQ758" s="17"/>
    </row>
    <row r="759" spans="1:69" x14ac:dyDescent="0.2">
      <c r="A759" t="str">
        <f t="shared" si="117"/>
        <v/>
      </c>
      <c r="E759" s="4"/>
      <c r="F759" s="44"/>
      <c r="G759" s="4"/>
      <c r="H759" s="47"/>
      <c r="J759" s="45" t="str">
        <f t="shared" si="118"/>
        <v/>
      </c>
      <c r="N759" t="str">
        <f t="shared" si="120"/>
        <v/>
      </c>
      <c r="Q759" t="str">
        <f t="shared" si="119"/>
        <v/>
      </c>
      <c r="S759" t="str">
        <f>IF(A759=1,MAX(S$2:S758)+1,IF(OR(I759&lt;&gt;"",A759="x"),S758,""))</f>
        <v/>
      </c>
      <c r="T759" t="str">
        <f>IF(D759=1,MAX($T$2:$T758)+1,IF(S759=$S758,$S758,IF($D759="x",T758,IF($D758="x","",""))))</f>
        <v/>
      </c>
      <c r="U759" t="str">
        <f>IF(B759=1,MAX($U$2:$U758)+1,IF(AND($T759&lt;&gt;"",$T759=$T758),$U758,IF(B759="x",U758,"")))</f>
        <v/>
      </c>
      <c r="V759" t="str">
        <f>IF(C759=1,MAX($V$2:$V758)+1,IF(AND($T759&lt;&gt;"",$T759=$T758),$U758,IF(C759="x",V758,"")))</f>
        <v/>
      </c>
      <c r="W759" t="str" cm="1">
        <f t="array" ref="W759">IFERROR(_xlfn._xlws.FILTER(game_rosters!AB:AB,(game_rosters!J:J=events!X759)*(K759&lt;&gt;"")),"")</f>
        <v/>
      </c>
      <c r="X759" t="str" cm="1">
        <f t="array" ref="X759">IF(S759="","",IF($I759&lt;&gt;"",$I759,INDEX($I$2:$I758,ROW()-COUNTIFS($T$2:$T758,"="&amp;$T759,$S$2:$S758,"&lt;&gt;"&amp;$S759)-1)))</f>
        <v/>
      </c>
      <c r="Y759" t="b">
        <f>IF(X759&lt;&gt;"",VLOOKUP(X759,game_rosters!$C$43:$E$64,3,FALSE))</f>
        <v>0</v>
      </c>
      <c r="Z759" t="e" cm="1" vm="1">
        <f t="array" aca="1" ref="Z759" ca="1">IFERROR(IF(_xlfn._xlws.FILTER(game_rosters!$J:$J,(game_rosters!$G:$G=events!$AN759)*(game_rosters!$J:$J=events!$X759))&gt;0,1,""),"")</f>
        <v>#VALUE!</v>
      </c>
      <c r="AA759" t="e">
        <f t="shared" si="115"/>
        <v>#VALUE!</v>
      </c>
      <c r="AB759" t="str">
        <f t="shared" si="116"/>
        <v/>
      </c>
      <c r="AC759" t="e">
        <f t="shared" si="114"/>
        <v>#VALUE!</v>
      </c>
      <c r="AD759" s="6"/>
      <c r="BJ759" s="39"/>
      <c r="BM759" s="39"/>
      <c r="BO759" s="19"/>
      <c r="BQ759" s="17"/>
    </row>
    <row r="760" spans="1:69" x14ac:dyDescent="0.2">
      <c r="A760" t="str">
        <f t="shared" si="117"/>
        <v/>
      </c>
      <c r="E760" s="4"/>
      <c r="F760" s="44"/>
      <c r="G760" s="4"/>
      <c r="H760" s="47"/>
      <c r="J760" s="45" t="str">
        <f t="shared" si="118"/>
        <v/>
      </c>
      <c r="N760" t="str">
        <f t="shared" si="120"/>
        <v/>
      </c>
      <c r="Q760" t="str">
        <f t="shared" si="119"/>
        <v/>
      </c>
      <c r="S760" t="str">
        <f>IF(A760=1,MAX(S$2:S759)+1,IF(OR(I760&lt;&gt;"",A760="x"),S759,""))</f>
        <v/>
      </c>
      <c r="T760" t="str">
        <f>IF(D760=1,MAX($T$2:$T759)+1,IF(S760=$S759,$S759,IF($D760="x",T759,IF($D759="x","",""))))</f>
        <v/>
      </c>
      <c r="U760" t="str">
        <f>IF(B760=1,MAX($U$2:$U759)+1,IF(AND($T760&lt;&gt;"",$T760=$T759),$U759,IF(B760="x",U759,"")))</f>
        <v/>
      </c>
      <c r="V760" t="str">
        <f>IF(C760=1,MAX($V$2:$V759)+1,IF(AND($T760&lt;&gt;"",$T760=$T759),$U759,IF(C760="x",V759,"")))</f>
        <v/>
      </c>
      <c r="W760" t="str" cm="1">
        <f t="array" ref="W760">IFERROR(_xlfn._xlws.FILTER(game_rosters!AB:AB,(game_rosters!J:J=events!X760)*(K760&lt;&gt;"")),"")</f>
        <v/>
      </c>
      <c r="X760" t="str" cm="1">
        <f t="array" ref="X760">IF(S760="","",IF($I760&lt;&gt;"",$I760,INDEX($I$2:$I759,ROW()-COUNTIFS($T$2:$T759,"="&amp;$T760,$S$2:$S759,"&lt;&gt;"&amp;$S760)-1)))</f>
        <v/>
      </c>
      <c r="Y760" t="b">
        <f>IF(X760&lt;&gt;"",VLOOKUP(X760,game_rosters!$C$43:$E$64,3,FALSE))</f>
        <v>0</v>
      </c>
      <c r="Z760" t="e" cm="1" vm="1">
        <f t="array" aca="1" ref="Z760" ca="1">IFERROR(IF(_xlfn._xlws.FILTER(game_rosters!$J:$J,(game_rosters!$G:$G=events!$AN760)*(game_rosters!$J:$J=events!$X760))&gt;0,1,""),"")</f>
        <v>#VALUE!</v>
      </c>
      <c r="AA760" t="e">
        <f t="shared" si="115"/>
        <v>#VALUE!</v>
      </c>
      <c r="AB760" t="str">
        <f t="shared" si="116"/>
        <v/>
      </c>
      <c r="AC760" t="e">
        <f t="shared" si="114"/>
        <v>#VALUE!</v>
      </c>
      <c r="AD760" s="6"/>
      <c r="BJ760" s="39"/>
      <c r="BM760" s="39"/>
      <c r="BO760" s="19"/>
      <c r="BQ760" s="17"/>
    </row>
    <row r="761" spans="1:69" x14ac:dyDescent="0.2">
      <c r="A761" t="str">
        <f t="shared" si="117"/>
        <v/>
      </c>
      <c r="E761" s="4"/>
      <c r="F761" s="44"/>
      <c r="G761" s="4"/>
      <c r="H761" s="47"/>
      <c r="J761" s="45" t="str">
        <f t="shared" si="118"/>
        <v/>
      </c>
      <c r="N761" t="str">
        <f t="shared" si="120"/>
        <v/>
      </c>
      <c r="Q761" t="str">
        <f t="shared" si="119"/>
        <v/>
      </c>
      <c r="S761" t="str">
        <f>IF(A761=1,MAX(S$2:S760)+1,IF(OR(I761&lt;&gt;"",A761="x"),S760,""))</f>
        <v/>
      </c>
      <c r="T761" t="str">
        <f>IF(D761=1,MAX($T$2:$T760)+1,IF(S761=$S760,$S760,IF($D761="x",T760,IF($D760="x","",""))))</f>
        <v/>
      </c>
      <c r="U761" t="str">
        <f>IF(B761=1,MAX($U$2:$U760)+1,IF(AND($T761&lt;&gt;"",$T761=$T760),$U760,IF(B761="x",U760,"")))</f>
        <v/>
      </c>
      <c r="V761" t="str">
        <f>IF(C761=1,MAX($V$2:$V760)+1,IF(AND($T761&lt;&gt;"",$T761=$T760),$U760,IF(C761="x",V760,"")))</f>
        <v/>
      </c>
      <c r="W761" t="str" cm="1">
        <f t="array" ref="W761">IFERROR(_xlfn._xlws.FILTER(game_rosters!AB:AB,(game_rosters!J:J=events!X761)*(K761&lt;&gt;"")),"")</f>
        <v/>
      </c>
      <c r="X761" t="str" cm="1">
        <f t="array" ref="X761">IF(S761="","",IF($I761&lt;&gt;"",$I761,INDEX($I$2:$I760,ROW()-COUNTIFS($T$2:$T760,"="&amp;$T761,$S$2:$S760,"&lt;&gt;"&amp;$S761)-1)))</f>
        <v/>
      </c>
      <c r="Y761" t="b">
        <f>IF(X761&lt;&gt;"",VLOOKUP(X761,game_rosters!$C$43:$E$64,3,FALSE))</f>
        <v>0</v>
      </c>
      <c r="Z761" t="e" cm="1" vm="1">
        <f t="array" aca="1" ref="Z761" ca="1">IFERROR(IF(_xlfn._xlws.FILTER(game_rosters!$J:$J,(game_rosters!$G:$G=events!$AN761)*(game_rosters!$J:$J=events!$X761))&gt;0,1,""),"")</f>
        <v>#VALUE!</v>
      </c>
      <c r="AA761" t="e">
        <f t="shared" si="115"/>
        <v>#VALUE!</v>
      </c>
      <c r="AB761" t="str">
        <f t="shared" si="116"/>
        <v/>
      </c>
      <c r="AC761" t="e">
        <f t="shared" si="114"/>
        <v>#VALUE!</v>
      </c>
      <c r="AD761" s="6"/>
      <c r="BJ761" s="39"/>
      <c r="BM761" s="39"/>
      <c r="BO761" s="19"/>
      <c r="BQ761" s="17"/>
    </row>
    <row r="762" spans="1:69" x14ac:dyDescent="0.2">
      <c r="A762" t="str">
        <f t="shared" si="117"/>
        <v/>
      </c>
      <c r="E762" s="4"/>
      <c r="F762" s="44"/>
      <c r="G762" s="4"/>
      <c r="H762" s="47"/>
      <c r="J762" s="45" t="str">
        <f t="shared" si="118"/>
        <v/>
      </c>
      <c r="N762" t="str">
        <f t="shared" si="120"/>
        <v/>
      </c>
      <c r="Q762" t="str">
        <f t="shared" si="119"/>
        <v/>
      </c>
      <c r="S762" t="str">
        <f>IF(A762=1,MAX(S$2:S761)+1,IF(OR(I762&lt;&gt;"",A762="x"),S761,""))</f>
        <v/>
      </c>
      <c r="T762" t="str">
        <f>IF(D762=1,MAX($T$2:$T761)+1,IF(S762=$S761,$S761,IF($D762="x",T761,IF($D761="x","",""))))</f>
        <v/>
      </c>
      <c r="U762" t="str">
        <f>IF(B762=1,MAX($U$2:$U761)+1,IF(AND($T762&lt;&gt;"",$T762=$T761),$U761,IF(B762="x",U761,"")))</f>
        <v/>
      </c>
      <c r="V762" t="str">
        <f>IF(C762=1,MAX($V$2:$V761)+1,IF(AND($T762&lt;&gt;"",$T762=$T761),$U761,IF(C762="x",V761,"")))</f>
        <v/>
      </c>
      <c r="W762" t="str" cm="1">
        <f t="array" ref="W762">IFERROR(_xlfn._xlws.FILTER(game_rosters!AB:AB,(game_rosters!J:J=events!X762)*(K762&lt;&gt;"")),"")</f>
        <v/>
      </c>
      <c r="X762" t="str" cm="1">
        <f t="array" ref="X762">IF(S762="","",IF($I762&lt;&gt;"",$I762,INDEX($I$2:$I761,ROW()-COUNTIFS($T$2:$T761,"="&amp;$T762,$S$2:$S761,"&lt;&gt;"&amp;$S762)-1)))</f>
        <v/>
      </c>
      <c r="Y762" t="b">
        <f>IF(X762&lt;&gt;"",VLOOKUP(X762,game_rosters!$C$43:$E$64,3,FALSE))</f>
        <v>0</v>
      </c>
      <c r="Z762" t="e" cm="1" vm="1">
        <f t="array" aca="1" ref="Z762" ca="1">IFERROR(IF(_xlfn._xlws.FILTER(game_rosters!$J:$J,(game_rosters!$G:$G=events!$AN762)*(game_rosters!$J:$J=events!$X762))&gt;0,1,""),"")</f>
        <v>#VALUE!</v>
      </c>
      <c r="AA762" t="e">
        <f t="shared" si="115"/>
        <v>#VALUE!</v>
      </c>
      <c r="AB762" t="str">
        <f t="shared" si="116"/>
        <v/>
      </c>
      <c r="AC762" t="e">
        <f t="shared" si="114"/>
        <v>#VALUE!</v>
      </c>
      <c r="AD762" s="6"/>
      <c r="BJ762" s="39"/>
      <c r="BM762" s="39"/>
      <c r="BO762" s="19"/>
      <c r="BQ762" s="17"/>
    </row>
    <row r="763" spans="1:69" x14ac:dyDescent="0.2">
      <c r="A763" t="str">
        <f t="shared" si="117"/>
        <v/>
      </c>
      <c r="E763" s="4"/>
      <c r="F763" s="44"/>
      <c r="G763" s="4"/>
      <c r="H763" s="47"/>
      <c r="J763" s="45" t="str">
        <f t="shared" si="118"/>
        <v/>
      </c>
      <c r="N763" t="str">
        <f t="shared" si="120"/>
        <v/>
      </c>
      <c r="Q763" t="str">
        <f t="shared" si="119"/>
        <v/>
      </c>
      <c r="S763" t="str">
        <f>IF(A763=1,MAX(S$2:S762)+1,IF(OR(I763&lt;&gt;"",A763="x"),S762,""))</f>
        <v/>
      </c>
      <c r="T763" t="str">
        <f>IF(D763=1,MAX($T$2:$T762)+1,IF(S763=$S762,$S762,IF($D763="x",T762,IF($D762="x","",""))))</f>
        <v/>
      </c>
      <c r="U763" t="str">
        <f>IF(B763=1,MAX($U$2:$U762)+1,IF(AND($T763&lt;&gt;"",$T763=$T762),$U762,IF(B763="x",U762,"")))</f>
        <v/>
      </c>
      <c r="V763" t="str">
        <f>IF(C763=1,MAX($V$2:$V762)+1,IF(AND($T763&lt;&gt;"",$T763=$T762),$U762,IF(C763="x",V762,"")))</f>
        <v/>
      </c>
      <c r="W763" t="str" cm="1">
        <f t="array" ref="W763">IFERROR(_xlfn._xlws.FILTER(game_rosters!AB:AB,(game_rosters!J:J=events!X763)*(K763&lt;&gt;"")),"")</f>
        <v/>
      </c>
      <c r="X763" t="str" cm="1">
        <f t="array" ref="X763">IF(S763="","",IF($I763&lt;&gt;"",$I763,INDEX($I$2:$I762,ROW()-COUNTIFS($T$2:$T762,"="&amp;$T763,$S$2:$S762,"&lt;&gt;"&amp;$S763)-1)))</f>
        <v/>
      </c>
      <c r="Y763" t="b">
        <f>IF(X763&lt;&gt;"",VLOOKUP(X763,game_rosters!$C$43:$E$64,3,FALSE))</f>
        <v>0</v>
      </c>
      <c r="Z763" t="e" cm="1" vm="1">
        <f t="array" aca="1" ref="Z763" ca="1">IFERROR(IF(_xlfn._xlws.FILTER(game_rosters!$J:$J,(game_rosters!$G:$G=events!$AN763)*(game_rosters!$J:$J=events!$X763))&gt;0,1,""),"")</f>
        <v>#VALUE!</v>
      </c>
      <c r="AA763" t="e">
        <f t="shared" si="115"/>
        <v>#VALUE!</v>
      </c>
      <c r="AB763" t="str">
        <f t="shared" si="116"/>
        <v/>
      </c>
      <c r="AC763" t="e">
        <f t="shared" si="114"/>
        <v>#VALUE!</v>
      </c>
      <c r="AD763" s="6"/>
      <c r="BJ763" s="39"/>
      <c r="BM763" s="39"/>
      <c r="BO763" s="19"/>
      <c r="BQ763" s="17"/>
    </row>
    <row r="764" spans="1:69" x14ac:dyDescent="0.2">
      <c r="A764" t="str">
        <f t="shared" si="117"/>
        <v/>
      </c>
      <c r="E764" s="4"/>
      <c r="F764" s="44"/>
      <c r="G764" s="4"/>
      <c r="H764" s="47"/>
      <c r="J764" s="45" t="str">
        <f t="shared" si="118"/>
        <v/>
      </c>
      <c r="N764" t="str">
        <f t="shared" si="120"/>
        <v/>
      </c>
      <c r="Q764" t="str">
        <f t="shared" si="119"/>
        <v/>
      </c>
      <c r="S764" t="str">
        <f>IF(A764=1,MAX(S$2:S763)+1,IF(OR(I764&lt;&gt;"",A764="x"),S763,""))</f>
        <v/>
      </c>
      <c r="T764" t="str">
        <f>IF(D764=1,MAX($T$2:$T763)+1,IF(S764=$S763,$S763,IF($D764="x",T763,IF($D763="x","",""))))</f>
        <v/>
      </c>
      <c r="U764" t="str">
        <f>IF(B764=1,MAX($U$2:$U763)+1,IF(AND($T764&lt;&gt;"",$T764=$T763),$U763,IF(B764="x",U763,"")))</f>
        <v/>
      </c>
      <c r="V764" t="str">
        <f>IF(C764=1,MAX($V$2:$V763)+1,IF(AND($T764&lt;&gt;"",$T764=$T763),$U763,IF(C764="x",V763,"")))</f>
        <v/>
      </c>
      <c r="W764" t="str" cm="1">
        <f t="array" ref="W764">IFERROR(_xlfn._xlws.FILTER(game_rosters!AB:AB,(game_rosters!J:J=events!X764)*(K764&lt;&gt;"")),"")</f>
        <v/>
      </c>
      <c r="X764" t="str" cm="1">
        <f t="array" ref="X764">IF(S764="","",IF($I764&lt;&gt;"",$I764,INDEX($I$2:$I763,ROW()-COUNTIFS($T$2:$T763,"="&amp;$T764,$S$2:$S763,"&lt;&gt;"&amp;$S764)-1)))</f>
        <v/>
      </c>
      <c r="Y764" t="b">
        <f>IF(X764&lt;&gt;"",VLOOKUP(X764,game_rosters!$C$43:$E$64,3,FALSE))</f>
        <v>0</v>
      </c>
      <c r="Z764" t="e" cm="1" vm="1">
        <f t="array" aca="1" ref="Z764" ca="1">IFERROR(IF(_xlfn._xlws.FILTER(game_rosters!$J:$J,(game_rosters!$G:$G=events!$AN764)*(game_rosters!$J:$J=events!$X764))&gt;0,1,""),"")</f>
        <v>#VALUE!</v>
      </c>
      <c r="AA764" t="e">
        <f t="shared" si="115"/>
        <v>#VALUE!</v>
      </c>
      <c r="AB764" t="str">
        <f t="shared" si="116"/>
        <v/>
      </c>
      <c r="AC764" t="e">
        <f t="shared" si="114"/>
        <v>#VALUE!</v>
      </c>
      <c r="AD764" s="6"/>
      <c r="BJ764" s="39"/>
      <c r="BM764" s="39"/>
      <c r="BO764" s="19"/>
      <c r="BQ764" s="17"/>
    </row>
    <row r="765" spans="1:69" x14ac:dyDescent="0.2">
      <c r="A765" t="str">
        <f t="shared" si="117"/>
        <v/>
      </c>
      <c r="E765" s="4"/>
      <c r="F765" s="44"/>
      <c r="G765" s="4"/>
      <c r="H765" s="47"/>
      <c r="J765" s="45" t="str">
        <f t="shared" si="118"/>
        <v/>
      </c>
      <c r="N765" t="str">
        <f t="shared" si="120"/>
        <v/>
      </c>
      <c r="Q765" t="str">
        <f t="shared" si="119"/>
        <v/>
      </c>
      <c r="S765" t="str">
        <f>IF(A765=1,MAX(S$2:S764)+1,IF(OR(I765&lt;&gt;"",A765="x"),S764,""))</f>
        <v/>
      </c>
      <c r="T765" t="str">
        <f>IF(D765=1,MAX($T$2:$T764)+1,IF(S765=$S764,$S764,IF($D765="x",T764,IF($D764="x","",""))))</f>
        <v/>
      </c>
      <c r="U765" t="str">
        <f>IF(B765=1,MAX($U$2:$U764)+1,IF(AND($T765&lt;&gt;"",$T765=$T764),$U764,IF(B765="x",U764,"")))</f>
        <v/>
      </c>
      <c r="V765" t="str">
        <f>IF(C765=1,MAX($V$2:$V764)+1,IF(AND($T765&lt;&gt;"",$T765=$T764),$U764,IF(C765="x",V764,"")))</f>
        <v/>
      </c>
      <c r="W765" t="str" cm="1">
        <f t="array" ref="W765">IFERROR(_xlfn._xlws.FILTER(game_rosters!AB:AB,(game_rosters!J:J=events!X765)*(K765&lt;&gt;"")),"")</f>
        <v/>
      </c>
      <c r="X765" t="str" cm="1">
        <f t="array" ref="X765">IF(S765="","",IF($I765&lt;&gt;"",$I765,INDEX($I$2:$I764,ROW()-COUNTIFS($T$2:$T764,"="&amp;$T765,$S$2:$S764,"&lt;&gt;"&amp;$S765)-1)))</f>
        <v/>
      </c>
      <c r="Y765" t="b">
        <f>IF(X765&lt;&gt;"",VLOOKUP(X765,game_rosters!$C$43:$E$64,3,FALSE))</f>
        <v>0</v>
      </c>
      <c r="Z765" t="e" cm="1" vm="1">
        <f t="array" aca="1" ref="Z765" ca="1">IFERROR(IF(_xlfn._xlws.FILTER(game_rosters!$J:$J,(game_rosters!$G:$G=events!$AN765)*(game_rosters!$J:$J=events!$X765))&gt;0,1,""),"")</f>
        <v>#VALUE!</v>
      </c>
      <c r="AA765" t="e">
        <f t="shared" si="115"/>
        <v>#VALUE!</v>
      </c>
      <c r="AB765" t="str">
        <f t="shared" si="116"/>
        <v/>
      </c>
      <c r="AC765" t="e">
        <f t="shared" si="114"/>
        <v>#VALUE!</v>
      </c>
      <c r="AD765" s="6"/>
      <c r="BJ765" s="39"/>
      <c r="BM765" s="39"/>
      <c r="BO765" s="19"/>
      <c r="BQ765" s="17"/>
    </row>
    <row r="766" spans="1:69" x14ac:dyDescent="0.2">
      <c r="A766" t="str">
        <f t="shared" si="117"/>
        <v/>
      </c>
      <c r="E766" s="4"/>
      <c r="F766" s="44"/>
      <c r="G766" s="4"/>
      <c r="H766" s="47"/>
      <c r="J766" s="45" t="str">
        <f t="shared" si="118"/>
        <v/>
      </c>
      <c r="N766" t="str">
        <f t="shared" si="120"/>
        <v/>
      </c>
      <c r="Q766" t="str">
        <f t="shared" si="119"/>
        <v/>
      </c>
      <c r="S766" t="str">
        <f>IF(A766=1,MAX(S$2:S765)+1,IF(OR(I766&lt;&gt;"",A766="x"),S765,""))</f>
        <v/>
      </c>
      <c r="T766" t="str">
        <f>IF(D766=1,MAX($T$2:$T765)+1,IF(S766=$S765,$S765,IF($D766="x",T765,IF($D765="x","",""))))</f>
        <v/>
      </c>
      <c r="U766" t="str">
        <f>IF(B766=1,MAX($U$2:$U765)+1,IF(AND($T766&lt;&gt;"",$T766=$T765),$U765,IF(B766="x",U765,"")))</f>
        <v/>
      </c>
      <c r="V766" t="str">
        <f>IF(C766=1,MAX($V$2:$V765)+1,IF(AND($T766&lt;&gt;"",$T766=$T765),$U765,IF(C766="x",V765,"")))</f>
        <v/>
      </c>
      <c r="W766" t="str" cm="1">
        <f t="array" ref="W766">IFERROR(_xlfn._xlws.FILTER(game_rosters!AB:AB,(game_rosters!J:J=events!X766)*(K766&lt;&gt;"")),"")</f>
        <v/>
      </c>
      <c r="X766" t="str" cm="1">
        <f t="array" ref="X766">IF(S766="","",IF($I766&lt;&gt;"",$I766,INDEX($I$2:$I765,ROW()-COUNTIFS($T$2:$T765,"="&amp;$T766,$S$2:$S765,"&lt;&gt;"&amp;$S766)-1)))</f>
        <v/>
      </c>
      <c r="Y766" t="b">
        <f>IF(X766&lt;&gt;"",VLOOKUP(X766,game_rosters!$C$43:$E$64,3,FALSE))</f>
        <v>0</v>
      </c>
      <c r="Z766" t="e" cm="1" vm="1">
        <f t="array" aca="1" ref="Z766" ca="1">IFERROR(IF(_xlfn._xlws.FILTER(game_rosters!$J:$J,(game_rosters!$G:$G=events!$AN766)*(game_rosters!$J:$J=events!$X766))&gt;0,1,""),"")</f>
        <v>#VALUE!</v>
      </c>
      <c r="AA766" t="e">
        <f t="shared" si="115"/>
        <v>#VALUE!</v>
      </c>
      <c r="AB766" t="str">
        <f t="shared" si="116"/>
        <v/>
      </c>
      <c r="AC766" t="e">
        <f t="shared" si="114"/>
        <v>#VALUE!</v>
      </c>
      <c r="AD766" s="6"/>
      <c r="BJ766" s="39"/>
      <c r="BM766" s="39"/>
      <c r="BO766" s="19"/>
      <c r="BQ766" s="17"/>
    </row>
    <row r="767" spans="1:69" x14ac:dyDescent="0.2">
      <c r="A767" t="str">
        <f t="shared" si="117"/>
        <v/>
      </c>
      <c r="E767" s="4"/>
      <c r="F767" s="44"/>
      <c r="G767" s="4"/>
      <c r="H767" s="47"/>
      <c r="J767" s="45" t="str">
        <f t="shared" si="118"/>
        <v/>
      </c>
      <c r="N767" t="str">
        <f t="shared" si="120"/>
        <v/>
      </c>
      <c r="Q767" t="str">
        <f t="shared" si="119"/>
        <v/>
      </c>
      <c r="S767" t="str">
        <f>IF(A767=1,MAX(S$2:S766)+1,IF(OR(I767&lt;&gt;"",A767="x"),S766,""))</f>
        <v/>
      </c>
      <c r="T767" t="str">
        <f>IF(D767=1,MAX($T$2:$T766)+1,IF(S767=$S766,$S766,IF($D767="x",T766,IF($D766="x","",""))))</f>
        <v/>
      </c>
      <c r="U767" t="str">
        <f>IF(B767=1,MAX($U$2:$U766)+1,IF(AND($T767&lt;&gt;"",$T767=$T766),$U766,IF(B767="x",U766,"")))</f>
        <v/>
      </c>
      <c r="V767" t="str">
        <f>IF(C767=1,MAX($V$2:$V766)+1,IF(AND($T767&lt;&gt;"",$T767=$T766),$U766,IF(C767="x",V766,"")))</f>
        <v/>
      </c>
      <c r="W767" t="str" cm="1">
        <f t="array" ref="W767">IFERROR(_xlfn._xlws.FILTER(game_rosters!AB:AB,(game_rosters!J:J=events!X767)*(K767&lt;&gt;"")),"")</f>
        <v/>
      </c>
      <c r="X767" t="str" cm="1">
        <f t="array" ref="X767">IF(S767="","",IF($I767&lt;&gt;"",$I767,INDEX($I$2:$I766,ROW()-COUNTIFS($T$2:$T766,"="&amp;$T767,$S$2:$S766,"&lt;&gt;"&amp;$S767)-1)))</f>
        <v/>
      </c>
      <c r="Y767" t="b">
        <f>IF(X767&lt;&gt;"",VLOOKUP(X767,game_rosters!$C$43:$E$64,3,FALSE))</f>
        <v>0</v>
      </c>
      <c r="Z767" t="e" cm="1" vm="1">
        <f t="array" aca="1" ref="Z767" ca="1">IFERROR(IF(_xlfn._xlws.FILTER(game_rosters!$J:$J,(game_rosters!$G:$G=events!$AN767)*(game_rosters!$J:$J=events!$X767))&gt;0,1,""),"")</f>
        <v>#VALUE!</v>
      </c>
      <c r="AA767" t="e">
        <f t="shared" si="115"/>
        <v>#VALUE!</v>
      </c>
      <c r="AB767" t="str">
        <f t="shared" si="116"/>
        <v/>
      </c>
      <c r="AC767" t="e">
        <f t="shared" si="114"/>
        <v>#VALUE!</v>
      </c>
      <c r="AD767" s="6"/>
      <c r="BJ767" s="39"/>
      <c r="BM767" s="39"/>
      <c r="BO767" s="19"/>
      <c r="BQ767" s="17"/>
    </row>
    <row r="768" spans="1:69" x14ac:dyDescent="0.2">
      <c r="A768" t="str">
        <f t="shared" si="117"/>
        <v/>
      </c>
      <c r="E768" s="4"/>
      <c r="F768" s="44"/>
      <c r="G768" s="4"/>
      <c r="H768" s="47"/>
      <c r="J768" s="45" t="str">
        <f t="shared" si="118"/>
        <v/>
      </c>
      <c r="N768" t="str">
        <f t="shared" si="120"/>
        <v/>
      </c>
      <c r="Q768" t="str">
        <f t="shared" si="119"/>
        <v/>
      </c>
      <c r="S768" t="str">
        <f>IF(A768=1,MAX(S$2:S767)+1,IF(OR(I768&lt;&gt;"",A768="x"),S767,""))</f>
        <v/>
      </c>
      <c r="T768" t="str">
        <f>IF(D768=1,MAX($T$2:$T767)+1,IF(S768=$S767,$S767,IF($D768="x",T767,IF($D767="x","",""))))</f>
        <v/>
      </c>
      <c r="U768" t="str">
        <f>IF(B768=1,MAX($U$2:$U767)+1,IF(AND($T768&lt;&gt;"",$T768=$T767),$U767,IF(B768="x",U767,"")))</f>
        <v/>
      </c>
      <c r="V768" t="str">
        <f>IF(C768=1,MAX($V$2:$V767)+1,IF(AND($T768&lt;&gt;"",$T768=$T767),$U767,IF(C768="x",V767,"")))</f>
        <v/>
      </c>
      <c r="W768" t="str" cm="1">
        <f t="array" ref="W768">IFERROR(_xlfn._xlws.FILTER(game_rosters!AB:AB,(game_rosters!J:J=events!X768)*(K768&lt;&gt;"")),"")</f>
        <v/>
      </c>
      <c r="X768" t="str" cm="1">
        <f t="array" ref="X768">IF(S768="","",IF($I768&lt;&gt;"",$I768,INDEX($I$2:$I767,ROW()-COUNTIFS($T$2:$T767,"="&amp;$T768,$S$2:$S767,"&lt;&gt;"&amp;$S768)-1)))</f>
        <v/>
      </c>
      <c r="Y768" t="b">
        <f>IF(X768&lt;&gt;"",VLOOKUP(X768,game_rosters!$C$43:$E$64,3,FALSE))</f>
        <v>0</v>
      </c>
      <c r="Z768" t="e" cm="1" vm="1">
        <f t="array" aca="1" ref="Z768" ca="1">IFERROR(IF(_xlfn._xlws.FILTER(game_rosters!$J:$J,(game_rosters!$G:$G=events!$AN768)*(game_rosters!$J:$J=events!$X768))&gt;0,1,""),"")</f>
        <v>#VALUE!</v>
      </c>
      <c r="AA768" t="e">
        <f t="shared" si="115"/>
        <v>#VALUE!</v>
      </c>
      <c r="AB768" t="str">
        <f t="shared" si="116"/>
        <v/>
      </c>
      <c r="AC768" t="e">
        <f t="shared" si="114"/>
        <v>#VALUE!</v>
      </c>
      <c r="AD768" s="6"/>
      <c r="BJ768" s="39"/>
      <c r="BM768" s="39"/>
      <c r="BO768" s="19"/>
      <c r="BQ768" s="17"/>
    </row>
    <row r="769" spans="1:69" x14ac:dyDescent="0.2">
      <c r="A769" t="str">
        <f t="shared" si="117"/>
        <v/>
      </c>
      <c r="E769" s="4"/>
      <c r="F769" s="44"/>
      <c r="G769" s="4"/>
      <c r="H769" s="47"/>
      <c r="J769" s="45" t="str">
        <f t="shared" si="118"/>
        <v/>
      </c>
      <c r="N769" t="str">
        <f t="shared" si="120"/>
        <v/>
      </c>
      <c r="Q769" t="str">
        <f t="shared" si="119"/>
        <v/>
      </c>
      <c r="S769" t="str">
        <f>IF(A769=1,MAX(S$2:S768)+1,IF(OR(I769&lt;&gt;"",A769="x"),S768,""))</f>
        <v/>
      </c>
      <c r="T769" t="str">
        <f>IF(D769=1,MAX($T$2:$T768)+1,IF(S769=$S768,$S768,IF($D769="x",T768,IF($D768="x","",""))))</f>
        <v/>
      </c>
      <c r="U769" t="str">
        <f>IF(B769=1,MAX($U$2:$U768)+1,IF(AND($T769&lt;&gt;"",$T769=$T768),$U768,IF(B769="x",U768,"")))</f>
        <v/>
      </c>
      <c r="V769" t="str">
        <f>IF(C769=1,MAX($V$2:$V768)+1,IF(AND($T769&lt;&gt;"",$T769=$T768),$U768,IF(C769="x",V768,"")))</f>
        <v/>
      </c>
      <c r="W769" t="str" cm="1">
        <f t="array" ref="W769">IFERROR(_xlfn._xlws.FILTER(game_rosters!AB:AB,(game_rosters!J:J=events!X769)*(K769&lt;&gt;"")),"")</f>
        <v/>
      </c>
      <c r="X769" t="str" cm="1">
        <f t="array" ref="X769">IF(S769="","",IF($I769&lt;&gt;"",$I769,INDEX($I$2:$I768,ROW()-COUNTIFS($T$2:$T768,"="&amp;$T769,$S$2:$S768,"&lt;&gt;"&amp;$S769)-1)))</f>
        <v/>
      </c>
      <c r="Y769" t="b">
        <f>IF(X769&lt;&gt;"",VLOOKUP(X769,game_rosters!$C$43:$E$64,3,FALSE))</f>
        <v>0</v>
      </c>
      <c r="Z769" t="e" cm="1" vm="1">
        <f t="array" aca="1" ref="Z769" ca="1">IFERROR(IF(_xlfn._xlws.FILTER(game_rosters!$J:$J,(game_rosters!$G:$G=events!$AN769)*(game_rosters!$J:$J=events!$X769))&gt;0,1,""),"")</f>
        <v>#VALUE!</v>
      </c>
      <c r="AA769" t="e">
        <f t="shared" si="115"/>
        <v>#VALUE!</v>
      </c>
      <c r="AB769" t="str">
        <f t="shared" si="116"/>
        <v/>
      </c>
      <c r="AC769" t="e">
        <f t="shared" si="114"/>
        <v>#VALUE!</v>
      </c>
      <c r="AD769" s="6"/>
      <c r="BJ769" s="39"/>
      <c r="BM769" s="39"/>
      <c r="BO769" s="19"/>
      <c r="BQ769" s="17"/>
    </row>
    <row r="770" spans="1:69" x14ac:dyDescent="0.2">
      <c r="A770" t="str">
        <f t="shared" si="117"/>
        <v/>
      </c>
      <c r="E770" s="4"/>
      <c r="F770" s="44"/>
      <c r="G770" s="4"/>
      <c r="H770" s="47"/>
      <c r="J770" s="45" t="str">
        <f t="shared" si="118"/>
        <v/>
      </c>
      <c r="N770" t="str">
        <f t="shared" si="120"/>
        <v/>
      </c>
      <c r="Q770" t="str">
        <f t="shared" si="119"/>
        <v/>
      </c>
      <c r="S770" t="str">
        <f>IF(A770=1,MAX(S$2:S769)+1,IF(OR(I770&lt;&gt;"",A770="x"),S769,""))</f>
        <v/>
      </c>
      <c r="T770" t="str">
        <f>IF(D770=1,MAX($T$2:$T769)+1,IF(S770=$S769,$S769,IF($D770="x",T769,IF($D769="x","",""))))</f>
        <v/>
      </c>
      <c r="U770" t="str">
        <f>IF(B770=1,MAX($U$2:$U769)+1,IF(AND($T770&lt;&gt;"",$T770=$T769),$U769,IF(B770="x",U769,"")))</f>
        <v/>
      </c>
      <c r="V770" t="str">
        <f>IF(C770=1,MAX($V$2:$V769)+1,IF(AND($T770&lt;&gt;"",$T770=$T769),$U769,IF(C770="x",V769,"")))</f>
        <v/>
      </c>
      <c r="W770" t="str" cm="1">
        <f t="array" ref="W770">IFERROR(_xlfn._xlws.FILTER(game_rosters!AB:AB,(game_rosters!J:J=events!X770)*(K770&lt;&gt;"")),"")</f>
        <v/>
      </c>
      <c r="X770" t="str" cm="1">
        <f t="array" ref="X770">IF(S770="","",IF($I770&lt;&gt;"",$I770,INDEX($I$2:$I769,ROW()-COUNTIFS($T$2:$T769,"="&amp;$T770,$S$2:$S769,"&lt;&gt;"&amp;$S770)-1)))</f>
        <v/>
      </c>
      <c r="Y770" t="b">
        <f>IF(X770&lt;&gt;"",VLOOKUP(X770,game_rosters!$C$43:$E$64,3,FALSE))</f>
        <v>0</v>
      </c>
      <c r="Z770" t="e" cm="1" vm="1">
        <f t="array" aca="1" ref="Z770" ca="1">IFERROR(IF(_xlfn._xlws.FILTER(game_rosters!$J:$J,(game_rosters!$G:$G=events!$AN770)*(game_rosters!$J:$J=events!$X770))&gt;0,1,""),"")</f>
        <v>#VALUE!</v>
      </c>
      <c r="AA770" t="e">
        <f t="shared" si="115"/>
        <v>#VALUE!</v>
      </c>
      <c r="AB770" t="str">
        <f t="shared" si="116"/>
        <v/>
      </c>
      <c r="AC770" t="e">
        <f t="shared" ref="AC770:AC833" si="121">IF(AB770&lt;&gt;"",AB770,S770+1000)</f>
        <v>#VALUE!</v>
      </c>
      <c r="AD770" s="6"/>
      <c r="BJ770" s="39"/>
      <c r="BM770" s="39"/>
      <c r="BO770" s="19"/>
      <c r="BQ770" s="17"/>
    </row>
    <row r="771" spans="1:69" x14ac:dyDescent="0.2">
      <c r="A771" t="str">
        <f t="shared" si="117"/>
        <v/>
      </c>
      <c r="E771" s="4"/>
      <c r="F771" s="44"/>
      <c r="G771" s="4"/>
      <c r="H771" s="47"/>
      <c r="J771" s="45" t="str">
        <f t="shared" si="118"/>
        <v/>
      </c>
      <c r="N771" t="str">
        <f t="shared" si="120"/>
        <v/>
      </c>
      <c r="Q771" t="str">
        <f t="shared" si="119"/>
        <v/>
      </c>
      <c r="S771" t="str">
        <f>IF(A771=1,MAX(S$2:S770)+1,IF(OR(I771&lt;&gt;"",A771="x"),S770,""))</f>
        <v/>
      </c>
      <c r="T771" t="str">
        <f>IF(D771=1,MAX($T$2:$T770)+1,IF(S771=$S770,$S770,IF($D771="x",T770,IF($D770="x","",""))))</f>
        <v/>
      </c>
      <c r="U771" t="str">
        <f>IF(B771=1,MAX($U$2:$U770)+1,IF(AND($T771&lt;&gt;"",$T771=$T770),$U770,IF(B771="x",U770,"")))</f>
        <v/>
      </c>
      <c r="V771" t="str">
        <f>IF(C771=1,MAX($V$2:$V770)+1,IF(AND($T771&lt;&gt;"",$T771=$T770),$U770,IF(C771="x",V770,"")))</f>
        <v/>
      </c>
      <c r="W771" t="str" cm="1">
        <f t="array" ref="W771">IFERROR(_xlfn._xlws.FILTER(game_rosters!AB:AB,(game_rosters!J:J=events!X771)*(K771&lt;&gt;"")),"")</f>
        <v/>
      </c>
      <c r="X771" t="str" cm="1">
        <f t="array" ref="X771">IF(S771="","",IF($I771&lt;&gt;"",$I771,INDEX($I$2:$I770,ROW()-COUNTIFS($T$2:$T770,"="&amp;$T771,$S$2:$S770,"&lt;&gt;"&amp;$S771)-1)))</f>
        <v/>
      </c>
      <c r="Y771" t="b">
        <f>IF(X771&lt;&gt;"",VLOOKUP(X771,game_rosters!$C$43:$E$64,3,FALSE))</f>
        <v>0</v>
      </c>
      <c r="Z771" t="e" cm="1" vm="1">
        <f t="array" aca="1" ref="Z771" ca="1">IFERROR(IF(_xlfn._xlws.FILTER(game_rosters!$J:$J,(game_rosters!$G:$G=events!$AN771)*(game_rosters!$J:$J=events!$X771))&gt;0,1,""),"")</f>
        <v>#VALUE!</v>
      </c>
      <c r="AA771" t="e">
        <f t="shared" si="115"/>
        <v>#VALUE!</v>
      </c>
      <c r="AB771" t="str">
        <f t="shared" si="116"/>
        <v/>
      </c>
      <c r="AC771" t="e">
        <f t="shared" si="121"/>
        <v>#VALUE!</v>
      </c>
      <c r="AD771" s="6"/>
      <c r="BJ771" s="39"/>
      <c r="BM771" s="39"/>
      <c r="BO771" s="19"/>
      <c r="BQ771" s="17"/>
    </row>
    <row r="772" spans="1:69" x14ac:dyDescent="0.2">
      <c r="A772" t="str">
        <f t="shared" si="117"/>
        <v/>
      </c>
      <c r="E772" s="4"/>
      <c r="F772" s="44"/>
      <c r="G772" s="4"/>
      <c r="H772" s="47"/>
      <c r="J772" s="45" t="str">
        <f t="shared" si="118"/>
        <v/>
      </c>
      <c r="N772" t="str">
        <f t="shared" si="120"/>
        <v/>
      </c>
      <c r="Q772" t="str">
        <f t="shared" si="119"/>
        <v/>
      </c>
      <c r="S772" t="str">
        <f>IF(A772=1,MAX(S$2:S771)+1,IF(OR(I772&lt;&gt;"",A772="x"),S771,""))</f>
        <v/>
      </c>
      <c r="T772" t="str">
        <f>IF(D772=1,MAX($T$2:$T771)+1,IF(S772=$S771,$S771,IF($D772="x",T771,IF($D771="x","",""))))</f>
        <v/>
      </c>
      <c r="U772" t="str">
        <f>IF(B772=1,MAX($U$2:$U771)+1,IF(AND($T772&lt;&gt;"",$T772=$T771),$U771,IF(B772="x",U771,"")))</f>
        <v/>
      </c>
      <c r="V772" t="str">
        <f>IF(C772=1,MAX($V$2:$V771)+1,IF(AND($T772&lt;&gt;"",$T772=$T771),$U771,IF(C772="x",V771,"")))</f>
        <v/>
      </c>
      <c r="W772" t="str" cm="1">
        <f t="array" ref="W772">IFERROR(_xlfn._xlws.FILTER(game_rosters!AB:AB,(game_rosters!J:J=events!X772)*(K772&lt;&gt;"")),"")</f>
        <v/>
      </c>
      <c r="X772" t="str" cm="1">
        <f t="array" ref="X772">IF(S772="","",IF($I772&lt;&gt;"",$I772,INDEX($I$2:$I771,ROW()-COUNTIFS($T$2:$T771,"="&amp;$T772,$S$2:$S771,"&lt;&gt;"&amp;$S772)-1)))</f>
        <v/>
      </c>
      <c r="Y772" t="b">
        <f>IF(X772&lt;&gt;"",VLOOKUP(X772,game_rosters!$C$43:$E$64,3,FALSE))</f>
        <v>0</v>
      </c>
      <c r="Z772" t="e" cm="1" vm="1">
        <f t="array" aca="1" ref="Z772" ca="1">IFERROR(IF(_xlfn._xlws.FILTER(game_rosters!$J:$J,(game_rosters!$G:$G=events!$AN772)*(game_rosters!$J:$J=events!$X772))&gt;0,1,""),"")</f>
        <v>#VALUE!</v>
      </c>
      <c r="AA772" t="e">
        <f t="shared" ref="AA772:AA835" si="122">S772+1000</f>
        <v>#VALUE!</v>
      </c>
      <c r="AB772" t="str">
        <f t="shared" ref="AB772:AB835" si="123">IF(T772&lt;&gt;"",9000+T772,"")</f>
        <v/>
      </c>
      <c r="AC772" t="e">
        <f t="shared" si="121"/>
        <v>#VALUE!</v>
      </c>
      <c r="AD772" s="6"/>
      <c r="BJ772" s="39"/>
      <c r="BM772" s="39"/>
      <c r="BO772" s="19"/>
      <c r="BQ772" s="17"/>
    </row>
    <row r="773" spans="1:69" x14ac:dyDescent="0.2">
      <c r="A773" t="str">
        <f t="shared" ref="A773:A836" si="124">IF(K773&lt;&gt;"",1,IF(D773="x","x",""))</f>
        <v/>
      </c>
      <c r="E773" s="4"/>
      <c r="F773" s="44"/>
      <c r="G773" s="4"/>
      <c r="H773" s="47"/>
      <c r="J773" s="45" t="str">
        <f t="shared" si="118"/>
        <v/>
      </c>
      <c r="N773" t="str">
        <f t="shared" si="120"/>
        <v/>
      </c>
      <c r="Q773" t="str">
        <f t="shared" si="119"/>
        <v/>
      </c>
      <c r="S773" t="str">
        <f>IF(A773=1,MAX(S$2:S772)+1,IF(OR(I773&lt;&gt;"",A773="x"),S772,""))</f>
        <v/>
      </c>
      <c r="T773" t="str">
        <f>IF(D773=1,MAX($T$2:$T772)+1,IF(S773=$S772,$S772,IF($D773="x",T772,IF($D772="x","",""))))</f>
        <v/>
      </c>
      <c r="U773" t="str">
        <f>IF(B773=1,MAX($U$2:$U772)+1,IF(AND($T773&lt;&gt;"",$T773=$T772),$U772,IF(B773="x",U772,"")))</f>
        <v/>
      </c>
      <c r="V773" t="str">
        <f>IF(C773=1,MAX($V$2:$V772)+1,IF(AND($T773&lt;&gt;"",$T773=$T772),$U772,IF(C773="x",V772,"")))</f>
        <v/>
      </c>
      <c r="W773" t="str" cm="1">
        <f t="array" ref="W773">IFERROR(_xlfn._xlws.FILTER(game_rosters!AB:AB,(game_rosters!J:J=events!X773)*(K773&lt;&gt;"")),"")</f>
        <v/>
      </c>
      <c r="X773" t="str" cm="1">
        <f t="array" ref="X773">IF(S773="","",IF($I773&lt;&gt;"",$I773,INDEX($I$2:$I772,ROW()-COUNTIFS($T$2:$T772,"="&amp;$T773,$S$2:$S772,"&lt;&gt;"&amp;$S773)-1)))</f>
        <v/>
      </c>
      <c r="Y773" t="b">
        <f>IF(X773&lt;&gt;"",VLOOKUP(X773,game_rosters!$C$43:$E$64,3,FALSE))</f>
        <v>0</v>
      </c>
      <c r="Z773" t="e" cm="1" vm="1">
        <f t="array" aca="1" ref="Z773" ca="1">IFERROR(IF(_xlfn._xlws.FILTER(game_rosters!$J:$J,(game_rosters!$G:$G=events!$AN773)*(game_rosters!$J:$J=events!$X773))&gt;0,1,""),"")</f>
        <v>#VALUE!</v>
      </c>
      <c r="AA773" t="e">
        <f t="shared" si="122"/>
        <v>#VALUE!</v>
      </c>
      <c r="AB773" t="str">
        <f t="shared" si="123"/>
        <v/>
      </c>
      <c r="AC773" t="e">
        <f t="shared" si="121"/>
        <v>#VALUE!</v>
      </c>
      <c r="AD773" s="6"/>
      <c r="BJ773" s="39"/>
      <c r="BM773" s="39"/>
      <c r="BO773" s="19"/>
      <c r="BQ773" s="17"/>
    </row>
    <row r="774" spans="1:69" x14ac:dyDescent="0.2">
      <c r="A774" t="str">
        <f t="shared" si="124"/>
        <v/>
      </c>
      <c r="E774" s="4"/>
      <c r="F774" s="44"/>
      <c r="G774" s="4"/>
      <c r="H774" s="47"/>
      <c r="J774" s="45" t="str">
        <f t="shared" ref="J774:J837" si="125">IF(OR(K774="Goal",K774="Shot",L774="Zone_Entry",M774="Stoppage-Goal",M773="Stoppage-Goal"),"o",IF(OR(K774="Save",K774="Rebound",L774="Zone_Exit",M774="Stoppage-GoalieStoppage",M773="Stoppage-GoalieStoppage"),"d",IF(OR(L774="Faceoff_AfterGoal",L774="Faceoff_PeriodStart",698="Faceoff_GameStart",M773="Stoppage-Goal"),"n","")))</f>
        <v/>
      </c>
      <c r="N774" t="str">
        <f t="shared" si="120"/>
        <v/>
      </c>
      <c r="Q774" t="str">
        <f t="shared" si="119"/>
        <v/>
      </c>
      <c r="S774" t="str">
        <f>IF(A774=1,MAX(S$2:S773)+1,IF(OR(I774&lt;&gt;"",A774="x"),S773,""))</f>
        <v/>
      </c>
      <c r="T774" t="str">
        <f>IF(D774=1,MAX($T$2:$T773)+1,IF(S774=$S773,$S773,IF($D774="x",T773,IF($D773="x","",""))))</f>
        <v/>
      </c>
      <c r="U774" t="str">
        <f>IF(B774=1,MAX($U$2:$U773)+1,IF(AND($T774&lt;&gt;"",$T774=$T773),$U773,IF(B774="x",U773,"")))</f>
        <v/>
      </c>
      <c r="V774" t="str">
        <f>IF(C774=1,MAX($V$2:$V773)+1,IF(AND($T774&lt;&gt;"",$T774=$T773),$U773,IF(C774="x",V773,"")))</f>
        <v/>
      </c>
      <c r="W774" t="str" cm="1">
        <f t="array" ref="W774">IFERROR(_xlfn._xlws.FILTER(game_rosters!AB:AB,(game_rosters!J:J=events!X774)*(K774&lt;&gt;"")),"")</f>
        <v/>
      </c>
      <c r="X774" t="str" cm="1">
        <f t="array" ref="X774">IF(S774="","",IF($I774&lt;&gt;"",$I774,INDEX($I$2:$I773,ROW()-COUNTIFS($T$2:$T773,"="&amp;$T774,$S$2:$S773,"&lt;&gt;"&amp;$S774)-1)))</f>
        <v/>
      </c>
      <c r="Y774" t="b">
        <f>IF(X774&lt;&gt;"",VLOOKUP(X774,game_rosters!$C$43:$E$64,3,FALSE))</f>
        <v>0</v>
      </c>
      <c r="Z774" t="e" cm="1" vm="1">
        <f t="array" aca="1" ref="Z774" ca="1">IFERROR(IF(_xlfn._xlws.FILTER(game_rosters!$J:$J,(game_rosters!$G:$G=events!$AN774)*(game_rosters!$J:$J=events!$X774))&gt;0,1,""),"")</f>
        <v>#VALUE!</v>
      </c>
      <c r="AA774" t="e">
        <f t="shared" si="122"/>
        <v>#VALUE!</v>
      </c>
      <c r="AB774" t="str">
        <f t="shared" si="123"/>
        <v/>
      </c>
      <c r="AC774" t="e">
        <f t="shared" si="121"/>
        <v>#VALUE!</v>
      </c>
      <c r="AD774" s="6"/>
      <c r="BJ774" s="39"/>
      <c r="BM774" s="39"/>
      <c r="BO774" s="19"/>
      <c r="BQ774" s="17"/>
    </row>
    <row r="775" spans="1:69" x14ac:dyDescent="0.2">
      <c r="A775" t="str">
        <f t="shared" si="124"/>
        <v/>
      </c>
      <c r="E775" s="4"/>
      <c r="F775" s="44"/>
      <c r="G775" s="4"/>
      <c r="H775" s="47"/>
      <c r="J775" s="45" t="str">
        <f t="shared" si="125"/>
        <v/>
      </c>
      <c r="N775" t="str">
        <f t="shared" si="120"/>
        <v/>
      </c>
      <c r="Q775" t="str">
        <f t="shared" si="119"/>
        <v/>
      </c>
      <c r="S775" t="str">
        <f>IF(A775=1,MAX(S$2:S774)+1,IF(OR(I775&lt;&gt;"",A775="x"),S774,""))</f>
        <v/>
      </c>
      <c r="T775" t="str">
        <f>IF(D775=1,MAX($T$2:$T774)+1,IF(S775=$S774,$S774,IF($D775="x",T774,IF($D774="x","",""))))</f>
        <v/>
      </c>
      <c r="U775" t="str">
        <f>IF(B775=1,MAX($U$2:$U774)+1,IF(AND($T775&lt;&gt;"",$T775=$T774),$U774,IF(B775="x",U774,"")))</f>
        <v/>
      </c>
      <c r="V775" t="str">
        <f>IF(C775=1,MAX($V$2:$V774)+1,IF(AND($T775&lt;&gt;"",$T775=$T774),$U774,IF(C775="x",V774,"")))</f>
        <v/>
      </c>
      <c r="W775" t="str" cm="1">
        <f t="array" ref="W775">IFERROR(_xlfn._xlws.FILTER(game_rosters!AB:AB,(game_rosters!J:J=events!X775)*(K775&lt;&gt;"")),"")</f>
        <v/>
      </c>
      <c r="X775" t="str" cm="1">
        <f t="array" ref="X775">IF(S775="","",IF($I775&lt;&gt;"",$I775,INDEX($I$2:$I774,ROW()-COUNTIFS($T$2:$T774,"="&amp;$T775,$S$2:$S774,"&lt;&gt;"&amp;$S775)-1)))</f>
        <v/>
      </c>
      <c r="Y775" t="b">
        <f>IF(X775&lt;&gt;"",VLOOKUP(X775,game_rosters!$C$43:$E$64,3,FALSE))</f>
        <v>0</v>
      </c>
      <c r="Z775" t="e" cm="1" vm="1">
        <f t="array" aca="1" ref="Z775" ca="1">IFERROR(IF(_xlfn._xlws.FILTER(game_rosters!$J:$J,(game_rosters!$G:$G=events!$AN775)*(game_rosters!$J:$J=events!$X775))&gt;0,1,""),"")</f>
        <v>#VALUE!</v>
      </c>
      <c r="AA775" t="e">
        <f t="shared" si="122"/>
        <v>#VALUE!</v>
      </c>
      <c r="AB775" t="str">
        <f t="shared" si="123"/>
        <v/>
      </c>
      <c r="AC775" t="e">
        <f t="shared" si="121"/>
        <v>#VALUE!</v>
      </c>
      <c r="AD775" s="6"/>
      <c r="BJ775" s="39"/>
      <c r="BM775" s="39"/>
      <c r="BO775" s="19"/>
      <c r="BQ775" s="17"/>
    </row>
    <row r="776" spans="1:69" x14ac:dyDescent="0.2">
      <c r="A776" t="str">
        <f t="shared" si="124"/>
        <v/>
      </c>
      <c r="E776" s="4"/>
      <c r="F776" s="44"/>
      <c r="G776" s="4"/>
      <c r="H776" s="47"/>
      <c r="J776" s="45" t="str">
        <f t="shared" si="125"/>
        <v/>
      </c>
      <c r="N776" t="str">
        <f t="shared" si="120"/>
        <v/>
      </c>
      <c r="Q776" t="str">
        <f t="shared" si="119"/>
        <v/>
      </c>
      <c r="S776" t="str">
        <f>IF(A776=1,MAX(S$2:S775)+1,IF(OR(I776&lt;&gt;"",A776="x"),S775,""))</f>
        <v/>
      </c>
      <c r="T776" t="str">
        <f>IF(D776=1,MAX($T$2:$T775)+1,IF(S776=$S775,$S775,IF($D776="x",T775,IF($D775="x","",""))))</f>
        <v/>
      </c>
      <c r="U776" t="str">
        <f>IF(B776=1,MAX($U$2:$U775)+1,IF(AND($T776&lt;&gt;"",$T776=$T775),$U775,IF(B776="x",U775,"")))</f>
        <v/>
      </c>
      <c r="V776" t="str">
        <f>IF(C776=1,MAX($V$2:$V775)+1,IF(AND($T776&lt;&gt;"",$T776=$T775),$U775,IF(C776="x",V775,"")))</f>
        <v/>
      </c>
      <c r="W776" t="str" cm="1">
        <f t="array" ref="W776">IFERROR(_xlfn._xlws.FILTER(game_rosters!AB:AB,(game_rosters!J:J=events!X776)*(K776&lt;&gt;"")),"")</f>
        <v/>
      </c>
      <c r="X776" t="str" cm="1">
        <f t="array" ref="X776">IF(S776="","",IF($I776&lt;&gt;"",$I776,INDEX($I$2:$I775,ROW()-COUNTIFS($T$2:$T775,"="&amp;$T776,$S$2:$S775,"&lt;&gt;"&amp;$S776)-1)))</f>
        <v/>
      </c>
      <c r="Y776" t="b">
        <f>IF(X776&lt;&gt;"",VLOOKUP(X776,game_rosters!$C$43:$E$64,3,FALSE))</f>
        <v>0</v>
      </c>
      <c r="Z776" t="e" cm="1" vm="1">
        <f t="array" aca="1" ref="Z776" ca="1">IFERROR(IF(_xlfn._xlws.FILTER(game_rosters!$J:$J,(game_rosters!$G:$G=events!$AN776)*(game_rosters!$J:$J=events!$X776))&gt;0,1,""),"")</f>
        <v>#VALUE!</v>
      </c>
      <c r="AA776" t="e">
        <f t="shared" si="122"/>
        <v>#VALUE!</v>
      </c>
      <c r="AB776" t="str">
        <f t="shared" si="123"/>
        <v/>
      </c>
      <c r="AC776" t="e">
        <f t="shared" si="121"/>
        <v>#VALUE!</v>
      </c>
      <c r="AD776" s="6"/>
      <c r="BJ776" s="39"/>
      <c r="BM776" s="39"/>
      <c r="BO776" s="19"/>
      <c r="BQ776" s="17"/>
    </row>
    <row r="777" spans="1:69" x14ac:dyDescent="0.2">
      <c r="A777" t="str">
        <f t="shared" si="124"/>
        <v/>
      </c>
      <c r="E777" s="4"/>
      <c r="F777" s="44"/>
      <c r="G777" s="4"/>
      <c r="H777" s="47"/>
      <c r="J777" s="45" t="str">
        <f t="shared" si="125"/>
        <v/>
      </c>
      <c r="N777" t="str">
        <f t="shared" si="120"/>
        <v/>
      </c>
      <c r="Q777" t="str">
        <f t="shared" si="119"/>
        <v/>
      </c>
      <c r="S777" t="str">
        <f>IF(A777=1,MAX(S$2:S776)+1,IF(OR(I777&lt;&gt;"",A777="x"),S776,""))</f>
        <v/>
      </c>
      <c r="T777" t="str">
        <f>IF(D777=1,MAX($T$2:$T776)+1,IF(S777=$S776,$S776,IF($D777="x",T776,IF($D776="x","",""))))</f>
        <v/>
      </c>
      <c r="U777" t="str">
        <f>IF(B777=1,MAX($U$2:$U776)+1,IF(AND($T777&lt;&gt;"",$T777=$T776),$U776,IF(B777="x",U776,"")))</f>
        <v/>
      </c>
      <c r="V777" t="str">
        <f>IF(C777=1,MAX($V$2:$V776)+1,IF(AND($T777&lt;&gt;"",$T777=$T776),$U776,IF(C777="x",V776,"")))</f>
        <v/>
      </c>
      <c r="W777" t="str" cm="1">
        <f t="array" ref="W777">IFERROR(_xlfn._xlws.FILTER(game_rosters!AB:AB,(game_rosters!J:J=events!X777)*(K777&lt;&gt;"")),"")</f>
        <v/>
      </c>
      <c r="X777" t="str" cm="1">
        <f t="array" ref="X777">IF(S777="","",IF($I777&lt;&gt;"",$I777,INDEX($I$2:$I776,ROW()-COUNTIFS($T$2:$T776,"="&amp;$T777,$S$2:$S776,"&lt;&gt;"&amp;$S777)-1)))</f>
        <v/>
      </c>
      <c r="Y777" t="b">
        <f>IF(X777&lt;&gt;"",VLOOKUP(X777,game_rosters!$C$43:$E$64,3,FALSE))</f>
        <v>0</v>
      </c>
      <c r="Z777" t="e" cm="1" vm="1">
        <f t="array" aca="1" ref="Z777" ca="1">IFERROR(IF(_xlfn._xlws.FILTER(game_rosters!$J:$J,(game_rosters!$G:$G=events!$AN777)*(game_rosters!$J:$J=events!$X777))&gt;0,1,""),"")</f>
        <v>#VALUE!</v>
      </c>
      <c r="AA777" t="e">
        <f t="shared" si="122"/>
        <v>#VALUE!</v>
      </c>
      <c r="AB777" t="str">
        <f t="shared" si="123"/>
        <v/>
      </c>
      <c r="AC777" t="e">
        <f t="shared" si="121"/>
        <v>#VALUE!</v>
      </c>
      <c r="AD777" s="6"/>
      <c r="BJ777" s="39"/>
      <c r="BM777" s="39"/>
      <c r="BO777" s="19"/>
      <c r="BQ777" s="17"/>
    </row>
    <row r="778" spans="1:69" x14ac:dyDescent="0.2">
      <c r="A778" t="str">
        <f t="shared" si="124"/>
        <v/>
      </c>
      <c r="E778" s="4"/>
      <c r="F778" s="44"/>
      <c r="G778" s="4"/>
      <c r="H778" s="47"/>
      <c r="J778" s="45" t="str">
        <f t="shared" si="125"/>
        <v/>
      </c>
      <c r="N778" t="str">
        <f t="shared" si="120"/>
        <v/>
      </c>
      <c r="Q778" t="str">
        <f t="shared" si="119"/>
        <v/>
      </c>
      <c r="S778" t="str">
        <f>IF(A778=1,MAX(S$2:S777)+1,IF(OR(I778&lt;&gt;"",A778="x"),S777,""))</f>
        <v/>
      </c>
      <c r="T778" t="str">
        <f>IF(D778=1,MAX($T$2:$T777)+1,IF(S778=$S777,$S777,IF($D778="x",T777,IF($D777="x","",""))))</f>
        <v/>
      </c>
      <c r="U778" t="str">
        <f>IF(B778=1,MAX($U$2:$U777)+1,IF(AND($T778&lt;&gt;"",$T778=$T777),$U777,IF(B778="x",U777,"")))</f>
        <v/>
      </c>
      <c r="V778" t="str">
        <f>IF(C778=1,MAX($V$2:$V777)+1,IF(AND($T778&lt;&gt;"",$T778=$T777),$U777,IF(C778="x",V777,"")))</f>
        <v/>
      </c>
      <c r="W778" t="str" cm="1">
        <f t="array" ref="W778">IFERROR(_xlfn._xlws.FILTER(game_rosters!AB:AB,(game_rosters!J:J=events!X778)*(K778&lt;&gt;"")),"")</f>
        <v/>
      </c>
      <c r="X778" t="str" cm="1">
        <f t="array" ref="X778">IF(S778="","",IF($I778&lt;&gt;"",$I778,INDEX($I$2:$I777,ROW()-COUNTIFS($T$2:$T777,"="&amp;$T778,$S$2:$S777,"&lt;&gt;"&amp;$S778)-1)))</f>
        <v/>
      </c>
      <c r="Y778" t="b">
        <f>IF(X778&lt;&gt;"",VLOOKUP(X778,game_rosters!$C$43:$E$64,3,FALSE))</f>
        <v>0</v>
      </c>
      <c r="Z778" t="e" cm="1" vm="1">
        <f t="array" aca="1" ref="Z778" ca="1">IFERROR(IF(_xlfn._xlws.FILTER(game_rosters!$J:$J,(game_rosters!$G:$G=events!$AN778)*(game_rosters!$J:$J=events!$X778))&gt;0,1,""),"")</f>
        <v>#VALUE!</v>
      </c>
      <c r="AA778" t="e">
        <f t="shared" si="122"/>
        <v>#VALUE!</v>
      </c>
      <c r="AB778" t="str">
        <f t="shared" si="123"/>
        <v/>
      </c>
      <c r="AC778" t="e">
        <f t="shared" si="121"/>
        <v>#VALUE!</v>
      </c>
      <c r="AD778" s="6"/>
      <c r="BJ778" s="39"/>
      <c r="BM778" s="39"/>
      <c r="BO778" s="19"/>
      <c r="BQ778" s="17"/>
    </row>
    <row r="779" spans="1:69" x14ac:dyDescent="0.2">
      <c r="A779" t="str">
        <f t="shared" si="124"/>
        <v/>
      </c>
      <c r="E779" s="4"/>
      <c r="F779" s="44"/>
      <c r="G779" s="4"/>
      <c r="H779" s="47"/>
      <c r="J779" s="45" t="str">
        <f t="shared" si="125"/>
        <v/>
      </c>
      <c r="N779" t="str">
        <f t="shared" si="120"/>
        <v/>
      </c>
      <c r="Q779" t="str">
        <f t="shared" si="119"/>
        <v/>
      </c>
      <c r="S779" t="str">
        <f>IF(A779=1,MAX(S$2:S778)+1,IF(OR(I779&lt;&gt;"",A779="x"),S778,""))</f>
        <v/>
      </c>
      <c r="T779" t="str">
        <f>IF(D779=1,MAX($T$2:$T778)+1,IF(S779=$S778,$S778,IF($D779="x",T778,IF($D778="x","",""))))</f>
        <v/>
      </c>
      <c r="U779" t="str">
        <f>IF(B779=1,MAX($U$2:$U778)+1,IF(AND($T779&lt;&gt;"",$T779=$T778),$U778,IF(B779="x",U778,"")))</f>
        <v/>
      </c>
      <c r="V779" t="str">
        <f>IF(C779=1,MAX($V$2:$V778)+1,IF(AND($T779&lt;&gt;"",$T779=$T778),$U778,IF(C779="x",V778,"")))</f>
        <v/>
      </c>
      <c r="W779" t="str" cm="1">
        <f t="array" ref="W779">IFERROR(_xlfn._xlws.FILTER(game_rosters!AB:AB,(game_rosters!J:J=events!X779)*(K779&lt;&gt;"")),"")</f>
        <v/>
      </c>
      <c r="X779" t="str" cm="1">
        <f t="array" ref="X779">IF(S779="","",IF($I779&lt;&gt;"",$I779,INDEX($I$2:$I778,ROW()-COUNTIFS($T$2:$T778,"="&amp;$T779,$S$2:$S778,"&lt;&gt;"&amp;$S779)-1)))</f>
        <v/>
      </c>
      <c r="Y779" t="b">
        <f>IF(X779&lt;&gt;"",VLOOKUP(X779,game_rosters!$C$43:$E$64,3,FALSE))</f>
        <v>0</v>
      </c>
      <c r="Z779" t="e" cm="1" vm="1">
        <f t="array" aca="1" ref="Z779" ca="1">IFERROR(IF(_xlfn._xlws.FILTER(game_rosters!$J:$J,(game_rosters!$G:$G=events!$AN779)*(game_rosters!$J:$J=events!$X779))&gt;0,1,""),"")</f>
        <v>#VALUE!</v>
      </c>
      <c r="AA779" t="e">
        <f t="shared" si="122"/>
        <v>#VALUE!</v>
      </c>
      <c r="AB779" t="str">
        <f t="shared" si="123"/>
        <v/>
      </c>
      <c r="AC779" t="e">
        <f t="shared" si="121"/>
        <v>#VALUE!</v>
      </c>
      <c r="AD779" s="6"/>
      <c r="BJ779" s="39"/>
      <c r="BM779" s="39"/>
      <c r="BO779" s="19"/>
      <c r="BQ779" s="17"/>
    </row>
    <row r="780" spans="1:69" x14ac:dyDescent="0.2">
      <c r="A780" t="str">
        <f t="shared" si="124"/>
        <v/>
      </c>
      <c r="E780" s="4"/>
      <c r="F780" s="44"/>
      <c r="G780" s="4"/>
      <c r="H780" s="47"/>
      <c r="J780" s="45" t="str">
        <f t="shared" si="125"/>
        <v/>
      </c>
      <c r="N780" t="str">
        <f t="shared" si="120"/>
        <v/>
      </c>
      <c r="Q780" t="str">
        <f t="shared" si="119"/>
        <v/>
      </c>
      <c r="S780" t="str">
        <f>IF(A780=1,MAX(S$2:S779)+1,IF(OR(I780&lt;&gt;"",A780="x"),S779,""))</f>
        <v/>
      </c>
      <c r="T780" t="str">
        <f>IF(D780=1,MAX($T$2:$T779)+1,IF(S780=$S779,$S779,IF($D780="x",T779,IF($D779="x","",""))))</f>
        <v/>
      </c>
      <c r="U780" t="str">
        <f>IF(B780=1,MAX($U$2:$U779)+1,IF(AND($T780&lt;&gt;"",$T780=$T779),$U779,IF(B780="x",U779,"")))</f>
        <v/>
      </c>
      <c r="V780" t="str">
        <f>IF(C780=1,MAX($V$2:$V779)+1,IF(AND($T780&lt;&gt;"",$T780=$T779),$U779,IF(C780="x",V779,"")))</f>
        <v/>
      </c>
      <c r="W780" t="str" cm="1">
        <f t="array" ref="W780">IFERROR(_xlfn._xlws.FILTER(game_rosters!AB:AB,(game_rosters!J:J=events!X780)*(K780&lt;&gt;"")),"")</f>
        <v/>
      </c>
      <c r="X780" t="str" cm="1">
        <f t="array" ref="X780">IF(S780="","",IF($I780&lt;&gt;"",$I780,INDEX($I$2:$I779,ROW()-COUNTIFS($T$2:$T779,"="&amp;$T780,$S$2:$S779,"&lt;&gt;"&amp;$S780)-1)))</f>
        <v/>
      </c>
      <c r="Y780" t="b">
        <f>IF(X780&lt;&gt;"",VLOOKUP(X780,game_rosters!$C$43:$E$64,3,FALSE))</f>
        <v>0</v>
      </c>
      <c r="Z780" t="e" cm="1" vm="1">
        <f t="array" aca="1" ref="Z780" ca="1">IFERROR(IF(_xlfn._xlws.FILTER(game_rosters!$J:$J,(game_rosters!$G:$G=events!$AN780)*(game_rosters!$J:$J=events!$X780))&gt;0,1,""),"")</f>
        <v>#VALUE!</v>
      </c>
      <c r="AA780" t="e">
        <f t="shared" si="122"/>
        <v>#VALUE!</v>
      </c>
      <c r="AB780" t="str">
        <f t="shared" si="123"/>
        <v/>
      </c>
      <c r="AC780" t="e">
        <f t="shared" si="121"/>
        <v>#VALUE!</v>
      </c>
      <c r="AD780" s="6"/>
      <c r="BJ780" s="39"/>
      <c r="BM780" s="39"/>
      <c r="BO780" s="19"/>
      <c r="BQ780" s="17"/>
    </row>
    <row r="781" spans="1:69" x14ac:dyDescent="0.2">
      <c r="A781" t="str">
        <f t="shared" si="124"/>
        <v/>
      </c>
      <c r="E781" s="4"/>
      <c r="F781" s="44"/>
      <c r="G781" s="4"/>
      <c r="H781" s="47"/>
      <c r="J781" s="45" t="str">
        <f t="shared" si="125"/>
        <v/>
      </c>
      <c r="N781" t="str">
        <f t="shared" si="120"/>
        <v/>
      </c>
      <c r="Q781" t="str">
        <f t="shared" si="119"/>
        <v/>
      </c>
      <c r="S781" t="str">
        <f>IF(A781=1,MAX(S$2:S780)+1,IF(OR(I781&lt;&gt;"",A781="x"),S780,""))</f>
        <v/>
      </c>
      <c r="T781" t="str">
        <f>IF(D781=1,MAX($T$2:$T780)+1,IF(S781=$S780,$S780,IF($D781="x",T780,IF($D780="x","",""))))</f>
        <v/>
      </c>
      <c r="U781" t="str">
        <f>IF(B781=1,MAX($U$2:$U780)+1,IF(AND($T781&lt;&gt;"",$T781=$T780),$U780,IF(B781="x",U780,"")))</f>
        <v/>
      </c>
      <c r="V781" t="str">
        <f>IF(C781=1,MAX($V$2:$V780)+1,IF(AND($T781&lt;&gt;"",$T781=$T780),$U780,IF(C781="x",V780,"")))</f>
        <v/>
      </c>
      <c r="W781" t="str" cm="1">
        <f t="array" ref="W781">IFERROR(_xlfn._xlws.FILTER(game_rosters!AB:AB,(game_rosters!J:J=events!X781)*(K781&lt;&gt;"")),"")</f>
        <v/>
      </c>
      <c r="X781" t="str" cm="1">
        <f t="array" ref="X781">IF(S781="","",IF($I781&lt;&gt;"",$I781,INDEX($I$2:$I780,ROW()-COUNTIFS($T$2:$T780,"="&amp;$T781,$S$2:$S780,"&lt;&gt;"&amp;$S781)-1)))</f>
        <v/>
      </c>
      <c r="Y781" t="b">
        <f>IF(X781&lt;&gt;"",VLOOKUP(X781,game_rosters!$C$43:$E$64,3,FALSE))</f>
        <v>0</v>
      </c>
      <c r="Z781" t="e" cm="1" vm="1">
        <f t="array" aca="1" ref="Z781" ca="1">IFERROR(IF(_xlfn._xlws.FILTER(game_rosters!$J:$J,(game_rosters!$G:$G=events!$AN781)*(game_rosters!$J:$J=events!$X781))&gt;0,1,""),"")</f>
        <v>#VALUE!</v>
      </c>
      <c r="AA781" t="e">
        <f t="shared" si="122"/>
        <v>#VALUE!</v>
      </c>
      <c r="AB781" t="str">
        <f t="shared" si="123"/>
        <v/>
      </c>
      <c r="AC781" t="e">
        <f t="shared" si="121"/>
        <v>#VALUE!</v>
      </c>
      <c r="AD781" s="6"/>
      <c r="BJ781" s="39"/>
      <c r="BM781" s="39"/>
      <c r="BO781" s="19"/>
      <c r="BQ781" s="17"/>
    </row>
    <row r="782" spans="1:69" x14ac:dyDescent="0.2">
      <c r="A782" t="str">
        <f t="shared" si="124"/>
        <v/>
      </c>
      <c r="E782" s="4"/>
      <c r="F782" s="44"/>
      <c r="G782" s="4"/>
      <c r="H782" s="47"/>
      <c r="J782" s="45" t="str">
        <f t="shared" si="125"/>
        <v/>
      </c>
      <c r="N782" t="str">
        <f t="shared" si="120"/>
        <v/>
      </c>
      <c r="Q782" t="str">
        <f t="shared" si="119"/>
        <v/>
      </c>
      <c r="S782" t="str">
        <f>IF(A782=1,MAX(S$2:S781)+1,IF(OR(I782&lt;&gt;"",A782="x"),S781,""))</f>
        <v/>
      </c>
      <c r="T782" t="str">
        <f>IF(D782=1,MAX($T$2:$T781)+1,IF(S782=$S781,$S781,IF($D782="x",T781,IF($D781="x","",""))))</f>
        <v/>
      </c>
      <c r="U782" t="str">
        <f>IF(B782=1,MAX($U$2:$U781)+1,IF(AND($T782&lt;&gt;"",$T782=$T781),$U781,IF(B782="x",U781,"")))</f>
        <v/>
      </c>
      <c r="V782" t="str">
        <f>IF(C782=1,MAX($V$2:$V781)+1,IF(AND($T782&lt;&gt;"",$T782=$T781),$U781,IF(C782="x",V781,"")))</f>
        <v/>
      </c>
      <c r="W782" t="str" cm="1">
        <f t="array" ref="W782">IFERROR(_xlfn._xlws.FILTER(game_rosters!AB:AB,(game_rosters!J:J=events!X782)*(K782&lt;&gt;"")),"")</f>
        <v/>
      </c>
      <c r="X782" t="str" cm="1">
        <f t="array" ref="X782">IF(S782="","",IF($I782&lt;&gt;"",$I782,INDEX($I$2:$I781,ROW()-COUNTIFS($T$2:$T781,"="&amp;$T782,$S$2:$S781,"&lt;&gt;"&amp;$S782)-1)))</f>
        <v/>
      </c>
      <c r="Y782" t="b">
        <f>IF(X782&lt;&gt;"",VLOOKUP(X782,game_rosters!$C$43:$E$64,3,FALSE))</f>
        <v>0</v>
      </c>
      <c r="Z782" t="e" cm="1" vm="1">
        <f t="array" aca="1" ref="Z782" ca="1">IFERROR(IF(_xlfn._xlws.FILTER(game_rosters!$J:$J,(game_rosters!$G:$G=events!$AN782)*(game_rosters!$J:$J=events!$X782))&gt;0,1,""),"")</f>
        <v>#VALUE!</v>
      </c>
      <c r="AA782" t="e">
        <f t="shared" si="122"/>
        <v>#VALUE!</v>
      </c>
      <c r="AB782" t="str">
        <f t="shared" si="123"/>
        <v/>
      </c>
      <c r="AC782" t="e">
        <f t="shared" si="121"/>
        <v>#VALUE!</v>
      </c>
      <c r="AD782" s="6"/>
      <c r="BJ782" s="39"/>
      <c r="BM782" s="39"/>
      <c r="BO782" s="19"/>
      <c r="BQ782" s="17"/>
    </row>
    <row r="783" spans="1:69" x14ac:dyDescent="0.2">
      <c r="A783" t="str">
        <f t="shared" si="124"/>
        <v/>
      </c>
      <c r="E783" s="4"/>
      <c r="F783" s="44"/>
      <c r="G783" s="4"/>
      <c r="H783" s="47"/>
      <c r="J783" s="45" t="str">
        <f t="shared" si="125"/>
        <v/>
      </c>
      <c r="N783" t="str">
        <f t="shared" si="120"/>
        <v/>
      </c>
      <c r="Q783" t="str">
        <f t="shared" si="119"/>
        <v/>
      </c>
      <c r="S783" t="str">
        <f>IF(A783=1,MAX(S$2:S782)+1,IF(OR(I783&lt;&gt;"",A783="x"),S782,""))</f>
        <v/>
      </c>
      <c r="T783" t="str">
        <f>IF(D783=1,MAX($T$2:$T782)+1,IF(S783=$S782,$S782,IF($D783="x",T782,IF($D782="x","",""))))</f>
        <v/>
      </c>
      <c r="U783" t="str">
        <f>IF(B783=1,MAX($U$2:$U782)+1,IF(AND($T783&lt;&gt;"",$T783=$T782),$U782,IF(B783="x",U782,"")))</f>
        <v/>
      </c>
      <c r="V783" t="str">
        <f>IF(C783=1,MAX($V$2:$V782)+1,IF(AND($T783&lt;&gt;"",$T783=$T782),$U782,IF(C783="x",V782,"")))</f>
        <v/>
      </c>
      <c r="W783" t="str" cm="1">
        <f t="array" ref="W783">IFERROR(_xlfn._xlws.FILTER(game_rosters!AB:AB,(game_rosters!J:J=events!X783)*(K783&lt;&gt;"")),"")</f>
        <v/>
      </c>
      <c r="X783" t="str" cm="1">
        <f t="array" ref="X783">IF(S783="","",IF($I783&lt;&gt;"",$I783,INDEX($I$2:$I782,ROW()-COUNTIFS($T$2:$T782,"="&amp;$T783,$S$2:$S782,"&lt;&gt;"&amp;$S783)-1)))</f>
        <v/>
      </c>
      <c r="Y783" t="b">
        <f>IF(X783&lt;&gt;"",VLOOKUP(X783,game_rosters!$C$43:$E$64,3,FALSE))</f>
        <v>0</v>
      </c>
      <c r="Z783" t="e" cm="1" vm="1">
        <f t="array" aca="1" ref="Z783" ca="1">IFERROR(IF(_xlfn._xlws.FILTER(game_rosters!$J:$J,(game_rosters!$G:$G=events!$AN783)*(game_rosters!$J:$J=events!$X783))&gt;0,1,""),"")</f>
        <v>#VALUE!</v>
      </c>
      <c r="AA783" t="e">
        <f t="shared" si="122"/>
        <v>#VALUE!</v>
      </c>
      <c r="AB783" t="str">
        <f t="shared" si="123"/>
        <v/>
      </c>
      <c r="AC783" t="e">
        <f t="shared" si="121"/>
        <v>#VALUE!</v>
      </c>
      <c r="AD783" s="6"/>
      <c r="BJ783" s="39"/>
      <c r="BM783" s="39"/>
      <c r="BO783" s="19"/>
      <c r="BQ783" s="17"/>
    </row>
    <row r="784" spans="1:69" x14ac:dyDescent="0.2">
      <c r="A784" t="str">
        <f t="shared" si="124"/>
        <v/>
      </c>
      <c r="E784" s="4"/>
      <c r="F784" s="44"/>
      <c r="G784" s="4"/>
      <c r="H784" s="47"/>
      <c r="J784" s="45" t="str">
        <f t="shared" si="125"/>
        <v/>
      </c>
      <c r="N784" t="str">
        <f t="shared" si="120"/>
        <v/>
      </c>
      <c r="Q784" t="str">
        <f t="shared" ref="Q784:Q847" si="126">IF(O784="","",IF(AND(N784&lt;&gt;"",OR(O784&lt;&gt;"",P784&lt;&gt;"")),N784,IF(OR(ISNUMBER(SEARCH("attemp",O784)),ISNUMBER(SEARCH("beat",O784)),ISNUMBER(SEARCH("mis",O784)),ISNUMBER(SEARCH("fail",O784)),ISNUMBER(SEARCH("loss",O784)),ISNUMBER(SEARCH("lost",O784)),ISNUMBER(SEARCH("attemp",P784)),ISNUMBER(SEARCH("mis",P784)),ISNUMBER(SEARCH("fail",P784)),ISNUMBER(SEARCH("loss",P784)),ISNUMBER(SEARCH("beat",P784)),ISNUMBER(SEARCH("lost",P784))),"u","")))</f>
        <v/>
      </c>
      <c r="S784" t="str">
        <f>IF(A784=1,MAX(S$2:S783)+1,IF(OR(I784&lt;&gt;"",A784="x"),S783,""))</f>
        <v/>
      </c>
      <c r="T784" t="str">
        <f>IF(D784=1,MAX($T$2:$T783)+1,IF(S784=$S783,$S783,IF($D784="x",T783,IF($D783="x","",""))))</f>
        <v/>
      </c>
      <c r="U784" t="str">
        <f>IF(B784=1,MAX($U$2:$U783)+1,IF(AND($T784&lt;&gt;"",$T784=$T783),$U783,IF(B784="x",U783,"")))</f>
        <v/>
      </c>
      <c r="V784" t="str">
        <f>IF(C784=1,MAX($V$2:$V783)+1,IF(AND($T784&lt;&gt;"",$T784=$T783),$U783,IF(C784="x",V783,"")))</f>
        <v/>
      </c>
      <c r="W784" t="str" cm="1">
        <f t="array" ref="W784">IFERROR(_xlfn._xlws.FILTER(game_rosters!AB:AB,(game_rosters!J:J=events!X784)*(K784&lt;&gt;"")),"")</f>
        <v/>
      </c>
      <c r="X784" t="str" cm="1">
        <f t="array" ref="X784">IF(S784="","",IF($I784&lt;&gt;"",$I784,INDEX($I$2:$I783,ROW()-COUNTIFS($T$2:$T783,"="&amp;$T784,$S$2:$S783,"&lt;&gt;"&amp;$S784)-1)))</f>
        <v/>
      </c>
      <c r="Y784" t="b">
        <f>IF(X784&lt;&gt;"",VLOOKUP(X784,game_rosters!$C$43:$E$64,3,FALSE))</f>
        <v>0</v>
      </c>
      <c r="Z784" t="e" cm="1" vm="1">
        <f t="array" aca="1" ref="Z784" ca="1">IFERROR(IF(_xlfn._xlws.FILTER(game_rosters!$J:$J,(game_rosters!$G:$G=events!$AN784)*(game_rosters!$J:$J=events!$X784))&gt;0,1,""),"")</f>
        <v>#VALUE!</v>
      </c>
      <c r="AA784" t="e">
        <f t="shared" si="122"/>
        <v>#VALUE!</v>
      </c>
      <c r="AB784" t="str">
        <f t="shared" si="123"/>
        <v/>
      </c>
      <c r="AC784" t="e">
        <f t="shared" si="121"/>
        <v>#VALUE!</v>
      </c>
      <c r="AD784" s="6"/>
      <c r="BJ784" s="39"/>
      <c r="BM784" s="39"/>
      <c r="BO784" s="19"/>
      <c r="BQ784" s="17"/>
    </row>
    <row r="785" spans="1:69" x14ac:dyDescent="0.2">
      <c r="A785" t="str">
        <f t="shared" si="124"/>
        <v/>
      </c>
      <c r="E785" s="4"/>
      <c r="F785" s="44"/>
      <c r="G785" s="4"/>
      <c r="H785" s="47"/>
      <c r="J785" s="45" t="str">
        <f t="shared" si="125"/>
        <v/>
      </c>
      <c r="N785" t="str">
        <f t="shared" si="120"/>
        <v/>
      </c>
      <c r="Q785" t="str">
        <f t="shared" si="126"/>
        <v/>
      </c>
      <c r="S785" t="str">
        <f>IF(A785=1,MAX(S$2:S784)+1,IF(OR(I785&lt;&gt;"",A785="x"),S784,""))</f>
        <v/>
      </c>
      <c r="T785" t="str">
        <f>IF(D785=1,MAX($T$2:$T784)+1,IF(S785=$S784,$S784,IF($D785="x",T784,IF($D784="x","",""))))</f>
        <v/>
      </c>
      <c r="U785" t="str">
        <f>IF(B785=1,MAX($U$2:$U784)+1,IF(AND($T785&lt;&gt;"",$T785=$T784),$U784,IF(B785="x",U784,"")))</f>
        <v/>
      </c>
      <c r="V785" t="str">
        <f>IF(C785=1,MAX($V$2:$V784)+1,IF(AND($T785&lt;&gt;"",$T785=$T784),$U784,IF(C785="x",V784,"")))</f>
        <v/>
      </c>
      <c r="W785" t="str" cm="1">
        <f t="array" ref="W785">IFERROR(_xlfn._xlws.FILTER(game_rosters!AB:AB,(game_rosters!J:J=events!X785)*(K785&lt;&gt;"")),"")</f>
        <v/>
      </c>
      <c r="X785" t="str" cm="1">
        <f t="array" ref="X785">IF(S785="","",IF($I785&lt;&gt;"",$I785,INDEX($I$2:$I784,ROW()-COUNTIFS($T$2:$T784,"="&amp;$T785,$S$2:$S784,"&lt;&gt;"&amp;$S785)-1)))</f>
        <v/>
      </c>
      <c r="Y785" t="b">
        <f>IF(X785&lt;&gt;"",VLOOKUP(X785,game_rosters!$C$43:$E$64,3,FALSE))</f>
        <v>0</v>
      </c>
      <c r="Z785" t="e" cm="1" vm="1">
        <f t="array" aca="1" ref="Z785" ca="1">IFERROR(IF(_xlfn._xlws.FILTER(game_rosters!$J:$J,(game_rosters!$G:$G=events!$AN785)*(game_rosters!$J:$J=events!$X785))&gt;0,1,""),"")</f>
        <v>#VALUE!</v>
      </c>
      <c r="AA785" t="e">
        <f t="shared" si="122"/>
        <v>#VALUE!</v>
      </c>
      <c r="AB785" t="str">
        <f t="shared" si="123"/>
        <v/>
      </c>
      <c r="AC785" t="e">
        <f t="shared" si="121"/>
        <v>#VALUE!</v>
      </c>
      <c r="AD785" s="6"/>
      <c r="BJ785" s="39"/>
      <c r="BM785" s="39"/>
      <c r="BO785" s="19"/>
      <c r="BQ785" s="17"/>
    </row>
    <row r="786" spans="1:69" x14ac:dyDescent="0.2">
      <c r="A786" t="str">
        <f t="shared" si="124"/>
        <v/>
      </c>
      <c r="E786" s="4"/>
      <c r="F786" s="44"/>
      <c r="G786" s="4"/>
      <c r="H786" s="47"/>
      <c r="J786" s="45" t="str">
        <f t="shared" si="125"/>
        <v/>
      </c>
      <c r="N786" t="str">
        <f t="shared" si="120"/>
        <v/>
      </c>
      <c r="Q786" t="str">
        <f t="shared" si="126"/>
        <v/>
      </c>
      <c r="S786" t="str">
        <f>IF(A786=1,MAX(S$2:S785)+1,IF(OR(I786&lt;&gt;"",A786="x"),S785,""))</f>
        <v/>
      </c>
      <c r="T786" t="str">
        <f>IF(D786=1,MAX($T$2:$T785)+1,IF(S786=$S785,$S785,IF($D786="x",T785,IF($D785="x","",""))))</f>
        <v/>
      </c>
      <c r="U786" t="str">
        <f>IF(B786=1,MAX($U$2:$U785)+1,IF(AND($T786&lt;&gt;"",$T786=$T785),$U785,IF(B786="x",U785,"")))</f>
        <v/>
      </c>
      <c r="V786" t="str">
        <f>IF(C786=1,MAX($V$2:$V785)+1,IF(AND($T786&lt;&gt;"",$T786=$T785),$U785,IF(C786="x",V785,"")))</f>
        <v/>
      </c>
      <c r="W786" t="str" cm="1">
        <f t="array" ref="W786">IFERROR(_xlfn._xlws.FILTER(game_rosters!AB:AB,(game_rosters!J:J=events!X786)*(K786&lt;&gt;"")),"")</f>
        <v/>
      </c>
      <c r="X786" t="str" cm="1">
        <f t="array" ref="X786">IF(S786="","",IF($I786&lt;&gt;"",$I786,INDEX($I$2:$I785,ROW()-COUNTIFS($T$2:$T785,"="&amp;$T786,$S$2:$S785,"&lt;&gt;"&amp;$S786)-1)))</f>
        <v/>
      </c>
      <c r="Y786" t="b">
        <f>IF(X786&lt;&gt;"",VLOOKUP(X786,game_rosters!$C$43:$E$64,3,FALSE))</f>
        <v>0</v>
      </c>
      <c r="Z786" t="e" cm="1" vm="1">
        <f t="array" aca="1" ref="Z786" ca="1">IFERROR(IF(_xlfn._xlws.FILTER(game_rosters!$J:$J,(game_rosters!$G:$G=events!$AN786)*(game_rosters!$J:$J=events!$X786))&gt;0,1,""),"")</f>
        <v>#VALUE!</v>
      </c>
      <c r="AA786" t="e">
        <f t="shared" si="122"/>
        <v>#VALUE!</v>
      </c>
      <c r="AB786" t="str">
        <f t="shared" si="123"/>
        <v/>
      </c>
      <c r="AC786" t="e">
        <f t="shared" si="121"/>
        <v>#VALUE!</v>
      </c>
      <c r="AD786" s="6"/>
      <c r="BJ786" s="39"/>
      <c r="BM786" s="39"/>
      <c r="BO786" s="19"/>
      <c r="BQ786" s="17"/>
    </row>
    <row r="787" spans="1:69" x14ac:dyDescent="0.2">
      <c r="A787" t="str">
        <f t="shared" si="124"/>
        <v/>
      </c>
      <c r="E787" s="4"/>
      <c r="F787" s="44"/>
      <c r="G787" s="4"/>
      <c r="H787" s="47"/>
      <c r="J787" s="45" t="str">
        <f t="shared" si="125"/>
        <v/>
      </c>
      <c r="N787" t="str">
        <f t="shared" si="120"/>
        <v/>
      </c>
      <c r="Q787" t="str">
        <f t="shared" si="126"/>
        <v/>
      </c>
      <c r="S787" t="str">
        <f>IF(A787=1,MAX(S$2:S786)+1,IF(OR(I787&lt;&gt;"",A787="x"),S786,""))</f>
        <v/>
      </c>
      <c r="T787" t="str">
        <f>IF(D787=1,MAX($T$2:$T786)+1,IF(S787=$S786,$S786,IF($D787="x",T786,IF($D786="x","",""))))</f>
        <v/>
      </c>
      <c r="U787" t="str">
        <f>IF(B787=1,MAX($U$2:$U786)+1,IF(AND($T787&lt;&gt;"",$T787=$T786),$U786,IF(B787="x",U786,"")))</f>
        <v/>
      </c>
      <c r="V787" t="str">
        <f>IF(C787=1,MAX($V$2:$V786)+1,IF(AND($T787&lt;&gt;"",$T787=$T786),$U786,IF(C787="x",V786,"")))</f>
        <v/>
      </c>
      <c r="W787" t="str" cm="1">
        <f t="array" ref="W787">IFERROR(_xlfn._xlws.FILTER(game_rosters!AB:AB,(game_rosters!J:J=events!X787)*(K787&lt;&gt;"")),"")</f>
        <v/>
      </c>
      <c r="X787" t="str" cm="1">
        <f t="array" ref="X787">IF(S787="","",IF($I787&lt;&gt;"",$I787,INDEX($I$2:$I786,ROW()-COUNTIFS($T$2:$T786,"="&amp;$T787,$S$2:$S786,"&lt;&gt;"&amp;$S787)-1)))</f>
        <v/>
      </c>
      <c r="Y787" t="b">
        <f>IF(X787&lt;&gt;"",VLOOKUP(X787,game_rosters!$C$43:$E$64,3,FALSE))</f>
        <v>0</v>
      </c>
      <c r="Z787" t="e" cm="1" vm="1">
        <f t="array" aca="1" ref="Z787" ca="1">IFERROR(IF(_xlfn._xlws.FILTER(game_rosters!$J:$J,(game_rosters!$G:$G=events!$AN787)*(game_rosters!$J:$J=events!$X787))&gt;0,1,""),"")</f>
        <v>#VALUE!</v>
      </c>
      <c r="AA787" t="e">
        <f t="shared" si="122"/>
        <v>#VALUE!</v>
      </c>
      <c r="AB787" t="str">
        <f t="shared" si="123"/>
        <v/>
      </c>
      <c r="AC787" t="e">
        <f t="shared" si="121"/>
        <v>#VALUE!</v>
      </c>
      <c r="AD787" s="6"/>
      <c r="BJ787" s="39"/>
      <c r="BM787" s="39"/>
      <c r="BO787" s="19"/>
      <c r="BQ787" s="17"/>
    </row>
    <row r="788" spans="1:69" x14ac:dyDescent="0.2">
      <c r="A788" t="str">
        <f t="shared" si="124"/>
        <v/>
      </c>
      <c r="E788" s="4"/>
      <c r="F788" s="44"/>
      <c r="G788" s="4"/>
      <c r="H788" s="47"/>
      <c r="J788" s="45" t="str">
        <f t="shared" si="125"/>
        <v/>
      </c>
      <c r="N788" t="str">
        <f t="shared" si="120"/>
        <v/>
      </c>
      <c r="Q788" t="str">
        <f t="shared" si="126"/>
        <v/>
      </c>
      <c r="S788" t="str">
        <f>IF(A788=1,MAX(S$2:S787)+1,IF(OR(I788&lt;&gt;"",A788="x"),S787,""))</f>
        <v/>
      </c>
      <c r="T788" t="str">
        <f>IF(D788=1,MAX($T$2:$T787)+1,IF(S788=$S787,$S787,IF($D788="x",T787,IF($D787="x","",""))))</f>
        <v/>
      </c>
      <c r="U788" t="str">
        <f>IF(B788=1,MAX($U$2:$U787)+1,IF(AND($T788&lt;&gt;"",$T788=$T787),$U787,IF(B788="x",U787,"")))</f>
        <v/>
      </c>
      <c r="V788" t="str">
        <f>IF(C788=1,MAX($V$2:$V787)+1,IF(AND($T788&lt;&gt;"",$T788=$T787),$U787,IF(C788="x",V787,"")))</f>
        <v/>
      </c>
      <c r="W788" t="str" cm="1">
        <f t="array" ref="W788">IFERROR(_xlfn._xlws.FILTER(game_rosters!AB:AB,(game_rosters!J:J=events!X788)*(K788&lt;&gt;"")),"")</f>
        <v/>
      </c>
      <c r="X788" t="str" cm="1">
        <f t="array" ref="X788">IF(S788="","",IF($I788&lt;&gt;"",$I788,INDEX($I$2:$I787,ROW()-COUNTIFS($T$2:$T787,"="&amp;$T788,$S$2:$S787,"&lt;&gt;"&amp;$S788)-1)))</f>
        <v/>
      </c>
      <c r="Y788" t="b">
        <f>IF(X788&lt;&gt;"",VLOOKUP(X788,game_rosters!$C$43:$E$64,3,FALSE))</f>
        <v>0</v>
      </c>
      <c r="Z788" t="e" cm="1" vm="1">
        <f t="array" aca="1" ref="Z788" ca="1">IFERROR(IF(_xlfn._xlws.FILTER(game_rosters!$J:$J,(game_rosters!$G:$G=events!$AN788)*(game_rosters!$J:$J=events!$X788))&gt;0,1,""),"")</f>
        <v>#VALUE!</v>
      </c>
      <c r="AA788" t="e">
        <f t="shared" si="122"/>
        <v>#VALUE!</v>
      </c>
      <c r="AB788" t="str">
        <f t="shared" si="123"/>
        <v/>
      </c>
      <c r="AC788" t="e">
        <f t="shared" si="121"/>
        <v>#VALUE!</v>
      </c>
      <c r="AD788" s="6"/>
      <c r="BJ788" s="39"/>
      <c r="BM788" s="39"/>
      <c r="BO788" s="19"/>
      <c r="BQ788" s="17"/>
    </row>
    <row r="789" spans="1:69" x14ac:dyDescent="0.2">
      <c r="A789" t="str">
        <f t="shared" si="124"/>
        <v/>
      </c>
      <c r="E789" s="4"/>
      <c r="F789" s="44"/>
      <c r="G789" s="4"/>
      <c r="H789" s="47"/>
      <c r="J789" s="45" t="str">
        <f t="shared" si="125"/>
        <v/>
      </c>
      <c r="N789" t="str">
        <f t="shared" ref="N789:N852" si="127">IF(K789="","",IF(K789="Goal","s",IF(AND(K789="Zone_Entry_Exit",OR(ISNUMBER(SEARCH("fail",L789)),ISNUMBER(SEARCH("FromExitClear",M789)),ISNUMBER(SEARCH("miss",M789)))),"u",IF(AND(K789="Zone_Entry_Exit",OR(NOT(ISNUMBER(SEARCH("fail",L789))),NOT(ISNUMBER(SEARCH("FromExitClear",M789))),NOT(ISNUMBER(SEARCH("miss",M789))))),"s",IF(AND(OR(K789="Shot",K789="Pass"),OR(ISNUMBER(SEARCH("complete",L789)),ISNUMBER(SEARCH("goal",L789)),ISNUMBER(SEARCH("OnNet",L789)))),"s",IF(L789="Turnover_Giveaway","u",IF(AND(OR(K789="Shot",K789="Pass"),OR(ISNUMBER(SEARCH("fail",L789)),NOT(ISNUMBER(SEARCH("complete",L789))),NOT(ISNUMBER(SEARCH("OnNet",L789))))),"u","")))))))</f>
        <v/>
      </c>
      <c r="Q789" t="str">
        <f t="shared" si="126"/>
        <v/>
      </c>
      <c r="S789" t="str">
        <f>IF(A789=1,MAX(S$2:S788)+1,IF(OR(I789&lt;&gt;"",A789="x"),S788,""))</f>
        <v/>
      </c>
      <c r="T789" t="str">
        <f>IF(D789=1,MAX($T$2:$T788)+1,IF(S789=$S788,$S788,IF($D789="x",T788,IF($D788="x","",""))))</f>
        <v/>
      </c>
      <c r="U789" t="str">
        <f>IF(B789=1,MAX($U$2:$U788)+1,IF(AND($T789&lt;&gt;"",$T789=$T788),$U788,IF(B789="x",U788,"")))</f>
        <v/>
      </c>
      <c r="V789" t="str">
        <f>IF(C789=1,MAX($V$2:$V788)+1,IF(AND($T789&lt;&gt;"",$T789=$T788),$U788,IF(C789="x",V788,"")))</f>
        <v/>
      </c>
      <c r="W789" t="str" cm="1">
        <f t="array" ref="W789">IFERROR(_xlfn._xlws.FILTER(game_rosters!AB:AB,(game_rosters!J:J=events!X789)*(K789&lt;&gt;"")),"")</f>
        <v/>
      </c>
      <c r="X789" t="str" cm="1">
        <f t="array" ref="X789">IF(S789="","",IF($I789&lt;&gt;"",$I789,INDEX($I$2:$I788,ROW()-COUNTIFS($T$2:$T788,"="&amp;$T789,$S$2:$S788,"&lt;&gt;"&amp;$S789)-1)))</f>
        <v/>
      </c>
      <c r="Y789" t="b">
        <f>IF(X789&lt;&gt;"",VLOOKUP(X789,game_rosters!$C$43:$E$64,3,FALSE))</f>
        <v>0</v>
      </c>
      <c r="Z789" t="e" cm="1" vm="1">
        <f t="array" aca="1" ref="Z789" ca="1">IFERROR(IF(_xlfn._xlws.FILTER(game_rosters!$J:$J,(game_rosters!$G:$G=events!$AN789)*(game_rosters!$J:$J=events!$X789))&gt;0,1,""),"")</f>
        <v>#VALUE!</v>
      </c>
      <c r="AA789" t="e">
        <f t="shared" si="122"/>
        <v>#VALUE!</v>
      </c>
      <c r="AB789" t="str">
        <f t="shared" si="123"/>
        <v/>
      </c>
      <c r="AC789" t="e">
        <f t="shared" si="121"/>
        <v>#VALUE!</v>
      </c>
      <c r="AD789" s="6"/>
      <c r="BJ789" s="39"/>
      <c r="BM789" s="39"/>
      <c r="BO789" s="19"/>
      <c r="BQ789" s="17"/>
    </row>
    <row r="790" spans="1:69" x14ac:dyDescent="0.2">
      <c r="A790" t="str">
        <f t="shared" si="124"/>
        <v/>
      </c>
      <c r="E790" s="4"/>
      <c r="F790" s="44"/>
      <c r="G790" s="4"/>
      <c r="H790" s="47"/>
      <c r="J790" s="45" t="str">
        <f t="shared" si="125"/>
        <v/>
      </c>
      <c r="N790" t="str">
        <f t="shared" si="127"/>
        <v/>
      </c>
      <c r="Q790" t="str">
        <f t="shared" si="126"/>
        <v/>
      </c>
      <c r="S790" t="str">
        <f>IF(A790=1,MAX(S$2:S789)+1,IF(OR(I790&lt;&gt;"",A790="x"),S789,""))</f>
        <v/>
      </c>
      <c r="T790" t="str">
        <f>IF(D790=1,MAX($T$2:$T789)+1,IF(S790=$S789,$S789,IF($D790="x",T789,IF($D789="x","",""))))</f>
        <v/>
      </c>
      <c r="U790" t="str">
        <f>IF(B790=1,MAX($U$2:$U789)+1,IF(AND($T790&lt;&gt;"",$T790=$T789),$U789,IF(B790="x",U789,"")))</f>
        <v/>
      </c>
      <c r="V790" t="str">
        <f>IF(C790=1,MAX($V$2:$V789)+1,IF(AND($T790&lt;&gt;"",$T790=$T789),$U789,IF(C790="x",V789,"")))</f>
        <v/>
      </c>
      <c r="W790" t="str" cm="1">
        <f t="array" ref="W790">IFERROR(_xlfn._xlws.FILTER(game_rosters!AB:AB,(game_rosters!J:J=events!X790)*(K790&lt;&gt;"")),"")</f>
        <v/>
      </c>
      <c r="X790" t="str" cm="1">
        <f t="array" ref="X790">IF(S790="","",IF($I790&lt;&gt;"",$I790,INDEX($I$2:$I789,ROW()-COUNTIFS($T$2:$T789,"="&amp;$T790,$S$2:$S789,"&lt;&gt;"&amp;$S790)-1)))</f>
        <v/>
      </c>
      <c r="Y790" t="b">
        <f>IF(X790&lt;&gt;"",VLOOKUP(X790,game_rosters!$C$43:$E$64,3,FALSE))</f>
        <v>0</v>
      </c>
      <c r="Z790" t="e" cm="1" vm="1">
        <f t="array" aca="1" ref="Z790" ca="1">IFERROR(IF(_xlfn._xlws.FILTER(game_rosters!$J:$J,(game_rosters!$G:$G=events!$AN790)*(game_rosters!$J:$J=events!$X790))&gt;0,1,""),"")</f>
        <v>#VALUE!</v>
      </c>
      <c r="AA790" t="e">
        <f t="shared" si="122"/>
        <v>#VALUE!</v>
      </c>
      <c r="AB790" t="str">
        <f t="shared" si="123"/>
        <v/>
      </c>
      <c r="AC790" t="e">
        <f t="shared" si="121"/>
        <v>#VALUE!</v>
      </c>
      <c r="AD790" s="6"/>
      <c r="BJ790" s="39"/>
      <c r="BM790" s="39"/>
      <c r="BO790" s="19"/>
      <c r="BQ790" s="17"/>
    </row>
    <row r="791" spans="1:69" x14ac:dyDescent="0.2">
      <c r="A791" t="str">
        <f t="shared" si="124"/>
        <v/>
      </c>
      <c r="E791" s="4"/>
      <c r="F791" s="44"/>
      <c r="G791" s="4"/>
      <c r="H791" s="47"/>
      <c r="J791" s="45" t="str">
        <f t="shared" si="125"/>
        <v/>
      </c>
      <c r="N791" t="str">
        <f t="shared" si="127"/>
        <v/>
      </c>
      <c r="Q791" t="str">
        <f t="shared" si="126"/>
        <v/>
      </c>
      <c r="S791" t="str">
        <f>IF(A791=1,MAX(S$2:S790)+1,IF(OR(I791&lt;&gt;"",A791="x"),S790,""))</f>
        <v/>
      </c>
      <c r="T791" t="str">
        <f>IF(D791=1,MAX($T$2:$T790)+1,IF(S791=$S790,$S790,IF($D791="x",T790,IF($D790="x","",""))))</f>
        <v/>
      </c>
      <c r="U791" t="str">
        <f>IF(B791=1,MAX($U$2:$U790)+1,IF(AND($T791&lt;&gt;"",$T791=$T790),$U790,IF(B791="x",U790,"")))</f>
        <v/>
      </c>
      <c r="V791" t="str">
        <f>IF(C791=1,MAX($V$2:$V790)+1,IF(AND($T791&lt;&gt;"",$T791=$T790),$U790,IF(C791="x",V790,"")))</f>
        <v/>
      </c>
      <c r="W791" t="str" cm="1">
        <f t="array" ref="W791">IFERROR(_xlfn._xlws.FILTER(game_rosters!AB:AB,(game_rosters!J:J=events!X791)*(K791&lt;&gt;"")),"")</f>
        <v/>
      </c>
      <c r="X791" t="str" cm="1">
        <f t="array" ref="X791">IF(S791="","",IF($I791&lt;&gt;"",$I791,INDEX($I$2:$I790,ROW()-COUNTIFS($T$2:$T790,"="&amp;$T791,$S$2:$S790,"&lt;&gt;"&amp;$S791)-1)))</f>
        <v/>
      </c>
      <c r="Y791" t="b">
        <f>IF(X791&lt;&gt;"",VLOOKUP(X791,game_rosters!$C$43:$E$64,3,FALSE))</f>
        <v>0</v>
      </c>
      <c r="Z791" t="e" cm="1" vm="1">
        <f t="array" aca="1" ref="Z791" ca="1">IFERROR(IF(_xlfn._xlws.FILTER(game_rosters!$J:$J,(game_rosters!$G:$G=events!$AN791)*(game_rosters!$J:$J=events!$X791))&gt;0,1,""),"")</f>
        <v>#VALUE!</v>
      </c>
      <c r="AA791" t="e">
        <f t="shared" si="122"/>
        <v>#VALUE!</v>
      </c>
      <c r="AB791" t="str">
        <f t="shared" si="123"/>
        <v/>
      </c>
      <c r="AC791" t="e">
        <f t="shared" si="121"/>
        <v>#VALUE!</v>
      </c>
      <c r="AD791" s="6"/>
      <c r="BJ791" s="39"/>
      <c r="BM791" s="39"/>
      <c r="BO791" s="19"/>
      <c r="BQ791" s="17"/>
    </row>
    <row r="792" spans="1:69" x14ac:dyDescent="0.2">
      <c r="A792" t="str">
        <f t="shared" si="124"/>
        <v/>
      </c>
      <c r="E792" s="4"/>
      <c r="F792" s="44"/>
      <c r="G792" s="4"/>
      <c r="H792" s="47"/>
      <c r="J792" s="45" t="str">
        <f t="shared" si="125"/>
        <v/>
      </c>
      <c r="N792" t="str">
        <f t="shared" si="127"/>
        <v/>
      </c>
      <c r="Q792" t="str">
        <f t="shared" si="126"/>
        <v/>
      </c>
      <c r="S792" t="str">
        <f>IF(A792=1,MAX(S$2:S791)+1,IF(OR(I792&lt;&gt;"",A792="x"),S791,""))</f>
        <v/>
      </c>
      <c r="T792" t="str">
        <f>IF(D792=1,MAX($T$2:$T791)+1,IF(S792=$S791,$S791,IF($D792="x",T791,IF($D791="x","",""))))</f>
        <v/>
      </c>
      <c r="U792" t="str">
        <f>IF(B792=1,MAX($U$2:$U791)+1,IF(AND($T792&lt;&gt;"",$T792=$T791),$U791,IF(B792="x",U791,"")))</f>
        <v/>
      </c>
      <c r="V792" t="str">
        <f>IF(C792=1,MAX($V$2:$V791)+1,IF(AND($T792&lt;&gt;"",$T792=$T791),$U791,IF(C792="x",V791,"")))</f>
        <v/>
      </c>
      <c r="W792" t="str" cm="1">
        <f t="array" ref="W792">IFERROR(_xlfn._xlws.FILTER(game_rosters!AB:AB,(game_rosters!J:J=events!X792)*(K792&lt;&gt;"")),"")</f>
        <v/>
      </c>
      <c r="X792" t="str" cm="1">
        <f t="array" ref="X792">IF(S792="","",IF($I792&lt;&gt;"",$I792,INDEX($I$2:$I791,ROW()-COUNTIFS($T$2:$T791,"="&amp;$T792,$S$2:$S791,"&lt;&gt;"&amp;$S792)-1)))</f>
        <v/>
      </c>
      <c r="Y792" t="b">
        <f>IF(X792&lt;&gt;"",VLOOKUP(X792,game_rosters!$C$43:$E$64,3,FALSE))</f>
        <v>0</v>
      </c>
      <c r="Z792" t="e" cm="1" vm="1">
        <f t="array" aca="1" ref="Z792" ca="1">IFERROR(IF(_xlfn._xlws.FILTER(game_rosters!$J:$J,(game_rosters!$G:$G=events!$AN792)*(game_rosters!$J:$J=events!$X792))&gt;0,1,""),"")</f>
        <v>#VALUE!</v>
      </c>
      <c r="AA792" t="e">
        <f t="shared" si="122"/>
        <v>#VALUE!</v>
      </c>
      <c r="AB792" t="str">
        <f t="shared" si="123"/>
        <v/>
      </c>
      <c r="AC792" t="e">
        <f t="shared" si="121"/>
        <v>#VALUE!</v>
      </c>
      <c r="AD792" s="6"/>
      <c r="BJ792" s="39"/>
      <c r="BM792" s="39"/>
      <c r="BO792" s="19"/>
      <c r="BQ792" s="17"/>
    </row>
    <row r="793" spans="1:69" x14ac:dyDescent="0.2">
      <c r="A793" t="str">
        <f t="shared" si="124"/>
        <v/>
      </c>
      <c r="E793" s="4"/>
      <c r="F793" s="44"/>
      <c r="G793" s="4"/>
      <c r="H793" s="47"/>
      <c r="J793" s="45" t="str">
        <f t="shared" si="125"/>
        <v/>
      </c>
      <c r="N793" t="str">
        <f t="shared" si="127"/>
        <v/>
      </c>
      <c r="Q793" t="str">
        <f t="shared" si="126"/>
        <v/>
      </c>
      <c r="S793" t="str">
        <f>IF(A793=1,MAX(S$2:S792)+1,IF(OR(I793&lt;&gt;"",A793="x"),S792,""))</f>
        <v/>
      </c>
      <c r="T793" t="str">
        <f>IF(D793=1,MAX($T$2:$T792)+1,IF(S793=$S792,$S792,IF($D793="x",T792,IF($D792="x","",""))))</f>
        <v/>
      </c>
      <c r="U793" t="str">
        <f>IF(B793=1,MAX($U$2:$U792)+1,IF(AND($T793&lt;&gt;"",$T793=$T792),$U792,IF(B793="x",U792,"")))</f>
        <v/>
      </c>
      <c r="V793" t="str">
        <f>IF(C793=1,MAX($V$2:$V792)+1,IF(AND($T793&lt;&gt;"",$T793=$T792),$U792,IF(C793="x",V792,"")))</f>
        <v/>
      </c>
      <c r="W793" t="str" cm="1">
        <f t="array" ref="W793">IFERROR(_xlfn._xlws.FILTER(game_rosters!AB:AB,(game_rosters!J:J=events!X793)*(K793&lt;&gt;"")),"")</f>
        <v/>
      </c>
      <c r="X793" t="str" cm="1">
        <f t="array" ref="X793">IF(S793="","",IF($I793&lt;&gt;"",$I793,INDEX($I$2:$I792,ROW()-COUNTIFS($T$2:$T792,"="&amp;$T793,$S$2:$S792,"&lt;&gt;"&amp;$S793)-1)))</f>
        <v/>
      </c>
      <c r="Y793" t="b">
        <f>IF(X793&lt;&gt;"",VLOOKUP(X793,game_rosters!$C$43:$E$64,3,FALSE))</f>
        <v>0</v>
      </c>
      <c r="Z793" t="e" cm="1" vm="1">
        <f t="array" aca="1" ref="Z793" ca="1">IFERROR(IF(_xlfn._xlws.FILTER(game_rosters!$J:$J,(game_rosters!$G:$G=events!$AN793)*(game_rosters!$J:$J=events!$X793))&gt;0,1,""),"")</f>
        <v>#VALUE!</v>
      </c>
      <c r="AA793" t="e">
        <f t="shared" si="122"/>
        <v>#VALUE!</v>
      </c>
      <c r="AB793" t="str">
        <f t="shared" si="123"/>
        <v/>
      </c>
      <c r="AC793" t="e">
        <f t="shared" si="121"/>
        <v>#VALUE!</v>
      </c>
      <c r="AD793" s="6"/>
      <c r="BJ793" s="39"/>
      <c r="BM793" s="39"/>
      <c r="BO793" s="19"/>
      <c r="BQ793" s="17"/>
    </row>
    <row r="794" spans="1:69" x14ac:dyDescent="0.2">
      <c r="A794" t="str">
        <f t="shared" si="124"/>
        <v/>
      </c>
      <c r="E794" s="4"/>
      <c r="F794" s="44"/>
      <c r="G794" s="4"/>
      <c r="H794" s="47"/>
      <c r="J794" s="45" t="str">
        <f t="shared" si="125"/>
        <v/>
      </c>
      <c r="N794" t="str">
        <f t="shared" si="127"/>
        <v/>
      </c>
      <c r="Q794" t="str">
        <f t="shared" si="126"/>
        <v/>
      </c>
      <c r="S794" t="str">
        <f>IF(A794=1,MAX(S$2:S793)+1,IF(OR(I794&lt;&gt;"",A794="x"),S793,""))</f>
        <v/>
      </c>
      <c r="T794" t="str">
        <f>IF(D794=1,MAX($T$2:$T793)+1,IF(S794=$S793,$S793,IF($D794="x",T793,IF($D793="x","",""))))</f>
        <v/>
      </c>
      <c r="U794" t="str">
        <f>IF(B794=1,MAX($U$2:$U793)+1,IF(AND($T794&lt;&gt;"",$T794=$T793),$U793,IF(B794="x",U793,"")))</f>
        <v/>
      </c>
      <c r="V794" t="str">
        <f>IF(C794=1,MAX($V$2:$V793)+1,IF(AND($T794&lt;&gt;"",$T794=$T793),$U793,IF(C794="x",V793,"")))</f>
        <v/>
      </c>
      <c r="W794" t="str" cm="1">
        <f t="array" ref="W794">IFERROR(_xlfn._xlws.FILTER(game_rosters!AB:AB,(game_rosters!J:J=events!X794)*(K794&lt;&gt;"")),"")</f>
        <v/>
      </c>
      <c r="X794" t="str" cm="1">
        <f t="array" ref="X794">IF(S794="","",IF($I794&lt;&gt;"",$I794,INDEX($I$2:$I793,ROW()-COUNTIFS($T$2:$T793,"="&amp;$T794,$S$2:$S793,"&lt;&gt;"&amp;$S794)-1)))</f>
        <v/>
      </c>
      <c r="Y794" t="b">
        <f>IF(X794&lt;&gt;"",VLOOKUP(X794,game_rosters!$C$43:$E$64,3,FALSE))</f>
        <v>0</v>
      </c>
      <c r="Z794" t="e" cm="1" vm="1">
        <f t="array" aca="1" ref="Z794" ca="1">IFERROR(IF(_xlfn._xlws.FILTER(game_rosters!$J:$J,(game_rosters!$G:$G=events!$AN794)*(game_rosters!$J:$J=events!$X794))&gt;0,1,""),"")</f>
        <v>#VALUE!</v>
      </c>
      <c r="AA794" t="e">
        <f t="shared" si="122"/>
        <v>#VALUE!</v>
      </c>
      <c r="AB794" t="str">
        <f t="shared" si="123"/>
        <v/>
      </c>
      <c r="AC794" t="e">
        <f t="shared" si="121"/>
        <v>#VALUE!</v>
      </c>
      <c r="AD794" s="6"/>
      <c r="BJ794" s="39"/>
      <c r="BM794" s="39"/>
      <c r="BO794" s="19"/>
      <c r="BQ794" s="17"/>
    </row>
    <row r="795" spans="1:69" x14ac:dyDescent="0.2">
      <c r="A795" t="str">
        <f t="shared" si="124"/>
        <v/>
      </c>
      <c r="E795" s="4"/>
      <c r="F795" s="44"/>
      <c r="G795" s="4"/>
      <c r="H795" s="47"/>
      <c r="J795" s="45" t="str">
        <f t="shared" si="125"/>
        <v/>
      </c>
      <c r="N795" t="str">
        <f t="shared" si="127"/>
        <v/>
      </c>
      <c r="Q795" t="str">
        <f t="shared" si="126"/>
        <v/>
      </c>
      <c r="S795" t="str">
        <f>IF(A795=1,MAX(S$2:S794)+1,IF(OR(I795&lt;&gt;"",A795="x"),S794,""))</f>
        <v/>
      </c>
      <c r="T795" t="str">
        <f>IF(D795=1,MAX($T$2:$T794)+1,IF(S795=$S794,$S794,IF($D795="x",T794,IF($D794="x","",""))))</f>
        <v/>
      </c>
      <c r="U795" t="str">
        <f>IF(B795=1,MAX($U$2:$U794)+1,IF(AND($T795&lt;&gt;"",$T795=$T794),$U794,IF(B795="x",U794,"")))</f>
        <v/>
      </c>
      <c r="V795" t="str">
        <f>IF(C795=1,MAX($V$2:$V794)+1,IF(AND($T795&lt;&gt;"",$T795=$T794),$U794,IF(C795="x",V794,"")))</f>
        <v/>
      </c>
      <c r="W795" t="str" cm="1">
        <f t="array" ref="W795">IFERROR(_xlfn._xlws.FILTER(game_rosters!AB:AB,(game_rosters!J:J=events!X795)*(K795&lt;&gt;"")),"")</f>
        <v/>
      </c>
      <c r="X795" t="str" cm="1">
        <f t="array" ref="X795">IF(S795="","",IF($I795&lt;&gt;"",$I795,INDEX($I$2:$I794,ROW()-COUNTIFS($T$2:$T794,"="&amp;$T795,$S$2:$S794,"&lt;&gt;"&amp;$S795)-1)))</f>
        <v/>
      </c>
      <c r="Y795" t="b">
        <f>IF(X795&lt;&gt;"",VLOOKUP(X795,game_rosters!$C$43:$E$64,3,FALSE))</f>
        <v>0</v>
      </c>
      <c r="Z795" t="e" cm="1" vm="1">
        <f t="array" aca="1" ref="Z795" ca="1">IFERROR(IF(_xlfn._xlws.FILTER(game_rosters!$J:$J,(game_rosters!$G:$G=events!$AN795)*(game_rosters!$J:$J=events!$X795))&gt;0,1,""),"")</f>
        <v>#VALUE!</v>
      </c>
      <c r="AA795" t="e">
        <f t="shared" si="122"/>
        <v>#VALUE!</v>
      </c>
      <c r="AB795" t="str">
        <f t="shared" si="123"/>
        <v/>
      </c>
      <c r="AC795" t="e">
        <f t="shared" si="121"/>
        <v>#VALUE!</v>
      </c>
      <c r="AD795" s="6"/>
      <c r="BJ795" s="39"/>
      <c r="BM795" s="39"/>
      <c r="BO795" s="19"/>
      <c r="BQ795" s="17"/>
    </row>
    <row r="796" spans="1:69" x14ac:dyDescent="0.2">
      <c r="A796" t="str">
        <f t="shared" si="124"/>
        <v/>
      </c>
      <c r="E796" s="4"/>
      <c r="F796" s="44"/>
      <c r="G796" s="4"/>
      <c r="H796" s="47"/>
      <c r="J796" s="45" t="str">
        <f t="shared" si="125"/>
        <v/>
      </c>
      <c r="N796" t="str">
        <f t="shared" si="127"/>
        <v/>
      </c>
      <c r="Q796" t="str">
        <f t="shared" si="126"/>
        <v/>
      </c>
      <c r="S796" t="str">
        <f>IF(A796=1,MAX(S$2:S795)+1,IF(OR(I796&lt;&gt;"",A796="x"),S795,""))</f>
        <v/>
      </c>
      <c r="T796" t="str">
        <f>IF(D796=1,MAX($T$2:$T795)+1,IF(S796=$S795,$S795,IF($D796="x",T795,IF($D795="x","",""))))</f>
        <v/>
      </c>
      <c r="U796" t="str">
        <f>IF(B796=1,MAX($U$2:$U795)+1,IF(AND($T796&lt;&gt;"",$T796=$T795),$U795,IF(B796="x",U795,"")))</f>
        <v/>
      </c>
      <c r="V796" t="str">
        <f>IF(C796=1,MAX($V$2:$V795)+1,IF(AND($T796&lt;&gt;"",$T796=$T795),$U795,IF(C796="x",V795,"")))</f>
        <v/>
      </c>
      <c r="W796" t="str" cm="1">
        <f t="array" ref="W796">IFERROR(_xlfn._xlws.FILTER(game_rosters!AB:AB,(game_rosters!J:J=events!X796)*(K796&lt;&gt;"")),"")</f>
        <v/>
      </c>
      <c r="X796" t="str" cm="1">
        <f t="array" ref="X796">IF(S796="","",IF($I796&lt;&gt;"",$I796,INDEX($I$2:$I795,ROW()-COUNTIFS($T$2:$T795,"="&amp;$T796,$S$2:$S795,"&lt;&gt;"&amp;$S796)-1)))</f>
        <v/>
      </c>
      <c r="Y796" t="b">
        <f>IF(X796&lt;&gt;"",VLOOKUP(X796,game_rosters!$C$43:$E$64,3,FALSE))</f>
        <v>0</v>
      </c>
      <c r="Z796" t="e" cm="1" vm="1">
        <f t="array" aca="1" ref="Z796" ca="1">IFERROR(IF(_xlfn._xlws.FILTER(game_rosters!$J:$J,(game_rosters!$G:$G=events!$AN796)*(game_rosters!$J:$J=events!$X796))&gt;0,1,""),"")</f>
        <v>#VALUE!</v>
      </c>
      <c r="AA796" t="e">
        <f t="shared" si="122"/>
        <v>#VALUE!</v>
      </c>
      <c r="AB796" t="str">
        <f t="shared" si="123"/>
        <v/>
      </c>
      <c r="AC796" t="e">
        <f t="shared" si="121"/>
        <v>#VALUE!</v>
      </c>
      <c r="AD796" s="6"/>
      <c r="BJ796" s="39"/>
      <c r="BM796" s="39"/>
      <c r="BO796" s="19"/>
      <c r="BQ796" s="17"/>
    </row>
    <row r="797" spans="1:69" x14ac:dyDescent="0.2">
      <c r="A797" t="str">
        <f t="shared" si="124"/>
        <v/>
      </c>
      <c r="E797" s="4"/>
      <c r="F797" s="44"/>
      <c r="G797" s="4"/>
      <c r="H797" s="47"/>
      <c r="J797" s="45" t="str">
        <f t="shared" si="125"/>
        <v/>
      </c>
      <c r="N797" t="str">
        <f t="shared" si="127"/>
        <v/>
      </c>
      <c r="Q797" t="str">
        <f t="shared" si="126"/>
        <v/>
      </c>
      <c r="S797" t="str">
        <f>IF(A797=1,MAX(S$2:S796)+1,IF(OR(I797&lt;&gt;"",A797="x"),S796,""))</f>
        <v/>
      </c>
      <c r="T797" t="str">
        <f>IF(D797=1,MAX($T$2:$T796)+1,IF(S797=$S796,$S796,IF($D797="x",T796,IF($D796="x","",""))))</f>
        <v/>
      </c>
      <c r="U797" t="str">
        <f>IF(B797=1,MAX($U$2:$U796)+1,IF(AND($T797&lt;&gt;"",$T797=$T796),$U796,IF(B797="x",U796,"")))</f>
        <v/>
      </c>
      <c r="V797" t="str">
        <f>IF(C797=1,MAX($V$2:$V796)+1,IF(AND($T797&lt;&gt;"",$T797=$T796),$U796,IF(C797="x",V796,"")))</f>
        <v/>
      </c>
      <c r="W797" t="str" cm="1">
        <f t="array" ref="W797">IFERROR(_xlfn._xlws.FILTER(game_rosters!AB:AB,(game_rosters!J:J=events!X797)*(K797&lt;&gt;"")),"")</f>
        <v/>
      </c>
      <c r="X797" t="str" cm="1">
        <f t="array" ref="X797">IF(S797="","",IF($I797&lt;&gt;"",$I797,INDEX($I$2:$I796,ROW()-COUNTIFS($T$2:$T796,"="&amp;$T797,$S$2:$S796,"&lt;&gt;"&amp;$S797)-1)))</f>
        <v/>
      </c>
      <c r="Y797" t="b">
        <f>IF(X797&lt;&gt;"",VLOOKUP(X797,game_rosters!$C$43:$E$64,3,FALSE))</f>
        <v>0</v>
      </c>
      <c r="Z797" t="e" cm="1" vm="1">
        <f t="array" aca="1" ref="Z797" ca="1">IFERROR(IF(_xlfn._xlws.FILTER(game_rosters!$J:$J,(game_rosters!$G:$G=events!$AN797)*(game_rosters!$J:$J=events!$X797))&gt;0,1,""),"")</f>
        <v>#VALUE!</v>
      </c>
      <c r="AA797" t="e">
        <f t="shared" si="122"/>
        <v>#VALUE!</v>
      </c>
      <c r="AB797" t="str">
        <f t="shared" si="123"/>
        <v/>
      </c>
      <c r="AC797" t="e">
        <f t="shared" si="121"/>
        <v>#VALUE!</v>
      </c>
      <c r="AD797" s="6"/>
      <c r="BJ797" s="39"/>
      <c r="BM797" s="39"/>
      <c r="BO797" s="19"/>
      <c r="BQ797" s="17"/>
    </row>
    <row r="798" spans="1:69" x14ac:dyDescent="0.2">
      <c r="A798" t="str">
        <f t="shared" si="124"/>
        <v/>
      </c>
      <c r="E798" s="4"/>
      <c r="F798" s="44"/>
      <c r="G798" s="4"/>
      <c r="H798" s="47"/>
      <c r="J798" s="45" t="str">
        <f t="shared" si="125"/>
        <v/>
      </c>
      <c r="N798" t="str">
        <f t="shared" si="127"/>
        <v/>
      </c>
      <c r="Q798" t="str">
        <f t="shared" si="126"/>
        <v/>
      </c>
      <c r="S798" t="str">
        <f>IF(A798=1,MAX(S$2:S797)+1,IF(OR(I798&lt;&gt;"",A798="x"),S797,""))</f>
        <v/>
      </c>
      <c r="T798" t="str">
        <f>IF(D798=1,MAX($T$2:$T797)+1,IF(S798=$S797,$S797,IF($D798="x",T797,IF($D797="x","",""))))</f>
        <v/>
      </c>
      <c r="U798" t="str">
        <f>IF(B798=1,MAX($U$2:$U797)+1,IF(AND($T798&lt;&gt;"",$T798=$T797),$U797,IF(B798="x",U797,"")))</f>
        <v/>
      </c>
      <c r="V798" t="str">
        <f>IF(C798=1,MAX($V$2:$V797)+1,IF(AND($T798&lt;&gt;"",$T798=$T797),$U797,IF(C798="x",V797,"")))</f>
        <v/>
      </c>
      <c r="W798" t="str" cm="1">
        <f t="array" ref="W798">IFERROR(_xlfn._xlws.FILTER(game_rosters!AB:AB,(game_rosters!J:J=events!X798)*(K798&lt;&gt;"")),"")</f>
        <v/>
      </c>
      <c r="X798" t="str" cm="1">
        <f t="array" ref="X798">IF(S798="","",IF($I798&lt;&gt;"",$I798,INDEX($I$2:$I797,ROW()-COUNTIFS($T$2:$T797,"="&amp;$T798,$S$2:$S797,"&lt;&gt;"&amp;$S798)-1)))</f>
        <v/>
      </c>
      <c r="Y798" t="b">
        <f>IF(X798&lt;&gt;"",VLOOKUP(X798,game_rosters!$C$43:$E$64,3,FALSE))</f>
        <v>0</v>
      </c>
      <c r="Z798" t="e" cm="1" vm="1">
        <f t="array" aca="1" ref="Z798" ca="1">IFERROR(IF(_xlfn._xlws.FILTER(game_rosters!$J:$J,(game_rosters!$G:$G=events!$AN798)*(game_rosters!$J:$J=events!$X798))&gt;0,1,""),"")</f>
        <v>#VALUE!</v>
      </c>
      <c r="AA798" t="e">
        <f t="shared" si="122"/>
        <v>#VALUE!</v>
      </c>
      <c r="AB798" t="str">
        <f t="shared" si="123"/>
        <v/>
      </c>
      <c r="AC798" t="e">
        <f t="shared" si="121"/>
        <v>#VALUE!</v>
      </c>
      <c r="AD798" s="6"/>
      <c r="BJ798" s="39"/>
      <c r="BM798" s="39"/>
      <c r="BO798" s="19"/>
      <c r="BQ798" s="17"/>
    </row>
    <row r="799" spans="1:69" x14ac:dyDescent="0.2">
      <c r="A799" t="str">
        <f t="shared" si="124"/>
        <v/>
      </c>
      <c r="E799" s="4"/>
      <c r="F799" s="44"/>
      <c r="G799" s="4"/>
      <c r="H799" s="47"/>
      <c r="J799" s="45" t="str">
        <f t="shared" si="125"/>
        <v/>
      </c>
      <c r="N799" t="str">
        <f t="shared" si="127"/>
        <v/>
      </c>
      <c r="Q799" t="str">
        <f t="shared" si="126"/>
        <v/>
      </c>
      <c r="S799" t="str">
        <f>IF(A799=1,MAX(S$2:S798)+1,IF(OR(I799&lt;&gt;"",A799="x"),S798,""))</f>
        <v/>
      </c>
      <c r="T799" t="str">
        <f>IF(D799=1,MAX($T$2:$T798)+1,IF(S799=$S798,$S798,IF($D799="x",T798,IF($D798="x","",""))))</f>
        <v/>
      </c>
      <c r="U799" t="str">
        <f>IF(B799=1,MAX($U$2:$U798)+1,IF(AND($T799&lt;&gt;"",$T799=$T798),$U798,IF(B799="x",U798,"")))</f>
        <v/>
      </c>
      <c r="V799" t="str">
        <f>IF(C799=1,MAX($V$2:$V798)+1,IF(AND($T799&lt;&gt;"",$T799=$T798),$U798,IF(C799="x",V798,"")))</f>
        <v/>
      </c>
      <c r="W799" t="str" cm="1">
        <f t="array" ref="W799">IFERROR(_xlfn._xlws.FILTER(game_rosters!AB:AB,(game_rosters!J:J=events!X799)*(K799&lt;&gt;"")),"")</f>
        <v/>
      </c>
      <c r="X799" t="str" cm="1">
        <f t="array" ref="X799">IF(S799="","",IF($I799&lt;&gt;"",$I799,INDEX($I$2:$I798,ROW()-COUNTIFS($T$2:$T798,"="&amp;$T799,$S$2:$S798,"&lt;&gt;"&amp;$S799)-1)))</f>
        <v/>
      </c>
      <c r="Y799" t="b">
        <f>IF(X799&lt;&gt;"",VLOOKUP(X799,game_rosters!$C$43:$E$64,3,FALSE))</f>
        <v>0</v>
      </c>
      <c r="Z799" t="e" cm="1" vm="1">
        <f t="array" aca="1" ref="Z799" ca="1">IFERROR(IF(_xlfn._xlws.FILTER(game_rosters!$J:$J,(game_rosters!$G:$G=events!$AN799)*(game_rosters!$J:$J=events!$X799))&gt;0,1,""),"")</f>
        <v>#VALUE!</v>
      </c>
      <c r="AA799" t="e">
        <f t="shared" si="122"/>
        <v>#VALUE!</v>
      </c>
      <c r="AB799" t="str">
        <f t="shared" si="123"/>
        <v/>
      </c>
      <c r="AC799" t="e">
        <f t="shared" si="121"/>
        <v>#VALUE!</v>
      </c>
      <c r="AD799" s="6"/>
      <c r="BJ799" s="39"/>
      <c r="BM799" s="39"/>
      <c r="BO799" s="19"/>
      <c r="BQ799" s="17"/>
    </row>
    <row r="800" spans="1:69" x14ac:dyDescent="0.2">
      <c r="A800" t="str">
        <f t="shared" si="124"/>
        <v/>
      </c>
      <c r="E800" s="4"/>
      <c r="F800" s="44"/>
      <c r="G800" s="4"/>
      <c r="H800" s="47"/>
      <c r="J800" s="45" t="str">
        <f t="shared" si="125"/>
        <v/>
      </c>
      <c r="N800" t="str">
        <f t="shared" si="127"/>
        <v/>
      </c>
      <c r="Q800" t="str">
        <f t="shared" si="126"/>
        <v/>
      </c>
      <c r="S800" t="str">
        <f>IF(A800=1,MAX(S$2:S799)+1,IF(OR(I800&lt;&gt;"",A800="x"),S799,""))</f>
        <v/>
      </c>
      <c r="T800" t="str">
        <f>IF(D800=1,MAX($T$2:$T799)+1,IF(S800=$S799,$S799,IF($D800="x",T799,IF($D799="x","",""))))</f>
        <v/>
      </c>
      <c r="U800" t="str">
        <f>IF(B800=1,MAX($U$2:$U799)+1,IF(AND($T800&lt;&gt;"",$T800=$T799),$U799,IF(B800="x",U799,"")))</f>
        <v/>
      </c>
      <c r="V800" t="str">
        <f>IF(C800=1,MAX($V$2:$V799)+1,IF(AND($T800&lt;&gt;"",$T800=$T799),$U799,IF(C800="x",V799,"")))</f>
        <v/>
      </c>
      <c r="W800" t="str" cm="1">
        <f t="array" ref="W800">IFERROR(_xlfn._xlws.FILTER(game_rosters!AB:AB,(game_rosters!J:J=events!X800)*(K800&lt;&gt;"")),"")</f>
        <v/>
      </c>
      <c r="X800" t="str" cm="1">
        <f t="array" ref="X800">IF(S800="","",IF($I800&lt;&gt;"",$I800,INDEX($I$2:$I799,ROW()-COUNTIFS($T$2:$T799,"="&amp;$T800,$S$2:$S799,"&lt;&gt;"&amp;$S800)-1)))</f>
        <v/>
      </c>
      <c r="Y800" t="b">
        <f>IF(X800&lt;&gt;"",VLOOKUP(X800,game_rosters!$C$43:$E$64,3,FALSE))</f>
        <v>0</v>
      </c>
      <c r="Z800" t="e" cm="1" vm="1">
        <f t="array" aca="1" ref="Z800" ca="1">IFERROR(IF(_xlfn._xlws.FILTER(game_rosters!$J:$J,(game_rosters!$G:$G=events!$AN800)*(game_rosters!$J:$J=events!$X800))&gt;0,1,""),"")</f>
        <v>#VALUE!</v>
      </c>
      <c r="AA800" t="e">
        <f t="shared" si="122"/>
        <v>#VALUE!</v>
      </c>
      <c r="AB800" t="str">
        <f t="shared" si="123"/>
        <v/>
      </c>
      <c r="AC800" t="e">
        <f t="shared" si="121"/>
        <v>#VALUE!</v>
      </c>
      <c r="AD800" s="6"/>
      <c r="BJ800" s="39"/>
      <c r="BM800" s="39"/>
      <c r="BO800" s="19"/>
      <c r="BQ800" s="17"/>
    </row>
    <row r="801" spans="1:69" x14ac:dyDescent="0.2">
      <c r="A801" t="str">
        <f t="shared" si="124"/>
        <v/>
      </c>
      <c r="E801" s="4"/>
      <c r="F801" s="44"/>
      <c r="G801" s="4"/>
      <c r="H801" s="47"/>
      <c r="J801" s="45" t="str">
        <f t="shared" si="125"/>
        <v/>
      </c>
      <c r="N801" t="str">
        <f t="shared" si="127"/>
        <v/>
      </c>
      <c r="Q801" t="str">
        <f t="shared" si="126"/>
        <v/>
      </c>
      <c r="S801" t="str">
        <f>IF(A801=1,MAX(S$2:S800)+1,IF(OR(I801&lt;&gt;"",A801="x"),S800,""))</f>
        <v/>
      </c>
      <c r="T801" t="str">
        <f>IF(D801=1,MAX($T$2:$T800)+1,IF(S801=$S800,$S800,IF($D801="x",T800,IF($D800="x","",""))))</f>
        <v/>
      </c>
      <c r="U801" t="str">
        <f>IF(B801=1,MAX($U$2:$U800)+1,IF(AND($T801&lt;&gt;"",$T801=$T800),$U800,IF(B801="x",U800,"")))</f>
        <v/>
      </c>
      <c r="V801" t="str">
        <f>IF(C801=1,MAX($V$2:$V800)+1,IF(AND($T801&lt;&gt;"",$T801=$T800),$U800,IF(C801="x",V800,"")))</f>
        <v/>
      </c>
      <c r="W801" t="str" cm="1">
        <f t="array" ref="W801">IFERROR(_xlfn._xlws.FILTER(game_rosters!AB:AB,(game_rosters!J:J=events!X801)*(K801&lt;&gt;"")),"")</f>
        <v/>
      </c>
      <c r="X801" t="str" cm="1">
        <f t="array" ref="X801">IF(S801="","",IF($I801&lt;&gt;"",$I801,INDEX($I$2:$I800,ROW()-COUNTIFS($T$2:$T800,"="&amp;$T801,$S$2:$S800,"&lt;&gt;"&amp;$S801)-1)))</f>
        <v/>
      </c>
      <c r="Y801" t="b">
        <f>IF(X801&lt;&gt;"",VLOOKUP(X801,game_rosters!$C$43:$E$64,3,FALSE))</f>
        <v>0</v>
      </c>
      <c r="Z801" t="e" cm="1" vm="1">
        <f t="array" aca="1" ref="Z801" ca="1">IFERROR(IF(_xlfn._xlws.FILTER(game_rosters!$J:$J,(game_rosters!$G:$G=events!$AN801)*(game_rosters!$J:$J=events!$X801))&gt;0,1,""),"")</f>
        <v>#VALUE!</v>
      </c>
      <c r="AA801" t="e">
        <f t="shared" si="122"/>
        <v>#VALUE!</v>
      </c>
      <c r="AB801" t="str">
        <f t="shared" si="123"/>
        <v/>
      </c>
      <c r="AC801" t="e">
        <f t="shared" si="121"/>
        <v>#VALUE!</v>
      </c>
      <c r="AD801" s="6"/>
      <c r="BJ801" s="39"/>
      <c r="BM801" s="39"/>
      <c r="BO801" s="19"/>
      <c r="BQ801" s="17"/>
    </row>
    <row r="802" spans="1:69" x14ac:dyDescent="0.2">
      <c r="A802" t="str">
        <f t="shared" si="124"/>
        <v/>
      </c>
      <c r="E802" s="4"/>
      <c r="F802" s="44"/>
      <c r="G802" s="4"/>
      <c r="H802" s="47"/>
      <c r="J802" s="45" t="str">
        <f t="shared" si="125"/>
        <v/>
      </c>
      <c r="N802" t="str">
        <f t="shared" si="127"/>
        <v/>
      </c>
      <c r="Q802" t="str">
        <f t="shared" si="126"/>
        <v/>
      </c>
      <c r="S802" t="str">
        <f>IF(A802=1,MAX(S$2:S801)+1,IF(OR(I802&lt;&gt;"",A802="x"),S801,""))</f>
        <v/>
      </c>
      <c r="T802" t="str">
        <f>IF(D802=1,MAX($T$2:$T801)+1,IF(S802=$S801,$S801,IF($D802="x",T801,IF($D801="x","",""))))</f>
        <v/>
      </c>
      <c r="U802" t="str">
        <f>IF(B802=1,MAX($U$2:$U801)+1,IF(AND($T802&lt;&gt;"",$T802=$T801),$U801,IF(B802="x",U801,"")))</f>
        <v/>
      </c>
      <c r="V802" t="str">
        <f>IF(C802=1,MAX($V$2:$V801)+1,IF(AND($T802&lt;&gt;"",$T802=$T801),$U801,IF(C802="x",V801,"")))</f>
        <v/>
      </c>
      <c r="W802" t="str" cm="1">
        <f t="array" ref="W802">IFERROR(_xlfn._xlws.FILTER(game_rosters!AB:AB,(game_rosters!J:J=events!X802)*(K802&lt;&gt;"")),"")</f>
        <v/>
      </c>
      <c r="X802" t="str" cm="1">
        <f t="array" ref="X802">IF(S802="","",IF($I802&lt;&gt;"",$I802,INDEX($I$2:$I801,ROW()-COUNTIFS($T$2:$T801,"="&amp;$T802,$S$2:$S801,"&lt;&gt;"&amp;$S802)-1)))</f>
        <v/>
      </c>
      <c r="Y802" t="b">
        <f>IF(X802&lt;&gt;"",VLOOKUP(X802,game_rosters!$C$43:$E$64,3,FALSE))</f>
        <v>0</v>
      </c>
      <c r="Z802" t="e" cm="1" vm="1">
        <f t="array" aca="1" ref="Z802" ca="1">IFERROR(IF(_xlfn._xlws.FILTER(game_rosters!$J:$J,(game_rosters!$G:$G=events!$AN802)*(game_rosters!$J:$J=events!$X802))&gt;0,1,""),"")</f>
        <v>#VALUE!</v>
      </c>
      <c r="AA802" t="e">
        <f t="shared" si="122"/>
        <v>#VALUE!</v>
      </c>
      <c r="AB802" t="str">
        <f t="shared" si="123"/>
        <v/>
      </c>
      <c r="AC802" t="e">
        <f t="shared" si="121"/>
        <v>#VALUE!</v>
      </c>
      <c r="AD802" s="6"/>
      <c r="BJ802" s="39"/>
      <c r="BM802" s="39"/>
      <c r="BO802" s="19"/>
      <c r="BQ802" s="17"/>
    </row>
    <row r="803" spans="1:69" x14ac:dyDescent="0.2">
      <c r="A803" t="str">
        <f t="shared" si="124"/>
        <v/>
      </c>
      <c r="E803" s="4"/>
      <c r="F803" s="44"/>
      <c r="G803" s="4"/>
      <c r="H803" s="47"/>
      <c r="J803" s="45" t="str">
        <f t="shared" si="125"/>
        <v/>
      </c>
      <c r="N803" t="str">
        <f t="shared" si="127"/>
        <v/>
      </c>
      <c r="Q803" t="str">
        <f t="shared" si="126"/>
        <v/>
      </c>
      <c r="S803" t="str">
        <f>IF(A803=1,MAX(S$2:S802)+1,IF(OR(I803&lt;&gt;"",A803="x"),S802,""))</f>
        <v/>
      </c>
      <c r="T803" t="str">
        <f>IF(D803=1,MAX($T$2:$T802)+1,IF(S803=$S802,$S802,IF($D803="x",T802,IF($D802="x","",""))))</f>
        <v/>
      </c>
      <c r="U803" t="str">
        <f>IF(B803=1,MAX($U$2:$U802)+1,IF(AND($T803&lt;&gt;"",$T803=$T802),$U802,IF(B803="x",U802,"")))</f>
        <v/>
      </c>
      <c r="V803" t="str">
        <f>IF(C803=1,MAX($V$2:$V802)+1,IF(AND($T803&lt;&gt;"",$T803=$T802),$U802,IF(C803="x",V802,"")))</f>
        <v/>
      </c>
      <c r="W803" t="str" cm="1">
        <f t="array" ref="W803">IFERROR(_xlfn._xlws.FILTER(game_rosters!AB:AB,(game_rosters!J:J=events!X803)*(K803&lt;&gt;"")),"")</f>
        <v/>
      </c>
      <c r="X803" t="str" cm="1">
        <f t="array" ref="X803">IF(S803="","",IF($I803&lt;&gt;"",$I803,INDEX($I$2:$I802,ROW()-COUNTIFS($T$2:$T802,"="&amp;$T803,$S$2:$S802,"&lt;&gt;"&amp;$S803)-1)))</f>
        <v/>
      </c>
      <c r="Y803" t="b">
        <f>IF(X803&lt;&gt;"",VLOOKUP(X803,game_rosters!$C$43:$E$64,3,FALSE))</f>
        <v>0</v>
      </c>
      <c r="Z803" t="e" cm="1" vm="1">
        <f t="array" aca="1" ref="Z803" ca="1">IFERROR(IF(_xlfn._xlws.FILTER(game_rosters!$J:$J,(game_rosters!$G:$G=events!$AN803)*(game_rosters!$J:$J=events!$X803))&gt;0,1,""),"")</f>
        <v>#VALUE!</v>
      </c>
      <c r="AA803" t="e">
        <f t="shared" si="122"/>
        <v>#VALUE!</v>
      </c>
      <c r="AB803" t="str">
        <f t="shared" si="123"/>
        <v/>
      </c>
      <c r="AC803" t="e">
        <f t="shared" si="121"/>
        <v>#VALUE!</v>
      </c>
      <c r="AD803" s="6"/>
      <c r="BJ803" s="39"/>
      <c r="BM803" s="39"/>
      <c r="BO803" s="19"/>
      <c r="BQ803" s="17"/>
    </row>
    <row r="804" spans="1:69" x14ac:dyDescent="0.2">
      <c r="A804" t="str">
        <f t="shared" si="124"/>
        <v/>
      </c>
      <c r="E804" s="4"/>
      <c r="F804" s="44"/>
      <c r="G804" s="4"/>
      <c r="H804" s="47"/>
      <c r="J804" s="45" t="str">
        <f t="shared" si="125"/>
        <v/>
      </c>
      <c r="N804" t="str">
        <f t="shared" si="127"/>
        <v/>
      </c>
      <c r="Q804" t="str">
        <f t="shared" si="126"/>
        <v/>
      </c>
      <c r="S804" t="str">
        <f>IF(A804=1,MAX(S$2:S803)+1,IF(OR(I804&lt;&gt;"",A804="x"),S803,""))</f>
        <v/>
      </c>
      <c r="T804" t="str">
        <f>IF(D804=1,MAX($T$2:$T803)+1,IF(S804=$S803,$S803,IF($D804="x",T803,IF($D803="x","",""))))</f>
        <v/>
      </c>
      <c r="U804" t="str">
        <f>IF(B804=1,MAX($U$2:$U803)+1,IF(AND($T804&lt;&gt;"",$T804=$T803),$U803,IF(B804="x",U803,"")))</f>
        <v/>
      </c>
      <c r="V804" t="str">
        <f>IF(C804=1,MAX($V$2:$V803)+1,IF(AND($T804&lt;&gt;"",$T804=$T803),$U803,IF(C804="x",V803,"")))</f>
        <v/>
      </c>
      <c r="W804" t="str" cm="1">
        <f t="array" ref="W804">IFERROR(_xlfn._xlws.FILTER(game_rosters!AB:AB,(game_rosters!J:J=events!X804)*(K804&lt;&gt;"")),"")</f>
        <v/>
      </c>
      <c r="X804" t="str" cm="1">
        <f t="array" ref="X804">IF(S804="","",IF($I804&lt;&gt;"",$I804,INDEX($I$2:$I803,ROW()-COUNTIFS($T$2:$T803,"="&amp;$T804,$S$2:$S803,"&lt;&gt;"&amp;$S804)-1)))</f>
        <v/>
      </c>
      <c r="Y804" t="b">
        <f>IF(X804&lt;&gt;"",VLOOKUP(X804,game_rosters!$C$43:$E$64,3,FALSE))</f>
        <v>0</v>
      </c>
      <c r="Z804" t="e" cm="1" vm="1">
        <f t="array" aca="1" ref="Z804" ca="1">IFERROR(IF(_xlfn._xlws.FILTER(game_rosters!$J:$J,(game_rosters!$G:$G=events!$AN804)*(game_rosters!$J:$J=events!$X804))&gt;0,1,""),"")</f>
        <v>#VALUE!</v>
      </c>
      <c r="AA804" t="e">
        <f t="shared" si="122"/>
        <v>#VALUE!</v>
      </c>
      <c r="AB804" t="str">
        <f t="shared" si="123"/>
        <v/>
      </c>
      <c r="AC804" t="e">
        <f t="shared" si="121"/>
        <v>#VALUE!</v>
      </c>
      <c r="AD804" s="6"/>
      <c r="BJ804" s="39"/>
      <c r="BM804" s="39"/>
      <c r="BO804" s="19"/>
      <c r="BQ804" s="17"/>
    </row>
    <row r="805" spans="1:69" x14ac:dyDescent="0.2">
      <c r="A805" t="str">
        <f t="shared" si="124"/>
        <v/>
      </c>
      <c r="E805" s="4"/>
      <c r="F805" s="44"/>
      <c r="G805" s="4"/>
      <c r="H805" s="47"/>
      <c r="J805" s="45" t="str">
        <f t="shared" si="125"/>
        <v/>
      </c>
      <c r="N805" t="str">
        <f t="shared" si="127"/>
        <v/>
      </c>
      <c r="Q805" t="str">
        <f t="shared" si="126"/>
        <v/>
      </c>
      <c r="S805" t="str">
        <f>IF(A805=1,MAX(S$2:S804)+1,IF(OR(I805&lt;&gt;"",A805="x"),S804,""))</f>
        <v/>
      </c>
      <c r="T805" t="str">
        <f>IF(D805=1,MAX($T$2:$T804)+1,IF(S805=$S804,$S804,IF($D805="x",T804,IF($D804="x","",""))))</f>
        <v/>
      </c>
      <c r="U805" t="str">
        <f>IF(B805=1,MAX($U$2:$U804)+1,IF(AND($T805&lt;&gt;"",$T805=$T804),$U804,IF(B805="x",U804,"")))</f>
        <v/>
      </c>
      <c r="V805" t="str">
        <f>IF(C805=1,MAX($V$2:$V804)+1,IF(AND($T805&lt;&gt;"",$T805=$T804),$U804,IF(C805="x",V804,"")))</f>
        <v/>
      </c>
      <c r="W805" t="str" cm="1">
        <f t="array" ref="W805">IFERROR(_xlfn._xlws.FILTER(game_rosters!AB:AB,(game_rosters!J:J=events!X805)*(K805&lt;&gt;"")),"")</f>
        <v/>
      </c>
      <c r="X805" t="str" cm="1">
        <f t="array" ref="X805">IF(S805="","",IF($I805&lt;&gt;"",$I805,INDEX($I$2:$I804,ROW()-COUNTIFS($T$2:$T804,"="&amp;$T805,$S$2:$S804,"&lt;&gt;"&amp;$S805)-1)))</f>
        <v/>
      </c>
      <c r="Y805" t="b">
        <f>IF(X805&lt;&gt;"",VLOOKUP(X805,game_rosters!$C$43:$E$64,3,FALSE))</f>
        <v>0</v>
      </c>
      <c r="Z805" t="e" cm="1" vm="1">
        <f t="array" aca="1" ref="Z805" ca="1">IFERROR(IF(_xlfn._xlws.FILTER(game_rosters!$J:$J,(game_rosters!$G:$G=events!$AN805)*(game_rosters!$J:$J=events!$X805))&gt;0,1,""),"")</f>
        <v>#VALUE!</v>
      </c>
      <c r="AA805" t="e">
        <f t="shared" si="122"/>
        <v>#VALUE!</v>
      </c>
      <c r="AB805" t="str">
        <f t="shared" si="123"/>
        <v/>
      </c>
      <c r="AC805" t="e">
        <f t="shared" si="121"/>
        <v>#VALUE!</v>
      </c>
      <c r="AD805" s="6"/>
      <c r="BJ805" s="39"/>
      <c r="BM805" s="39"/>
      <c r="BO805" s="19"/>
      <c r="BQ805" s="17"/>
    </row>
    <row r="806" spans="1:69" x14ac:dyDescent="0.2">
      <c r="A806" t="str">
        <f t="shared" si="124"/>
        <v/>
      </c>
      <c r="E806" s="4"/>
      <c r="F806" s="44"/>
      <c r="G806" s="4"/>
      <c r="H806" s="47"/>
      <c r="J806" s="45" t="str">
        <f t="shared" si="125"/>
        <v/>
      </c>
      <c r="N806" t="str">
        <f t="shared" si="127"/>
        <v/>
      </c>
      <c r="Q806" t="str">
        <f t="shared" si="126"/>
        <v/>
      </c>
      <c r="S806" t="str">
        <f>IF(A806=1,MAX(S$2:S805)+1,IF(OR(I806&lt;&gt;"",A806="x"),S805,""))</f>
        <v/>
      </c>
      <c r="T806" t="str">
        <f>IF(D806=1,MAX($T$2:$T805)+1,IF(S806=$S805,$S805,IF($D806="x",T805,IF($D805="x","",""))))</f>
        <v/>
      </c>
      <c r="U806" t="str">
        <f>IF(B806=1,MAX($U$2:$U805)+1,IF(AND($T806&lt;&gt;"",$T806=$T805),$U805,IF(B806="x",U805,"")))</f>
        <v/>
      </c>
      <c r="V806" t="str">
        <f>IF(C806=1,MAX($V$2:$V805)+1,IF(AND($T806&lt;&gt;"",$T806=$T805),$U805,IF(C806="x",V805,"")))</f>
        <v/>
      </c>
      <c r="W806" t="str" cm="1">
        <f t="array" ref="W806">IFERROR(_xlfn._xlws.FILTER(game_rosters!AB:AB,(game_rosters!J:J=events!X806)*(K806&lt;&gt;"")),"")</f>
        <v/>
      </c>
      <c r="X806" t="str" cm="1">
        <f t="array" ref="X806">IF(S806="","",IF($I806&lt;&gt;"",$I806,INDEX($I$2:$I805,ROW()-COUNTIFS($T$2:$T805,"="&amp;$T806,$S$2:$S805,"&lt;&gt;"&amp;$S806)-1)))</f>
        <v/>
      </c>
      <c r="Y806" t="b">
        <f>IF(X806&lt;&gt;"",VLOOKUP(X806,game_rosters!$C$43:$E$64,3,FALSE))</f>
        <v>0</v>
      </c>
      <c r="Z806" t="e" cm="1" vm="1">
        <f t="array" aca="1" ref="Z806" ca="1">IFERROR(IF(_xlfn._xlws.FILTER(game_rosters!$J:$J,(game_rosters!$G:$G=events!$AN806)*(game_rosters!$J:$J=events!$X806))&gt;0,1,""),"")</f>
        <v>#VALUE!</v>
      </c>
      <c r="AA806" t="e">
        <f t="shared" si="122"/>
        <v>#VALUE!</v>
      </c>
      <c r="AB806" t="str">
        <f t="shared" si="123"/>
        <v/>
      </c>
      <c r="AC806" t="e">
        <f t="shared" si="121"/>
        <v>#VALUE!</v>
      </c>
      <c r="AD806" s="6"/>
      <c r="BJ806" s="39"/>
      <c r="BM806" s="39"/>
      <c r="BO806" s="19"/>
      <c r="BQ806" s="17"/>
    </row>
    <row r="807" spans="1:69" x14ac:dyDescent="0.2">
      <c r="A807" t="str">
        <f t="shared" si="124"/>
        <v/>
      </c>
      <c r="E807" s="4"/>
      <c r="F807" s="44"/>
      <c r="G807" s="4"/>
      <c r="H807" s="47"/>
      <c r="J807" s="45" t="str">
        <f t="shared" si="125"/>
        <v/>
      </c>
      <c r="N807" t="str">
        <f t="shared" si="127"/>
        <v/>
      </c>
      <c r="Q807" t="str">
        <f t="shared" si="126"/>
        <v/>
      </c>
      <c r="S807" t="str">
        <f>IF(A807=1,MAX(S$2:S806)+1,IF(OR(I807&lt;&gt;"",A807="x"),S806,""))</f>
        <v/>
      </c>
      <c r="T807" t="str">
        <f>IF(D807=1,MAX($T$2:$T806)+1,IF(S807=$S806,$S806,IF($D807="x",T806,IF($D806="x","",""))))</f>
        <v/>
      </c>
      <c r="U807" t="str">
        <f>IF(B807=1,MAX($U$2:$U806)+1,IF(AND($T807&lt;&gt;"",$T807=$T806),$U806,IF(B807="x",U806,"")))</f>
        <v/>
      </c>
      <c r="V807" t="str">
        <f>IF(C807=1,MAX($V$2:$V806)+1,IF(AND($T807&lt;&gt;"",$T807=$T806),$U806,IF(C807="x",V806,"")))</f>
        <v/>
      </c>
      <c r="W807" t="str" cm="1">
        <f t="array" ref="W807">IFERROR(_xlfn._xlws.FILTER(game_rosters!AB:AB,(game_rosters!J:J=events!X807)*(K807&lt;&gt;"")),"")</f>
        <v/>
      </c>
      <c r="X807" t="str" cm="1">
        <f t="array" ref="X807">IF(S807="","",IF($I807&lt;&gt;"",$I807,INDEX($I$2:$I806,ROW()-COUNTIFS($T$2:$T806,"="&amp;$T807,$S$2:$S806,"&lt;&gt;"&amp;$S807)-1)))</f>
        <v/>
      </c>
      <c r="Y807" t="b">
        <f>IF(X807&lt;&gt;"",VLOOKUP(X807,game_rosters!$C$43:$E$64,3,FALSE))</f>
        <v>0</v>
      </c>
      <c r="Z807" t="e" cm="1" vm="1">
        <f t="array" aca="1" ref="Z807" ca="1">IFERROR(IF(_xlfn._xlws.FILTER(game_rosters!$J:$J,(game_rosters!$G:$G=events!$AN807)*(game_rosters!$J:$J=events!$X807))&gt;0,1,""),"")</f>
        <v>#VALUE!</v>
      </c>
      <c r="AA807" t="e">
        <f t="shared" si="122"/>
        <v>#VALUE!</v>
      </c>
      <c r="AB807" t="str">
        <f t="shared" si="123"/>
        <v/>
      </c>
      <c r="AC807" t="e">
        <f t="shared" si="121"/>
        <v>#VALUE!</v>
      </c>
      <c r="AD807" s="6"/>
      <c r="BJ807" s="39"/>
      <c r="BM807" s="39"/>
      <c r="BO807" s="19"/>
      <c r="BQ807" s="17"/>
    </row>
    <row r="808" spans="1:69" x14ac:dyDescent="0.2">
      <c r="A808" t="str">
        <f t="shared" si="124"/>
        <v/>
      </c>
      <c r="E808" s="4"/>
      <c r="F808" s="44"/>
      <c r="G808" s="4"/>
      <c r="H808" s="47"/>
      <c r="J808" s="45" t="str">
        <f t="shared" si="125"/>
        <v/>
      </c>
      <c r="N808" t="str">
        <f t="shared" si="127"/>
        <v/>
      </c>
      <c r="Q808" t="str">
        <f t="shared" si="126"/>
        <v/>
      </c>
      <c r="S808" t="str">
        <f>IF(A808=1,MAX(S$2:S807)+1,IF(OR(I808&lt;&gt;"",A808="x"),S807,""))</f>
        <v/>
      </c>
      <c r="T808" t="str">
        <f>IF(D808=1,MAX($T$2:$T807)+1,IF(S808=$S807,$S807,IF($D808="x",T807,IF($D807="x","",""))))</f>
        <v/>
      </c>
      <c r="U808" t="str">
        <f>IF(B808=1,MAX($U$2:$U807)+1,IF(AND($T808&lt;&gt;"",$T808=$T807),$U807,IF(B808="x",U807,"")))</f>
        <v/>
      </c>
      <c r="V808" t="str">
        <f>IF(C808=1,MAX($V$2:$V807)+1,IF(AND($T808&lt;&gt;"",$T808=$T807),$U807,IF(C808="x",V807,"")))</f>
        <v/>
      </c>
      <c r="W808" t="str" cm="1">
        <f t="array" ref="W808">IFERROR(_xlfn._xlws.FILTER(game_rosters!AB:AB,(game_rosters!J:J=events!X808)*(K808&lt;&gt;"")),"")</f>
        <v/>
      </c>
      <c r="X808" t="str" cm="1">
        <f t="array" ref="X808">IF(S808="","",IF($I808&lt;&gt;"",$I808,INDEX($I$2:$I807,ROW()-COUNTIFS($T$2:$T807,"="&amp;$T808,$S$2:$S807,"&lt;&gt;"&amp;$S808)-1)))</f>
        <v/>
      </c>
      <c r="Y808" t="b">
        <f>IF(X808&lt;&gt;"",VLOOKUP(X808,game_rosters!$C$43:$E$64,3,FALSE))</f>
        <v>0</v>
      </c>
      <c r="Z808" t="e" cm="1" vm="1">
        <f t="array" aca="1" ref="Z808" ca="1">IFERROR(IF(_xlfn._xlws.FILTER(game_rosters!$J:$J,(game_rosters!$G:$G=events!$AN808)*(game_rosters!$J:$J=events!$X808))&gt;0,1,""),"")</f>
        <v>#VALUE!</v>
      </c>
      <c r="AA808" t="e">
        <f t="shared" si="122"/>
        <v>#VALUE!</v>
      </c>
      <c r="AB808" t="str">
        <f t="shared" si="123"/>
        <v/>
      </c>
      <c r="AC808" t="e">
        <f t="shared" si="121"/>
        <v>#VALUE!</v>
      </c>
      <c r="AD808" s="6"/>
      <c r="BJ808" s="39"/>
      <c r="BM808" s="39"/>
      <c r="BO808" s="19"/>
      <c r="BQ808" s="17"/>
    </row>
    <row r="809" spans="1:69" x14ac:dyDescent="0.2">
      <c r="A809" t="str">
        <f t="shared" si="124"/>
        <v/>
      </c>
      <c r="E809" s="4"/>
      <c r="F809" s="44"/>
      <c r="G809" s="4"/>
      <c r="H809" s="47"/>
      <c r="J809" s="45" t="str">
        <f t="shared" si="125"/>
        <v/>
      </c>
      <c r="N809" t="str">
        <f t="shared" si="127"/>
        <v/>
      </c>
      <c r="Q809" t="str">
        <f t="shared" si="126"/>
        <v/>
      </c>
      <c r="S809" t="str">
        <f>IF(A809=1,MAX(S$2:S808)+1,IF(OR(I809&lt;&gt;"",A809="x"),S808,""))</f>
        <v/>
      </c>
      <c r="T809" t="str">
        <f>IF(D809=1,MAX($T$2:$T808)+1,IF(S809=$S808,$S808,IF($D809="x",T808,IF($D808="x","",""))))</f>
        <v/>
      </c>
      <c r="U809" t="str">
        <f>IF(B809=1,MAX($U$2:$U808)+1,IF(AND($T809&lt;&gt;"",$T809=$T808),$U808,IF(B809="x",U808,"")))</f>
        <v/>
      </c>
      <c r="V809" t="str">
        <f>IF(C809=1,MAX($V$2:$V808)+1,IF(AND($T809&lt;&gt;"",$T809=$T808),$U808,IF(C809="x",V808,"")))</f>
        <v/>
      </c>
      <c r="W809" t="str" cm="1">
        <f t="array" ref="W809">IFERROR(_xlfn._xlws.FILTER(game_rosters!AB:AB,(game_rosters!J:J=events!X809)*(K809&lt;&gt;"")),"")</f>
        <v/>
      </c>
      <c r="X809" t="str" cm="1">
        <f t="array" ref="X809">IF(S809="","",IF($I809&lt;&gt;"",$I809,INDEX($I$2:$I808,ROW()-COUNTIFS($T$2:$T808,"="&amp;$T809,$S$2:$S808,"&lt;&gt;"&amp;$S809)-1)))</f>
        <v/>
      </c>
      <c r="Y809" t="b">
        <f>IF(X809&lt;&gt;"",VLOOKUP(X809,game_rosters!$C$43:$E$64,3,FALSE))</f>
        <v>0</v>
      </c>
      <c r="Z809" t="e" cm="1" vm="1">
        <f t="array" aca="1" ref="Z809" ca="1">IFERROR(IF(_xlfn._xlws.FILTER(game_rosters!$J:$J,(game_rosters!$G:$G=events!$AN809)*(game_rosters!$J:$J=events!$X809))&gt;0,1,""),"")</f>
        <v>#VALUE!</v>
      </c>
      <c r="AA809" t="e">
        <f t="shared" si="122"/>
        <v>#VALUE!</v>
      </c>
      <c r="AB809" t="str">
        <f t="shared" si="123"/>
        <v/>
      </c>
      <c r="AC809" t="e">
        <f t="shared" si="121"/>
        <v>#VALUE!</v>
      </c>
      <c r="AD809" s="6"/>
      <c r="BJ809" s="39"/>
      <c r="BM809" s="39"/>
      <c r="BO809" s="19"/>
      <c r="BQ809" s="17"/>
    </row>
    <row r="810" spans="1:69" x14ac:dyDescent="0.2">
      <c r="A810" t="str">
        <f t="shared" si="124"/>
        <v/>
      </c>
      <c r="E810" s="4"/>
      <c r="F810" s="44"/>
      <c r="G810" s="4"/>
      <c r="H810" s="47"/>
      <c r="J810" s="45" t="str">
        <f t="shared" si="125"/>
        <v/>
      </c>
      <c r="N810" t="str">
        <f t="shared" si="127"/>
        <v/>
      </c>
      <c r="Q810" t="str">
        <f t="shared" si="126"/>
        <v/>
      </c>
      <c r="S810" t="str">
        <f>IF(A810=1,MAX(S$2:S809)+1,IF(OR(I810&lt;&gt;"",A810="x"),S809,""))</f>
        <v/>
      </c>
      <c r="T810" t="str">
        <f>IF(D810=1,MAX($T$2:$T809)+1,IF(S810=$S809,$S809,IF($D810="x",T809,IF($D809="x","",""))))</f>
        <v/>
      </c>
      <c r="U810" t="str">
        <f>IF(B810=1,MAX($U$2:$U809)+1,IF(AND($T810&lt;&gt;"",$T810=$T809),$U809,IF(B810="x",U809,"")))</f>
        <v/>
      </c>
      <c r="V810" t="str">
        <f>IF(C810=1,MAX($V$2:$V809)+1,IF(AND($T810&lt;&gt;"",$T810=$T809),$U809,IF(C810="x",V809,"")))</f>
        <v/>
      </c>
      <c r="W810" t="str" cm="1">
        <f t="array" ref="W810">IFERROR(_xlfn._xlws.FILTER(game_rosters!AB:AB,(game_rosters!J:J=events!X810)*(K810&lt;&gt;"")),"")</f>
        <v/>
      </c>
      <c r="X810" t="str" cm="1">
        <f t="array" ref="X810">IF(S810="","",IF($I810&lt;&gt;"",$I810,INDEX($I$2:$I809,ROW()-COUNTIFS($T$2:$T809,"="&amp;$T810,$S$2:$S809,"&lt;&gt;"&amp;$S810)-1)))</f>
        <v/>
      </c>
      <c r="Y810" t="b">
        <f>IF(X810&lt;&gt;"",VLOOKUP(X810,game_rosters!$C$43:$E$64,3,FALSE))</f>
        <v>0</v>
      </c>
      <c r="Z810" t="e" cm="1" vm="1">
        <f t="array" aca="1" ref="Z810" ca="1">IFERROR(IF(_xlfn._xlws.FILTER(game_rosters!$J:$J,(game_rosters!$G:$G=events!$AN810)*(game_rosters!$J:$J=events!$X810))&gt;0,1,""),"")</f>
        <v>#VALUE!</v>
      </c>
      <c r="AA810" t="e">
        <f t="shared" si="122"/>
        <v>#VALUE!</v>
      </c>
      <c r="AB810" t="str">
        <f t="shared" si="123"/>
        <v/>
      </c>
      <c r="AC810" t="e">
        <f t="shared" si="121"/>
        <v>#VALUE!</v>
      </c>
      <c r="AD810" s="6"/>
      <c r="BJ810" s="39"/>
      <c r="BM810" s="39"/>
      <c r="BO810" s="19"/>
      <c r="BQ810" s="17"/>
    </row>
    <row r="811" spans="1:69" x14ac:dyDescent="0.2">
      <c r="A811" t="str">
        <f t="shared" si="124"/>
        <v/>
      </c>
      <c r="E811" s="4"/>
      <c r="F811" s="44"/>
      <c r="G811" s="4"/>
      <c r="H811" s="47"/>
      <c r="J811" s="45" t="str">
        <f t="shared" si="125"/>
        <v/>
      </c>
      <c r="N811" t="str">
        <f t="shared" si="127"/>
        <v/>
      </c>
      <c r="Q811" t="str">
        <f t="shared" si="126"/>
        <v/>
      </c>
      <c r="S811" t="str">
        <f>IF(A811=1,MAX(S$2:S810)+1,IF(OR(I811&lt;&gt;"",A811="x"),S810,""))</f>
        <v/>
      </c>
      <c r="T811" t="str">
        <f>IF(D811=1,MAX($T$2:$T810)+1,IF(S811=$S810,$S810,IF($D811="x",T810,IF($D810="x","",""))))</f>
        <v/>
      </c>
      <c r="U811" t="str">
        <f>IF(B811=1,MAX($U$2:$U810)+1,IF(AND($T811&lt;&gt;"",$T811=$T810),$U810,IF(B811="x",U810,"")))</f>
        <v/>
      </c>
      <c r="V811" t="str">
        <f>IF(C811=1,MAX($V$2:$V810)+1,IF(AND($T811&lt;&gt;"",$T811=$T810),$U810,IF(C811="x",V810,"")))</f>
        <v/>
      </c>
      <c r="W811" t="str" cm="1">
        <f t="array" ref="W811">IFERROR(_xlfn._xlws.FILTER(game_rosters!AB:AB,(game_rosters!J:J=events!X811)*(K811&lt;&gt;"")),"")</f>
        <v/>
      </c>
      <c r="X811" t="str" cm="1">
        <f t="array" ref="X811">IF(S811="","",IF($I811&lt;&gt;"",$I811,INDEX($I$2:$I810,ROW()-COUNTIFS($T$2:$T810,"="&amp;$T811,$S$2:$S810,"&lt;&gt;"&amp;$S811)-1)))</f>
        <v/>
      </c>
      <c r="Y811" t="b">
        <f>IF(X811&lt;&gt;"",VLOOKUP(X811,game_rosters!$C$43:$E$64,3,FALSE))</f>
        <v>0</v>
      </c>
      <c r="Z811" t="e" cm="1" vm="1">
        <f t="array" aca="1" ref="Z811" ca="1">IFERROR(IF(_xlfn._xlws.FILTER(game_rosters!$J:$J,(game_rosters!$G:$G=events!$AN811)*(game_rosters!$J:$J=events!$X811))&gt;0,1,""),"")</f>
        <v>#VALUE!</v>
      </c>
      <c r="AA811" t="e">
        <f t="shared" si="122"/>
        <v>#VALUE!</v>
      </c>
      <c r="AB811" t="str">
        <f t="shared" si="123"/>
        <v/>
      </c>
      <c r="AC811" t="e">
        <f t="shared" si="121"/>
        <v>#VALUE!</v>
      </c>
      <c r="AD811" s="6"/>
      <c r="BJ811" s="39"/>
      <c r="BM811" s="39"/>
      <c r="BO811" s="19"/>
      <c r="BQ811" s="17"/>
    </row>
    <row r="812" spans="1:69" x14ac:dyDescent="0.2">
      <c r="A812" t="str">
        <f t="shared" si="124"/>
        <v/>
      </c>
      <c r="E812" s="4"/>
      <c r="F812" s="44"/>
      <c r="G812" s="4"/>
      <c r="H812" s="47"/>
      <c r="J812" s="45" t="str">
        <f t="shared" si="125"/>
        <v/>
      </c>
      <c r="N812" t="str">
        <f t="shared" si="127"/>
        <v/>
      </c>
      <c r="Q812" t="str">
        <f t="shared" si="126"/>
        <v/>
      </c>
      <c r="S812" t="str">
        <f>IF(A812=1,MAX(S$2:S811)+1,IF(OR(I812&lt;&gt;"",A812="x"),S811,""))</f>
        <v/>
      </c>
      <c r="T812" t="str">
        <f>IF(D812=1,MAX($T$2:$T811)+1,IF(S812=$S811,$S811,IF($D812="x",T811,IF($D811="x","",""))))</f>
        <v/>
      </c>
      <c r="U812" t="str">
        <f>IF(B812=1,MAX($U$2:$U811)+1,IF(AND($T812&lt;&gt;"",$T812=$T811),$U811,IF(B812="x",U811,"")))</f>
        <v/>
      </c>
      <c r="V812" t="str">
        <f>IF(C812=1,MAX($V$2:$V811)+1,IF(AND($T812&lt;&gt;"",$T812=$T811),$U811,IF(C812="x",V811,"")))</f>
        <v/>
      </c>
      <c r="W812" t="str" cm="1">
        <f t="array" ref="W812">IFERROR(_xlfn._xlws.FILTER(game_rosters!AB:AB,(game_rosters!J:J=events!X812)*(K812&lt;&gt;"")),"")</f>
        <v/>
      </c>
      <c r="X812" t="str" cm="1">
        <f t="array" ref="X812">IF(S812="","",IF($I812&lt;&gt;"",$I812,INDEX($I$2:$I811,ROW()-COUNTIFS($T$2:$T811,"="&amp;$T812,$S$2:$S811,"&lt;&gt;"&amp;$S812)-1)))</f>
        <v/>
      </c>
      <c r="Y812" t="b">
        <f>IF(X812&lt;&gt;"",VLOOKUP(X812,game_rosters!$C$43:$E$64,3,FALSE))</f>
        <v>0</v>
      </c>
      <c r="Z812" t="e" cm="1" vm="1">
        <f t="array" aca="1" ref="Z812" ca="1">IFERROR(IF(_xlfn._xlws.FILTER(game_rosters!$J:$J,(game_rosters!$G:$G=events!$AN812)*(game_rosters!$J:$J=events!$X812))&gt;0,1,""),"")</f>
        <v>#VALUE!</v>
      </c>
      <c r="AA812" t="e">
        <f t="shared" si="122"/>
        <v>#VALUE!</v>
      </c>
      <c r="AB812" t="str">
        <f t="shared" si="123"/>
        <v/>
      </c>
      <c r="AC812" t="e">
        <f t="shared" si="121"/>
        <v>#VALUE!</v>
      </c>
      <c r="AD812" s="6"/>
      <c r="BJ812" s="39"/>
      <c r="BM812" s="39"/>
      <c r="BO812" s="19"/>
      <c r="BQ812" s="17"/>
    </row>
    <row r="813" spans="1:69" x14ac:dyDescent="0.2">
      <c r="A813" t="str">
        <f t="shared" si="124"/>
        <v/>
      </c>
      <c r="E813" s="4"/>
      <c r="F813" s="44"/>
      <c r="G813" s="4"/>
      <c r="H813" s="47"/>
      <c r="J813" s="45" t="str">
        <f t="shared" si="125"/>
        <v/>
      </c>
      <c r="N813" t="str">
        <f t="shared" si="127"/>
        <v/>
      </c>
      <c r="Q813" t="str">
        <f t="shared" si="126"/>
        <v/>
      </c>
      <c r="S813" t="str">
        <f>IF(A813=1,MAX(S$2:S812)+1,IF(OR(I813&lt;&gt;"",A813="x"),S812,""))</f>
        <v/>
      </c>
      <c r="T813" t="str">
        <f>IF(D813=1,MAX($T$2:$T812)+1,IF(S813=$S812,$S812,IF($D813="x",T812,IF($D812="x","",""))))</f>
        <v/>
      </c>
      <c r="U813" t="str">
        <f>IF(B813=1,MAX($U$2:$U812)+1,IF(AND($T813&lt;&gt;"",$T813=$T812),$U812,IF(B813="x",U812,"")))</f>
        <v/>
      </c>
      <c r="V813" t="str">
        <f>IF(C813=1,MAX($V$2:$V812)+1,IF(AND($T813&lt;&gt;"",$T813=$T812),$U812,IF(C813="x",V812,"")))</f>
        <v/>
      </c>
      <c r="W813" t="str" cm="1">
        <f t="array" ref="W813">IFERROR(_xlfn._xlws.FILTER(game_rosters!AB:AB,(game_rosters!J:J=events!X813)*(K813&lt;&gt;"")),"")</f>
        <v/>
      </c>
      <c r="X813" t="str" cm="1">
        <f t="array" ref="X813">IF(S813="","",IF($I813&lt;&gt;"",$I813,INDEX($I$2:$I812,ROW()-COUNTIFS($T$2:$T812,"="&amp;$T813,$S$2:$S812,"&lt;&gt;"&amp;$S813)-1)))</f>
        <v/>
      </c>
      <c r="Y813" t="b">
        <f>IF(X813&lt;&gt;"",VLOOKUP(X813,game_rosters!$C$43:$E$64,3,FALSE))</f>
        <v>0</v>
      </c>
      <c r="Z813" t="e" cm="1" vm="1">
        <f t="array" aca="1" ref="Z813" ca="1">IFERROR(IF(_xlfn._xlws.FILTER(game_rosters!$J:$J,(game_rosters!$G:$G=events!$AN813)*(game_rosters!$J:$J=events!$X813))&gt;0,1,""),"")</f>
        <v>#VALUE!</v>
      </c>
      <c r="AA813" t="e">
        <f t="shared" si="122"/>
        <v>#VALUE!</v>
      </c>
      <c r="AB813" t="str">
        <f t="shared" si="123"/>
        <v/>
      </c>
      <c r="AC813" t="e">
        <f t="shared" si="121"/>
        <v>#VALUE!</v>
      </c>
      <c r="AD813" s="6"/>
      <c r="BJ813" s="39"/>
      <c r="BM813" s="39"/>
      <c r="BO813" s="19"/>
      <c r="BQ813" s="17"/>
    </row>
    <row r="814" spans="1:69" x14ac:dyDescent="0.2">
      <c r="A814" t="str">
        <f t="shared" si="124"/>
        <v/>
      </c>
      <c r="E814" s="4"/>
      <c r="F814" s="44"/>
      <c r="G814" s="4"/>
      <c r="H814" s="47"/>
      <c r="J814" s="45" t="str">
        <f t="shared" si="125"/>
        <v/>
      </c>
      <c r="N814" t="str">
        <f t="shared" si="127"/>
        <v/>
      </c>
      <c r="Q814" t="str">
        <f t="shared" si="126"/>
        <v/>
      </c>
      <c r="S814" t="str">
        <f>IF(A814=1,MAX(S$2:S813)+1,IF(OR(I814&lt;&gt;"",A814="x"),S813,""))</f>
        <v/>
      </c>
      <c r="T814" t="str">
        <f>IF(D814=1,MAX($T$2:$T813)+1,IF(S814=$S813,$S813,IF($D814="x",T813,IF($D813="x","",""))))</f>
        <v/>
      </c>
      <c r="U814" t="str">
        <f>IF(B814=1,MAX($U$2:$U813)+1,IF(AND($T814&lt;&gt;"",$T814=$T813),$U813,IF(B814="x",U813,"")))</f>
        <v/>
      </c>
      <c r="V814" t="str">
        <f>IF(C814=1,MAX($V$2:$V813)+1,IF(AND($T814&lt;&gt;"",$T814=$T813),$U813,IF(C814="x",V813,"")))</f>
        <v/>
      </c>
      <c r="W814" t="str" cm="1">
        <f t="array" ref="W814">IFERROR(_xlfn._xlws.FILTER(game_rosters!AB:AB,(game_rosters!J:J=events!X814)*(K814&lt;&gt;"")),"")</f>
        <v/>
      </c>
      <c r="X814" t="str" cm="1">
        <f t="array" ref="X814">IF(S814="","",IF($I814&lt;&gt;"",$I814,INDEX($I$2:$I813,ROW()-COUNTIFS($T$2:$T813,"="&amp;$T814,$S$2:$S813,"&lt;&gt;"&amp;$S814)-1)))</f>
        <v/>
      </c>
      <c r="Y814" t="b">
        <f>IF(X814&lt;&gt;"",VLOOKUP(X814,game_rosters!$C$43:$E$64,3,FALSE))</f>
        <v>0</v>
      </c>
      <c r="Z814" t="e" cm="1" vm="1">
        <f t="array" aca="1" ref="Z814" ca="1">IFERROR(IF(_xlfn._xlws.FILTER(game_rosters!$J:$J,(game_rosters!$G:$G=events!$AN814)*(game_rosters!$J:$J=events!$X814))&gt;0,1,""),"")</f>
        <v>#VALUE!</v>
      </c>
      <c r="AA814" t="e">
        <f t="shared" si="122"/>
        <v>#VALUE!</v>
      </c>
      <c r="AB814" t="str">
        <f t="shared" si="123"/>
        <v/>
      </c>
      <c r="AC814" t="e">
        <f t="shared" si="121"/>
        <v>#VALUE!</v>
      </c>
      <c r="AD814" s="6"/>
      <c r="BJ814" s="39"/>
      <c r="BM814" s="39"/>
      <c r="BO814" s="19"/>
      <c r="BQ814" s="17"/>
    </row>
    <row r="815" spans="1:69" x14ac:dyDescent="0.2">
      <c r="A815" t="str">
        <f t="shared" si="124"/>
        <v/>
      </c>
      <c r="E815" s="4"/>
      <c r="F815" s="44"/>
      <c r="G815" s="4"/>
      <c r="H815" s="47"/>
      <c r="J815" s="45" t="str">
        <f t="shared" si="125"/>
        <v/>
      </c>
      <c r="N815" t="str">
        <f t="shared" si="127"/>
        <v/>
      </c>
      <c r="Q815" t="str">
        <f t="shared" si="126"/>
        <v/>
      </c>
      <c r="S815" t="str">
        <f>IF(A815=1,MAX(S$2:S814)+1,IF(OR(I815&lt;&gt;"",A815="x"),S814,""))</f>
        <v/>
      </c>
      <c r="T815" t="str">
        <f>IF(D815=1,MAX($T$2:$T814)+1,IF(S815=$S814,$S814,IF($D815="x",T814,IF($D814="x","",""))))</f>
        <v/>
      </c>
      <c r="U815" t="str">
        <f>IF(B815=1,MAX($U$2:$U814)+1,IF(AND($T815&lt;&gt;"",$T815=$T814),$U814,IF(B815="x",U814,"")))</f>
        <v/>
      </c>
      <c r="V815" t="str">
        <f>IF(C815=1,MAX($V$2:$V814)+1,IF(AND($T815&lt;&gt;"",$T815=$T814),$U814,IF(C815="x",V814,"")))</f>
        <v/>
      </c>
      <c r="W815" t="str" cm="1">
        <f t="array" ref="W815">IFERROR(_xlfn._xlws.FILTER(game_rosters!AB:AB,(game_rosters!J:J=events!X815)*(K815&lt;&gt;"")),"")</f>
        <v/>
      </c>
      <c r="X815" t="str" cm="1">
        <f t="array" ref="X815">IF(S815="","",IF($I815&lt;&gt;"",$I815,INDEX($I$2:$I814,ROW()-COUNTIFS($T$2:$T814,"="&amp;$T815,$S$2:$S814,"&lt;&gt;"&amp;$S815)-1)))</f>
        <v/>
      </c>
      <c r="Y815" t="b">
        <f>IF(X815&lt;&gt;"",VLOOKUP(X815,game_rosters!$C$43:$E$64,3,FALSE))</f>
        <v>0</v>
      </c>
      <c r="Z815" t="e" cm="1" vm="1">
        <f t="array" aca="1" ref="Z815" ca="1">IFERROR(IF(_xlfn._xlws.FILTER(game_rosters!$J:$J,(game_rosters!$G:$G=events!$AN815)*(game_rosters!$J:$J=events!$X815))&gt;0,1,""),"")</f>
        <v>#VALUE!</v>
      </c>
      <c r="AA815" t="e">
        <f t="shared" si="122"/>
        <v>#VALUE!</v>
      </c>
      <c r="AB815" t="str">
        <f t="shared" si="123"/>
        <v/>
      </c>
      <c r="AC815" t="e">
        <f t="shared" si="121"/>
        <v>#VALUE!</v>
      </c>
      <c r="AD815" s="6"/>
      <c r="BJ815" s="39"/>
      <c r="BM815" s="39"/>
      <c r="BO815" s="19"/>
      <c r="BQ815" s="17"/>
    </row>
    <row r="816" spans="1:69" x14ac:dyDescent="0.2">
      <c r="A816" t="str">
        <f t="shared" si="124"/>
        <v/>
      </c>
      <c r="E816" s="4"/>
      <c r="F816" s="44"/>
      <c r="G816" s="4"/>
      <c r="H816" s="47"/>
      <c r="J816" s="45" t="str">
        <f t="shared" si="125"/>
        <v/>
      </c>
      <c r="N816" t="str">
        <f t="shared" si="127"/>
        <v/>
      </c>
      <c r="Q816" t="str">
        <f t="shared" si="126"/>
        <v/>
      </c>
      <c r="S816" t="str">
        <f>IF(A816=1,MAX(S$2:S815)+1,IF(OR(I816&lt;&gt;"",A816="x"),S815,""))</f>
        <v/>
      </c>
      <c r="T816" t="str">
        <f>IF(D816=1,MAX($T$2:$T815)+1,IF(S816=$S815,$S815,IF($D816="x",T815,IF($D815="x","",""))))</f>
        <v/>
      </c>
      <c r="U816" t="str">
        <f>IF(B816=1,MAX($U$2:$U815)+1,IF(AND($T816&lt;&gt;"",$T816=$T815),$U815,IF(B816="x",U815,"")))</f>
        <v/>
      </c>
      <c r="V816" t="str">
        <f>IF(C816=1,MAX($V$2:$V815)+1,IF(AND($T816&lt;&gt;"",$T816=$T815),$U815,IF(C816="x",V815,"")))</f>
        <v/>
      </c>
      <c r="W816" t="str" cm="1">
        <f t="array" ref="W816">IFERROR(_xlfn._xlws.FILTER(game_rosters!AB:AB,(game_rosters!J:J=events!X816)*(K816&lt;&gt;"")),"")</f>
        <v/>
      </c>
      <c r="X816" t="str" cm="1">
        <f t="array" ref="X816">IF(S816="","",IF($I816&lt;&gt;"",$I816,INDEX($I$2:$I815,ROW()-COUNTIFS($T$2:$T815,"="&amp;$T816,$S$2:$S815,"&lt;&gt;"&amp;$S816)-1)))</f>
        <v/>
      </c>
      <c r="Y816" t="b">
        <f>IF(X816&lt;&gt;"",VLOOKUP(X816,game_rosters!$C$43:$E$64,3,FALSE))</f>
        <v>0</v>
      </c>
      <c r="Z816" t="e" cm="1" vm="1">
        <f t="array" aca="1" ref="Z816" ca="1">IFERROR(IF(_xlfn._xlws.FILTER(game_rosters!$J:$J,(game_rosters!$G:$G=events!$AN816)*(game_rosters!$J:$J=events!$X816))&gt;0,1,""),"")</f>
        <v>#VALUE!</v>
      </c>
      <c r="AA816" t="e">
        <f t="shared" si="122"/>
        <v>#VALUE!</v>
      </c>
      <c r="AB816" t="str">
        <f t="shared" si="123"/>
        <v/>
      </c>
      <c r="AC816" t="e">
        <f t="shared" si="121"/>
        <v>#VALUE!</v>
      </c>
      <c r="AD816" s="6"/>
      <c r="BJ816" s="39"/>
      <c r="BM816" s="39"/>
      <c r="BO816" s="19"/>
      <c r="BQ816" s="17"/>
    </row>
    <row r="817" spans="1:69" x14ac:dyDescent="0.2">
      <c r="A817" t="str">
        <f t="shared" si="124"/>
        <v/>
      </c>
      <c r="E817" s="4"/>
      <c r="F817" s="44"/>
      <c r="G817" s="4"/>
      <c r="H817" s="47"/>
      <c r="J817" s="45" t="str">
        <f t="shared" si="125"/>
        <v/>
      </c>
      <c r="N817" t="str">
        <f t="shared" si="127"/>
        <v/>
      </c>
      <c r="Q817" t="str">
        <f t="shared" si="126"/>
        <v/>
      </c>
      <c r="S817" t="str">
        <f>IF(A817=1,MAX(S$2:S816)+1,IF(OR(I817&lt;&gt;"",A817="x"),S816,""))</f>
        <v/>
      </c>
      <c r="T817" t="str">
        <f>IF(D817=1,MAX($T$2:$T816)+1,IF(S817=$S816,$S816,IF($D817="x",T816,IF($D816="x","",""))))</f>
        <v/>
      </c>
      <c r="U817" t="str">
        <f>IF(B817=1,MAX($U$2:$U816)+1,IF(AND($T817&lt;&gt;"",$T817=$T816),$U816,IF(B817="x",U816,"")))</f>
        <v/>
      </c>
      <c r="V817" t="str">
        <f>IF(C817=1,MAX($V$2:$V816)+1,IF(AND($T817&lt;&gt;"",$T817=$T816),$U816,IF(C817="x",V816,"")))</f>
        <v/>
      </c>
      <c r="W817" t="str" cm="1">
        <f t="array" ref="W817">IFERROR(_xlfn._xlws.FILTER(game_rosters!AB:AB,(game_rosters!J:J=events!X817)*(K817&lt;&gt;"")),"")</f>
        <v/>
      </c>
      <c r="X817" t="str" cm="1">
        <f t="array" ref="X817">IF(S817="","",IF($I817&lt;&gt;"",$I817,INDEX($I$2:$I816,ROW()-COUNTIFS($T$2:$T816,"="&amp;$T817,$S$2:$S816,"&lt;&gt;"&amp;$S817)-1)))</f>
        <v/>
      </c>
      <c r="Y817" t="b">
        <f>IF(X817&lt;&gt;"",VLOOKUP(X817,game_rosters!$C$43:$E$64,3,FALSE))</f>
        <v>0</v>
      </c>
      <c r="Z817" t="e" cm="1" vm="1">
        <f t="array" aca="1" ref="Z817" ca="1">IFERROR(IF(_xlfn._xlws.FILTER(game_rosters!$J:$J,(game_rosters!$G:$G=events!$AN817)*(game_rosters!$J:$J=events!$X817))&gt;0,1,""),"")</f>
        <v>#VALUE!</v>
      </c>
      <c r="AA817" t="e">
        <f t="shared" si="122"/>
        <v>#VALUE!</v>
      </c>
      <c r="AB817" t="str">
        <f t="shared" si="123"/>
        <v/>
      </c>
      <c r="AC817" t="e">
        <f t="shared" si="121"/>
        <v>#VALUE!</v>
      </c>
      <c r="AD817" s="6"/>
      <c r="BJ817" s="39"/>
      <c r="BM817" s="39"/>
      <c r="BO817" s="19"/>
      <c r="BQ817" s="17"/>
    </row>
    <row r="818" spans="1:69" x14ac:dyDescent="0.2">
      <c r="A818" t="str">
        <f t="shared" si="124"/>
        <v/>
      </c>
      <c r="E818" s="4"/>
      <c r="F818" s="44"/>
      <c r="G818" s="4"/>
      <c r="H818" s="47"/>
      <c r="J818" s="45" t="str">
        <f t="shared" si="125"/>
        <v/>
      </c>
      <c r="N818" t="str">
        <f t="shared" si="127"/>
        <v/>
      </c>
      <c r="Q818" t="str">
        <f t="shared" si="126"/>
        <v/>
      </c>
      <c r="S818" t="str">
        <f>IF(A818=1,MAX(S$2:S817)+1,IF(OR(I818&lt;&gt;"",A818="x"),S817,""))</f>
        <v/>
      </c>
      <c r="T818" t="str">
        <f>IF(D818=1,MAX($T$2:$T817)+1,IF(S818=$S817,$S817,IF($D818="x",T817,IF($D817="x","",""))))</f>
        <v/>
      </c>
      <c r="U818" t="str">
        <f>IF(B818=1,MAX($U$2:$U817)+1,IF(AND($T818&lt;&gt;"",$T818=$T817),$U817,IF(B818="x",U817,"")))</f>
        <v/>
      </c>
      <c r="V818" t="str">
        <f>IF(C818=1,MAX($V$2:$V817)+1,IF(AND($T818&lt;&gt;"",$T818=$T817),$U817,IF(C818="x",V817,"")))</f>
        <v/>
      </c>
      <c r="W818" t="str" cm="1">
        <f t="array" ref="W818">IFERROR(_xlfn._xlws.FILTER(game_rosters!AB:AB,(game_rosters!J:J=events!X818)*(K818&lt;&gt;"")),"")</f>
        <v/>
      </c>
      <c r="X818" t="str" cm="1">
        <f t="array" ref="X818">IF(S818="","",IF($I818&lt;&gt;"",$I818,INDEX($I$2:$I817,ROW()-COUNTIFS($T$2:$T817,"="&amp;$T818,$S$2:$S817,"&lt;&gt;"&amp;$S818)-1)))</f>
        <v/>
      </c>
      <c r="Y818" t="b">
        <f>IF(X818&lt;&gt;"",VLOOKUP(X818,game_rosters!$C$43:$E$64,3,FALSE))</f>
        <v>0</v>
      </c>
      <c r="Z818" t="e" cm="1" vm="1">
        <f t="array" aca="1" ref="Z818" ca="1">IFERROR(IF(_xlfn._xlws.FILTER(game_rosters!$J:$J,(game_rosters!$G:$G=events!$AN818)*(game_rosters!$J:$J=events!$X818))&gt;0,1,""),"")</f>
        <v>#VALUE!</v>
      </c>
      <c r="AA818" t="e">
        <f t="shared" si="122"/>
        <v>#VALUE!</v>
      </c>
      <c r="AB818" t="str">
        <f t="shared" si="123"/>
        <v/>
      </c>
      <c r="AC818" t="e">
        <f t="shared" si="121"/>
        <v>#VALUE!</v>
      </c>
      <c r="AD818" s="6"/>
      <c r="BJ818" s="39"/>
      <c r="BM818" s="39"/>
      <c r="BO818" s="19"/>
      <c r="BQ818" s="17"/>
    </row>
    <row r="819" spans="1:69" x14ac:dyDescent="0.2">
      <c r="A819" t="str">
        <f t="shared" si="124"/>
        <v/>
      </c>
      <c r="E819" s="4"/>
      <c r="F819" s="44"/>
      <c r="G819" s="4"/>
      <c r="H819" s="47"/>
      <c r="J819" s="45" t="str">
        <f t="shared" si="125"/>
        <v/>
      </c>
      <c r="N819" t="str">
        <f t="shared" si="127"/>
        <v/>
      </c>
      <c r="Q819" t="str">
        <f t="shared" si="126"/>
        <v/>
      </c>
      <c r="S819" t="str">
        <f>IF(A819=1,MAX(S$2:S818)+1,IF(OR(I819&lt;&gt;"",A819="x"),S818,""))</f>
        <v/>
      </c>
      <c r="T819" t="str">
        <f>IF(D819=1,MAX($T$2:$T818)+1,IF(S819=$S818,$S818,IF($D819="x",T818,IF($D818="x","",""))))</f>
        <v/>
      </c>
      <c r="U819" t="str">
        <f>IF(B819=1,MAX($U$2:$U818)+1,IF(AND($T819&lt;&gt;"",$T819=$T818),$U818,IF(B819="x",U818,"")))</f>
        <v/>
      </c>
      <c r="V819" t="str">
        <f>IF(C819=1,MAX($V$2:$V818)+1,IF(AND($T819&lt;&gt;"",$T819=$T818),$U818,IF(C819="x",V818,"")))</f>
        <v/>
      </c>
      <c r="W819" t="str" cm="1">
        <f t="array" ref="W819">IFERROR(_xlfn._xlws.FILTER(game_rosters!AB:AB,(game_rosters!J:J=events!X819)*(K819&lt;&gt;"")),"")</f>
        <v/>
      </c>
      <c r="X819" t="str" cm="1">
        <f t="array" ref="X819">IF(S819="","",IF($I819&lt;&gt;"",$I819,INDEX($I$2:$I818,ROW()-COUNTIFS($T$2:$T818,"="&amp;$T819,$S$2:$S818,"&lt;&gt;"&amp;$S819)-1)))</f>
        <v/>
      </c>
      <c r="Y819" t="b">
        <f>IF(X819&lt;&gt;"",VLOOKUP(X819,game_rosters!$C$43:$E$64,3,FALSE))</f>
        <v>0</v>
      </c>
      <c r="Z819" t="e" cm="1" vm="1">
        <f t="array" aca="1" ref="Z819" ca="1">IFERROR(IF(_xlfn._xlws.FILTER(game_rosters!$J:$J,(game_rosters!$G:$G=events!$AN819)*(game_rosters!$J:$J=events!$X819))&gt;0,1,""),"")</f>
        <v>#VALUE!</v>
      </c>
      <c r="AA819" t="e">
        <f t="shared" si="122"/>
        <v>#VALUE!</v>
      </c>
      <c r="AB819" t="str">
        <f t="shared" si="123"/>
        <v/>
      </c>
      <c r="AC819" t="e">
        <f t="shared" si="121"/>
        <v>#VALUE!</v>
      </c>
      <c r="AD819" s="6"/>
      <c r="BJ819" s="39"/>
      <c r="BM819" s="39"/>
      <c r="BO819" s="19"/>
      <c r="BQ819" s="17"/>
    </row>
    <row r="820" spans="1:69" x14ac:dyDescent="0.2">
      <c r="A820" t="str">
        <f t="shared" si="124"/>
        <v/>
      </c>
      <c r="E820" s="4"/>
      <c r="F820" s="44"/>
      <c r="G820" s="4"/>
      <c r="H820" s="47"/>
      <c r="J820" s="45" t="str">
        <f t="shared" si="125"/>
        <v/>
      </c>
      <c r="N820" t="str">
        <f t="shared" si="127"/>
        <v/>
      </c>
      <c r="Q820" t="str">
        <f t="shared" si="126"/>
        <v/>
      </c>
      <c r="S820" t="str">
        <f>IF(A820=1,MAX(S$2:S819)+1,IF(OR(I820&lt;&gt;"",A820="x"),S819,""))</f>
        <v/>
      </c>
      <c r="T820" t="str">
        <f>IF(D820=1,MAX($T$2:$T819)+1,IF(S820=$S819,$S819,IF($D820="x",T819,IF($D819="x","",""))))</f>
        <v/>
      </c>
      <c r="U820" t="str">
        <f>IF(B820=1,MAX($U$2:$U819)+1,IF(AND($T820&lt;&gt;"",$T820=$T819),$U819,IF(B820="x",U819,"")))</f>
        <v/>
      </c>
      <c r="V820" t="str">
        <f>IF(C820=1,MAX($V$2:$V819)+1,IF(AND($T820&lt;&gt;"",$T820=$T819),$U819,IF(C820="x",V819,"")))</f>
        <v/>
      </c>
      <c r="W820" t="str" cm="1">
        <f t="array" ref="W820">IFERROR(_xlfn._xlws.FILTER(game_rosters!AB:AB,(game_rosters!J:J=events!X820)*(K820&lt;&gt;"")),"")</f>
        <v/>
      </c>
      <c r="X820" t="str" cm="1">
        <f t="array" ref="X820">IF(S820="","",IF($I820&lt;&gt;"",$I820,INDEX($I$2:$I819,ROW()-COUNTIFS($T$2:$T819,"="&amp;$T820,$S$2:$S819,"&lt;&gt;"&amp;$S820)-1)))</f>
        <v/>
      </c>
      <c r="Y820" t="b">
        <f>IF(X820&lt;&gt;"",VLOOKUP(X820,game_rosters!$C$43:$E$64,3,FALSE))</f>
        <v>0</v>
      </c>
      <c r="Z820" t="e" cm="1" vm="1">
        <f t="array" aca="1" ref="Z820" ca="1">IFERROR(IF(_xlfn._xlws.FILTER(game_rosters!$J:$J,(game_rosters!$G:$G=events!$AN820)*(game_rosters!$J:$J=events!$X820))&gt;0,1,""),"")</f>
        <v>#VALUE!</v>
      </c>
      <c r="AA820" t="e">
        <f t="shared" si="122"/>
        <v>#VALUE!</v>
      </c>
      <c r="AB820" t="str">
        <f t="shared" si="123"/>
        <v/>
      </c>
      <c r="AC820" t="e">
        <f t="shared" si="121"/>
        <v>#VALUE!</v>
      </c>
      <c r="AD820" s="6"/>
      <c r="BJ820" s="39"/>
      <c r="BM820" s="39"/>
      <c r="BO820" s="19"/>
      <c r="BQ820" s="17"/>
    </row>
    <row r="821" spans="1:69" x14ac:dyDescent="0.2">
      <c r="A821" t="str">
        <f t="shared" si="124"/>
        <v/>
      </c>
      <c r="E821" s="4"/>
      <c r="F821" s="44"/>
      <c r="G821" s="4"/>
      <c r="H821" s="47"/>
      <c r="J821" s="45" t="str">
        <f t="shared" si="125"/>
        <v/>
      </c>
      <c r="N821" t="str">
        <f t="shared" si="127"/>
        <v/>
      </c>
      <c r="Q821" t="str">
        <f t="shared" si="126"/>
        <v/>
      </c>
      <c r="S821" t="str">
        <f>IF(A821=1,MAX(S$2:S820)+1,IF(OR(I821&lt;&gt;"",A821="x"),S820,""))</f>
        <v/>
      </c>
      <c r="T821" t="str">
        <f>IF(D821=1,MAX($T$2:$T820)+1,IF(S821=$S820,$S820,IF($D821="x",T820,IF($D820="x","",""))))</f>
        <v/>
      </c>
      <c r="U821" t="str">
        <f>IF(B821=1,MAX($U$2:$U820)+1,IF(AND($T821&lt;&gt;"",$T821=$T820),$U820,IF(B821="x",U820,"")))</f>
        <v/>
      </c>
      <c r="V821" t="str">
        <f>IF(C821=1,MAX($V$2:$V820)+1,IF(AND($T821&lt;&gt;"",$T821=$T820),$U820,IF(C821="x",V820,"")))</f>
        <v/>
      </c>
      <c r="W821" t="str" cm="1">
        <f t="array" ref="W821">IFERROR(_xlfn._xlws.FILTER(game_rosters!AB:AB,(game_rosters!J:J=events!X821)*(K821&lt;&gt;"")),"")</f>
        <v/>
      </c>
      <c r="X821" t="str" cm="1">
        <f t="array" ref="X821">IF(S821="","",IF($I821&lt;&gt;"",$I821,INDEX($I$2:$I820,ROW()-COUNTIFS($T$2:$T820,"="&amp;$T821,$S$2:$S820,"&lt;&gt;"&amp;$S821)-1)))</f>
        <v/>
      </c>
      <c r="Y821" t="b">
        <f>IF(X821&lt;&gt;"",VLOOKUP(X821,game_rosters!$C$43:$E$64,3,FALSE))</f>
        <v>0</v>
      </c>
      <c r="Z821" t="e" cm="1" vm="1">
        <f t="array" aca="1" ref="Z821" ca="1">IFERROR(IF(_xlfn._xlws.FILTER(game_rosters!$J:$J,(game_rosters!$G:$G=events!$AN821)*(game_rosters!$J:$J=events!$X821))&gt;0,1,""),"")</f>
        <v>#VALUE!</v>
      </c>
      <c r="AA821" t="e">
        <f t="shared" si="122"/>
        <v>#VALUE!</v>
      </c>
      <c r="AB821" t="str">
        <f t="shared" si="123"/>
        <v/>
      </c>
      <c r="AC821" t="e">
        <f t="shared" si="121"/>
        <v>#VALUE!</v>
      </c>
      <c r="AD821" s="6"/>
      <c r="BJ821" s="39"/>
      <c r="BM821" s="39"/>
      <c r="BO821" s="19"/>
      <c r="BQ821" s="17"/>
    </row>
    <row r="822" spans="1:69" x14ac:dyDescent="0.2">
      <c r="A822" t="str">
        <f t="shared" si="124"/>
        <v/>
      </c>
      <c r="E822" s="4"/>
      <c r="F822" s="44"/>
      <c r="G822" s="4"/>
      <c r="H822" s="47"/>
      <c r="J822" s="45" t="str">
        <f t="shared" si="125"/>
        <v/>
      </c>
      <c r="N822" t="str">
        <f t="shared" si="127"/>
        <v/>
      </c>
      <c r="Q822" t="str">
        <f t="shared" si="126"/>
        <v/>
      </c>
      <c r="S822" t="str">
        <f>IF(A822=1,MAX(S$2:S821)+1,IF(OR(I822&lt;&gt;"",A822="x"),S821,""))</f>
        <v/>
      </c>
      <c r="T822" t="str">
        <f>IF(D822=1,MAX($T$2:$T821)+1,IF(S822=$S821,$S821,IF($D822="x",T821,IF($D821="x","",""))))</f>
        <v/>
      </c>
      <c r="U822" t="str">
        <f>IF(B822=1,MAX($U$2:$U821)+1,IF(AND($T822&lt;&gt;"",$T822=$T821),$U821,IF(B822="x",U821,"")))</f>
        <v/>
      </c>
      <c r="V822" t="str">
        <f>IF(C822=1,MAX($V$2:$V821)+1,IF(AND($T822&lt;&gt;"",$T822=$T821),$U821,IF(C822="x",V821,"")))</f>
        <v/>
      </c>
      <c r="W822" t="str" cm="1">
        <f t="array" ref="W822">IFERROR(_xlfn._xlws.FILTER(game_rosters!AB:AB,(game_rosters!J:J=events!X822)*(K822&lt;&gt;"")),"")</f>
        <v/>
      </c>
      <c r="X822" t="str" cm="1">
        <f t="array" ref="X822">IF(S822="","",IF($I822&lt;&gt;"",$I822,INDEX($I$2:$I821,ROW()-COUNTIFS($T$2:$T821,"="&amp;$T822,$S$2:$S821,"&lt;&gt;"&amp;$S822)-1)))</f>
        <v/>
      </c>
      <c r="Y822" t="b">
        <f>IF(X822&lt;&gt;"",VLOOKUP(X822,game_rosters!$C$43:$E$64,3,FALSE))</f>
        <v>0</v>
      </c>
      <c r="Z822" t="e" cm="1" vm="1">
        <f t="array" aca="1" ref="Z822" ca="1">IFERROR(IF(_xlfn._xlws.FILTER(game_rosters!$J:$J,(game_rosters!$G:$G=events!$AN822)*(game_rosters!$J:$J=events!$X822))&gt;0,1,""),"")</f>
        <v>#VALUE!</v>
      </c>
      <c r="AA822" t="e">
        <f t="shared" si="122"/>
        <v>#VALUE!</v>
      </c>
      <c r="AB822" t="str">
        <f t="shared" si="123"/>
        <v/>
      </c>
      <c r="AC822" t="e">
        <f t="shared" si="121"/>
        <v>#VALUE!</v>
      </c>
      <c r="AD822" s="6"/>
      <c r="BJ822" s="39"/>
      <c r="BM822" s="39"/>
      <c r="BO822" s="19"/>
      <c r="BQ822" s="17"/>
    </row>
    <row r="823" spans="1:69" x14ac:dyDescent="0.2">
      <c r="A823" t="str">
        <f t="shared" si="124"/>
        <v/>
      </c>
      <c r="E823" s="4"/>
      <c r="F823" s="44"/>
      <c r="G823" s="4"/>
      <c r="H823" s="47"/>
      <c r="J823" s="45" t="str">
        <f t="shared" si="125"/>
        <v/>
      </c>
      <c r="N823" t="str">
        <f t="shared" si="127"/>
        <v/>
      </c>
      <c r="Q823" t="str">
        <f t="shared" si="126"/>
        <v/>
      </c>
      <c r="S823" t="str">
        <f>IF(A823=1,MAX(S$2:S822)+1,IF(OR(I823&lt;&gt;"",A823="x"),S822,""))</f>
        <v/>
      </c>
      <c r="T823" t="str">
        <f>IF(D823=1,MAX($T$2:$T822)+1,IF(S823=$S822,$S822,IF($D823="x",T822,IF($D822="x","",""))))</f>
        <v/>
      </c>
      <c r="U823" t="str">
        <f>IF(B823=1,MAX($U$2:$U822)+1,IF(AND($T823&lt;&gt;"",$T823=$T822),$U822,IF(B823="x",U822,"")))</f>
        <v/>
      </c>
      <c r="V823" t="str">
        <f>IF(C823=1,MAX($V$2:$V822)+1,IF(AND($T823&lt;&gt;"",$T823=$T822),$U822,IF(C823="x",V822,"")))</f>
        <v/>
      </c>
      <c r="W823" t="str" cm="1">
        <f t="array" ref="W823">IFERROR(_xlfn._xlws.FILTER(game_rosters!AB:AB,(game_rosters!J:J=events!X823)*(K823&lt;&gt;"")),"")</f>
        <v/>
      </c>
      <c r="X823" t="str" cm="1">
        <f t="array" ref="X823">IF(S823="","",IF($I823&lt;&gt;"",$I823,INDEX($I$2:$I822,ROW()-COUNTIFS($T$2:$T822,"="&amp;$T823,$S$2:$S822,"&lt;&gt;"&amp;$S823)-1)))</f>
        <v/>
      </c>
      <c r="Y823" t="b">
        <f>IF(X823&lt;&gt;"",VLOOKUP(X823,game_rosters!$C$43:$E$64,3,FALSE))</f>
        <v>0</v>
      </c>
      <c r="Z823" t="e" cm="1" vm="1">
        <f t="array" aca="1" ref="Z823" ca="1">IFERROR(IF(_xlfn._xlws.FILTER(game_rosters!$J:$J,(game_rosters!$G:$G=events!$AN823)*(game_rosters!$J:$J=events!$X823))&gt;0,1,""),"")</f>
        <v>#VALUE!</v>
      </c>
      <c r="AA823" t="e">
        <f t="shared" si="122"/>
        <v>#VALUE!</v>
      </c>
      <c r="AB823" t="str">
        <f t="shared" si="123"/>
        <v/>
      </c>
      <c r="AC823" t="e">
        <f t="shared" si="121"/>
        <v>#VALUE!</v>
      </c>
      <c r="AD823" s="6"/>
      <c r="BJ823" s="39"/>
      <c r="BM823" s="39"/>
      <c r="BO823" s="19"/>
      <c r="BQ823" s="17"/>
    </row>
    <row r="824" spans="1:69" x14ac:dyDescent="0.2">
      <c r="A824" t="str">
        <f t="shared" si="124"/>
        <v/>
      </c>
      <c r="E824" s="4"/>
      <c r="F824" s="44"/>
      <c r="G824" s="4"/>
      <c r="H824" s="47"/>
      <c r="J824" s="45" t="str">
        <f t="shared" si="125"/>
        <v/>
      </c>
      <c r="N824" t="str">
        <f t="shared" si="127"/>
        <v/>
      </c>
      <c r="Q824" t="str">
        <f t="shared" si="126"/>
        <v/>
      </c>
      <c r="S824" t="str">
        <f>IF(A824=1,MAX(S$2:S823)+1,IF(OR(I824&lt;&gt;"",A824="x"),S823,""))</f>
        <v/>
      </c>
      <c r="T824" t="str">
        <f>IF(D824=1,MAX($T$2:$T823)+1,IF(S824=$S823,$S823,IF($D824="x",T823,IF($D823="x","",""))))</f>
        <v/>
      </c>
      <c r="U824" t="str">
        <f>IF(B824=1,MAX($U$2:$U823)+1,IF(AND($T824&lt;&gt;"",$T824=$T823),$U823,IF(B824="x",U823,"")))</f>
        <v/>
      </c>
      <c r="V824" t="str">
        <f>IF(C824=1,MAX($V$2:$V823)+1,IF(AND($T824&lt;&gt;"",$T824=$T823),$U823,IF(C824="x",V823,"")))</f>
        <v/>
      </c>
      <c r="W824" t="str" cm="1">
        <f t="array" ref="W824">IFERROR(_xlfn._xlws.FILTER(game_rosters!AB:AB,(game_rosters!J:J=events!X824)*(K824&lt;&gt;"")),"")</f>
        <v/>
      </c>
      <c r="X824" t="str" cm="1">
        <f t="array" ref="X824">IF(S824="","",IF($I824&lt;&gt;"",$I824,INDEX($I$2:$I823,ROW()-COUNTIFS($T$2:$T823,"="&amp;$T824,$S$2:$S823,"&lt;&gt;"&amp;$S824)-1)))</f>
        <v/>
      </c>
      <c r="Y824" t="b">
        <f>IF(X824&lt;&gt;"",VLOOKUP(X824,game_rosters!$C$43:$E$64,3,FALSE))</f>
        <v>0</v>
      </c>
      <c r="Z824" t="e" cm="1" vm="1">
        <f t="array" aca="1" ref="Z824" ca="1">IFERROR(IF(_xlfn._xlws.FILTER(game_rosters!$J:$J,(game_rosters!$G:$G=events!$AN824)*(game_rosters!$J:$J=events!$X824))&gt;0,1,""),"")</f>
        <v>#VALUE!</v>
      </c>
      <c r="AA824" t="e">
        <f t="shared" si="122"/>
        <v>#VALUE!</v>
      </c>
      <c r="AB824" t="str">
        <f t="shared" si="123"/>
        <v/>
      </c>
      <c r="AC824" t="e">
        <f t="shared" si="121"/>
        <v>#VALUE!</v>
      </c>
      <c r="AD824" s="6"/>
      <c r="BJ824" s="39"/>
      <c r="BM824" s="39"/>
      <c r="BO824" s="19"/>
      <c r="BQ824" s="17"/>
    </row>
    <row r="825" spans="1:69" x14ac:dyDescent="0.2">
      <c r="A825" t="str">
        <f t="shared" si="124"/>
        <v/>
      </c>
      <c r="E825" s="4"/>
      <c r="F825" s="44"/>
      <c r="G825" s="4"/>
      <c r="H825" s="47"/>
      <c r="J825" s="45" t="str">
        <f t="shared" si="125"/>
        <v/>
      </c>
      <c r="N825" t="str">
        <f t="shared" si="127"/>
        <v/>
      </c>
      <c r="Q825" t="str">
        <f t="shared" si="126"/>
        <v/>
      </c>
      <c r="S825" t="str">
        <f>IF(A825=1,MAX(S$2:S824)+1,IF(OR(I825&lt;&gt;"",A825="x"),S824,""))</f>
        <v/>
      </c>
      <c r="T825" t="str">
        <f>IF(D825=1,MAX($T$2:$T824)+1,IF(S825=$S824,$S824,IF($D825="x",T824,IF($D824="x","",""))))</f>
        <v/>
      </c>
      <c r="U825" t="str">
        <f>IF(B825=1,MAX($U$2:$U824)+1,IF(AND($T825&lt;&gt;"",$T825=$T824),$U824,IF(B825="x",U824,"")))</f>
        <v/>
      </c>
      <c r="V825" t="str">
        <f>IF(C825=1,MAX($V$2:$V824)+1,IF(AND($T825&lt;&gt;"",$T825=$T824),$U824,IF(C825="x",V824,"")))</f>
        <v/>
      </c>
      <c r="W825" t="str" cm="1">
        <f t="array" ref="W825">IFERROR(_xlfn._xlws.FILTER(game_rosters!AB:AB,(game_rosters!J:J=events!X825)*(K825&lt;&gt;"")),"")</f>
        <v/>
      </c>
      <c r="X825" t="str" cm="1">
        <f t="array" ref="X825">IF(S825="","",IF($I825&lt;&gt;"",$I825,INDEX($I$2:$I824,ROW()-COUNTIFS($T$2:$T824,"="&amp;$T825,$S$2:$S824,"&lt;&gt;"&amp;$S825)-1)))</f>
        <v/>
      </c>
      <c r="Y825" t="b">
        <f>IF(X825&lt;&gt;"",VLOOKUP(X825,game_rosters!$C$43:$E$64,3,FALSE))</f>
        <v>0</v>
      </c>
      <c r="Z825" t="e" cm="1" vm="1">
        <f t="array" aca="1" ref="Z825" ca="1">IFERROR(IF(_xlfn._xlws.FILTER(game_rosters!$J:$J,(game_rosters!$G:$G=events!$AN825)*(game_rosters!$J:$J=events!$X825))&gt;0,1,""),"")</f>
        <v>#VALUE!</v>
      </c>
      <c r="AA825" t="e">
        <f t="shared" si="122"/>
        <v>#VALUE!</v>
      </c>
      <c r="AB825" t="str">
        <f t="shared" si="123"/>
        <v/>
      </c>
      <c r="AC825" t="e">
        <f t="shared" si="121"/>
        <v>#VALUE!</v>
      </c>
      <c r="AD825" s="6"/>
      <c r="BJ825" s="39"/>
      <c r="BM825" s="39"/>
      <c r="BO825" s="19"/>
      <c r="BQ825" s="17"/>
    </row>
    <row r="826" spans="1:69" x14ac:dyDescent="0.2">
      <c r="A826" t="str">
        <f t="shared" si="124"/>
        <v/>
      </c>
      <c r="E826" s="4"/>
      <c r="F826" s="44"/>
      <c r="G826" s="4"/>
      <c r="H826" s="47"/>
      <c r="J826" s="45" t="str">
        <f t="shared" si="125"/>
        <v/>
      </c>
      <c r="N826" t="str">
        <f t="shared" si="127"/>
        <v/>
      </c>
      <c r="Q826" t="str">
        <f t="shared" si="126"/>
        <v/>
      </c>
      <c r="S826" t="str">
        <f>IF(A826=1,MAX(S$2:S825)+1,IF(OR(I826&lt;&gt;"",A826="x"),S825,""))</f>
        <v/>
      </c>
      <c r="T826" t="str">
        <f>IF(D826=1,MAX($T$2:$T825)+1,IF(S826=$S825,$S825,IF($D826="x",T825,IF($D825="x","",""))))</f>
        <v/>
      </c>
      <c r="U826" t="str">
        <f>IF(B826=1,MAX($U$2:$U825)+1,IF(AND($T826&lt;&gt;"",$T826=$T825),$U825,IF(B826="x",U825,"")))</f>
        <v/>
      </c>
      <c r="V826" t="str">
        <f>IF(C826=1,MAX($V$2:$V825)+1,IF(AND($T826&lt;&gt;"",$T826=$T825),$U825,IF(C826="x",V825,"")))</f>
        <v/>
      </c>
      <c r="W826" t="str" cm="1">
        <f t="array" ref="W826">IFERROR(_xlfn._xlws.FILTER(game_rosters!AB:AB,(game_rosters!J:J=events!X826)*(K826&lt;&gt;"")),"")</f>
        <v/>
      </c>
      <c r="X826" t="str" cm="1">
        <f t="array" ref="X826">IF(S826="","",IF($I826&lt;&gt;"",$I826,INDEX($I$2:$I825,ROW()-COUNTIFS($T$2:$T825,"="&amp;$T826,$S$2:$S825,"&lt;&gt;"&amp;$S826)-1)))</f>
        <v/>
      </c>
      <c r="Y826" t="b">
        <f>IF(X826&lt;&gt;"",VLOOKUP(X826,game_rosters!$C$43:$E$64,3,FALSE))</f>
        <v>0</v>
      </c>
      <c r="Z826" t="e" cm="1" vm="1">
        <f t="array" aca="1" ref="Z826" ca="1">IFERROR(IF(_xlfn._xlws.FILTER(game_rosters!$J:$J,(game_rosters!$G:$G=events!$AN826)*(game_rosters!$J:$J=events!$X826))&gt;0,1,""),"")</f>
        <v>#VALUE!</v>
      </c>
      <c r="AA826" t="e">
        <f t="shared" si="122"/>
        <v>#VALUE!</v>
      </c>
      <c r="AB826" t="str">
        <f t="shared" si="123"/>
        <v/>
      </c>
      <c r="AC826" t="e">
        <f t="shared" si="121"/>
        <v>#VALUE!</v>
      </c>
      <c r="AD826" s="6"/>
      <c r="BJ826" s="39"/>
      <c r="BM826" s="39"/>
      <c r="BO826" s="19"/>
      <c r="BQ826" s="17"/>
    </row>
    <row r="827" spans="1:69" x14ac:dyDescent="0.2">
      <c r="A827" t="str">
        <f t="shared" si="124"/>
        <v/>
      </c>
      <c r="E827" s="4"/>
      <c r="F827" s="44"/>
      <c r="G827" s="4"/>
      <c r="H827" s="47"/>
      <c r="J827" s="45" t="str">
        <f t="shared" si="125"/>
        <v/>
      </c>
      <c r="N827" t="str">
        <f t="shared" si="127"/>
        <v/>
      </c>
      <c r="Q827" t="str">
        <f t="shared" si="126"/>
        <v/>
      </c>
      <c r="S827" t="str">
        <f>IF(A827=1,MAX(S$2:S826)+1,IF(OR(I827&lt;&gt;"",A827="x"),S826,""))</f>
        <v/>
      </c>
      <c r="T827" t="str">
        <f>IF(D827=1,MAX($T$2:$T826)+1,IF(S827=$S826,$S826,IF($D827="x",T826,IF($D826="x","",""))))</f>
        <v/>
      </c>
      <c r="U827" t="str">
        <f>IF(B827=1,MAX($U$2:$U826)+1,IF(AND($T827&lt;&gt;"",$T827=$T826),$U826,IF(B827="x",U826,"")))</f>
        <v/>
      </c>
      <c r="V827" t="str">
        <f>IF(C827=1,MAX($V$2:$V826)+1,IF(AND($T827&lt;&gt;"",$T827=$T826),$U826,IF(C827="x",V826,"")))</f>
        <v/>
      </c>
      <c r="W827" t="str" cm="1">
        <f t="array" ref="W827">IFERROR(_xlfn._xlws.FILTER(game_rosters!AB:AB,(game_rosters!J:J=events!X827)*(K827&lt;&gt;"")),"")</f>
        <v/>
      </c>
      <c r="X827" t="str" cm="1">
        <f t="array" ref="X827">IF(S827="","",IF($I827&lt;&gt;"",$I827,INDEX($I$2:$I826,ROW()-COUNTIFS($T$2:$T826,"="&amp;$T827,$S$2:$S826,"&lt;&gt;"&amp;$S827)-1)))</f>
        <v/>
      </c>
      <c r="Y827" t="b">
        <f>IF(X827&lt;&gt;"",VLOOKUP(X827,game_rosters!$C$43:$E$64,3,FALSE))</f>
        <v>0</v>
      </c>
      <c r="Z827" t="e" cm="1" vm="1">
        <f t="array" aca="1" ref="Z827" ca="1">IFERROR(IF(_xlfn._xlws.FILTER(game_rosters!$J:$J,(game_rosters!$G:$G=events!$AN827)*(game_rosters!$J:$J=events!$X827))&gt;0,1,""),"")</f>
        <v>#VALUE!</v>
      </c>
      <c r="AA827" t="e">
        <f t="shared" si="122"/>
        <v>#VALUE!</v>
      </c>
      <c r="AB827" t="str">
        <f t="shared" si="123"/>
        <v/>
      </c>
      <c r="AC827" t="e">
        <f t="shared" si="121"/>
        <v>#VALUE!</v>
      </c>
      <c r="AD827" s="6"/>
      <c r="BJ827" s="39"/>
      <c r="BM827" s="39"/>
      <c r="BO827" s="19"/>
      <c r="BQ827" s="17"/>
    </row>
    <row r="828" spans="1:69" x14ac:dyDescent="0.2">
      <c r="A828" t="str">
        <f t="shared" si="124"/>
        <v/>
      </c>
      <c r="E828" s="4"/>
      <c r="F828" s="44"/>
      <c r="G828" s="4"/>
      <c r="H828" s="47"/>
      <c r="J828" s="45" t="str">
        <f t="shared" si="125"/>
        <v/>
      </c>
      <c r="N828" t="str">
        <f t="shared" si="127"/>
        <v/>
      </c>
      <c r="Q828" t="str">
        <f t="shared" si="126"/>
        <v/>
      </c>
      <c r="S828" t="str">
        <f>IF(A828=1,MAX(S$2:S827)+1,IF(OR(I828&lt;&gt;"",A828="x"),S827,""))</f>
        <v/>
      </c>
      <c r="T828" t="str">
        <f>IF(D828=1,MAX($T$2:$T827)+1,IF(S828=$S827,$S827,IF($D828="x",T827,IF($D827="x","",""))))</f>
        <v/>
      </c>
      <c r="U828" t="str">
        <f>IF(B828=1,MAX($U$2:$U827)+1,IF(AND($T828&lt;&gt;"",$T828=$T827),$U827,IF(B828="x",U827,"")))</f>
        <v/>
      </c>
      <c r="V828" t="str">
        <f>IF(C828=1,MAX($V$2:$V827)+1,IF(AND($T828&lt;&gt;"",$T828=$T827),$U827,IF(C828="x",V827,"")))</f>
        <v/>
      </c>
      <c r="W828" t="str" cm="1">
        <f t="array" ref="W828">IFERROR(_xlfn._xlws.FILTER(game_rosters!AB:AB,(game_rosters!J:J=events!X828)*(K828&lt;&gt;"")),"")</f>
        <v/>
      </c>
      <c r="X828" t="str" cm="1">
        <f t="array" ref="X828">IF(S828="","",IF($I828&lt;&gt;"",$I828,INDEX($I$2:$I827,ROW()-COUNTIFS($T$2:$T827,"="&amp;$T828,$S$2:$S827,"&lt;&gt;"&amp;$S828)-1)))</f>
        <v/>
      </c>
      <c r="Y828" t="b">
        <f>IF(X828&lt;&gt;"",VLOOKUP(X828,game_rosters!$C$43:$E$64,3,FALSE))</f>
        <v>0</v>
      </c>
      <c r="Z828" t="e" cm="1" vm="1">
        <f t="array" aca="1" ref="Z828" ca="1">IFERROR(IF(_xlfn._xlws.FILTER(game_rosters!$J:$J,(game_rosters!$G:$G=events!$AN828)*(game_rosters!$J:$J=events!$X828))&gt;0,1,""),"")</f>
        <v>#VALUE!</v>
      </c>
      <c r="AA828" t="e">
        <f t="shared" si="122"/>
        <v>#VALUE!</v>
      </c>
      <c r="AB828" t="str">
        <f t="shared" si="123"/>
        <v/>
      </c>
      <c r="AC828" t="e">
        <f t="shared" si="121"/>
        <v>#VALUE!</v>
      </c>
      <c r="AD828" s="6"/>
      <c r="BJ828" s="39"/>
      <c r="BM828" s="39"/>
      <c r="BO828" s="19"/>
      <c r="BQ828" s="17"/>
    </row>
    <row r="829" spans="1:69" x14ac:dyDescent="0.2">
      <c r="A829" t="str">
        <f t="shared" si="124"/>
        <v/>
      </c>
      <c r="E829" s="4"/>
      <c r="F829" s="44"/>
      <c r="G829" s="4"/>
      <c r="H829" s="47"/>
      <c r="J829" s="45" t="str">
        <f t="shared" si="125"/>
        <v/>
      </c>
      <c r="N829" t="str">
        <f t="shared" si="127"/>
        <v/>
      </c>
      <c r="Q829" t="str">
        <f t="shared" si="126"/>
        <v/>
      </c>
      <c r="S829" t="str">
        <f>IF(A829=1,MAX(S$2:S828)+1,IF(OR(I829&lt;&gt;"",A829="x"),S828,""))</f>
        <v/>
      </c>
      <c r="T829" t="str">
        <f>IF(D829=1,MAX($T$2:$T828)+1,IF(S829=$S828,$S828,IF($D829="x",T828,IF($D828="x","",""))))</f>
        <v/>
      </c>
      <c r="U829" t="str">
        <f>IF(B829=1,MAX($U$2:$U828)+1,IF(AND($T829&lt;&gt;"",$T829=$T828),$U828,IF(B829="x",U828,"")))</f>
        <v/>
      </c>
      <c r="V829" t="str">
        <f>IF(C829=1,MAX($V$2:$V828)+1,IF(AND($T829&lt;&gt;"",$T829=$T828),$U828,IF(C829="x",V828,"")))</f>
        <v/>
      </c>
      <c r="W829" t="str" cm="1">
        <f t="array" ref="W829">IFERROR(_xlfn._xlws.FILTER(game_rosters!AB:AB,(game_rosters!J:J=events!X829)*(K829&lt;&gt;"")),"")</f>
        <v/>
      </c>
      <c r="X829" t="str" cm="1">
        <f t="array" ref="X829">IF(S829="","",IF($I829&lt;&gt;"",$I829,INDEX($I$2:$I828,ROW()-COUNTIFS($T$2:$T828,"="&amp;$T829,$S$2:$S828,"&lt;&gt;"&amp;$S829)-1)))</f>
        <v/>
      </c>
      <c r="Y829" t="b">
        <f>IF(X829&lt;&gt;"",VLOOKUP(X829,game_rosters!$C$43:$E$64,3,FALSE))</f>
        <v>0</v>
      </c>
      <c r="Z829" t="e" cm="1" vm="1">
        <f t="array" aca="1" ref="Z829" ca="1">IFERROR(IF(_xlfn._xlws.FILTER(game_rosters!$J:$J,(game_rosters!$G:$G=events!$AN829)*(game_rosters!$J:$J=events!$X829))&gt;0,1,""),"")</f>
        <v>#VALUE!</v>
      </c>
      <c r="AA829" t="e">
        <f t="shared" si="122"/>
        <v>#VALUE!</v>
      </c>
      <c r="AB829" t="str">
        <f t="shared" si="123"/>
        <v/>
      </c>
      <c r="AC829" t="e">
        <f t="shared" si="121"/>
        <v>#VALUE!</v>
      </c>
      <c r="AD829" s="6"/>
      <c r="BJ829" s="39"/>
      <c r="BM829" s="39"/>
      <c r="BO829" s="19"/>
      <c r="BQ829" s="17"/>
    </row>
    <row r="830" spans="1:69" x14ac:dyDescent="0.2">
      <c r="A830" t="str">
        <f t="shared" si="124"/>
        <v/>
      </c>
      <c r="E830" s="4"/>
      <c r="F830" s="44"/>
      <c r="G830" s="4"/>
      <c r="H830" s="47"/>
      <c r="J830" s="45" t="str">
        <f t="shared" si="125"/>
        <v/>
      </c>
      <c r="N830" t="str">
        <f t="shared" si="127"/>
        <v/>
      </c>
      <c r="Q830" t="str">
        <f t="shared" si="126"/>
        <v/>
      </c>
      <c r="S830" t="str">
        <f>IF(A830=1,MAX(S$2:S829)+1,IF(OR(I830&lt;&gt;"",A830="x"),S829,""))</f>
        <v/>
      </c>
      <c r="T830" t="str">
        <f>IF(D830=1,MAX($T$2:$T829)+1,IF(S830=$S829,$S829,IF($D830="x",T829,IF($D829="x","",""))))</f>
        <v/>
      </c>
      <c r="U830" t="str">
        <f>IF(B830=1,MAX($U$2:$U829)+1,IF(AND($T830&lt;&gt;"",$T830=$T829),$U829,IF(B830="x",U829,"")))</f>
        <v/>
      </c>
      <c r="V830" t="str">
        <f>IF(C830=1,MAX($V$2:$V829)+1,IF(AND($T830&lt;&gt;"",$T830=$T829),$U829,IF(C830="x",V829,"")))</f>
        <v/>
      </c>
      <c r="W830" t="str" cm="1">
        <f t="array" ref="W830">IFERROR(_xlfn._xlws.FILTER(game_rosters!AB:AB,(game_rosters!J:J=events!X830)*(K830&lt;&gt;"")),"")</f>
        <v/>
      </c>
      <c r="X830" t="str" cm="1">
        <f t="array" ref="X830">IF(S830="","",IF($I830&lt;&gt;"",$I830,INDEX($I$2:$I829,ROW()-COUNTIFS($T$2:$T829,"="&amp;$T830,$S$2:$S829,"&lt;&gt;"&amp;$S830)-1)))</f>
        <v/>
      </c>
      <c r="Y830" t="b">
        <f>IF(X830&lt;&gt;"",VLOOKUP(X830,game_rosters!$C$43:$E$64,3,FALSE))</f>
        <v>0</v>
      </c>
      <c r="Z830" t="e" cm="1" vm="1">
        <f t="array" aca="1" ref="Z830" ca="1">IFERROR(IF(_xlfn._xlws.FILTER(game_rosters!$J:$J,(game_rosters!$G:$G=events!$AN830)*(game_rosters!$J:$J=events!$X830))&gt;0,1,""),"")</f>
        <v>#VALUE!</v>
      </c>
      <c r="AA830" t="e">
        <f t="shared" si="122"/>
        <v>#VALUE!</v>
      </c>
      <c r="AB830" t="str">
        <f t="shared" si="123"/>
        <v/>
      </c>
      <c r="AC830" t="e">
        <f t="shared" si="121"/>
        <v>#VALUE!</v>
      </c>
      <c r="AD830" s="6"/>
      <c r="BJ830" s="39"/>
      <c r="BM830" s="39"/>
      <c r="BO830" s="19"/>
      <c r="BQ830" s="17"/>
    </row>
    <row r="831" spans="1:69" x14ac:dyDescent="0.2">
      <c r="A831" t="str">
        <f t="shared" si="124"/>
        <v/>
      </c>
      <c r="E831" s="4"/>
      <c r="F831" s="44"/>
      <c r="G831" s="4"/>
      <c r="H831" s="47"/>
      <c r="J831" s="45" t="str">
        <f t="shared" si="125"/>
        <v/>
      </c>
      <c r="N831" t="str">
        <f t="shared" si="127"/>
        <v/>
      </c>
      <c r="Q831" t="str">
        <f t="shared" si="126"/>
        <v/>
      </c>
      <c r="S831" t="str">
        <f>IF(A831=1,MAX(S$2:S830)+1,IF(OR(I831&lt;&gt;"",A831="x"),S830,""))</f>
        <v/>
      </c>
      <c r="T831" t="str">
        <f>IF(D831=1,MAX($T$2:$T830)+1,IF(S831=$S830,$S830,IF($D831="x",T830,IF($D830="x","",""))))</f>
        <v/>
      </c>
      <c r="U831" t="str">
        <f>IF(B831=1,MAX($U$2:$U830)+1,IF(AND($T831&lt;&gt;"",$T831=$T830),$U830,IF(B831="x",U830,"")))</f>
        <v/>
      </c>
      <c r="V831" t="str">
        <f>IF(C831=1,MAX($V$2:$V830)+1,IF(AND($T831&lt;&gt;"",$T831=$T830),$U830,IF(C831="x",V830,"")))</f>
        <v/>
      </c>
      <c r="W831" t="str" cm="1">
        <f t="array" ref="W831">IFERROR(_xlfn._xlws.FILTER(game_rosters!AB:AB,(game_rosters!J:J=events!X831)*(K831&lt;&gt;"")),"")</f>
        <v/>
      </c>
      <c r="X831" t="str" cm="1">
        <f t="array" ref="X831">IF(S831="","",IF($I831&lt;&gt;"",$I831,INDEX($I$2:$I830,ROW()-COUNTIFS($T$2:$T830,"="&amp;$T831,$S$2:$S830,"&lt;&gt;"&amp;$S831)-1)))</f>
        <v/>
      </c>
      <c r="Y831" t="b">
        <f>IF(X831&lt;&gt;"",VLOOKUP(X831,game_rosters!$C$43:$E$64,3,FALSE))</f>
        <v>0</v>
      </c>
      <c r="Z831" t="e" cm="1" vm="1">
        <f t="array" aca="1" ref="Z831" ca="1">IFERROR(IF(_xlfn._xlws.FILTER(game_rosters!$J:$J,(game_rosters!$G:$G=events!$AN831)*(game_rosters!$J:$J=events!$X831))&gt;0,1,""),"")</f>
        <v>#VALUE!</v>
      </c>
      <c r="AA831" t="e">
        <f t="shared" si="122"/>
        <v>#VALUE!</v>
      </c>
      <c r="AB831" t="str">
        <f t="shared" si="123"/>
        <v/>
      </c>
      <c r="AC831" t="e">
        <f t="shared" si="121"/>
        <v>#VALUE!</v>
      </c>
      <c r="AD831" s="6"/>
      <c r="BJ831" s="39"/>
      <c r="BM831" s="39"/>
      <c r="BO831" s="19"/>
      <c r="BQ831" s="17"/>
    </row>
    <row r="832" spans="1:69" x14ac:dyDescent="0.2">
      <c r="A832" t="str">
        <f t="shared" si="124"/>
        <v/>
      </c>
      <c r="E832" s="4"/>
      <c r="F832" s="44"/>
      <c r="G832" s="4"/>
      <c r="H832" s="47"/>
      <c r="J832" s="45" t="str">
        <f t="shared" si="125"/>
        <v/>
      </c>
      <c r="N832" t="str">
        <f t="shared" si="127"/>
        <v/>
      </c>
      <c r="Q832" t="str">
        <f t="shared" si="126"/>
        <v/>
      </c>
      <c r="S832" t="str">
        <f>IF(A832=1,MAX(S$2:S831)+1,IF(OR(I832&lt;&gt;"",A832="x"),S831,""))</f>
        <v/>
      </c>
      <c r="T832" t="str">
        <f>IF(D832=1,MAX($T$2:$T831)+1,IF(S832=$S831,$S831,IF($D832="x",T831,IF($D831="x","",""))))</f>
        <v/>
      </c>
      <c r="U832" t="str">
        <f>IF(B832=1,MAX($U$2:$U831)+1,IF(AND($T832&lt;&gt;"",$T832=$T831),$U831,IF(B832="x",U831,"")))</f>
        <v/>
      </c>
      <c r="V832" t="str">
        <f>IF(C832=1,MAX($V$2:$V831)+1,IF(AND($T832&lt;&gt;"",$T832=$T831),$U831,IF(C832="x",V831,"")))</f>
        <v/>
      </c>
      <c r="W832" t="str" cm="1">
        <f t="array" ref="W832">IFERROR(_xlfn._xlws.FILTER(game_rosters!AB:AB,(game_rosters!J:J=events!X832)*(K832&lt;&gt;"")),"")</f>
        <v/>
      </c>
      <c r="X832" t="str" cm="1">
        <f t="array" ref="X832">IF(S832="","",IF($I832&lt;&gt;"",$I832,INDEX($I$2:$I831,ROW()-COUNTIFS($T$2:$T831,"="&amp;$T832,$S$2:$S831,"&lt;&gt;"&amp;$S832)-1)))</f>
        <v/>
      </c>
      <c r="Y832" t="b">
        <f>IF(X832&lt;&gt;"",VLOOKUP(X832,game_rosters!$C$43:$E$64,3,FALSE))</f>
        <v>0</v>
      </c>
      <c r="Z832" t="e" cm="1" vm="1">
        <f t="array" aca="1" ref="Z832" ca="1">IFERROR(IF(_xlfn._xlws.FILTER(game_rosters!$J:$J,(game_rosters!$G:$G=events!$AN832)*(game_rosters!$J:$J=events!$X832))&gt;0,1,""),"")</f>
        <v>#VALUE!</v>
      </c>
      <c r="AA832" t="e">
        <f t="shared" si="122"/>
        <v>#VALUE!</v>
      </c>
      <c r="AB832" t="str">
        <f t="shared" si="123"/>
        <v/>
      </c>
      <c r="AC832" t="e">
        <f t="shared" si="121"/>
        <v>#VALUE!</v>
      </c>
      <c r="AD832" s="6"/>
      <c r="BJ832" s="39"/>
      <c r="BM832" s="39"/>
      <c r="BO832" s="19"/>
      <c r="BQ832" s="17"/>
    </row>
    <row r="833" spans="1:69" x14ac:dyDescent="0.2">
      <c r="A833" t="str">
        <f t="shared" si="124"/>
        <v/>
      </c>
      <c r="E833" s="4"/>
      <c r="F833" s="44"/>
      <c r="G833" s="4"/>
      <c r="H833" s="47"/>
      <c r="J833" s="45" t="str">
        <f t="shared" si="125"/>
        <v/>
      </c>
      <c r="N833" t="str">
        <f t="shared" si="127"/>
        <v/>
      </c>
      <c r="Q833" t="str">
        <f t="shared" si="126"/>
        <v/>
      </c>
      <c r="S833" t="str">
        <f>IF(A833=1,MAX(S$2:S832)+1,IF(OR(I833&lt;&gt;"",A833="x"),S832,""))</f>
        <v/>
      </c>
      <c r="T833" t="str">
        <f>IF(D833=1,MAX($T$2:$T832)+1,IF(S833=$S832,$S832,IF($D833="x",T832,IF($D832="x","",""))))</f>
        <v/>
      </c>
      <c r="U833" t="str">
        <f>IF(B833=1,MAX($U$2:$U832)+1,IF(AND($T833&lt;&gt;"",$T833=$T832),$U832,IF(B833="x",U832,"")))</f>
        <v/>
      </c>
      <c r="V833" t="str">
        <f>IF(C833=1,MAX($V$2:$V832)+1,IF(AND($T833&lt;&gt;"",$T833=$T832),$U832,IF(C833="x",V832,"")))</f>
        <v/>
      </c>
      <c r="W833" t="str" cm="1">
        <f t="array" ref="W833">IFERROR(_xlfn._xlws.FILTER(game_rosters!AB:AB,(game_rosters!J:J=events!X833)*(K833&lt;&gt;"")),"")</f>
        <v/>
      </c>
      <c r="X833" t="str" cm="1">
        <f t="array" ref="X833">IF(S833="","",IF($I833&lt;&gt;"",$I833,INDEX($I$2:$I832,ROW()-COUNTIFS($T$2:$T832,"="&amp;$T833,$S$2:$S832,"&lt;&gt;"&amp;$S833)-1)))</f>
        <v/>
      </c>
      <c r="Y833" t="b">
        <f>IF(X833&lt;&gt;"",VLOOKUP(X833,game_rosters!$C$43:$E$64,3,FALSE))</f>
        <v>0</v>
      </c>
      <c r="Z833" t="e" cm="1" vm="1">
        <f t="array" aca="1" ref="Z833" ca="1">IFERROR(IF(_xlfn._xlws.FILTER(game_rosters!$J:$J,(game_rosters!$G:$G=events!$AN833)*(game_rosters!$J:$J=events!$X833))&gt;0,1,""),"")</f>
        <v>#VALUE!</v>
      </c>
      <c r="AA833" t="e">
        <f t="shared" si="122"/>
        <v>#VALUE!</v>
      </c>
      <c r="AB833" t="str">
        <f t="shared" si="123"/>
        <v/>
      </c>
      <c r="AC833" t="e">
        <f t="shared" si="121"/>
        <v>#VALUE!</v>
      </c>
      <c r="AD833" s="6"/>
      <c r="BJ833" s="39"/>
      <c r="BM833" s="39"/>
      <c r="BO833" s="19"/>
      <c r="BQ833" s="17"/>
    </row>
    <row r="834" spans="1:69" x14ac:dyDescent="0.2">
      <c r="A834" t="str">
        <f t="shared" si="124"/>
        <v/>
      </c>
      <c r="E834" s="4"/>
      <c r="F834" s="44"/>
      <c r="G834" s="4"/>
      <c r="H834" s="47"/>
      <c r="J834" s="45" t="str">
        <f t="shared" si="125"/>
        <v/>
      </c>
      <c r="N834" t="str">
        <f t="shared" si="127"/>
        <v/>
      </c>
      <c r="Q834" t="str">
        <f t="shared" si="126"/>
        <v/>
      </c>
      <c r="S834" t="str">
        <f>IF(A834=1,MAX(S$2:S833)+1,IF(OR(I834&lt;&gt;"",A834="x"),S833,""))</f>
        <v/>
      </c>
      <c r="T834" t="str">
        <f>IF(D834=1,MAX($T$2:$T833)+1,IF(S834=$S833,$S833,IF($D834="x",T833,IF($D833="x","",""))))</f>
        <v/>
      </c>
      <c r="U834" t="str">
        <f>IF(B834=1,MAX($U$2:$U833)+1,IF(AND($T834&lt;&gt;"",$T834=$T833),$U833,IF(B834="x",U833,"")))</f>
        <v/>
      </c>
      <c r="V834" t="str">
        <f>IF(C834=1,MAX($V$2:$V833)+1,IF(AND($T834&lt;&gt;"",$T834=$T833),$U833,IF(C834="x",V833,"")))</f>
        <v/>
      </c>
      <c r="W834" t="str" cm="1">
        <f t="array" ref="W834">IFERROR(_xlfn._xlws.FILTER(game_rosters!AB:AB,(game_rosters!J:J=events!X834)*(K834&lt;&gt;"")),"")</f>
        <v/>
      </c>
      <c r="X834" t="str" cm="1">
        <f t="array" ref="X834">IF(S834="","",IF($I834&lt;&gt;"",$I834,INDEX($I$2:$I833,ROW()-COUNTIFS($T$2:$T833,"="&amp;$T834,$S$2:$S833,"&lt;&gt;"&amp;$S834)-1)))</f>
        <v/>
      </c>
      <c r="Y834" t="b">
        <f>IF(X834&lt;&gt;"",VLOOKUP(X834,game_rosters!$C$43:$E$64,3,FALSE))</f>
        <v>0</v>
      </c>
      <c r="Z834" t="e" cm="1" vm="1">
        <f t="array" aca="1" ref="Z834" ca="1">IFERROR(IF(_xlfn._xlws.FILTER(game_rosters!$J:$J,(game_rosters!$G:$G=events!$AN834)*(game_rosters!$J:$J=events!$X834))&gt;0,1,""),"")</f>
        <v>#VALUE!</v>
      </c>
      <c r="AA834" t="e">
        <f t="shared" si="122"/>
        <v>#VALUE!</v>
      </c>
      <c r="AB834" t="str">
        <f t="shared" si="123"/>
        <v/>
      </c>
      <c r="AC834" t="e">
        <f t="shared" ref="AC834:AC897" si="128">IF(AB834&lt;&gt;"",AB834,S834+1000)</f>
        <v>#VALUE!</v>
      </c>
      <c r="AD834" s="6"/>
      <c r="BJ834" s="39"/>
      <c r="BM834" s="39"/>
      <c r="BO834" s="19"/>
      <c r="BQ834" s="17"/>
    </row>
    <row r="835" spans="1:69" x14ac:dyDescent="0.2">
      <c r="A835" t="str">
        <f t="shared" si="124"/>
        <v/>
      </c>
      <c r="E835" s="4"/>
      <c r="F835" s="44"/>
      <c r="G835" s="4"/>
      <c r="H835" s="47"/>
      <c r="J835" s="45" t="str">
        <f t="shared" si="125"/>
        <v/>
      </c>
      <c r="N835" t="str">
        <f t="shared" si="127"/>
        <v/>
      </c>
      <c r="Q835" t="str">
        <f t="shared" si="126"/>
        <v/>
      </c>
      <c r="S835" t="str">
        <f>IF(A835=1,MAX(S$2:S834)+1,IF(OR(I835&lt;&gt;"",A835="x"),S834,""))</f>
        <v/>
      </c>
      <c r="T835" t="str">
        <f>IF(D835=1,MAX($T$2:$T834)+1,IF(S835=$S834,$S834,IF($D835="x",T834,IF($D834="x","",""))))</f>
        <v/>
      </c>
      <c r="U835" t="str">
        <f>IF(B835=1,MAX($U$2:$U834)+1,IF(AND($T835&lt;&gt;"",$T835=$T834),$U834,IF(B835="x",U834,"")))</f>
        <v/>
      </c>
      <c r="V835" t="str">
        <f>IF(C835=1,MAX($V$2:$V834)+1,IF(AND($T835&lt;&gt;"",$T835=$T834),$U834,IF(C835="x",V834,"")))</f>
        <v/>
      </c>
      <c r="W835" t="str" cm="1">
        <f t="array" ref="W835">IFERROR(_xlfn._xlws.FILTER(game_rosters!AB:AB,(game_rosters!J:J=events!X835)*(K835&lt;&gt;"")),"")</f>
        <v/>
      </c>
      <c r="X835" t="str" cm="1">
        <f t="array" ref="X835">IF(S835="","",IF($I835&lt;&gt;"",$I835,INDEX($I$2:$I834,ROW()-COUNTIFS($T$2:$T834,"="&amp;$T835,$S$2:$S834,"&lt;&gt;"&amp;$S835)-1)))</f>
        <v/>
      </c>
      <c r="Y835" t="b">
        <f>IF(X835&lt;&gt;"",VLOOKUP(X835,game_rosters!$C$43:$E$64,3,FALSE))</f>
        <v>0</v>
      </c>
      <c r="Z835" t="e" cm="1" vm="1">
        <f t="array" aca="1" ref="Z835" ca="1">IFERROR(IF(_xlfn._xlws.FILTER(game_rosters!$J:$J,(game_rosters!$G:$G=events!$AN835)*(game_rosters!$J:$J=events!$X835))&gt;0,1,""),"")</f>
        <v>#VALUE!</v>
      </c>
      <c r="AA835" t="e">
        <f t="shared" si="122"/>
        <v>#VALUE!</v>
      </c>
      <c r="AB835" t="str">
        <f t="shared" si="123"/>
        <v/>
      </c>
      <c r="AC835" t="e">
        <f t="shared" si="128"/>
        <v>#VALUE!</v>
      </c>
      <c r="AD835" s="6"/>
      <c r="BJ835" s="39"/>
      <c r="BM835" s="39"/>
      <c r="BO835" s="19"/>
      <c r="BQ835" s="17"/>
    </row>
    <row r="836" spans="1:69" x14ac:dyDescent="0.2">
      <c r="A836" t="str">
        <f t="shared" si="124"/>
        <v/>
      </c>
      <c r="E836" s="4"/>
      <c r="F836" s="44"/>
      <c r="G836" s="4"/>
      <c r="H836" s="47"/>
      <c r="J836" s="45" t="str">
        <f t="shared" si="125"/>
        <v/>
      </c>
      <c r="N836" t="str">
        <f t="shared" si="127"/>
        <v/>
      </c>
      <c r="Q836" t="str">
        <f t="shared" si="126"/>
        <v/>
      </c>
      <c r="S836" t="str">
        <f>IF(A836=1,MAX(S$2:S835)+1,IF(OR(I836&lt;&gt;"",A836="x"),S835,""))</f>
        <v/>
      </c>
      <c r="T836" t="str">
        <f>IF(D836=1,MAX($T$2:$T835)+1,IF(S836=$S835,$S835,IF($D836="x",T835,IF($D835="x","",""))))</f>
        <v/>
      </c>
      <c r="U836" t="str">
        <f>IF(B836=1,MAX($U$2:$U835)+1,IF(AND($T836&lt;&gt;"",$T836=$T835),$U835,IF(B836="x",U835,"")))</f>
        <v/>
      </c>
      <c r="V836" t="str">
        <f>IF(C836=1,MAX($V$2:$V835)+1,IF(AND($T836&lt;&gt;"",$T836=$T835),$U835,IF(C836="x",V835,"")))</f>
        <v/>
      </c>
      <c r="W836" t="str" cm="1">
        <f t="array" ref="W836">IFERROR(_xlfn._xlws.FILTER(game_rosters!AB:AB,(game_rosters!J:J=events!X836)*(K836&lt;&gt;"")),"")</f>
        <v/>
      </c>
      <c r="X836" t="str" cm="1">
        <f t="array" ref="X836">IF(S836="","",IF($I836&lt;&gt;"",$I836,INDEX($I$2:$I835,ROW()-COUNTIFS($T$2:$T835,"="&amp;$T836,$S$2:$S835,"&lt;&gt;"&amp;$S836)-1)))</f>
        <v/>
      </c>
      <c r="Y836" t="b">
        <f>IF(X836&lt;&gt;"",VLOOKUP(X836,game_rosters!$C$43:$E$64,3,FALSE))</f>
        <v>0</v>
      </c>
      <c r="Z836" t="e" cm="1" vm="1">
        <f t="array" aca="1" ref="Z836" ca="1">IFERROR(IF(_xlfn._xlws.FILTER(game_rosters!$J:$J,(game_rosters!$G:$G=events!$AN836)*(game_rosters!$J:$J=events!$X836))&gt;0,1,""),"")</f>
        <v>#VALUE!</v>
      </c>
      <c r="AA836" t="e">
        <f t="shared" ref="AA836:AA860" si="129">S836+1000</f>
        <v>#VALUE!</v>
      </c>
      <c r="AB836" t="str">
        <f t="shared" ref="AB836:AB860" si="130">IF(T836&lt;&gt;"",9000+T836,"")</f>
        <v/>
      </c>
      <c r="AC836" t="e">
        <f t="shared" si="128"/>
        <v>#VALUE!</v>
      </c>
      <c r="AD836" s="6"/>
      <c r="BJ836" s="39"/>
      <c r="BM836" s="39"/>
      <c r="BO836" s="19"/>
      <c r="BQ836" s="17"/>
    </row>
    <row r="837" spans="1:69" x14ac:dyDescent="0.2">
      <c r="A837" t="str">
        <f t="shared" ref="A837:A900" si="131">IF(K837&lt;&gt;"",1,IF(D837="x","x",""))</f>
        <v/>
      </c>
      <c r="E837" s="4"/>
      <c r="F837" s="44"/>
      <c r="G837" s="4"/>
      <c r="H837" s="47"/>
      <c r="J837" s="45" t="str">
        <f t="shared" si="125"/>
        <v/>
      </c>
      <c r="N837" t="str">
        <f t="shared" si="127"/>
        <v/>
      </c>
      <c r="Q837" t="str">
        <f t="shared" si="126"/>
        <v/>
      </c>
      <c r="S837" t="str">
        <f>IF(A837=1,MAX(S$2:S836)+1,IF(OR(I837&lt;&gt;"",A837="x"),S836,""))</f>
        <v/>
      </c>
      <c r="T837" t="str">
        <f>IF(D837=1,MAX($T$2:$T836)+1,IF(S837=$S836,$S836,IF($D837="x",T836,IF($D836="x","",""))))</f>
        <v/>
      </c>
      <c r="U837" t="str">
        <f>IF(B837=1,MAX($U$2:$U836)+1,IF(AND($T837&lt;&gt;"",$T837=$T836),$U836,IF(B837="x",U836,"")))</f>
        <v/>
      </c>
      <c r="V837" t="str">
        <f>IF(C837=1,MAX($V$2:$V836)+1,IF(AND($T837&lt;&gt;"",$T837=$T836),$U836,IF(C837="x",V836,"")))</f>
        <v/>
      </c>
      <c r="W837" t="str" cm="1">
        <f t="array" ref="W837">IFERROR(_xlfn._xlws.FILTER(game_rosters!AB:AB,(game_rosters!J:J=events!X837)*(K837&lt;&gt;"")),"")</f>
        <v/>
      </c>
      <c r="X837" t="str" cm="1">
        <f t="array" ref="X837">IF(S837="","",IF($I837&lt;&gt;"",$I837,INDEX($I$2:$I836,ROW()-COUNTIFS($T$2:$T836,"="&amp;$T837,$S$2:$S836,"&lt;&gt;"&amp;$S837)-1)))</f>
        <v/>
      </c>
      <c r="Y837" t="b">
        <f>IF(X837&lt;&gt;"",VLOOKUP(X837,game_rosters!$C$43:$E$64,3,FALSE))</f>
        <v>0</v>
      </c>
      <c r="Z837" t="e" cm="1" vm="1">
        <f t="array" aca="1" ref="Z837" ca="1">IFERROR(IF(_xlfn._xlws.FILTER(game_rosters!$J:$J,(game_rosters!$G:$G=events!$AN837)*(game_rosters!$J:$J=events!$X837))&gt;0,1,""),"")</f>
        <v>#VALUE!</v>
      </c>
      <c r="AA837" t="e">
        <f t="shared" si="129"/>
        <v>#VALUE!</v>
      </c>
      <c r="AB837" t="str">
        <f t="shared" si="130"/>
        <v/>
      </c>
      <c r="AC837" t="e">
        <f t="shared" si="128"/>
        <v>#VALUE!</v>
      </c>
      <c r="AD837" s="6"/>
      <c r="BJ837" s="39"/>
      <c r="BM837" s="39"/>
      <c r="BO837" s="19"/>
      <c r="BQ837" s="17"/>
    </row>
    <row r="838" spans="1:69" x14ac:dyDescent="0.2">
      <c r="A838" t="str">
        <f t="shared" si="131"/>
        <v/>
      </c>
      <c r="E838" s="4"/>
      <c r="F838" s="44"/>
      <c r="G838" s="4"/>
      <c r="H838" s="47"/>
      <c r="J838" s="45" t="str">
        <f t="shared" ref="J838:J860" si="132">IF(OR(K838="Goal",K838="Shot",L838="Zone_Entry",M838="Stoppage-Goal",M837="Stoppage-Goal"),"o",IF(OR(K838="Save",K838="Rebound",L838="Zone_Exit",M838="Stoppage-GoalieStoppage",M837="Stoppage-GoalieStoppage"),"d",IF(OR(L838="Faceoff_AfterGoal",L838="Faceoff_PeriodStart",698="Faceoff_GameStart",M837="Stoppage-Goal"),"n","")))</f>
        <v/>
      </c>
      <c r="N838" t="str">
        <f t="shared" si="127"/>
        <v/>
      </c>
      <c r="Q838" t="str">
        <f t="shared" si="126"/>
        <v/>
      </c>
      <c r="S838" t="str">
        <f>IF(A838=1,MAX(S$2:S837)+1,IF(OR(I838&lt;&gt;"",A838="x"),S837,""))</f>
        <v/>
      </c>
      <c r="T838" t="str">
        <f>IF(D838=1,MAX($T$2:$T837)+1,IF(S838=$S837,$S837,IF($D838="x",T837,IF($D837="x","",""))))</f>
        <v/>
      </c>
      <c r="U838" t="str">
        <f>IF(B838=1,MAX($U$2:$U837)+1,IF(AND($T838&lt;&gt;"",$T838=$T837),$U837,IF(B838="x",U837,"")))</f>
        <v/>
      </c>
      <c r="V838" t="str">
        <f>IF(C838=1,MAX($V$2:$V837)+1,IF(AND($T838&lt;&gt;"",$T838=$T837),$U837,IF(C838="x",V837,"")))</f>
        <v/>
      </c>
      <c r="W838" t="str" cm="1">
        <f t="array" ref="W838">IFERROR(_xlfn._xlws.FILTER(game_rosters!AB:AB,(game_rosters!J:J=events!X838)*(K838&lt;&gt;"")),"")</f>
        <v/>
      </c>
      <c r="X838" t="str" cm="1">
        <f t="array" ref="X838">IF(S838="","",IF($I838&lt;&gt;"",$I838,INDEX($I$2:$I837,ROW()-COUNTIFS($T$2:$T837,"="&amp;$T838,$S$2:$S837,"&lt;&gt;"&amp;$S838)-1)))</f>
        <v/>
      </c>
      <c r="Y838" t="b">
        <f>IF(X838&lt;&gt;"",VLOOKUP(X838,game_rosters!$C$43:$E$64,3,FALSE))</f>
        <v>0</v>
      </c>
      <c r="Z838" t="e" cm="1" vm="1">
        <f t="array" aca="1" ref="Z838" ca="1">IFERROR(IF(_xlfn._xlws.FILTER(game_rosters!$J:$J,(game_rosters!$G:$G=events!$AN838)*(game_rosters!$J:$J=events!$X838))&gt;0,1,""),"")</f>
        <v>#VALUE!</v>
      </c>
      <c r="AA838" t="e">
        <f t="shared" si="129"/>
        <v>#VALUE!</v>
      </c>
      <c r="AB838" t="str">
        <f t="shared" si="130"/>
        <v/>
      </c>
      <c r="AC838" t="e">
        <f t="shared" si="128"/>
        <v>#VALUE!</v>
      </c>
      <c r="AD838" s="6"/>
      <c r="BJ838" s="39"/>
      <c r="BM838" s="39"/>
      <c r="BO838" s="19"/>
      <c r="BQ838" s="17"/>
    </row>
    <row r="839" spans="1:69" x14ac:dyDescent="0.2">
      <c r="A839" t="str">
        <f t="shared" si="131"/>
        <v/>
      </c>
      <c r="E839" s="4"/>
      <c r="F839" s="44"/>
      <c r="G839" s="4"/>
      <c r="H839" s="47"/>
      <c r="J839" s="45" t="str">
        <f t="shared" si="132"/>
        <v/>
      </c>
      <c r="N839" t="str">
        <f t="shared" si="127"/>
        <v/>
      </c>
      <c r="Q839" t="str">
        <f t="shared" si="126"/>
        <v/>
      </c>
      <c r="S839" t="str">
        <f>IF(A839=1,MAX(S$2:S838)+1,IF(OR(I839&lt;&gt;"",A839="x"),S838,""))</f>
        <v/>
      </c>
      <c r="T839" t="str">
        <f>IF(D839=1,MAX($T$2:$T838)+1,IF(S839=$S838,$S838,IF($D839="x",T838,IF($D838="x","",""))))</f>
        <v/>
      </c>
      <c r="U839" t="str">
        <f>IF(B839=1,MAX($U$2:$U838)+1,IF(AND($T839&lt;&gt;"",$T839=$T838),$U838,IF(B839="x",U838,"")))</f>
        <v/>
      </c>
      <c r="V839" t="str">
        <f>IF(C839=1,MAX($V$2:$V838)+1,IF(AND($T839&lt;&gt;"",$T839=$T838),$U838,IF(C839="x",V838,"")))</f>
        <v/>
      </c>
      <c r="W839" t="str" cm="1">
        <f t="array" ref="W839">IFERROR(_xlfn._xlws.FILTER(game_rosters!AB:AB,(game_rosters!J:J=events!X839)*(K839&lt;&gt;"")),"")</f>
        <v/>
      </c>
      <c r="X839" t="str" cm="1">
        <f t="array" ref="X839">IF(S839="","",IF($I839&lt;&gt;"",$I839,INDEX($I$2:$I838,ROW()-COUNTIFS($T$2:$T838,"="&amp;$T839,$S$2:$S838,"&lt;&gt;"&amp;$S839)-1)))</f>
        <v/>
      </c>
      <c r="Y839" t="b">
        <f>IF(X839&lt;&gt;"",VLOOKUP(X839,game_rosters!$C$43:$E$64,3,FALSE))</f>
        <v>0</v>
      </c>
      <c r="Z839" t="e" cm="1" vm="1">
        <f t="array" aca="1" ref="Z839" ca="1">IFERROR(IF(_xlfn._xlws.FILTER(game_rosters!$J:$J,(game_rosters!$G:$G=events!$AN839)*(game_rosters!$J:$J=events!$X839))&gt;0,1,""),"")</f>
        <v>#VALUE!</v>
      </c>
      <c r="AA839" t="e">
        <f t="shared" si="129"/>
        <v>#VALUE!</v>
      </c>
      <c r="AB839" t="str">
        <f t="shared" si="130"/>
        <v/>
      </c>
      <c r="AC839" t="e">
        <f t="shared" si="128"/>
        <v>#VALUE!</v>
      </c>
      <c r="AD839" s="6"/>
      <c r="BJ839" s="39"/>
      <c r="BM839" s="39"/>
      <c r="BO839" s="19"/>
      <c r="BQ839" s="17"/>
    </row>
    <row r="840" spans="1:69" x14ac:dyDescent="0.2">
      <c r="A840" t="str">
        <f t="shared" si="131"/>
        <v/>
      </c>
      <c r="E840" s="4"/>
      <c r="F840" s="44"/>
      <c r="G840" s="4"/>
      <c r="H840" s="47"/>
      <c r="J840" s="45" t="str">
        <f t="shared" si="132"/>
        <v/>
      </c>
      <c r="N840" t="str">
        <f t="shared" si="127"/>
        <v/>
      </c>
      <c r="Q840" t="str">
        <f t="shared" si="126"/>
        <v/>
      </c>
      <c r="S840" t="str">
        <f>IF(A840=1,MAX(S$2:S839)+1,IF(OR(I840&lt;&gt;"",A840="x"),S839,""))</f>
        <v/>
      </c>
      <c r="T840" t="str">
        <f>IF(D840=1,MAX($T$2:$T839)+1,IF(S840=$S839,$S839,IF($D840="x",T839,IF($D839="x","",""))))</f>
        <v/>
      </c>
      <c r="U840" t="str">
        <f>IF(B840=1,MAX($U$2:$U839)+1,IF(AND($T840&lt;&gt;"",$T840=$T839),$U839,IF(B840="x",U839,"")))</f>
        <v/>
      </c>
      <c r="V840" t="str">
        <f>IF(C840=1,MAX($V$2:$V839)+1,IF(AND($T840&lt;&gt;"",$T840=$T839),$U839,IF(C840="x",V839,"")))</f>
        <v/>
      </c>
      <c r="W840" t="str" cm="1">
        <f t="array" ref="W840">IFERROR(_xlfn._xlws.FILTER(game_rosters!AB:AB,(game_rosters!J:J=events!X840)*(K840&lt;&gt;"")),"")</f>
        <v/>
      </c>
      <c r="X840" t="str" cm="1">
        <f t="array" ref="X840">IF(S840="","",IF($I840&lt;&gt;"",$I840,INDEX($I$2:$I839,ROW()-COUNTIFS($T$2:$T839,"="&amp;$T840,$S$2:$S839,"&lt;&gt;"&amp;$S840)-1)))</f>
        <v/>
      </c>
      <c r="Y840" t="b">
        <f>IF(X840&lt;&gt;"",VLOOKUP(X840,game_rosters!$C$43:$E$64,3,FALSE))</f>
        <v>0</v>
      </c>
      <c r="Z840" t="e" cm="1" vm="1">
        <f t="array" aca="1" ref="Z840" ca="1">IFERROR(IF(_xlfn._xlws.FILTER(game_rosters!$J:$J,(game_rosters!$G:$G=events!$AN840)*(game_rosters!$J:$J=events!$X840))&gt;0,1,""),"")</f>
        <v>#VALUE!</v>
      </c>
      <c r="AA840" t="e">
        <f t="shared" si="129"/>
        <v>#VALUE!</v>
      </c>
      <c r="AB840" t="str">
        <f t="shared" si="130"/>
        <v/>
      </c>
      <c r="AC840" t="e">
        <f t="shared" si="128"/>
        <v>#VALUE!</v>
      </c>
      <c r="AD840" s="6"/>
      <c r="BJ840" s="39"/>
      <c r="BM840" s="39"/>
      <c r="BO840" s="19"/>
      <c r="BQ840" s="17"/>
    </row>
    <row r="841" spans="1:69" x14ac:dyDescent="0.2">
      <c r="A841" t="str">
        <f t="shared" si="131"/>
        <v/>
      </c>
      <c r="E841" s="4"/>
      <c r="F841" s="44"/>
      <c r="G841" s="4"/>
      <c r="H841" s="47"/>
      <c r="J841" s="45" t="str">
        <f t="shared" si="132"/>
        <v/>
      </c>
      <c r="N841" t="str">
        <f t="shared" si="127"/>
        <v/>
      </c>
      <c r="Q841" t="str">
        <f t="shared" si="126"/>
        <v/>
      </c>
      <c r="S841" t="str">
        <f>IF(A841=1,MAX(S$2:S840)+1,IF(OR(I841&lt;&gt;"",A841="x"),S840,""))</f>
        <v/>
      </c>
      <c r="T841" t="str">
        <f>IF(D841=1,MAX($T$2:$T840)+1,IF(S841=$S840,$S840,IF($D841="x",T840,IF($D840="x","",""))))</f>
        <v/>
      </c>
      <c r="U841" t="str">
        <f>IF(B841=1,MAX($U$2:$U840)+1,IF(AND($T841&lt;&gt;"",$T841=$T840),$U840,IF(B841="x",U840,"")))</f>
        <v/>
      </c>
      <c r="V841" t="str">
        <f>IF(C841=1,MAX($V$2:$V840)+1,IF(AND($T841&lt;&gt;"",$T841=$T840),$U840,IF(C841="x",V840,"")))</f>
        <v/>
      </c>
      <c r="W841" t="str" cm="1">
        <f t="array" ref="W841">IFERROR(_xlfn._xlws.FILTER(game_rosters!AB:AB,(game_rosters!J:J=events!X841)*(K841&lt;&gt;"")),"")</f>
        <v/>
      </c>
      <c r="X841" t="str" cm="1">
        <f t="array" ref="X841">IF(S841="","",IF($I841&lt;&gt;"",$I841,INDEX($I$2:$I840,ROW()-COUNTIFS($T$2:$T840,"="&amp;$T841,$S$2:$S840,"&lt;&gt;"&amp;$S841)-1)))</f>
        <v/>
      </c>
      <c r="Y841" t="b">
        <f>IF(X841&lt;&gt;"",VLOOKUP(X841,game_rosters!$C$43:$E$64,3,FALSE))</f>
        <v>0</v>
      </c>
      <c r="Z841" t="e" cm="1" vm="1">
        <f t="array" aca="1" ref="Z841" ca="1">IFERROR(IF(_xlfn._xlws.FILTER(game_rosters!$J:$J,(game_rosters!$G:$G=events!$AN841)*(game_rosters!$J:$J=events!$X841))&gt;0,1,""),"")</f>
        <v>#VALUE!</v>
      </c>
      <c r="AA841" t="e">
        <f t="shared" si="129"/>
        <v>#VALUE!</v>
      </c>
      <c r="AB841" t="str">
        <f t="shared" si="130"/>
        <v/>
      </c>
      <c r="AC841" t="e">
        <f t="shared" si="128"/>
        <v>#VALUE!</v>
      </c>
      <c r="AD841" s="6"/>
      <c r="BJ841" s="39"/>
      <c r="BM841" s="39"/>
      <c r="BO841" s="19"/>
      <c r="BQ841" s="17"/>
    </row>
    <row r="842" spans="1:69" x14ac:dyDescent="0.2">
      <c r="A842" t="str">
        <f t="shared" si="131"/>
        <v/>
      </c>
      <c r="E842" s="4"/>
      <c r="F842" s="44"/>
      <c r="G842" s="4"/>
      <c r="H842" s="47"/>
      <c r="J842" s="45" t="str">
        <f t="shared" si="132"/>
        <v/>
      </c>
      <c r="N842" t="str">
        <f t="shared" si="127"/>
        <v/>
      </c>
      <c r="Q842" t="str">
        <f t="shared" si="126"/>
        <v/>
      </c>
      <c r="S842" t="str">
        <f>IF(A842=1,MAX(S$2:S841)+1,IF(OR(I842&lt;&gt;"",A842="x"),S841,""))</f>
        <v/>
      </c>
      <c r="T842" t="str">
        <f>IF(D842=1,MAX($T$2:$T841)+1,IF(S842=$S841,$S841,IF($D842="x",T841,IF($D841="x","",""))))</f>
        <v/>
      </c>
      <c r="U842" t="str">
        <f>IF(B842=1,MAX($U$2:$U841)+1,IF(AND($T842&lt;&gt;"",$T842=$T841),$U841,IF(B842="x",U841,"")))</f>
        <v/>
      </c>
      <c r="V842" t="str">
        <f>IF(C842=1,MAX($V$2:$V841)+1,IF(AND($T842&lt;&gt;"",$T842=$T841),$U841,IF(C842="x",V841,"")))</f>
        <v/>
      </c>
      <c r="W842" t="str" cm="1">
        <f t="array" ref="W842">IFERROR(_xlfn._xlws.FILTER(game_rosters!AB:AB,(game_rosters!J:J=events!X842)*(K842&lt;&gt;"")),"")</f>
        <v/>
      </c>
      <c r="X842" t="str" cm="1">
        <f t="array" ref="X842">IF(S842="","",IF($I842&lt;&gt;"",$I842,INDEX($I$2:$I841,ROW()-COUNTIFS($T$2:$T841,"="&amp;$T842,$S$2:$S841,"&lt;&gt;"&amp;$S842)-1)))</f>
        <v/>
      </c>
      <c r="Y842" t="b">
        <f>IF(X842&lt;&gt;"",VLOOKUP(X842,game_rosters!$C$43:$E$64,3,FALSE))</f>
        <v>0</v>
      </c>
      <c r="Z842" t="e" cm="1" vm="1">
        <f t="array" aca="1" ref="Z842" ca="1">IFERROR(IF(_xlfn._xlws.FILTER(game_rosters!$J:$J,(game_rosters!$G:$G=events!$AN842)*(game_rosters!$J:$J=events!$X842))&gt;0,1,""),"")</f>
        <v>#VALUE!</v>
      </c>
      <c r="AA842" t="e">
        <f t="shared" si="129"/>
        <v>#VALUE!</v>
      </c>
      <c r="AB842" t="str">
        <f t="shared" si="130"/>
        <v/>
      </c>
      <c r="AC842" t="e">
        <f t="shared" si="128"/>
        <v>#VALUE!</v>
      </c>
      <c r="AD842" s="6"/>
      <c r="BJ842" s="39"/>
      <c r="BM842" s="39"/>
      <c r="BO842" s="19"/>
      <c r="BQ842" s="17"/>
    </row>
    <row r="843" spans="1:69" x14ac:dyDescent="0.2">
      <c r="A843" t="str">
        <f t="shared" si="131"/>
        <v/>
      </c>
      <c r="E843" s="4"/>
      <c r="F843" s="44"/>
      <c r="G843" s="4"/>
      <c r="H843" s="47"/>
      <c r="J843" s="45" t="str">
        <f t="shared" si="132"/>
        <v/>
      </c>
      <c r="N843" t="str">
        <f t="shared" si="127"/>
        <v/>
      </c>
      <c r="Q843" t="str">
        <f t="shared" si="126"/>
        <v/>
      </c>
      <c r="S843" t="str">
        <f>IF(A843=1,MAX(S$2:S842)+1,IF(OR(I843&lt;&gt;"",A843="x"),S842,""))</f>
        <v/>
      </c>
      <c r="T843" t="str">
        <f>IF(D843=1,MAX($T$2:$T842)+1,IF(S843=$S842,$S842,IF($D843="x",T842,IF($D842="x","",""))))</f>
        <v/>
      </c>
      <c r="U843" t="str">
        <f>IF(B843=1,MAX($U$2:$U842)+1,IF(AND($T843&lt;&gt;"",$T843=$T842),$U842,IF(B843="x",U842,"")))</f>
        <v/>
      </c>
      <c r="V843" t="str">
        <f>IF(C843=1,MAX($V$2:$V842)+1,IF(AND($T843&lt;&gt;"",$T843=$T842),$U842,IF(C843="x",V842,"")))</f>
        <v/>
      </c>
      <c r="W843" t="str" cm="1">
        <f t="array" ref="W843">IFERROR(_xlfn._xlws.FILTER(game_rosters!AB:AB,(game_rosters!J:J=events!X843)*(K843&lt;&gt;"")),"")</f>
        <v/>
      </c>
      <c r="X843" t="str" cm="1">
        <f t="array" ref="X843">IF(S843="","",IF($I843&lt;&gt;"",$I843,INDEX($I$2:$I842,ROW()-COUNTIFS($T$2:$T842,"="&amp;$T843,$S$2:$S842,"&lt;&gt;"&amp;$S843)-1)))</f>
        <v/>
      </c>
      <c r="Y843" t="b">
        <f>IF(X843&lt;&gt;"",VLOOKUP(X843,game_rosters!$C$43:$E$64,3,FALSE))</f>
        <v>0</v>
      </c>
      <c r="Z843" t="e" cm="1" vm="1">
        <f t="array" aca="1" ref="Z843" ca="1">IFERROR(IF(_xlfn._xlws.FILTER(game_rosters!$J:$J,(game_rosters!$G:$G=events!$AN843)*(game_rosters!$J:$J=events!$X843))&gt;0,1,""),"")</f>
        <v>#VALUE!</v>
      </c>
      <c r="AA843" t="e">
        <f t="shared" si="129"/>
        <v>#VALUE!</v>
      </c>
      <c r="AB843" t="str">
        <f t="shared" si="130"/>
        <v/>
      </c>
      <c r="AC843" t="e">
        <f t="shared" si="128"/>
        <v>#VALUE!</v>
      </c>
      <c r="AD843" s="6"/>
      <c r="BJ843" s="39"/>
      <c r="BM843" s="39"/>
      <c r="BO843" s="19"/>
      <c r="BQ843" s="17"/>
    </row>
    <row r="844" spans="1:69" x14ac:dyDescent="0.2">
      <c r="A844" t="str">
        <f t="shared" si="131"/>
        <v/>
      </c>
      <c r="E844" s="4"/>
      <c r="F844" s="44"/>
      <c r="G844" s="4"/>
      <c r="H844" s="47"/>
      <c r="J844" s="45" t="str">
        <f t="shared" si="132"/>
        <v/>
      </c>
      <c r="N844" t="str">
        <f t="shared" si="127"/>
        <v/>
      </c>
      <c r="Q844" t="str">
        <f t="shared" si="126"/>
        <v/>
      </c>
      <c r="S844" t="str">
        <f>IF(A844=1,MAX(S$2:S843)+1,IF(OR(I844&lt;&gt;"",A844="x"),S843,""))</f>
        <v/>
      </c>
      <c r="T844" t="str">
        <f>IF(D844=1,MAX($T$2:$T843)+1,IF(S844=$S843,$S843,IF($D844="x",T843,IF($D843="x","",""))))</f>
        <v/>
      </c>
      <c r="U844" t="str">
        <f>IF(B844=1,MAX($U$2:$U843)+1,IF(AND($T844&lt;&gt;"",$T844=$T843),$U843,IF(B844="x",U843,"")))</f>
        <v/>
      </c>
      <c r="V844" t="str">
        <f>IF(C844=1,MAX($V$2:$V843)+1,IF(AND($T844&lt;&gt;"",$T844=$T843),$U843,IF(C844="x",V843,"")))</f>
        <v/>
      </c>
      <c r="W844" t="str" cm="1">
        <f t="array" ref="W844">IFERROR(_xlfn._xlws.FILTER(game_rosters!AB:AB,(game_rosters!J:J=events!X844)*(K844&lt;&gt;"")),"")</f>
        <v/>
      </c>
      <c r="X844" t="str" cm="1">
        <f t="array" ref="X844">IF(S844="","",IF($I844&lt;&gt;"",$I844,INDEX($I$2:$I843,ROW()-COUNTIFS($T$2:$T843,"="&amp;$T844,$S$2:$S843,"&lt;&gt;"&amp;$S844)-1)))</f>
        <v/>
      </c>
      <c r="Y844" t="b">
        <f>IF(X844&lt;&gt;"",VLOOKUP(X844,game_rosters!$C$43:$E$64,3,FALSE))</f>
        <v>0</v>
      </c>
      <c r="Z844" t="e" cm="1" vm="1">
        <f t="array" aca="1" ref="Z844" ca="1">IFERROR(IF(_xlfn._xlws.FILTER(game_rosters!$J:$J,(game_rosters!$G:$G=events!$AN844)*(game_rosters!$J:$J=events!$X844))&gt;0,1,""),"")</f>
        <v>#VALUE!</v>
      </c>
      <c r="AA844" t="e">
        <f t="shared" si="129"/>
        <v>#VALUE!</v>
      </c>
      <c r="AB844" t="str">
        <f t="shared" si="130"/>
        <v/>
      </c>
      <c r="AC844" t="e">
        <f t="shared" si="128"/>
        <v>#VALUE!</v>
      </c>
      <c r="AD844" s="6"/>
      <c r="BJ844" s="39"/>
      <c r="BM844" s="39"/>
      <c r="BO844" s="19"/>
      <c r="BQ844" s="17"/>
    </row>
    <row r="845" spans="1:69" x14ac:dyDescent="0.2">
      <c r="A845" t="str">
        <f t="shared" si="131"/>
        <v/>
      </c>
      <c r="E845" s="4"/>
      <c r="F845" s="44"/>
      <c r="G845" s="4"/>
      <c r="H845" s="47"/>
      <c r="J845" s="45" t="str">
        <f t="shared" si="132"/>
        <v/>
      </c>
      <c r="N845" t="str">
        <f t="shared" si="127"/>
        <v/>
      </c>
      <c r="Q845" t="str">
        <f t="shared" si="126"/>
        <v/>
      </c>
      <c r="S845" t="str">
        <f>IF(A845=1,MAX(S$2:S844)+1,IF(OR(I845&lt;&gt;"",A845="x"),S844,""))</f>
        <v/>
      </c>
      <c r="T845" t="str">
        <f>IF(D845=1,MAX($T$2:$T844)+1,IF(S845=$S844,$S844,IF($D845="x",T844,IF($D844="x","",""))))</f>
        <v/>
      </c>
      <c r="U845" t="str">
        <f>IF(B845=1,MAX($U$2:$U844)+1,IF(AND($T845&lt;&gt;"",$T845=$T844),$U844,IF(B845="x",U844,"")))</f>
        <v/>
      </c>
      <c r="V845" t="str">
        <f>IF(C845=1,MAX($V$2:$V844)+1,IF(AND($T845&lt;&gt;"",$T845=$T844),$U844,IF(C845="x",V844,"")))</f>
        <v/>
      </c>
      <c r="W845" t="str" cm="1">
        <f t="array" ref="W845">IFERROR(_xlfn._xlws.FILTER(game_rosters!AB:AB,(game_rosters!J:J=events!X845)*(K845&lt;&gt;"")),"")</f>
        <v/>
      </c>
      <c r="X845" t="str" cm="1">
        <f t="array" ref="X845">IF(S845="","",IF($I845&lt;&gt;"",$I845,INDEX($I$2:$I844,ROW()-COUNTIFS($T$2:$T844,"="&amp;$T845,$S$2:$S844,"&lt;&gt;"&amp;$S845)-1)))</f>
        <v/>
      </c>
      <c r="Y845" t="b">
        <f>IF(X845&lt;&gt;"",VLOOKUP(X845,game_rosters!$C$43:$E$64,3,FALSE))</f>
        <v>0</v>
      </c>
      <c r="Z845" t="e" cm="1" vm="1">
        <f t="array" aca="1" ref="Z845" ca="1">IFERROR(IF(_xlfn._xlws.FILTER(game_rosters!$J:$J,(game_rosters!$G:$G=events!$AN845)*(game_rosters!$J:$J=events!$X845))&gt;0,1,""),"")</f>
        <v>#VALUE!</v>
      </c>
      <c r="AA845" t="e">
        <f t="shared" si="129"/>
        <v>#VALUE!</v>
      </c>
      <c r="AB845" t="str">
        <f t="shared" si="130"/>
        <v/>
      </c>
      <c r="AC845" t="e">
        <f t="shared" si="128"/>
        <v>#VALUE!</v>
      </c>
      <c r="AD845" s="6"/>
      <c r="BJ845" s="39"/>
      <c r="BM845" s="39"/>
      <c r="BO845" s="19"/>
      <c r="BQ845" s="17"/>
    </row>
    <row r="846" spans="1:69" x14ac:dyDescent="0.2">
      <c r="A846" t="str">
        <f t="shared" si="131"/>
        <v/>
      </c>
      <c r="E846" s="4"/>
      <c r="F846" s="44"/>
      <c r="G846" s="4"/>
      <c r="H846" s="47"/>
      <c r="J846" s="45" t="str">
        <f t="shared" si="132"/>
        <v/>
      </c>
      <c r="N846" t="str">
        <f t="shared" si="127"/>
        <v/>
      </c>
      <c r="Q846" t="str">
        <f t="shared" si="126"/>
        <v/>
      </c>
      <c r="S846" t="str">
        <f>IF(A846=1,MAX(S$2:S845)+1,IF(OR(I846&lt;&gt;"",A846="x"),S845,""))</f>
        <v/>
      </c>
      <c r="T846" t="str">
        <f>IF(D846=1,MAX($T$2:$T845)+1,IF(S846=$S845,$S845,IF($D846="x",T845,IF($D845="x","",""))))</f>
        <v/>
      </c>
      <c r="U846" t="str">
        <f>IF(B846=1,MAX($U$2:$U845)+1,IF(AND($T846&lt;&gt;"",$T846=$T845),$U845,IF(B846="x",U845,"")))</f>
        <v/>
      </c>
      <c r="V846" t="str">
        <f>IF(C846=1,MAX($V$2:$V845)+1,IF(AND($T846&lt;&gt;"",$T846=$T845),$U845,IF(C846="x",V845,"")))</f>
        <v/>
      </c>
      <c r="W846" t="str" cm="1">
        <f t="array" ref="W846">IFERROR(_xlfn._xlws.FILTER(game_rosters!AB:AB,(game_rosters!J:J=events!X846)*(K846&lt;&gt;"")),"")</f>
        <v/>
      </c>
      <c r="X846" t="str" cm="1">
        <f t="array" ref="X846">IF(S846="","",IF($I846&lt;&gt;"",$I846,INDEX($I$2:$I845,ROW()-COUNTIFS($T$2:$T845,"="&amp;$T846,$S$2:$S845,"&lt;&gt;"&amp;$S846)-1)))</f>
        <v/>
      </c>
      <c r="Y846" t="b">
        <f>IF(X846&lt;&gt;"",VLOOKUP(X846,game_rosters!$C$43:$E$64,3,FALSE))</f>
        <v>0</v>
      </c>
      <c r="Z846" t="e" cm="1" vm="1">
        <f t="array" aca="1" ref="Z846" ca="1">IFERROR(IF(_xlfn._xlws.FILTER(game_rosters!$J:$J,(game_rosters!$G:$G=events!$AN846)*(game_rosters!$J:$J=events!$X846))&gt;0,1,""),"")</f>
        <v>#VALUE!</v>
      </c>
      <c r="AA846" t="e">
        <f t="shared" si="129"/>
        <v>#VALUE!</v>
      </c>
      <c r="AB846" t="str">
        <f t="shared" si="130"/>
        <v/>
      </c>
      <c r="AC846" t="e">
        <f t="shared" si="128"/>
        <v>#VALUE!</v>
      </c>
      <c r="AD846" s="6"/>
      <c r="BJ846" s="39"/>
      <c r="BM846" s="39"/>
      <c r="BO846" s="19"/>
      <c r="BQ846" s="17"/>
    </row>
    <row r="847" spans="1:69" x14ac:dyDescent="0.2">
      <c r="A847" t="str">
        <f t="shared" si="131"/>
        <v/>
      </c>
      <c r="E847" s="4"/>
      <c r="F847" s="44"/>
      <c r="G847" s="4"/>
      <c r="H847" s="47"/>
      <c r="J847" s="45" t="str">
        <f t="shared" si="132"/>
        <v/>
      </c>
      <c r="N847" t="str">
        <f t="shared" si="127"/>
        <v/>
      </c>
      <c r="Q847" t="str">
        <f t="shared" si="126"/>
        <v/>
      </c>
      <c r="S847" t="str">
        <f>IF(A847=1,MAX(S$2:S846)+1,IF(OR(I847&lt;&gt;"",A847="x"),S846,""))</f>
        <v/>
      </c>
      <c r="T847" t="str">
        <f>IF(D847=1,MAX($T$2:$T846)+1,IF(S847=$S846,$S846,IF($D847="x",T846,IF($D846="x","",""))))</f>
        <v/>
      </c>
      <c r="U847" t="str">
        <f>IF(B847=1,MAX($U$2:$U846)+1,IF(AND($T847&lt;&gt;"",$T847=$T846),$U846,IF(B847="x",U846,"")))</f>
        <v/>
      </c>
      <c r="V847" t="str">
        <f>IF(C847=1,MAX($V$2:$V846)+1,IF(AND($T847&lt;&gt;"",$T847=$T846),$U846,IF(C847="x",V846,"")))</f>
        <v/>
      </c>
      <c r="W847" t="str" cm="1">
        <f t="array" ref="W847">IFERROR(_xlfn._xlws.FILTER(game_rosters!AB:AB,(game_rosters!J:J=events!X847)*(K847&lt;&gt;"")),"")</f>
        <v/>
      </c>
      <c r="X847" t="str" cm="1">
        <f t="array" ref="X847">IF(S847="","",IF($I847&lt;&gt;"",$I847,INDEX($I$2:$I846,ROW()-COUNTIFS($T$2:$T846,"="&amp;$T847,$S$2:$S846,"&lt;&gt;"&amp;$S847)-1)))</f>
        <v/>
      </c>
      <c r="Y847" t="b">
        <f>IF(X847&lt;&gt;"",VLOOKUP(X847,game_rosters!$C$43:$E$64,3,FALSE))</f>
        <v>0</v>
      </c>
      <c r="Z847" t="e" cm="1" vm="1">
        <f t="array" aca="1" ref="Z847" ca="1">IFERROR(IF(_xlfn._xlws.FILTER(game_rosters!$J:$J,(game_rosters!$G:$G=events!$AN847)*(game_rosters!$J:$J=events!$X847))&gt;0,1,""),"")</f>
        <v>#VALUE!</v>
      </c>
      <c r="AA847" t="e">
        <f t="shared" si="129"/>
        <v>#VALUE!</v>
      </c>
      <c r="AB847" t="str">
        <f t="shared" si="130"/>
        <v/>
      </c>
      <c r="AC847" t="e">
        <f t="shared" si="128"/>
        <v>#VALUE!</v>
      </c>
      <c r="AD847" s="6"/>
      <c r="BJ847" s="39"/>
      <c r="BM847" s="39"/>
      <c r="BO847" s="19"/>
      <c r="BQ847" s="17"/>
    </row>
    <row r="848" spans="1:69" x14ac:dyDescent="0.2">
      <c r="A848" t="str">
        <f t="shared" si="131"/>
        <v/>
      </c>
      <c r="E848" s="4"/>
      <c r="F848" s="44"/>
      <c r="G848" s="4"/>
      <c r="H848" s="47"/>
      <c r="J848" s="45" t="str">
        <f t="shared" si="132"/>
        <v/>
      </c>
      <c r="N848" t="str">
        <f t="shared" si="127"/>
        <v/>
      </c>
      <c r="Q848" t="str">
        <f t="shared" ref="Q848:Q860" si="133">IF(O848="","",IF(AND(N848&lt;&gt;"",OR(O848&lt;&gt;"",P848&lt;&gt;"")),N848,IF(OR(ISNUMBER(SEARCH("attemp",O848)),ISNUMBER(SEARCH("beat",O848)),ISNUMBER(SEARCH("mis",O848)),ISNUMBER(SEARCH("fail",O848)),ISNUMBER(SEARCH("loss",O848)),ISNUMBER(SEARCH("lost",O848)),ISNUMBER(SEARCH("attemp",P848)),ISNUMBER(SEARCH("mis",P848)),ISNUMBER(SEARCH("fail",P848)),ISNUMBER(SEARCH("loss",P848)),ISNUMBER(SEARCH("beat",P848)),ISNUMBER(SEARCH("lost",P848))),"u","")))</f>
        <v/>
      </c>
      <c r="S848" t="str">
        <f>IF(A848=1,MAX(S$2:S847)+1,IF(OR(I848&lt;&gt;"",A848="x"),S847,""))</f>
        <v/>
      </c>
      <c r="T848" t="str">
        <f>IF(D848=1,MAX($T$2:$T847)+1,IF(S848=$S847,$S847,IF($D848="x",T847,IF($D847="x","",""))))</f>
        <v/>
      </c>
      <c r="U848" t="str">
        <f>IF(B848=1,MAX($U$2:$U847)+1,IF(AND($T848&lt;&gt;"",$T848=$T847),$U847,IF(B848="x",U847,"")))</f>
        <v/>
      </c>
      <c r="V848" t="str">
        <f>IF(C848=1,MAX($V$2:$V847)+1,IF(AND($T848&lt;&gt;"",$T848=$T847),$U847,IF(C848="x",V847,"")))</f>
        <v/>
      </c>
      <c r="W848" t="str" cm="1">
        <f t="array" ref="W848">IFERROR(_xlfn._xlws.FILTER(game_rosters!AB:AB,(game_rosters!J:J=events!X848)*(K848&lt;&gt;"")),"")</f>
        <v/>
      </c>
      <c r="X848" t="str" cm="1">
        <f t="array" ref="X848">IF(S848="","",IF($I848&lt;&gt;"",$I848,INDEX($I$2:$I847,ROW()-COUNTIFS($T$2:$T847,"="&amp;$T848,$S$2:$S847,"&lt;&gt;"&amp;$S848)-1)))</f>
        <v/>
      </c>
      <c r="Y848" t="b">
        <f>IF(X848&lt;&gt;"",VLOOKUP(X848,game_rosters!$C$43:$E$64,3,FALSE))</f>
        <v>0</v>
      </c>
      <c r="Z848" t="e" cm="1" vm="1">
        <f t="array" aca="1" ref="Z848" ca="1">IFERROR(IF(_xlfn._xlws.FILTER(game_rosters!$J:$J,(game_rosters!$G:$G=events!$AN848)*(game_rosters!$J:$J=events!$X848))&gt;0,1,""),"")</f>
        <v>#VALUE!</v>
      </c>
      <c r="AA848" t="e">
        <f t="shared" si="129"/>
        <v>#VALUE!</v>
      </c>
      <c r="AB848" t="str">
        <f t="shared" si="130"/>
        <v/>
      </c>
      <c r="AC848" t="e">
        <f t="shared" si="128"/>
        <v>#VALUE!</v>
      </c>
      <c r="AD848" s="6"/>
      <c r="BJ848" s="39"/>
      <c r="BM848" s="39"/>
      <c r="BO848" s="19"/>
      <c r="BQ848" s="17"/>
    </row>
    <row r="849" spans="1:69" x14ac:dyDescent="0.2">
      <c r="A849" t="str">
        <f t="shared" si="131"/>
        <v/>
      </c>
      <c r="E849" s="4"/>
      <c r="F849" s="44"/>
      <c r="G849" s="4"/>
      <c r="H849" s="47"/>
      <c r="J849" s="45" t="str">
        <f t="shared" si="132"/>
        <v/>
      </c>
      <c r="N849" t="str">
        <f t="shared" si="127"/>
        <v/>
      </c>
      <c r="Q849" t="str">
        <f t="shared" si="133"/>
        <v/>
      </c>
      <c r="S849" t="str">
        <f>IF(A849=1,MAX(S$2:S848)+1,IF(OR(I849&lt;&gt;"",A849="x"),S848,""))</f>
        <v/>
      </c>
      <c r="T849" t="str">
        <f>IF(D849=1,MAX($T$2:$T848)+1,IF(S849=$S848,$S848,IF($D849="x",T848,IF($D848="x","",""))))</f>
        <v/>
      </c>
      <c r="U849" t="str">
        <f>IF(B849=1,MAX($U$2:$U848)+1,IF(AND($T849&lt;&gt;"",$T849=$T848),$U848,IF(B849="x",U848,"")))</f>
        <v/>
      </c>
      <c r="V849" t="str">
        <f>IF(C849=1,MAX($V$2:$V848)+1,IF(AND($T849&lt;&gt;"",$T849=$T848),$U848,IF(C849="x",V848,"")))</f>
        <v/>
      </c>
      <c r="W849" t="str" cm="1">
        <f t="array" ref="W849">IFERROR(_xlfn._xlws.FILTER(game_rosters!AB:AB,(game_rosters!J:J=events!X849)*(K849&lt;&gt;"")),"")</f>
        <v/>
      </c>
      <c r="X849" t="str" cm="1">
        <f t="array" ref="X849">IF(S849="","",IF($I849&lt;&gt;"",$I849,INDEX($I$2:$I848,ROW()-COUNTIFS($T$2:$T848,"="&amp;$T849,$S$2:$S848,"&lt;&gt;"&amp;$S849)-1)))</f>
        <v/>
      </c>
      <c r="Y849" t="b">
        <f>IF(X849&lt;&gt;"",VLOOKUP(X849,game_rosters!$C$43:$E$64,3,FALSE))</f>
        <v>0</v>
      </c>
      <c r="Z849" t="e" cm="1" vm="1">
        <f t="array" aca="1" ref="Z849" ca="1">IFERROR(IF(_xlfn._xlws.FILTER(game_rosters!$J:$J,(game_rosters!$G:$G=events!$AN849)*(game_rosters!$J:$J=events!$X849))&gt;0,1,""),"")</f>
        <v>#VALUE!</v>
      </c>
      <c r="AA849" t="e">
        <f t="shared" si="129"/>
        <v>#VALUE!</v>
      </c>
      <c r="AB849" t="str">
        <f t="shared" si="130"/>
        <v/>
      </c>
      <c r="AC849" t="e">
        <f t="shared" si="128"/>
        <v>#VALUE!</v>
      </c>
      <c r="AD849" s="6"/>
      <c r="BJ849" s="39"/>
      <c r="BM849" s="39"/>
      <c r="BO849" s="19"/>
      <c r="BQ849" s="17"/>
    </row>
    <row r="850" spans="1:69" x14ac:dyDescent="0.2">
      <c r="A850" t="str">
        <f t="shared" si="131"/>
        <v/>
      </c>
      <c r="E850" s="4"/>
      <c r="F850" s="44"/>
      <c r="G850" s="4"/>
      <c r="H850" s="47"/>
      <c r="J850" s="45" t="str">
        <f t="shared" si="132"/>
        <v/>
      </c>
      <c r="N850" t="str">
        <f t="shared" si="127"/>
        <v/>
      </c>
      <c r="Q850" t="str">
        <f t="shared" si="133"/>
        <v/>
      </c>
      <c r="S850" t="str">
        <f>IF(A850=1,MAX(S$2:S849)+1,IF(OR(I850&lt;&gt;"",A850="x"),S849,""))</f>
        <v/>
      </c>
      <c r="T850" t="str">
        <f>IF(D850=1,MAX($T$2:$T849)+1,IF(S850=$S849,$S849,IF($D850="x",T849,IF($D849="x","",""))))</f>
        <v/>
      </c>
      <c r="U850" t="str">
        <f>IF(B850=1,MAX($U$2:$U849)+1,IF(AND($T850&lt;&gt;"",$T850=$T849),$U849,IF(B850="x",U849,"")))</f>
        <v/>
      </c>
      <c r="V850" t="str">
        <f>IF(C850=1,MAX($V$2:$V849)+1,IF(AND($T850&lt;&gt;"",$T850=$T849),$U849,IF(C850="x",V849,"")))</f>
        <v/>
      </c>
      <c r="W850" t="str" cm="1">
        <f t="array" ref="W850">IFERROR(_xlfn._xlws.FILTER(game_rosters!AB:AB,(game_rosters!J:J=events!X850)*(K850&lt;&gt;"")),"")</f>
        <v/>
      </c>
      <c r="X850" t="str" cm="1">
        <f t="array" ref="X850">IF(S850="","",IF($I850&lt;&gt;"",$I850,INDEX($I$2:$I849,ROW()-COUNTIFS($T$2:$T849,"="&amp;$T850,$S$2:$S849,"&lt;&gt;"&amp;$S850)-1)))</f>
        <v/>
      </c>
      <c r="Y850" t="b">
        <f>IF(X850&lt;&gt;"",VLOOKUP(X850,game_rosters!$C$43:$E$64,3,FALSE))</f>
        <v>0</v>
      </c>
      <c r="Z850" t="e" cm="1" vm="1">
        <f t="array" aca="1" ref="Z850" ca="1">IFERROR(IF(_xlfn._xlws.FILTER(game_rosters!$J:$J,(game_rosters!$G:$G=events!$AN850)*(game_rosters!$J:$J=events!$X850))&gt;0,1,""),"")</f>
        <v>#VALUE!</v>
      </c>
      <c r="AA850" t="e">
        <f t="shared" si="129"/>
        <v>#VALUE!</v>
      </c>
      <c r="AB850" t="str">
        <f t="shared" si="130"/>
        <v/>
      </c>
      <c r="AC850" t="e">
        <f t="shared" si="128"/>
        <v>#VALUE!</v>
      </c>
      <c r="AD850" s="6"/>
      <c r="BJ850" s="39"/>
      <c r="BM850" s="39"/>
      <c r="BO850" s="19"/>
      <c r="BQ850" s="17"/>
    </row>
    <row r="851" spans="1:69" x14ac:dyDescent="0.2">
      <c r="A851" t="str">
        <f t="shared" si="131"/>
        <v/>
      </c>
      <c r="E851" s="4"/>
      <c r="F851" s="44"/>
      <c r="G851" s="4"/>
      <c r="H851" s="47"/>
      <c r="J851" s="45" t="str">
        <f t="shared" si="132"/>
        <v/>
      </c>
      <c r="N851" t="str">
        <f t="shared" si="127"/>
        <v/>
      </c>
      <c r="Q851" t="str">
        <f t="shared" si="133"/>
        <v/>
      </c>
      <c r="S851" t="str">
        <f>IF(A851=1,MAX(S$2:S850)+1,IF(OR(I851&lt;&gt;"",A851="x"),S850,""))</f>
        <v/>
      </c>
      <c r="T851" t="str">
        <f>IF(D851=1,MAX($T$2:$T850)+1,IF(S851=$S850,$S850,IF($D851="x",T850,IF($D850="x","",""))))</f>
        <v/>
      </c>
      <c r="U851" t="str">
        <f>IF(B851=1,MAX($U$2:$U850)+1,IF(AND($T851&lt;&gt;"",$T851=$T850),$U850,IF(B851="x",U850,"")))</f>
        <v/>
      </c>
      <c r="V851" t="str">
        <f>IF(C851=1,MAX($V$2:$V850)+1,IF(AND($T851&lt;&gt;"",$T851=$T850),$U850,IF(C851="x",V850,"")))</f>
        <v/>
      </c>
      <c r="W851" t="str" cm="1">
        <f t="array" ref="W851">IFERROR(_xlfn._xlws.FILTER(game_rosters!AB:AB,(game_rosters!J:J=events!X851)*(K851&lt;&gt;"")),"")</f>
        <v/>
      </c>
      <c r="X851" t="str" cm="1">
        <f t="array" ref="X851">IF(S851="","",IF($I851&lt;&gt;"",$I851,INDEX($I$2:$I850,ROW()-COUNTIFS($T$2:$T850,"="&amp;$T851,$S$2:$S850,"&lt;&gt;"&amp;$S851)-1)))</f>
        <v/>
      </c>
      <c r="Y851" t="b">
        <f>IF(X851&lt;&gt;"",VLOOKUP(X851,game_rosters!$C$43:$E$64,3,FALSE))</f>
        <v>0</v>
      </c>
      <c r="Z851" t="e" cm="1" vm="1">
        <f t="array" aca="1" ref="Z851" ca="1">IFERROR(IF(_xlfn._xlws.FILTER(game_rosters!$J:$J,(game_rosters!$G:$G=events!$AN851)*(game_rosters!$J:$J=events!$X851))&gt;0,1,""),"")</f>
        <v>#VALUE!</v>
      </c>
      <c r="AA851" t="e">
        <f t="shared" si="129"/>
        <v>#VALUE!</v>
      </c>
      <c r="AB851" t="str">
        <f t="shared" si="130"/>
        <v/>
      </c>
      <c r="AC851" t="e">
        <f t="shared" si="128"/>
        <v>#VALUE!</v>
      </c>
      <c r="AD851" s="6"/>
      <c r="BJ851" s="39"/>
      <c r="BM851" s="39"/>
      <c r="BO851" s="19"/>
      <c r="BQ851" s="17"/>
    </row>
    <row r="852" spans="1:69" x14ac:dyDescent="0.2">
      <c r="A852" t="str">
        <f t="shared" si="131"/>
        <v/>
      </c>
      <c r="E852" s="4"/>
      <c r="F852" s="44"/>
      <c r="G852" s="4"/>
      <c r="H852" s="47"/>
      <c r="J852" s="45" t="str">
        <f t="shared" si="132"/>
        <v/>
      </c>
      <c r="N852" t="str">
        <f t="shared" si="127"/>
        <v/>
      </c>
      <c r="Q852" t="str">
        <f t="shared" si="133"/>
        <v/>
      </c>
      <c r="S852" t="str">
        <f>IF(A852=1,MAX(S$2:S851)+1,IF(OR(I852&lt;&gt;"",A852="x"),S851,""))</f>
        <v/>
      </c>
      <c r="T852" t="str">
        <f>IF(D852=1,MAX($T$2:$T851)+1,IF(S852=$S851,$S851,IF($D852="x",T851,IF($D851="x","",""))))</f>
        <v/>
      </c>
      <c r="U852" t="str">
        <f>IF(B852=1,MAX($U$2:$U851)+1,IF(AND($T852&lt;&gt;"",$T852=$T851),$U851,IF(B852="x",U851,"")))</f>
        <v/>
      </c>
      <c r="V852" t="str">
        <f>IF(C852=1,MAX($V$2:$V851)+1,IF(AND($T852&lt;&gt;"",$T852=$T851),$U851,IF(C852="x",V851,"")))</f>
        <v/>
      </c>
      <c r="W852" t="str" cm="1">
        <f t="array" ref="W852">IFERROR(_xlfn._xlws.FILTER(game_rosters!AB:AB,(game_rosters!J:J=events!X852)*(K852&lt;&gt;"")),"")</f>
        <v/>
      </c>
      <c r="X852" t="str" cm="1">
        <f t="array" ref="X852">IF(S852="","",IF($I852&lt;&gt;"",$I852,INDEX($I$2:$I851,ROW()-COUNTIFS($T$2:$T851,"="&amp;$T852,$S$2:$S851,"&lt;&gt;"&amp;$S852)-1)))</f>
        <v/>
      </c>
      <c r="Y852" t="b">
        <f>IF(X852&lt;&gt;"",VLOOKUP(X852,game_rosters!$C$43:$E$64,3,FALSE))</f>
        <v>0</v>
      </c>
      <c r="Z852" t="e" cm="1" vm="1">
        <f t="array" aca="1" ref="Z852" ca="1">IFERROR(IF(_xlfn._xlws.FILTER(game_rosters!$J:$J,(game_rosters!$G:$G=events!$AN852)*(game_rosters!$J:$J=events!$X852))&gt;0,1,""),"")</f>
        <v>#VALUE!</v>
      </c>
      <c r="AA852" t="e">
        <f t="shared" si="129"/>
        <v>#VALUE!</v>
      </c>
      <c r="AB852" t="str">
        <f t="shared" si="130"/>
        <v/>
      </c>
      <c r="AC852" t="e">
        <f t="shared" si="128"/>
        <v>#VALUE!</v>
      </c>
      <c r="AD852" s="6"/>
      <c r="BJ852" s="39"/>
      <c r="BM852" s="39"/>
      <c r="BO852" s="19"/>
      <c r="BQ852" s="17"/>
    </row>
    <row r="853" spans="1:69" x14ac:dyDescent="0.2">
      <c r="A853" t="str">
        <f t="shared" si="131"/>
        <v/>
      </c>
      <c r="E853" s="4"/>
      <c r="F853" s="44"/>
      <c r="G853" s="4"/>
      <c r="H853" s="47"/>
      <c r="J853" s="45" t="str">
        <f t="shared" si="132"/>
        <v/>
      </c>
      <c r="N853" t="str">
        <f t="shared" ref="N853:N860" si="134">IF(K853="","",IF(K853="Goal","s",IF(AND(K853="Zone_Entry_Exit",OR(ISNUMBER(SEARCH("fail",L853)),ISNUMBER(SEARCH("FromExitClear",M853)),ISNUMBER(SEARCH("miss",M853)))),"u",IF(AND(K853="Zone_Entry_Exit",OR(NOT(ISNUMBER(SEARCH("fail",L853))),NOT(ISNUMBER(SEARCH("FromExitClear",M853))),NOT(ISNUMBER(SEARCH("miss",M853))))),"s",IF(AND(OR(K853="Shot",K853="Pass"),OR(ISNUMBER(SEARCH("complete",L853)),ISNUMBER(SEARCH("goal",L853)),ISNUMBER(SEARCH("OnNet",L853)))),"s",IF(L853="Turnover_Giveaway","u",IF(AND(OR(K853="Shot",K853="Pass"),OR(ISNUMBER(SEARCH("fail",L853)),NOT(ISNUMBER(SEARCH("complete",L853))),NOT(ISNUMBER(SEARCH("OnNet",L853))))),"u","")))))))</f>
        <v/>
      </c>
      <c r="Q853" t="str">
        <f t="shared" si="133"/>
        <v/>
      </c>
      <c r="S853" t="str">
        <f>IF(A853=1,MAX(S$2:S852)+1,IF(OR(I853&lt;&gt;"",A853="x"),S852,""))</f>
        <v/>
      </c>
      <c r="T853" t="str">
        <f>IF(D853=1,MAX($T$2:$T852)+1,IF(S853=$S852,$S852,IF($D853="x",T852,IF($D852="x","",""))))</f>
        <v/>
      </c>
      <c r="U853" t="str">
        <f>IF(B853=1,MAX($U$2:$U852)+1,IF(AND($T853&lt;&gt;"",$T853=$T852),$U852,IF(B853="x",U852,"")))</f>
        <v/>
      </c>
      <c r="V853" t="str">
        <f>IF(C853=1,MAX($V$2:$V852)+1,IF(AND($T853&lt;&gt;"",$T853=$T852),$U852,IF(C853="x",V852,"")))</f>
        <v/>
      </c>
      <c r="W853" t="str" cm="1">
        <f t="array" ref="W853">IFERROR(_xlfn._xlws.FILTER(game_rosters!AB:AB,(game_rosters!J:J=events!X853)*(K853&lt;&gt;"")),"")</f>
        <v/>
      </c>
      <c r="X853" t="str" cm="1">
        <f t="array" ref="X853">IF(S853="","",IF($I853&lt;&gt;"",$I853,INDEX($I$2:$I852,ROW()-COUNTIFS($T$2:$T852,"="&amp;$T853,$S$2:$S852,"&lt;&gt;"&amp;$S853)-1)))</f>
        <v/>
      </c>
      <c r="Y853" t="b">
        <f>IF(X853&lt;&gt;"",VLOOKUP(X853,game_rosters!$C$43:$E$64,3,FALSE))</f>
        <v>0</v>
      </c>
      <c r="Z853" t="e" cm="1" vm="1">
        <f t="array" aca="1" ref="Z853" ca="1">IFERROR(IF(_xlfn._xlws.FILTER(game_rosters!$J:$J,(game_rosters!$G:$G=events!$AN853)*(game_rosters!$J:$J=events!$X853))&gt;0,1,""),"")</f>
        <v>#VALUE!</v>
      </c>
      <c r="AA853" t="e">
        <f t="shared" si="129"/>
        <v>#VALUE!</v>
      </c>
      <c r="AB853" t="str">
        <f t="shared" si="130"/>
        <v/>
      </c>
      <c r="AC853" t="e">
        <f t="shared" si="128"/>
        <v>#VALUE!</v>
      </c>
      <c r="AD853" s="6"/>
      <c r="BJ853" s="39"/>
      <c r="BM853" s="39"/>
      <c r="BO853" s="19"/>
      <c r="BQ853" s="17"/>
    </row>
    <row r="854" spans="1:69" x14ac:dyDescent="0.2">
      <c r="A854" t="str">
        <f t="shared" si="131"/>
        <v/>
      </c>
      <c r="E854" s="4"/>
      <c r="F854" s="44"/>
      <c r="G854" s="4"/>
      <c r="H854" s="47"/>
      <c r="J854" s="45" t="str">
        <f t="shared" si="132"/>
        <v/>
      </c>
      <c r="N854" t="str">
        <f t="shared" si="134"/>
        <v/>
      </c>
      <c r="Q854" t="str">
        <f t="shared" si="133"/>
        <v/>
      </c>
      <c r="S854" t="str">
        <f>IF(A854=1,MAX(S$2:S853)+1,IF(OR(I854&lt;&gt;"",A854="x"),S853,""))</f>
        <v/>
      </c>
      <c r="T854" t="str">
        <f>IF(D854=1,MAX($T$2:$T853)+1,IF(S854=$S853,$S853,IF($D854="x",T853,IF($D853="x","",""))))</f>
        <v/>
      </c>
      <c r="U854" t="str">
        <f>IF(B854=1,MAX($U$2:$U853)+1,IF(AND($T854&lt;&gt;"",$T854=$T853),$U853,IF(B854="x",U853,"")))</f>
        <v/>
      </c>
      <c r="V854" t="str">
        <f>IF(C854=1,MAX($V$2:$V853)+1,IF(AND($T854&lt;&gt;"",$T854=$T853),$U853,IF(C854="x",V853,"")))</f>
        <v/>
      </c>
      <c r="W854" t="str" cm="1">
        <f t="array" ref="W854">IFERROR(_xlfn._xlws.FILTER(game_rosters!AB:AB,(game_rosters!J:J=events!X854)*(K854&lt;&gt;"")),"")</f>
        <v/>
      </c>
      <c r="X854" t="str" cm="1">
        <f t="array" ref="X854">IF(S854="","",IF($I854&lt;&gt;"",$I854,INDEX($I$2:$I853,ROW()-COUNTIFS($T$2:$T853,"="&amp;$T854,$S$2:$S853,"&lt;&gt;"&amp;$S854)-1)))</f>
        <v/>
      </c>
      <c r="Y854" t="b">
        <f>IF(X854&lt;&gt;"",VLOOKUP(X854,game_rosters!$C$43:$E$64,3,FALSE))</f>
        <v>0</v>
      </c>
      <c r="Z854" t="e" cm="1" vm="1">
        <f t="array" aca="1" ref="Z854" ca="1">IFERROR(IF(_xlfn._xlws.FILTER(game_rosters!$J:$J,(game_rosters!$G:$G=events!$AN854)*(game_rosters!$J:$J=events!$X854))&gt;0,1,""),"")</f>
        <v>#VALUE!</v>
      </c>
      <c r="AA854" t="e">
        <f t="shared" si="129"/>
        <v>#VALUE!</v>
      </c>
      <c r="AB854" t="str">
        <f t="shared" si="130"/>
        <v/>
      </c>
      <c r="AC854" t="e">
        <f t="shared" si="128"/>
        <v>#VALUE!</v>
      </c>
      <c r="AD854" s="6"/>
      <c r="BJ854" s="39"/>
      <c r="BM854" s="39"/>
      <c r="BO854" s="19"/>
      <c r="BQ854" s="17"/>
    </row>
    <row r="855" spans="1:69" x14ac:dyDescent="0.2">
      <c r="A855" t="str">
        <f t="shared" si="131"/>
        <v/>
      </c>
      <c r="E855" s="4"/>
      <c r="F855" s="44"/>
      <c r="G855" s="4"/>
      <c r="H855" s="47"/>
      <c r="J855" s="45" t="str">
        <f t="shared" si="132"/>
        <v/>
      </c>
      <c r="N855" t="str">
        <f t="shared" si="134"/>
        <v/>
      </c>
      <c r="Q855" t="str">
        <f t="shared" si="133"/>
        <v/>
      </c>
      <c r="S855" t="str">
        <f>IF(A855=1,MAX(S$2:S854)+1,IF(OR(I855&lt;&gt;"",A855="x"),S854,""))</f>
        <v/>
      </c>
      <c r="T855" t="str">
        <f>IF(D855=1,MAX($T$2:$T854)+1,IF(S855=$S854,$S854,IF($D855="x",T854,IF($D854="x","",""))))</f>
        <v/>
      </c>
      <c r="U855" t="str">
        <f>IF(B855=1,MAX($U$2:$U854)+1,IF(AND($T855&lt;&gt;"",$T855=$T854),$U854,IF(B855="x",U854,"")))</f>
        <v/>
      </c>
      <c r="V855" t="str">
        <f>IF(C855=1,MAX($V$2:$V854)+1,IF(AND($T855&lt;&gt;"",$T855=$T854),$U854,IF(C855="x",V854,"")))</f>
        <v/>
      </c>
      <c r="W855" t="str" cm="1">
        <f t="array" ref="W855">IFERROR(_xlfn._xlws.FILTER(game_rosters!AB:AB,(game_rosters!J:J=events!X855)*(K855&lt;&gt;"")),"")</f>
        <v/>
      </c>
      <c r="X855" t="str" cm="1">
        <f t="array" ref="X855">IF(S855="","",IF($I855&lt;&gt;"",$I855,INDEX($I$2:$I854,ROW()-COUNTIFS($T$2:$T854,"="&amp;$T855,$S$2:$S854,"&lt;&gt;"&amp;$S855)-1)))</f>
        <v/>
      </c>
      <c r="Y855" t="b">
        <f>IF(X855&lt;&gt;"",VLOOKUP(X855,game_rosters!$C$43:$E$64,3,FALSE))</f>
        <v>0</v>
      </c>
      <c r="Z855" t="e" cm="1" vm="1">
        <f t="array" aca="1" ref="Z855" ca="1">IFERROR(IF(_xlfn._xlws.FILTER(game_rosters!$J:$J,(game_rosters!$G:$G=events!$AN855)*(game_rosters!$J:$J=events!$X855))&gt;0,1,""),"")</f>
        <v>#VALUE!</v>
      </c>
      <c r="AA855" t="e">
        <f t="shared" si="129"/>
        <v>#VALUE!</v>
      </c>
      <c r="AB855" t="str">
        <f t="shared" si="130"/>
        <v/>
      </c>
      <c r="AC855" t="e">
        <f t="shared" si="128"/>
        <v>#VALUE!</v>
      </c>
      <c r="AD855" s="6"/>
      <c r="BJ855" s="39"/>
      <c r="BM855" s="39"/>
      <c r="BO855" s="19"/>
      <c r="BQ855" s="17"/>
    </row>
    <row r="856" spans="1:69" x14ac:dyDescent="0.2">
      <c r="A856" t="str">
        <f t="shared" si="131"/>
        <v/>
      </c>
      <c r="E856" s="4"/>
      <c r="F856" s="44"/>
      <c r="G856" s="4"/>
      <c r="H856" s="47"/>
      <c r="J856" s="45" t="str">
        <f t="shared" si="132"/>
        <v/>
      </c>
      <c r="N856" t="str">
        <f t="shared" si="134"/>
        <v/>
      </c>
      <c r="Q856" t="str">
        <f t="shared" si="133"/>
        <v/>
      </c>
      <c r="S856" t="str">
        <f>IF(A856=1,MAX(S$2:S855)+1,IF(OR(I856&lt;&gt;"",A856="x"),S855,""))</f>
        <v/>
      </c>
      <c r="T856" t="str">
        <f>IF(D856=1,MAX($T$2:$T855)+1,IF(S856=$S855,$S855,IF($D856="x",T855,IF($D855="x","",""))))</f>
        <v/>
      </c>
      <c r="U856" t="str">
        <f>IF(B856=1,MAX($U$2:$U855)+1,IF(AND($T856&lt;&gt;"",$T856=$T855),$U855,IF(B856="x",U855,"")))</f>
        <v/>
      </c>
      <c r="V856" t="str">
        <f>IF(C856=1,MAX($V$2:$V855)+1,IF(AND($T856&lt;&gt;"",$T856=$T855),$U855,IF(C856="x",V855,"")))</f>
        <v/>
      </c>
      <c r="W856" t="str" cm="1">
        <f t="array" ref="W856">IFERROR(_xlfn._xlws.FILTER(game_rosters!AB:AB,(game_rosters!J:J=events!X856)*(K856&lt;&gt;"")),"")</f>
        <v/>
      </c>
      <c r="X856" t="str" cm="1">
        <f t="array" ref="X856">IF(S856="","",IF($I856&lt;&gt;"",$I856,INDEX($I$2:$I855,ROW()-COUNTIFS($T$2:$T855,"="&amp;$T856,$S$2:$S855,"&lt;&gt;"&amp;$S856)-1)))</f>
        <v/>
      </c>
      <c r="Y856" t="b">
        <f>IF(X856&lt;&gt;"",VLOOKUP(X856,game_rosters!$C$43:$E$64,3,FALSE))</f>
        <v>0</v>
      </c>
      <c r="Z856" t="e" cm="1" vm="1">
        <f t="array" aca="1" ref="Z856" ca="1">IFERROR(IF(_xlfn._xlws.FILTER(game_rosters!$J:$J,(game_rosters!$G:$G=events!$AN856)*(game_rosters!$J:$J=events!$X856))&gt;0,1,""),"")</f>
        <v>#VALUE!</v>
      </c>
      <c r="AA856" t="e">
        <f t="shared" si="129"/>
        <v>#VALUE!</v>
      </c>
      <c r="AB856" t="str">
        <f t="shared" si="130"/>
        <v/>
      </c>
      <c r="AC856" t="e">
        <f t="shared" si="128"/>
        <v>#VALUE!</v>
      </c>
      <c r="AD856" s="6"/>
      <c r="BJ856" s="39"/>
      <c r="BM856" s="39"/>
      <c r="BO856" s="19"/>
      <c r="BQ856" s="17"/>
    </row>
    <row r="857" spans="1:69" x14ac:dyDescent="0.2">
      <c r="A857" t="str">
        <f t="shared" si="131"/>
        <v/>
      </c>
      <c r="E857" s="4"/>
      <c r="F857" s="44"/>
      <c r="G857" s="4"/>
      <c r="H857" s="47"/>
      <c r="J857" s="45" t="str">
        <f t="shared" si="132"/>
        <v/>
      </c>
      <c r="N857" t="str">
        <f t="shared" si="134"/>
        <v/>
      </c>
      <c r="Q857" t="str">
        <f t="shared" si="133"/>
        <v/>
      </c>
      <c r="S857" t="str">
        <f>IF(A857=1,MAX(S$2:S856)+1,IF(OR(I857&lt;&gt;"",A857="x"),S856,""))</f>
        <v/>
      </c>
      <c r="T857" t="str">
        <f>IF(D857=1,MAX($T$2:$T856)+1,IF(S857=$S856,$S856,IF($D857="x",T856,IF($D856="x","",""))))</f>
        <v/>
      </c>
      <c r="U857" t="str">
        <f>IF(B857=1,MAX($U$2:$U856)+1,IF(AND($T857&lt;&gt;"",$T857=$T856),$U856,IF(B857="x",U856,"")))</f>
        <v/>
      </c>
      <c r="V857" t="str">
        <f>IF(C857=1,MAX($V$2:$V856)+1,IF(AND($T857&lt;&gt;"",$T857=$T856),$U856,IF(C857="x",V856,"")))</f>
        <v/>
      </c>
      <c r="W857" t="str" cm="1">
        <f t="array" ref="W857">IFERROR(_xlfn._xlws.FILTER(game_rosters!AB:AB,(game_rosters!J:J=events!X857)*(K857&lt;&gt;"")),"")</f>
        <v/>
      </c>
      <c r="X857" t="str" cm="1">
        <f t="array" ref="X857">IF(S857="","",IF($I857&lt;&gt;"",$I857,INDEX($I$2:$I856,ROW()-COUNTIFS($T$2:$T856,"="&amp;$T857,$S$2:$S856,"&lt;&gt;"&amp;$S857)-1)))</f>
        <v/>
      </c>
      <c r="Y857" t="b">
        <f>IF(X857&lt;&gt;"",VLOOKUP(X857,game_rosters!$C$43:$E$64,3,FALSE))</f>
        <v>0</v>
      </c>
      <c r="Z857" t="e" cm="1" vm="1">
        <f t="array" aca="1" ref="Z857" ca="1">IFERROR(IF(_xlfn._xlws.FILTER(game_rosters!$J:$J,(game_rosters!$G:$G=events!$AN857)*(game_rosters!$J:$J=events!$X857))&gt;0,1,""),"")</f>
        <v>#VALUE!</v>
      </c>
      <c r="AA857" t="e">
        <f t="shared" si="129"/>
        <v>#VALUE!</v>
      </c>
      <c r="AB857" t="str">
        <f t="shared" si="130"/>
        <v/>
      </c>
      <c r="AC857" t="e">
        <f t="shared" si="128"/>
        <v>#VALUE!</v>
      </c>
      <c r="AD857" s="6"/>
      <c r="BJ857" s="39"/>
      <c r="BM857" s="39"/>
      <c r="BO857" s="19"/>
      <c r="BQ857" s="17"/>
    </row>
    <row r="858" spans="1:69" x14ac:dyDescent="0.2">
      <c r="A858" t="str">
        <f t="shared" si="131"/>
        <v/>
      </c>
      <c r="E858" s="4"/>
      <c r="F858" s="44"/>
      <c r="G858" s="4"/>
      <c r="H858" s="47"/>
      <c r="J858" s="45" t="str">
        <f t="shared" si="132"/>
        <v/>
      </c>
      <c r="N858" t="str">
        <f t="shared" si="134"/>
        <v/>
      </c>
      <c r="Q858" t="str">
        <f t="shared" si="133"/>
        <v/>
      </c>
      <c r="S858" t="str">
        <f>IF(A858=1,MAX(S$2:S857)+1,IF(OR(I858&lt;&gt;"",A858="x"),S857,""))</f>
        <v/>
      </c>
      <c r="T858" t="str">
        <f>IF(D858=1,MAX($T$2:$T857)+1,IF(S858=$S857,$S857,IF($D858="x",T857,IF($D857="x","",""))))</f>
        <v/>
      </c>
      <c r="U858" t="str">
        <f>IF(B858=1,MAX($U$2:$U857)+1,IF(AND($T858&lt;&gt;"",$T858=$T857),$U857,IF(B858="x",U857,"")))</f>
        <v/>
      </c>
      <c r="V858" t="str">
        <f>IF(C858=1,MAX($V$2:$V857)+1,IF(AND($T858&lt;&gt;"",$T858=$T857),$U857,IF(C858="x",V857,"")))</f>
        <v/>
      </c>
      <c r="W858" t="str" cm="1">
        <f t="array" ref="W858">IFERROR(_xlfn._xlws.FILTER(game_rosters!AB:AB,(game_rosters!J:J=events!X858)*(K858&lt;&gt;"")),"")</f>
        <v/>
      </c>
      <c r="X858" t="str" cm="1">
        <f t="array" ref="X858">IF(S858="","",IF($I858&lt;&gt;"",$I858,INDEX($I$2:$I857,ROW()-COUNTIFS($T$2:$T857,"="&amp;$T858,$S$2:$S857,"&lt;&gt;"&amp;$S858)-1)))</f>
        <v/>
      </c>
      <c r="Y858" t="b">
        <f>IF(X858&lt;&gt;"",VLOOKUP(X858,game_rosters!$C$43:$E$64,3,FALSE))</f>
        <v>0</v>
      </c>
      <c r="Z858" t="e" cm="1" vm="1">
        <f t="array" aca="1" ref="Z858" ca="1">IFERROR(IF(_xlfn._xlws.FILTER(game_rosters!$J:$J,(game_rosters!$G:$G=events!$AN858)*(game_rosters!$J:$J=events!$X858))&gt;0,1,""),"")</f>
        <v>#VALUE!</v>
      </c>
      <c r="AA858" t="e">
        <f t="shared" si="129"/>
        <v>#VALUE!</v>
      </c>
      <c r="AB858" t="str">
        <f t="shared" si="130"/>
        <v/>
      </c>
      <c r="AC858" t="e">
        <f t="shared" si="128"/>
        <v>#VALUE!</v>
      </c>
      <c r="AD858" s="6"/>
      <c r="BJ858" s="39"/>
      <c r="BM858" s="39"/>
      <c r="BO858" s="19"/>
      <c r="BQ858" s="17"/>
    </row>
    <row r="859" spans="1:69" x14ac:dyDescent="0.2">
      <c r="A859" t="str">
        <f t="shared" si="131"/>
        <v/>
      </c>
      <c r="E859" s="4"/>
      <c r="F859" s="44"/>
      <c r="G859" s="4"/>
      <c r="H859" s="47"/>
      <c r="J859" s="45" t="str">
        <f t="shared" si="132"/>
        <v/>
      </c>
      <c r="N859" t="str">
        <f t="shared" si="134"/>
        <v/>
      </c>
      <c r="Q859" t="str">
        <f t="shared" si="133"/>
        <v/>
      </c>
      <c r="S859" t="str">
        <f>IF(A859=1,MAX(S$2:S858)+1,IF(OR(I859&lt;&gt;"",A859="x"),S858,""))</f>
        <v/>
      </c>
      <c r="T859" t="str">
        <f>IF(D859=1,MAX($T$2:$T858)+1,IF(S859=$S858,$S858,IF($D859="x",T858,IF($D858="x","",""))))</f>
        <v/>
      </c>
      <c r="U859" t="str">
        <f>IF(B859=1,MAX($U$2:$U858)+1,IF(AND($T859&lt;&gt;"",$T859=$T858),$U858,IF(B859="x",U858,"")))</f>
        <v/>
      </c>
      <c r="V859" t="str">
        <f>IF(C859=1,MAX($V$2:$V858)+1,IF(AND($T859&lt;&gt;"",$T859=$T858),$U858,IF(C859="x",V858,"")))</f>
        <v/>
      </c>
      <c r="W859" t="str" cm="1">
        <f t="array" ref="W859">IFERROR(_xlfn._xlws.FILTER(game_rosters!AB:AB,(game_rosters!J:J=events!X859)*(K859&lt;&gt;"")),"")</f>
        <v/>
      </c>
      <c r="X859" t="str" cm="1">
        <f t="array" ref="X859">IF(S859="","",IF($I859&lt;&gt;"",$I859,INDEX($I$2:$I858,ROW()-COUNTIFS($T$2:$T858,"="&amp;$T859,$S$2:$S858,"&lt;&gt;"&amp;$S859)-1)))</f>
        <v/>
      </c>
      <c r="Y859" t="b">
        <f>IF(X859&lt;&gt;"",VLOOKUP(X859,game_rosters!$C$43:$E$64,3,FALSE))</f>
        <v>0</v>
      </c>
      <c r="Z859" t="e" cm="1" vm="1">
        <f t="array" aca="1" ref="Z859" ca="1">IFERROR(IF(_xlfn._xlws.FILTER(game_rosters!$J:$J,(game_rosters!$G:$G=events!$AN859)*(game_rosters!$J:$J=events!$X859))&gt;0,1,""),"")</f>
        <v>#VALUE!</v>
      </c>
      <c r="AA859" t="e">
        <f t="shared" si="129"/>
        <v>#VALUE!</v>
      </c>
      <c r="AB859" t="str">
        <f t="shared" si="130"/>
        <v/>
      </c>
      <c r="AC859" t="e">
        <f t="shared" si="128"/>
        <v>#VALUE!</v>
      </c>
      <c r="AD859" s="6"/>
      <c r="BJ859" s="39"/>
      <c r="BM859" s="39"/>
      <c r="BO859" s="19"/>
      <c r="BQ859" s="17"/>
    </row>
    <row r="860" spans="1:69" x14ac:dyDescent="0.2">
      <c r="A860" t="str">
        <f t="shared" si="131"/>
        <v/>
      </c>
      <c r="E860" s="4"/>
      <c r="F860" s="44"/>
      <c r="G860" s="4"/>
      <c r="H860" s="47"/>
      <c r="J860" s="45" t="str">
        <f t="shared" si="132"/>
        <v/>
      </c>
      <c r="N860" t="str">
        <f t="shared" si="134"/>
        <v/>
      </c>
      <c r="Q860" t="str">
        <f t="shared" si="133"/>
        <v/>
      </c>
      <c r="S860" t="str">
        <f>IF(A860=1,MAX(S$2:S859)+1,IF(OR(I860&lt;&gt;"",A860="x"),S859,""))</f>
        <v/>
      </c>
      <c r="T860" t="str">
        <f>IF(D860=1,MAX($T$2:$T859)+1,IF(S860=$S859,$S859,IF($D860="x",T859,IF($D859="x","",""))))</f>
        <v/>
      </c>
      <c r="U860" t="str">
        <f>IF(B860=1,MAX($U$2:$U859)+1,IF(AND($T860&lt;&gt;"",$T860=$T859),$U859,IF(B860="x",U859,"")))</f>
        <v/>
      </c>
      <c r="V860" t="str">
        <f>IF(C860=1,MAX($V$2:$V859)+1,IF(AND($T860&lt;&gt;"",$T860=$T859),$U859,IF(C860="x",V859,"")))</f>
        <v/>
      </c>
      <c r="W860" t="str" cm="1">
        <f t="array" ref="W860">IFERROR(_xlfn._xlws.FILTER(game_rosters!AB:AB,(game_rosters!J:J=events!X860)*(K860&lt;&gt;"")),"")</f>
        <v/>
      </c>
      <c r="X860" t="str" cm="1">
        <f t="array" ref="X860">IF(S860="","",IF($I860&lt;&gt;"",$I860,INDEX($I$2:$I859,ROW()-COUNTIFS($T$2:$T859,"="&amp;$T860,$S$2:$S859,"&lt;&gt;"&amp;$S860)-1)))</f>
        <v/>
      </c>
      <c r="Y860" t="b">
        <f>IF(X860&lt;&gt;"",VLOOKUP(X860,game_rosters!$C$43:$E$64,3,FALSE))</f>
        <v>0</v>
      </c>
      <c r="Z860" t="e" cm="1" vm="1">
        <f t="array" aca="1" ref="Z860" ca="1">IFERROR(IF(_xlfn._xlws.FILTER(game_rosters!$J:$J,(game_rosters!$G:$G=events!$AN860)*(game_rosters!$J:$J=events!$X860))&gt;0,1,""),"")</f>
        <v>#VALUE!</v>
      </c>
      <c r="AA860" t="e">
        <f t="shared" si="129"/>
        <v>#VALUE!</v>
      </c>
      <c r="AB860" t="str">
        <f t="shared" si="130"/>
        <v/>
      </c>
      <c r="AC860" t="e">
        <f t="shared" si="128"/>
        <v>#VALUE!</v>
      </c>
      <c r="AD860" s="6"/>
      <c r="BJ860" s="15"/>
      <c r="BM860" s="15"/>
      <c r="BO860" s="19"/>
      <c r="BQ860" s="17"/>
    </row>
    <row r="861" spans="1:69" x14ac:dyDescent="0.2">
      <c r="A861" t="str">
        <f t="shared" si="131"/>
        <v/>
      </c>
      <c r="X861" t="str" cm="1">
        <f t="array" ref="X861">IF(S861="","",IF($I861&lt;&gt;"",$I861,INDEX($I$2:$I860,ROW()-COUNTIFS($T$2:$T860,"="&amp;$T861,$S$2:$S860,"&lt;&gt;"&amp;$S861)-1)))</f>
        <v/>
      </c>
      <c r="Y861" t="b">
        <f>IF(X861&lt;&gt;"",VLOOKUP(X861,game_rosters!$C$43:$E$64,3,FALSE))</f>
        <v>0</v>
      </c>
      <c r="Z861" t="e" cm="1" vm="1">
        <f t="array" aca="1" ref="Z861" ca="1">IFERROR(IF(_xlfn._xlws.FILTER(game_rosters!$J:$J,(game_rosters!$G:$G=events!$AN861)*(game_rosters!$J:$J=events!$X861))&gt;0,1,""),"")</f>
        <v>#VALUE!</v>
      </c>
      <c r="AA861">
        <f t="shared" ref="AA861:AA924" si="135">S861+1000</f>
        <v>1000</v>
      </c>
      <c r="AB861" t="str">
        <f t="shared" ref="AB861:AB924" si="136">IF(T861&lt;&gt;"",9000+T861,"")</f>
        <v/>
      </c>
      <c r="AC861">
        <f t="shared" si="128"/>
        <v>1000</v>
      </c>
      <c r="AD861" s="6"/>
    </row>
    <row r="862" spans="1:69" x14ac:dyDescent="0.2">
      <c r="A862" t="str">
        <f t="shared" si="131"/>
        <v/>
      </c>
      <c r="X862" t="str" cm="1">
        <f t="array" ref="X862">IF(S862="","",IF($I862&lt;&gt;"",$I862,INDEX($I$2:$I861,ROW()-COUNTIFS($T$2:$T861,"="&amp;$T862,$S$2:$S861,"&lt;&gt;"&amp;$S862)-1)))</f>
        <v/>
      </c>
      <c r="Y862" t="b">
        <f>IF(X862&lt;&gt;"",VLOOKUP(X862,game_rosters!$C$43:$E$64,3,FALSE))</f>
        <v>0</v>
      </c>
      <c r="Z862" t="e" cm="1" vm="1">
        <f t="array" aca="1" ref="Z862" ca="1">IFERROR(IF(_xlfn._xlws.FILTER(game_rosters!$J:$J,(game_rosters!$G:$G=events!$AN862)*(game_rosters!$J:$J=events!$X862))&gt;0,1,""),"")</f>
        <v>#VALUE!</v>
      </c>
      <c r="AA862">
        <f t="shared" si="135"/>
        <v>1000</v>
      </c>
      <c r="AB862" t="str">
        <f t="shared" si="136"/>
        <v/>
      </c>
      <c r="AC862">
        <f t="shared" si="128"/>
        <v>1000</v>
      </c>
      <c r="AD862" s="6"/>
    </row>
    <row r="863" spans="1:69" x14ac:dyDescent="0.2">
      <c r="A863" t="str">
        <f t="shared" si="131"/>
        <v/>
      </c>
      <c r="X863" t="str" cm="1">
        <f t="array" ref="X863">IF(S863="","",IF($I863&lt;&gt;"",$I863,INDEX($I$2:$I862,ROW()-COUNTIFS($T$2:$T862,"="&amp;$T863,$S$2:$S862,"&lt;&gt;"&amp;$S863)-1)))</f>
        <v/>
      </c>
      <c r="Y863" t="b">
        <f>IF(X863&lt;&gt;"",VLOOKUP(X863,game_rosters!$C$43:$E$64,3,FALSE))</f>
        <v>0</v>
      </c>
      <c r="Z863" t="e" cm="1" vm="1">
        <f t="array" aca="1" ref="Z863" ca="1">IFERROR(IF(_xlfn._xlws.FILTER(game_rosters!$J:$J,(game_rosters!$G:$G=events!$AN863)*(game_rosters!$J:$J=events!$X863))&gt;0,1,""),"")</f>
        <v>#VALUE!</v>
      </c>
      <c r="AA863">
        <f t="shared" si="135"/>
        <v>1000</v>
      </c>
      <c r="AB863" t="str">
        <f t="shared" si="136"/>
        <v/>
      </c>
      <c r="AC863">
        <f t="shared" si="128"/>
        <v>1000</v>
      </c>
      <c r="AD863" s="6"/>
    </row>
    <row r="864" spans="1:69" x14ac:dyDescent="0.2">
      <c r="A864" t="str">
        <f t="shared" si="131"/>
        <v/>
      </c>
      <c r="X864" t="str" cm="1">
        <f t="array" ref="X864">IF(S864="","",IF($I864&lt;&gt;"",$I864,INDEX($I$2:$I863,ROW()-COUNTIFS($T$2:$T863,"="&amp;$T864,$S$2:$S863,"&lt;&gt;"&amp;$S864)-1)))</f>
        <v/>
      </c>
      <c r="Y864" t="b">
        <f>IF(X864&lt;&gt;"",VLOOKUP(X864,game_rosters!$C$43:$E$64,3,FALSE))</f>
        <v>0</v>
      </c>
      <c r="Z864" t="e" cm="1" vm="1">
        <f t="array" aca="1" ref="Z864" ca="1">IFERROR(IF(_xlfn._xlws.FILTER(game_rosters!$J:$J,(game_rosters!$G:$G=events!$AN864)*(game_rosters!$J:$J=events!$X864))&gt;0,1,""),"")</f>
        <v>#VALUE!</v>
      </c>
      <c r="AA864">
        <f t="shared" si="135"/>
        <v>1000</v>
      </c>
      <c r="AB864" t="str">
        <f t="shared" si="136"/>
        <v/>
      </c>
      <c r="AC864">
        <f t="shared" si="128"/>
        <v>1000</v>
      </c>
      <c r="AD864" s="6"/>
    </row>
    <row r="865" spans="1:30" x14ac:dyDescent="0.2">
      <c r="A865" t="str">
        <f t="shared" si="131"/>
        <v/>
      </c>
      <c r="X865" t="str" cm="1">
        <f t="array" ref="X865">IF(S865="","",IF($I865&lt;&gt;"",$I865,INDEX($I$2:$I864,ROW()-COUNTIFS($T$2:$T864,"="&amp;$T865,$S$2:$S864,"&lt;&gt;"&amp;$S865)-1)))</f>
        <v/>
      </c>
      <c r="Y865" t="b">
        <f>IF(X865&lt;&gt;"",VLOOKUP(X865,game_rosters!$C$43:$E$64,3,FALSE))</f>
        <v>0</v>
      </c>
      <c r="Z865" t="e" cm="1" vm="1">
        <f t="array" aca="1" ref="Z865" ca="1">IFERROR(IF(_xlfn._xlws.FILTER(game_rosters!$J:$J,(game_rosters!$G:$G=events!$AN865)*(game_rosters!$J:$J=events!$X865))&gt;0,1,""),"")</f>
        <v>#VALUE!</v>
      </c>
      <c r="AA865">
        <f t="shared" si="135"/>
        <v>1000</v>
      </c>
      <c r="AB865" t="str">
        <f t="shared" si="136"/>
        <v/>
      </c>
      <c r="AC865">
        <f t="shared" si="128"/>
        <v>1000</v>
      </c>
      <c r="AD865" s="6"/>
    </row>
    <row r="866" spans="1:30" x14ac:dyDescent="0.2">
      <c r="A866" t="str">
        <f t="shared" si="131"/>
        <v/>
      </c>
      <c r="X866" t="str" cm="1">
        <f t="array" ref="X866">IF(S866="","",IF($I866&lt;&gt;"",$I866,INDEX($I$2:$I865,ROW()-COUNTIFS($T$2:$T865,"="&amp;$T866,$S$2:$S865,"&lt;&gt;"&amp;$S866)-1)))</f>
        <v/>
      </c>
      <c r="Y866" t="b">
        <f>IF(X866&lt;&gt;"",VLOOKUP(X866,game_rosters!$C$43:$E$64,3,FALSE))</f>
        <v>0</v>
      </c>
      <c r="Z866" t="e" cm="1" vm="1">
        <f t="array" aca="1" ref="Z866" ca="1">IFERROR(IF(_xlfn._xlws.FILTER(game_rosters!$J:$J,(game_rosters!$G:$G=events!$AN866)*(game_rosters!$J:$J=events!$X866))&gt;0,1,""),"")</f>
        <v>#VALUE!</v>
      </c>
      <c r="AA866">
        <f t="shared" si="135"/>
        <v>1000</v>
      </c>
      <c r="AB866" t="str">
        <f t="shared" si="136"/>
        <v/>
      </c>
      <c r="AC866">
        <f t="shared" si="128"/>
        <v>1000</v>
      </c>
      <c r="AD866" s="6"/>
    </row>
    <row r="867" spans="1:30" x14ac:dyDescent="0.2">
      <c r="A867" t="str">
        <f t="shared" si="131"/>
        <v/>
      </c>
      <c r="X867" t="str" cm="1">
        <f t="array" ref="X867">IF(S867="","",IF($I867&lt;&gt;"",$I867,INDEX($I$2:$I866,ROW()-COUNTIFS($T$2:$T866,"="&amp;$T867,$S$2:$S866,"&lt;&gt;"&amp;$S867)-1)))</f>
        <v/>
      </c>
      <c r="Y867" t="b">
        <f>IF(X867&lt;&gt;"",VLOOKUP(X867,game_rosters!$C$43:$E$64,3,FALSE))</f>
        <v>0</v>
      </c>
      <c r="Z867" t="e" cm="1" vm="1">
        <f t="array" aca="1" ref="Z867" ca="1">IFERROR(IF(_xlfn._xlws.FILTER(game_rosters!$J:$J,(game_rosters!$G:$G=events!$AN867)*(game_rosters!$J:$J=events!$X867))&gt;0,1,""),"")</f>
        <v>#VALUE!</v>
      </c>
      <c r="AA867">
        <f t="shared" si="135"/>
        <v>1000</v>
      </c>
      <c r="AB867" t="str">
        <f t="shared" si="136"/>
        <v/>
      </c>
      <c r="AC867">
        <f t="shared" si="128"/>
        <v>1000</v>
      </c>
      <c r="AD867" s="6"/>
    </row>
    <row r="868" spans="1:30" x14ac:dyDescent="0.2">
      <c r="A868" t="str">
        <f t="shared" si="131"/>
        <v/>
      </c>
      <c r="X868" t="str" cm="1">
        <f t="array" ref="X868">IF(S868="","",IF($I868&lt;&gt;"",$I868,INDEX($I$2:$I867,ROW()-COUNTIFS($T$2:$T867,"="&amp;$T868,$S$2:$S867,"&lt;&gt;"&amp;$S868)-1)))</f>
        <v/>
      </c>
      <c r="Y868" t="b">
        <f>IF(X868&lt;&gt;"",VLOOKUP(X868,game_rosters!$C$43:$E$64,3,FALSE))</f>
        <v>0</v>
      </c>
      <c r="Z868" t="e" cm="1" vm="1">
        <f t="array" aca="1" ref="Z868" ca="1">IFERROR(IF(_xlfn._xlws.FILTER(game_rosters!$J:$J,(game_rosters!$G:$G=events!$AN868)*(game_rosters!$J:$J=events!$X868))&gt;0,1,""),"")</f>
        <v>#VALUE!</v>
      </c>
      <c r="AA868">
        <f t="shared" si="135"/>
        <v>1000</v>
      </c>
      <c r="AB868" t="str">
        <f t="shared" si="136"/>
        <v/>
      </c>
      <c r="AC868">
        <f t="shared" si="128"/>
        <v>1000</v>
      </c>
      <c r="AD868" s="6"/>
    </row>
    <row r="869" spans="1:30" x14ac:dyDescent="0.2">
      <c r="A869" t="str">
        <f t="shared" si="131"/>
        <v/>
      </c>
      <c r="X869" t="str" cm="1">
        <f t="array" ref="X869">IF(S869="","",IF($I869&lt;&gt;"",$I869,INDEX($I$2:$I868,ROW()-COUNTIFS($T$2:$T868,"="&amp;$T869,$S$2:$S868,"&lt;&gt;"&amp;$S869)-1)))</f>
        <v/>
      </c>
      <c r="Y869" t="b">
        <f>IF(X869&lt;&gt;"",VLOOKUP(X869,game_rosters!$C$43:$E$64,3,FALSE))</f>
        <v>0</v>
      </c>
      <c r="Z869" t="e" cm="1" vm="1">
        <f t="array" aca="1" ref="Z869" ca="1">IFERROR(IF(_xlfn._xlws.FILTER(game_rosters!$J:$J,(game_rosters!$G:$G=events!$AN869)*(game_rosters!$J:$J=events!$X869))&gt;0,1,""),"")</f>
        <v>#VALUE!</v>
      </c>
      <c r="AA869">
        <f t="shared" si="135"/>
        <v>1000</v>
      </c>
      <c r="AB869" t="str">
        <f t="shared" si="136"/>
        <v/>
      </c>
      <c r="AC869">
        <f t="shared" si="128"/>
        <v>1000</v>
      </c>
      <c r="AD869" s="6"/>
    </row>
    <row r="870" spans="1:30" x14ac:dyDescent="0.2">
      <c r="A870" t="str">
        <f t="shared" si="131"/>
        <v/>
      </c>
      <c r="X870" t="str" cm="1">
        <f t="array" ref="X870">IF(S870="","",IF($I870&lt;&gt;"",$I870,INDEX($I$2:$I869,ROW()-COUNTIFS($T$2:$T869,"="&amp;$T870,$S$2:$S869,"&lt;&gt;"&amp;$S870)-1)))</f>
        <v/>
      </c>
      <c r="Y870" t="b">
        <f>IF(X870&lt;&gt;"",VLOOKUP(X870,game_rosters!$C$43:$E$64,3,FALSE))</f>
        <v>0</v>
      </c>
      <c r="Z870" t="e" cm="1" vm="1">
        <f t="array" aca="1" ref="Z870" ca="1">IFERROR(IF(_xlfn._xlws.FILTER(game_rosters!$J:$J,(game_rosters!$G:$G=events!$AN870)*(game_rosters!$J:$J=events!$X870))&gt;0,1,""),"")</f>
        <v>#VALUE!</v>
      </c>
      <c r="AA870">
        <f t="shared" si="135"/>
        <v>1000</v>
      </c>
      <c r="AB870" t="str">
        <f t="shared" si="136"/>
        <v/>
      </c>
      <c r="AC870">
        <f t="shared" si="128"/>
        <v>1000</v>
      </c>
      <c r="AD870" s="6"/>
    </row>
    <row r="871" spans="1:30" x14ac:dyDescent="0.2">
      <c r="A871" t="str">
        <f t="shared" si="131"/>
        <v/>
      </c>
      <c r="X871" t="str" cm="1">
        <f t="array" ref="X871">IF(S871="","",IF($I871&lt;&gt;"",$I871,INDEX($I$2:$I870,ROW()-COUNTIFS($T$2:$T870,"="&amp;$T871,$S$2:$S870,"&lt;&gt;"&amp;$S871)-1)))</f>
        <v/>
      </c>
      <c r="Y871" t="b">
        <f>IF(X871&lt;&gt;"",VLOOKUP(X871,game_rosters!$C$43:$E$64,3,FALSE))</f>
        <v>0</v>
      </c>
      <c r="Z871" t="e" cm="1" vm="1">
        <f t="array" aca="1" ref="Z871" ca="1">IFERROR(IF(_xlfn._xlws.FILTER(game_rosters!$J:$J,(game_rosters!$G:$G=events!$AN871)*(game_rosters!$J:$J=events!$X871))&gt;0,1,""),"")</f>
        <v>#VALUE!</v>
      </c>
      <c r="AA871">
        <f t="shared" si="135"/>
        <v>1000</v>
      </c>
      <c r="AB871" t="str">
        <f t="shared" si="136"/>
        <v/>
      </c>
      <c r="AC871">
        <f t="shared" si="128"/>
        <v>1000</v>
      </c>
      <c r="AD871" s="6"/>
    </row>
    <row r="872" spans="1:30" x14ac:dyDescent="0.2">
      <c r="A872" t="str">
        <f t="shared" si="131"/>
        <v/>
      </c>
      <c r="X872" t="str" cm="1">
        <f t="array" ref="X872">IF(S872="","",IF($I872&lt;&gt;"",$I872,INDEX($I$2:$I871,ROW()-COUNTIFS($T$2:$T871,"="&amp;$T872,$S$2:$S871,"&lt;&gt;"&amp;$S872)-1)))</f>
        <v/>
      </c>
      <c r="Y872" t="b">
        <f>IF(X872&lt;&gt;"",VLOOKUP(X872,game_rosters!$C$43:$E$64,3,FALSE))</f>
        <v>0</v>
      </c>
      <c r="Z872" t="e" cm="1" vm="1">
        <f t="array" aca="1" ref="Z872" ca="1">IFERROR(IF(_xlfn._xlws.FILTER(game_rosters!$J:$J,(game_rosters!$G:$G=events!$AN872)*(game_rosters!$J:$J=events!$X872))&gt;0,1,""),"")</f>
        <v>#VALUE!</v>
      </c>
      <c r="AA872">
        <f t="shared" si="135"/>
        <v>1000</v>
      </c>
      <c r="AB872" t="str">
        <f t="shared" si="136"/>
        <v/>
      </c>
      <c r="AC872">
        <f t="shared" si="128"/>
        <v>1000</v>
      </c>
      <c r="AD872" s="6"/>
    </row>
    <row r="873" spans="1:30" x14ac:dyDescent="0.2">
      <c r="A873" t="str">
        <f t="shared" si="131"/>
        <v/>
      </c>
      <c r="X873" t="str" cm="1">
        <f t="array" ref="X873">IF(S873="","",IF($I873&lt;&gt;"",$I873,INDEX($I$2:$I872,ROW()-COUNTIFS($T$2:$T872,"="&amp;$T873,$S$2:$S872,"&lt;&gt;"&amp;$S873)-1)))</f>
        <v/>
      </c>
      <c r="Y873" t="b">
        <f>IF(X873&lt;&gt;"",VLOOKUP(X873,game_rosters!$C$43:$E$64,3,FALSE))</f>
        <v>0</v>
      </c>
      <c r="Z873" t="e" cm="1" vm="1">
        <f t="array" aca="1" ref="Z873" ca="1">IFERROR(IF(_xlfn._xlws.FILTER(game_rosters!$J:$J,(game_rosters!$G:$G=events!$AN873)*(game_rosters!$J:$J=events!$X873))&gt;0,1,""),"")</f>
        <v>#VALUE!</v>
      </c>
      <c r="AA873">
        <f t="shared" si="135"/>
        <v>1000</v>
      </c>
      <c r="AB873" t="str">
        <f t="shared" si="136"/>
        <v/>
      </c>
      <c r="AC873">
        <f t="shared" si="128"/>
        <v>1000</v>
      </c>
      <c r="AD873" s="6"/>
    </row>
    <row r="874" spans="1:30" x14ac:dyDescent="0.2">
      <c r="A874" t="str">
        <f t="shared" si="131"/>
        <v/>
      </c>
      <c r="X874" t="str" cm="1">
        <f t="array" ref="X874">IF(S874="","",IF($I874&lt;&gt;"",$I874,INDEX($I$2:$I873,ROW()-COUNTIFS($T$2:$T873,"="&amp;$T874,$S$2:$S873,"&lt;&gt;"&amp;$S874)-1)))</f>
        <v/>
      </c>
      <c r="Y874" t="b">
        <f>IF(X874&lt;&gt;"",VLOOKUP(X874,game_rosters!$C$43:$E$64,3,FALSE))</f>
        <v>0</v>
      </c>
      <c r="Z874" t="e" cm="1" vm="1">
        <f t="array" aca="1" ref="Z874" ca="1">IFERROR(IF(_xlfn._xlws.FILTER(game_rosters!$J:$J,(game_rosters!$G:$G=events!$AN874)*(game_rosters!$J:$J=events!$X874))&gt;0,1,""),"")</f>
        <v>#VALUE!</v>
      </c>
      <c r="AA874">
        <f t="shared" si="135"/>
        <v>1000</v>
      </c>
      <c r="AB874" t="str">
        <f t="shared" si="136"/>
        <v/>
      </c>
      <c r="AC874">
        <f t="shared" si="128"/>
        <v>1000</v>
      </c>
      <c r="AD874" s="6"/>
    </row>
    <row r="875" spans="1:30" x14ac:dyDescent="0.2">
      <c r="A875" t="str">
        <f t="shared" si="131"/>
        <v/>
      </c>
      <c r="X875" t="str" cm="1">
        <f t="array" ref="X875">IF(S875="","",IF($I875&lt;&gt;"",$I875,INDEX($I$2:$I874,ROW()-COUNTIFS($T$2:$T874,"="&amp;$T875,$S$2:$S874,"&lt;&gt;"&amp;$S875)-1)))</f>
        <v/>
      </c>
      <c r="Y875" t="b">
        <f>IF(X875&lt;&gt;"",VLOOKUP(X875,game_rosters!$C$43:$E$64,3,FALSE))</f>
        <v>0</v>
      </c>
      <c r="Z875" t="e" cm="1" vm="1">
        <f t="array" aca="1" ref="Z875" ca="1">IFERROR(IF(_xlfn._xlws.FILTER(game_rosters!$J:$J,(game_rosters!$G:$G=events!$AN875)*(game_rosters!$J:$J=events!$X875))&gt;0,1,""),"")</f>
        <v>#VALUE!</v>
      </c>
      <c r="AA875">
        <f t="shared" si="135"/>
        <v>1000</v>
      </c>
      <c r="AB875" t="str">
        <f t="shared" si="136"/>
        <v/>
      </c>
      <c r="AC875">
        <f t="shared" si="128"/>
        <v>1000</v>
      </c>
      <c r="AD875" s="6"/>
    </row>
    <row r="876" spans="1:30" x14ac:dyDescent="0.2">
      <c r="A876" t="str">
        <f t="shared" si="131"/>
        <v/>
      </c>
      <c r="X876" t="str" cm="1">
        <f t="array" ref="X876">IF(S876="","",IF($I876&lt;&gt;"",$I876,INDEX($I$2:$I875,ROW()-COUNTIFS($T$2:$T875,"="&amp;$T876,$S$2:$S875,"&lt;&gt;"&amp;$S876)-1)))</f>
        <v/>
      </c>
      <c r="Y876" t="b">
        <f>IF(X876&lt;&gt;"",VLOOKUP(X876,game_rosters!$C$43:$E$64,3,FALSE))</f>
        <v>0</v>
      </c>
      <c r="Z876" t="e" cm="1" vm="1">
        <f t="array" aca="1" ref="Z876" ca="1">IFERROR(IF(_xlfn._xlws.FILTER(game_rosters!$J:$J,(game_rosters!$G:$G=events!$AN876)*(game_rosters!$J:$J=events!$X876))&gt;0,1,""),"")</f>
        <v>#VALUE!</v>
      </c>
      <c r="AA876">
        <f t="shared" si="135"/>
        <v>1000</v>
      </c>
      <c r="AB876" t="str">
        <f t="shared" si="136"/>
        <v/>
      </c>
      <c r="AC876">
        <f t="shared" si="128"/>
        <v>1000</v>
      </c>
      <c r="AD876" s="6"/>
    </row>
    <row r="877" spans="1:30" x14ac:dyDescent="0.2">
      <c r="A877" t="str">
        <f t="shared" si="131"/>
        <v/>
      </c>
      <c r="X877" t="str" cm="1">
        <f t="array" ref="X877">IF(S877="","",IF($I877&lt;&gt;"",$I877,INDEX($I$2:$I876,ROW()-COUNTIFS($T$2:$T876,"="&amp;$T877,$S$2:$S876,"&lt;&gt;"&amp;$S877)-1)))</f>
        <v/>
      </c>
      <c r="Y877" t="b">
        <f>IF(X877&lt;&gt;"",VLOOKUP(X877,game_rosters!$C$43:$E$64,3,FALSE))</f>
        <v>0</v>
      </c>
      <c r="Z877" t="e" cm="1" vm="1">
        <f t="array" aca="1" ref="Z877" ca="1">IFERROR(IF(_xlfn._xlws.FILTER(game_rosters!$J:$J,(game_rosters!$G:$G=events!$AN877)*(game_rosters!$J:$J=events!$X877))&gt;0,1,""),"")</f>
        <v>#VALUE!</v>
      </c>
      <c r="AA877">
        <f t="shared" si="135"/>
        <v>1000</v>
      </c>
      <c r="AB877" t="str">
        <f t="shared" si="136"/>
        <v/>
      </c>
      <c r="AC877">
        <f t="shared" si="128"/>
        <v>1000</v>
      </c>
      <c r="AD877" s="6"/>
    </row>
    <row r="878" spans="1:30" x14ac:dyDescent="0.2">
      <c r="A878" t="str">
        <f t="shared" si="131"/>
        <v/>
      </c>
      <c r="X878" t="str" cm="1">
        <f t="array" ref="X878">IF(S878="","",IF($I878&lt;&gt;"",$I878,INDEX($I$2:$I877,ROW()-COUNTIFS($T$2:$T877,"="&amp;$T878,$S$2:$S877,"&lt;&gt;"&amp;$S878)-1)))</f>
        <v/>
      </c>
      <c r="Y878" t="b">
        <f>IF(X878&lt;&gt;"",VLOOKUP(X878,game_rosters!$C$43:$E$64,3,FALSE))</f>
        <v>0</v>
      </c>
      <c r="Z878" t="e" cm="1" vm="1">
        <f t="array" aca="1" ref="Z878" ca="1">IFERROR(IF(_xlfn._xlws.FILTER(game_rosters!$J:$J,(game_rosters!$G:$G=events!$AN878)*(game_rosters!$J:$J=events!$X878))&gt;0,1,""),"")</f>
        <v>#VALUE!</v>
      </c>
      <c r="AA878">
        <f t="shared" si="135"/>
        <v>1000</v>
      </c>
      <c r="AB878" t="str">
        <f t="shared" si="136"/>
        <v/>
      </c>
      <c r="AC878">
        <f t="shared" si="128"/>
        <v>1000</v>
      </c>
      <c r="AD878" s="6"/>
    </row>
    <row r="879" spans="1:30" x14ac:dyDescent="0.2">
      <c r="A879" t="str">
        <f t="shared" si="131"/>
        <v/>
      </c>
      <c r="X879" t="str" cm="1">
        <f t="array" ref="X879">IF(S879="","",IF($I879&lt;&gt;"",$I879,INDEX($I$2:$I878,ROW()-COUNTIFS($T$2:$T878,"="&amp;$T879,$S$2:$S878,"&lt;&gt;"&amp;$S879)-1)))</f>
        <v/>
      </c>
      <c r="Y879" t="b">
        <f>IF(X879&lt;&gt;"",VLOOKUP(X879,game_rosters!$C$43:$E$64,3,FALSE))</f>
        <v>0</v>
      </c>
      <c r="Z879" t="e" cm="1" vm="1">
        <f t="array" aca="1" ref="Z879" ca="1">IFERROR(IF(_xlfn._xlws.FILTER(game_rosters!$J:$J,(game_rosters!$G:$G=events!$AN879)*(game_rosters!$J:$J=events!$X879))&gt;0,1,""),"")</f>
        <v>#VALUE!</v>
      </c>
      <c r="AA879">
        <f t="shared" si="135"/>
        <v>1000</v>
      </c>
      <c r="AB879" t="str">
        <f t="shared" si="136"/>
        <v/>
      </c>
      <c r="AC879">
        <f t="shared" si="128"/>
        <v>1000</v>
      </c>
      <c r="AD879" s="6"/>
    </row>
    <row r="880" spans="1:30" x14ac:dyDescent="0.2">
      <c r="A880" t="str">
        <f t="shared" si="131"/>
        <v/>
      </c>
      <c r="X880" t="str" cm="1">
        <f t="array" ref="X880">IF(S880="","",IF($I880&lt;&gt;"",$I880,INDEX($I$2:$I879,ROW()-COUNTIFS($T$2:$T879,"="&amp;$T880,$S$2:$S879,"&lt;&gt;"&amp;$S880)-1)))</f>
        <v/>
      </c>
      <c r="Y880" t="b">
        <f>IF(X880&lt;&gt;"",VLOOKUP(X880,game_rosters!$C$43:$E$64,3,FALSE))</f>
        <v>0</v>
      </c>
      <c r="Z880" t="e" cm="1" vm="1">
        <f t="array" aca="1" ref="Z880" ca="1">IFERROR(IF(_xlfn._xlws.FILTER(game_rosters!$J:$J,(game_rosters!$G:$G=events!$AN880)*(game_rosters!$J:$J=events!$X880))&gt;0,1,""),"")</f>
        <v>#VALUE!</v>
      </c>
      <c r="AA880">
        <f t="shared" si="135"/>
        <v>1000</v>
      </c>
      <c r="AB880" t="str">
        <f t="shared" si="136"/>
        <v/>
      </c>
      <c r="AC880">
        <f t="shared" si="128"/>
        <v>1000</v>
      </c>
      <c r="AD880" s="6"/>
    </row>
    <row r="881" spans="1:30" x14ac:dyDescent="0.2">
      <c r="A881" t="str">
        <f t="shared" si="131"/>
        <v/>
      </c>
      <c r="X881" t="str" cm="1">
        <f t="array" ref="X881">IF(S881="","",IF($I881&lt;&gt;"",$I881,INDEX($I$2:$I880,ROW()-COUNTIFS($T$2:$T880,"="&amp;$T881,$S$2:$S880,"&lt;&gt;"&amp;$S881)-1)))</f>
        <v/>
      </c>
      <c r="Y881" t="b">
        <f>IF(X881&lt;&gt;"",VLOOKUP(X881,game_rosters!$C$43:$E$64,3,FALSE))</f>
        <v>0</v>
      </c>
      <c r="Z881" t="e" cm="1" vm="1">
        <f t="array" aca="1" ref="Z881" ca="1">IFERROR(IF(_xlfn._xlws.FILTER(game_rosters!$J:$J,(game_rosters!$G:$G=events!$AN881)*(game_rosters!$J:$J=events!$X881))&gt;0,1,""),"")</f>
        <v>#VALUE!</v>
      </c>
      <c r="AA881">
        <f t="shared" si="135"/>
        <v>1000</v>
      </c>
      <c r="AB881" t="str">
        <f t="shared" si="136"/>
        <v/>
      </c>
      <c r="AC881">
        <f t="shared" si="128"/>
        <v>1000</v>
      </c>
      <c r="AD881" s="6"/>
    </row>
    <row r="882" spans="1:30" x14ac:dyDescent="0.2">
      <c r="A882" t="str">
        <f t="shared" si="131"/>
        <v/>
      </c>
      <c r="X882" t="str" cm="1">
        <f t="array" ref="X882">IF(S882="","",IF($I882&lt;&gt;"",$I882,INDEX($I$2:$I881,ROW()-COUNTIFS($T$2:$T881,"="&amp;$T882,$S$2:$S881,"&lt;&gt;"&amp;$S882)-1)))</f>
        <v/>
      </c>
      <c r="Y882" t="b">
        <f>IF(X882&lt;&gt;"",VLOOKUP(X882,game_rosters!$C$43:$E$64,3,FALSE))</f>
        <v>0</v>
      </c>
      <c r="Z882" t="e" cm="1" vm="1">
        <f t="array" aca="1" ref="Z882" ca="1">IFERROR(IF(_xlfn._xlws.FILTER(game_rosters!$J:$J,(game_rosters!$G:$G=events!$AN882)*(game_rosters!$J:$J=events!$X882))&gt;0,1,""),"")</f>
        <v>#VALUE!</v>
      </c>
      <c r="AA882">
        <f t="shared" si="135"/>
        <v>1000</v>
      </c>
      <c r="AB882" t="str">
        <f t="shared" si="136"/>
        <v/>
      </c>
      <c r="AC882">
        <f t="shared" si="128"/>
        <v>1000</v>
      </c>
      <c r="AD882" s="6"/>
    </row>
    <row r="883" spans="1:30" x14ac:dyDescent="0.2">
      <c r="A883" t="str">
        <f t="shared" si="131"/>
        <v/>
      </c>
      <c r="X883" t="str" cm="1">
        <f t="array" ref="X883">IF(S883="","",IF($I883&lt;&gt;"",$I883,INDEX($I$2:$I882,ROW()-COUNTIFS($T$2:$T882,"="&amp;$T883,$S$2:$S882,"&lt;&gt;"&amp;$S883)-1)))</f>
        <v/>
      </c>
      <c r="Y883" t="b">
        <f>IF(X883&lt;&gt;"",VLOOKUP(X883,game_rosters!$C$43:$E$64,3,FALSE))</f>
        <v>0</v>
      </c>
      <c r="Z883" t="e" cm="1" vm="1">
        <f t="array" aca="1" ref="Z883" ca="1">IFERROR(IF(_xlfn._xlws.FILTER(game_rosters!$J:$J,(game_rosters!$G:$G=events!$AN883)*(game_rosters!$J:$J=events!$X883))&gt;0,1,""),"")</f>
        <v>#VALUE!</v>
      </c>
      <c r="AA883">
        <f t="shared" si="135"/>
        <v>1000</v>
      </c>
      <c r="AB883" t="str">
        <f t="shared" si="136"/>
        <v/>
      </c>
      <c r="AC883">
        <f t="shared" si="128"/>
        <v>1000</v>
      </c>
      <c r="AD883" s="6"/>
    </row>
    <row r="884" spans="1:30" x14ac:dyDescent="0.2">
      <c r="A884" t="str">
        <f t="shared" si="131"/>
        <v/>
      </c>
      <c r="X884" t="str" cm="1">
        <f t="array" ref="X884">IF(S884="","",IF($I884&lt;&gt;"",$I884,INDEX($I$2:$I883,ROW()-COUNTIFS($T$2:$T883,"="&amp;$T884,$S$2:$S883,"&lt;&gt;"&amp;$S884)-1)))</f>
        <v/>
      </c>
      <c r="Y884" t="b">
        <f>IF(X884&lt;&gt;"",VLOOKUP(X884,game_rosters!$C$43:$E$64,3,FALSE))</f>
        <v>0</v>
      </c>
      <c r="Z884" t="e" cm="1" vm="1">
        <f t="array" aca="1" ref="Z884" ca="1">IFERROR(IF(_xlfn._xlws.FILTER(game_rosters!$J:$J,(game_rosters!$G:$G=events!$AN884)*(game_rosters!$J:$J=events!$X884))&gt;0,1,""),"")</f>
        <v>#VALUE!</v>
      </c>
      <c r="AA884">
        <f t="shared" si="135"/>
        <v>1000</v>
      </c>
      <c r="AB884" t="str">
        <f t="shared" si="136"/>
        <v/>
      </c>
      <c r="AC884">
        <f t="shared" si="128"/>
        <v>1000</v>
      </c>
      <c r="AD884" s="6"/>
    </row>
    <row r="885" spans="1:30" x14ac:dyDescent="0.2">
      <c r="A885" t="str">
        <f t="shared" si="131"/>
        <v/>
      </c>
      <c r="X885" t="str" cm="1">
        <f t="array" ref="X885">IF(S885="","",IF($I885&lt;&gt;"",$I885,INDEX($I$2:$I884,ROW()-COUNTIFS($T$2:$T884,"="&amp;$T885,$S$2:$S884,"&lt;&gt;"&amp;$S885)-1)))</f>
        <v/>
      </c>
      <c r="Y885" t="b">
        <f>IF(X885&lt;&gt;"",VLOOKUP(X885,game_rosters!$C$43:$E$64,3,FALSE))</f>
        <v>0</v>
      </c>
      <c r="Z885" t="e" cm="1" vm="1">
        <f t="array" aca="1" ref="Z885" ca="1">IFERROR(IF(_xlfn._xlws.FILTER(game_rosters!$J:$J,(game_rosters!$G:$G=events!$AN885)*(game_rosters!$J:$J=events!$X885))&gt;0,1,""),"")</f>
        <v>#VALUE!</v>
      </c>
      <c r="AA885">
        <f t="shared" si="135"/>
        <v>1000</v>
      </c>
      <c r="AB885" t="str">
        <f t="shared" si="136"/>
        <v/>
      </c>
      <c r="AC885">
        <f t="shared" si="128"/>
        <v>1000</v>
      </c>
      <c r="AD885" s="6"/>
    </row>
    <row r="886" spans="1:30" x14ac:dyDescent="0.2">
      <c r="A886" t="str">
        <f t="shared" si="131"/>
        <v/>
      </c>
      <c r="X886" t="str" cm="1">
        <f t="array" ref="X886">IF(S886="","",IF($I886&lt;&gt;"",$I886,INDEX($I$2:$I885,ROW()-COUNTIFS($T$2:$T885,"="&amp;$T886,$S$2:$S885,"&lt;&gt;"&amp;$S886)-1)))</f>
        <v/>
      </c>
      <c r="Y886" t="b">
        <f>IF(X886&lt;&gt;"",VLOOKUP(X886,game_rosters!$C$43:$E$64,3,FALSE))</f>
        <v>0</v>
      </c>
      <c r="Z886" t="e" cm="1" vm="1">
        <f t="array" aca="1" ref="Z886" ca="1">IFERROR(IF(_xlfn._xlws.FILTER(game_rosters!$J:$J,(game_rosters!$G:$G=events!$AN886)*(game_rosters!$J:$J=events!$X886))&gt;0,1,""),"")</f>
        <v>#VALUE!</v>
      </c>
      <c r="AA886">
        <f t="shared" si="135"/>
        <v>1000</v>
      </c>
      <c r="AB886" t="str">
        <f t="shared" si="136"/>
        <v/>
      </c>
      <c r="AC886">
        <f t="shared" si="128"/>
        <v>1000</v>
      </c>
      <c r="AD886" s="6"/>
    </row>
    <row r="887" spans="1:30" x14ac:dyDescent="0.2">
      <c r="A887" t="str">
        <f t="shared" si="131"/>
        <v/>
      </c>
      <c r="X887" t="str" cm="1">
        <f t="array" ref="X887">IF(S887="","",IF($I887&lt;&gt;"",$I887,INDEX($I$2:$I886,ROW()-COUNTIFS($T$2:$T886,"="&amp;$T887,$S$2:$S886,"&lt;&gt;"&amp;$S887)-1)))</f>
        <v/>
      </c>
      <c r="Y887" t="b">
        <f>IF(X887&lt;&gt;"",VLOOKUP(X887,game_rosters!$C$43:$E$64,3,FALSE))</f>
        <v>0</v>
      </c>
      <c r="Z887" t="e" cm="1" vm="1">
        <f t="array" aca="1" ref="Z887" ca="1">IFERROR(IF(_xlfn._xlws.FILTER(game_rosters!$J:$J,(game_rosters!$G:$G=events!$AN887)*(game_rosters!$J:$J=events!$X887))&gt;0,1,""),"")</f>
        <v>#VALUE!</v>
      </c>
      <c r="AA887">
        <f t="shared" si="135"/>
        <v>1000</v>
      </c>
      <c r="AB887" t="str">
        <f t="shared" si="136"/>
        <v/>
      </c>
      <c r="AC887">
        <f t="shared" si="128"/>
        <v>1000</v>
      </c>
      <c r="AD887" s="6"/>
    </row>
    <row r="888" spans="1:30" x14ac:dyDescent="0.2">
      <c r="A888" t="str">
        <f t="shared" si="131"/>
        <v/>
      </c>
      <c r="X888" t="str" cm="1">
        <f t="array" ref="X888">IF(S888="","",IF($I888&lt;&gt;"",$I888,INDEX($I$2:$I887,ROW()-COUNTIFS($T$2:$T887,"="&amp;$T888,$S$2:$S887,"&lt;&gt;"&amp;$S888)-1)))</f>
        <v/>
      </c>
      <c r="Y888" t="b">
        <f>IF(X888&lt;&gt;"",VLOOKUP(X888,game_rosters!$C$43:$E$64,3,FALSE))</f>
        <v>0</v>
      </c>
      <c r="Z888" t="e" cm="1" vm="1">
        <f t="array" aca="1" ref="Z888" ca="1">IFERROR(IF(_xlfn._xlws.FILTER(game_rosters!$J:$J,(game_rosters!$G:$G=events!$AN888)*(game_rosters!$J:$J=events!$X888))&gt;0,1,""),"")</f>
        <v>#VALUE!</v>
      </c>
      <c r="AA888">
        <f t="shared" si="135"/>
        <v>1000</v>
      </c>
      <c r="AB888" t="str">
        <f t="shared" si="136"/>
        <v/>
      </c>
      <c r="AC888">
        <f t="shared" si="128"/>
        <v>1000</v>
      </c>
      <c r="AD888" s="6"/>
    </row>
    <row r="889" spans="1:30" x14ac:dyDescent="0.2">
      <c r="A889" t="str">
        <f t="shared" si="131"/>
        <v/>
      </c>
      <c r="X889" t="str" cm="1">
        <f t="array" ref="X889">IF(S889="","",IF($I889&lt;&gt;"",$I889,INDEX($I$2:$I888,ROW()-COUNTIFS($T$2:$T888,"="&amp;$T889,$S$2:$S888,"&lt;&gt;"&amp;$S889)-1)))</f>
        <v/>
      </c>
      <c r="Y889" t="b">
        <f>IF(X889&lt;&gt;"",VLOOKUP(X889,game_rosters!$C$43:$E$64,3,FALSE))</f>
        <v>0</v>
      </c>
      <c r="Z889" t="e" cm="1" vm="1">
        <f t="array" aca="1" ref="Z889" ca="1">IFERROR(IF(_xlfn._xlws.FILTER(game_rosters!$J:$J,(game_rosters!$G:$G=events!$AN889)*(game_rosters!$J:$J=events!$X889))&gt;0,1,""),"")</f>
        <v>#VALUE!</v>
      </c>
      <c r="AA889">
        <f t="shared" si="135"/>
        <v>1000</v>
      </c>
      <c r="AB889" t="str">
        <f t="shared" si="136"/>
        <v/>
      </c>
      <c r="AC889">
        <f t="shared" si="128"/>
        <v>1000</v>
      </c>
      <c r="AD889" s="6"/>
    </row>
    <row r="890" spans="1:30" x14ac:dyDescent="0.2">
      <c r="A890" t="str">
        <f t="shared" si="131"/>
        <v/>
      </c>
      <c r="X890" t="str" cm="1">
        <f t="array" ref="X890">IF(S890="","",IF($I890&lt;&gt;"",$I890,INDEX($I$2:$I889,ROW()-COUNTIFS($T$2:$T889,"="&amp;$T890,$S$2:$S889,"&lt;&gt;"&amp;$S890)-1)))</f>
        <v/>
      </c>
      <c r="Y890" t="b">
        <f>IF(X890&lt;&gt;"",VLOOKUP(X890,game_rosters!$C$43:$E$64,3,FALSE))</f>
        <v>0</v>
      </c>
      <c r="Z890" t="e" cm="1" vm="1">
        <f t="array" aca="1" ref="Z890" ca="1">IFERROR(IF(_xlfn._xlws.FILTER(game_rosters!$J:$J,(game_rosters!$G:$G=events!$AN890)*(game_rosters!$J:$J=events!$X890))&gt;0,1,""),"")</f>
        <v>#VALUE!</v>
      </c>
      <c r="AA890">
        <f t="shared" si="135"/>
        <v>1000</v>
      </c>
      <c r="AB890" t="str">
        <f t="shared" si="136"/>
        <v/>
      </c>
      <c r="AC890">
        <f t="shared" si="128"/>
        <v>1000</v>
      </c>
      <c r="AD890" s="6"/>
    </row>
    <row r="891" spans="1:30" x14ac:dyDescent="0.2">
      <c r="A891" t="str">
        <f t="shared" si="131"/>
        <v/>
      </c>
      <c r="X891" t="str" cm="1">
        <f t="array" ref="X891">IF(S891="","",IF($I891&lt;&gt;"",$I891,INDEX($I$2:$I890,ROW()-COUNTIFS($T$2:$T890,"="&amp;$T891,$S$2:$S890,"&lt;&gt;"&amp;$S891)-1)))</f>
        <v/>
      </c>
      <c r="Y891" t="b">
        <f>IF(X891&lt;&gt;"",VLOOKUP(X891,game_rosters!$C$43:$E$64,3,FALSE))</f>
        <v>0</v>
      </c>
      <c r="Z891" t="e" cm="1" vm="1">
        <f t="array" aca="1" ref="Z891" ca="1">IFERROR(IF(_xlfn._xlws.FILTER(game_rosters!$J:$J,(game_rosters!$G:$G=events!$AN891)*(game_rosters!$J:$J=events!$X891))&gt;0,1,""),"")</f>
        <v>#VALUE!</v>
      </c>
      <c r="AA891">
        <f t="shared" si="135"/>
        <v>1000</v>
      </c>
      <c r="AB891" t="str">
        <f t="shared" si="136"/>
        <v/>
      </c>
      <c r="AC891">
        <f t="shared" si="128"/>
        <v>1000</v>
      </c>
      <c r="AD891" s="6"/>
    </row>
    <row r="892" spans="1:30" x14ac:dyDescent="0.2">
      <c r="A892" t="str">
        <f t="shared" si="131"/>
        <v/>
      </c>
      <c r="X892" t="str" cm="1">
        <f t="array" ref="X892">IF(S892="","",IF($I892&lt;&gt;"",$I892,INDEX($I$2:$I891,ROW()-COUNTIFS($T$2:$T891,"="&amp;$T892,$S$2:$S891,"&lt;&gt;"&amp;$S892)-1)))</f>
        <v/>
      </c>
      <c r="Y892" t="b">
        <f>IF(X892&lt;&gt;"",VLOOKUP(X892,game_rosters!$C$43:$E$64,3,FALSE))</f>
        <v>0</v>
      </c>
      <c r="Z892" t="e" cm="1" vm="1">
        <f t="array" aca="1" ref="Z892" ca="1">IFERROR(IF(_xlfn._xlws.FILTER(game_rosters!$J:$J,(game_rosters!$G:$G=events!$AN892)*(game_rosters!$J:$J=events!$X892))&gt;0,1,""),"")</f>
        <v>#VALUE!</v>
      </c>
      <c r="AA892">
        <f t="shared" si="135"/>
        <v>1000</v>
      </c>
      <c r="AB892" t="str">
        <f t="shared" si="136"/>
        <v/>
      </c>
      <c r="AC892">
        <f t="shared" si="128"/>
        <v>1000</v>
      </c>
      <c r="AD892" s="6"/>
    </row>
    <row r="893" spans="1:30" x14ac:dyDescent="0.2">
      <c r="A893" t="str">
        <f t="shared" si="131"/>
        <v/>
      </c>
      <c r="X893" t="str" cm="1">
        <f t="array" ref="X893">IF(S893="","",IF($I893&lt;&gt;"",$I893,INDEX($I$2:$I892,ROW()-COUNTIFS($T$2:$T892,"="&amp;$T893,$S$2:$S892,"&lt;&gt;"&amp;$S893)-1)))</f>
        <v/>
      </c>
      <c r="Y893" t="b">
        <f>IF(X893&lt;&gt;"",VLOOKUP(X893,game_rosters!$C$43:$E$64,3,FALSE))</f>
        <v>0</v>
      </c>
      <c r="Z893" t="e" cm="1" vm="1">
        <f t="array" aca="1" ref="Z893" ca="1">IFERROR(IF(_xlfn._xlws.FILTER(game_rosters!$J:$J,(game_rosters!$G:$G=events!$AN893)*(game_rosters!$J:$J=events!$X893))&gt;0,1,""),"")</f>
        <v>#VALUE!</v>
      </c>
      <c r="AA893">
        <f t="shared" si="135"/>
        <v>1000</v>
      </c>
      <c r="AB893" t="str">
        <f t="shared" si="136"/>
        <v/>
      </c>
      <c r="AC893">
        <f t="shared" si="128"/>
        <v>1000</v>
      </c>
      <c r="AD893" s="6"/>
    </row>
    <row r="894" spans="1:30" x14ac:dyDescent="0.2">
      <c r="A894" t="str">
        <f t="shared" si="131"/>
        <v/>
      </c>
      <c r="X894" t="str" cm="1">
        <f t="array" ref="X894">IF(S894="","",IF($I894&lt;&gt;"",$I894,INDEX($I$2:$I893,ROW()-COUNTIFS($T$2:$T893,"="&amp;$T894,$S$2:$S893,"&lt;&gt;"&amp;$S894)-1)))</f>
        <v/>
      </c>
      <c r="Y894" t="b">
        <f>IF(X894&lt;&gt;"",VLOOKUP(X894,game_rosters!$C$43:$E$64,3,FALSE))</f>
        <v>0</v>
      </c>
      <c r="Z894" t="e" cm="1" vm="1">
        <f t="array" aca="1" ref="Z894" ca="1">IFERROR(IF(_xlfn._xlws.FILTER(game_rosters!$J:$J,(game_rosters!$G:$G=events!$AN894)*(game_rosters!$J:$J=events!$X894))&gt;0,1,""),"")</f>
        <v>#VALUE!</v>
      </c>
      <c r="AA894">
        <f t="shared" si="135"/>
        <v>1000</v>
      </c>
      <c r="AB894" t="str">
        <f t="shared" si="136"/>
        <v/>
      </c>
      <c r="AC894">
        <f t="shared" si="128"/>
        <v>1000</v>
      </c>
      <c r="AD894" s="6"/>
    </row>
    <row r="895" spans="1:30" x14ac:dyDescent="0.2">
      <c r="A895" t="str">
        <f t="shared" si="131"/>
        <v/>
      </c>
      <c r="X895" t="str" cm="1">
        <f t="array" ref="X895">IF(S895="","",IF($I895&lt;&gt;"",$I895,INDEX($I$2:$I894,ROW()-COUNTIFS($T$2:$T894,"="&amp;$T895,$S$2:$S894,"&lt;&gt;"&amp;$S895)-1)))</f>
        <v/>
      </c>
      <c r="Y895" t="b">
        <f>IF(X895&lt;&gt;"",VLOOKUP(X895,game_rosters!$C$43:$E$64,3,FALSE))</f>
        <v>0</v>
      </c>
      <c r="Z895" t="e" cm="1" vm="1">
        <f t="array" aca="1" ref="Z895" ca="1">IFERROR(IF(_xlfn._xlws.FILTER(game_rosters!$J:$J,(game_rosters!$G:$G=events!$AN895)*(game_rosters!$J:$J=events!$X895))&gt;0,1,""),"")</f>
        <v>#VALUE!</v>
      </c>
      <c r="AA895">
        <f t="shared" si="135"/>
        <v>1000</v>
      </c>
      <c r="AB895" t="str">
        <f t="shared" si="136"/>
        <v/>
      </c>
      <c r="AC895">
        <f t="shared" si="128"/>
        <v>1000</v>
      </c>
      <c r="AD895" s="6"/>
    </row>
    <row r="896" spans="1:30" x14ac:dyDescent="0.2">
      <c r="A896" t="str">
        <f t="shared" si="131"/>
        <v/>
      </c>
      <c r="X896" t="str" cm="1">
        <f t="array" ref="X896">IF(S896="","",IF($I896&lt;&gt;"",$I896,INDEX($I$2:$I895,ROW()-COUNTIFS($T$2:$T895,"="&amp;$T896,$S$2:$S895,"&lt;&gt;"&amp;$S896)-1)))</f>
        <v/>
      </c>
      <c r="Y896" t="b">
        <f>IF(X896&lt;&gt;"",VLOOKUP(X896,game_rosters!$C$43:$E$64,3,FALSE))</f>
        <v>0</v>
      </c>
      <c r="Z896" t="e" cm="1" vm="1">
        <f t="array" aca="1" ref="Z896" ca="1">IFERROR(IF(_xlfn._xlws.FILTER(game_rosters!$J:$J,(game_rosters!$G:$G=events!$AN896)*(game_rosters!$J:$J=events!$X896))&gt;0,1,""),"")</f>
        <v>#VALUE!</v>
      </c>
      <c r="AA896">
        <f t="shared" si="135"/>
        <v>1000</v>
      </c>
      <c r="AB896" t="str">
        <f t="shared" si="136"/>
        <v/>
      </c>
      <c r="AC896">
        <f t="shared" si="128"/>
        <v>1000</v>
      </c>
      <c r="AD896" s="6"/>
    </row>
    <row r="897" spans="1:30" x14ac:dyDescent="0.2">
      <c r="A897" t="str">
        <f t="shared" si="131"/>
        <v/>
      </c>
      <c r="X897" t="str" cm="1">
        <f t="array" ref="X897">IF(S897="","",IF($I897&lt;&gt;"",$I897,INDEX($I$2:$I896,ROW()-COUNTIFS($T$2:$T896,"="&amp;$T897,$S$2:$S896,"&lt;&gt;"&amp;$S897)-1)))</f>
        <v/>
      </c>
      <c r="Y897" t="b">
        <f>IF(X897&lt;&gt;"",VLOOKUP(X897,game_rosters!$C$43:$E$64,3,FALSE))</f>
        <v>0</v>
      </c>
      <c r="Z897" t="e" cm="1" vm="1">
        <f t="array" aca="1" ref="Z897" ca="1">IFERROR(IF(_xlfn._xlws.FILTER(game_rosters!$J:$J,(game_rosters!$G:$G=events!$AN897)*(game_rosters!$J:$J=events!$X897))&gt;0,1,""),"")</f>
        <v>#VALUE!</v>
      </c>
      <c r="AA897">
        <f t="shared" si="135"/>
        <v>1000</v>
      </c>
      <c r="AB897" t="str">
        <f t="shared" si="136"/>
        <v/>
      </c>
      <c r="AC897">
        <f t="shared" si="128"/>
        <v>1000</v>
      </c>
      <c r="AD897" s="6"/>
    </row>
    <row r="898" spans="1:30" x14ac:dyDescent="0.2">
      <c r="A898" t="str">
        <f t="shared" si="131"/>
        <v/>
      </c>
      <c r="X898" t="str" cm="1">
        <f t="array" ref="X898">IF(S898="","",IF($I898&lt;&gt;"",$I898,INDEX($I$2:$I897,ROW()-COUNTIFS($T$2:$T897,"="&amp;$T898,$S$2:$S897,"&lt;&gt;"&amp;$S898)-1)))</f>
        <v/>
      </c>
      <c r="Y898" t="b">
        <f>IF(X898&lt;&gt;"",VLOOKUP(X898,game_rosters!$C$43:$E$64,3,FALSE))</f>
        <v>0</v>
      </c>
      <c r="Z898" t="e" cm="1" vm="1">
        <f t="array" aca="1" ref="Z898" ca="1">IFERROR(IF(_xlfn._xlws.FILTER(game_rosters!$J:$J,(game_rosters!$G:$G=events!$AN898)*(game_rosters!$J:$J=events!$X898))&gt;0,1,""),"")</f>
        <v>#VALUE!</v>
      </c>
      <c r="AA898">
        <f t="shared" si="135"/>
        <v>1000</v>
      </c>
      <c r="AB898" t="str">
        <f t="shared" si="136"/>
        <v/>
      </c>
      <c r="AC898">
        <f t="shared" ref="AC898:AC961" si="137">IF(AB898&lt;&gt;"",AB898,S898+1000)</f>
        <v>1000</v>
      </c>
      <c r="AD898" s="6"/>
    </row>
    <row r="899" spans="1:30" x14ac:dyDescent="0.2">
      <c r="A899" t="str">
        <f t="shared" si="131"/>
        <v/>
      </c>
      <c r="X899" t="str" cm="1">
        <f t="array" ref="X899">IF(S899="","",IF($I899&lt;&gt;"",$I899,INDEX($I$2:$I898,ROW()-COUNTIFS($T$2:$T898,"="&amp;$T899,$S$2:$S898,"&lt;&gt;"&amp;$S899)-1)))</f>
        <v/>
      </c>
      <c r="Y899" t="b">
        <f>IF(X899&lt;&gt;"",VLOOKUP(X899,game_rosters!$C$43:$E$64,3,FALSE))</f>
        <v>0</v>
      </c>
      <c r="Z899" t="e" cm="1" vm="1">
        <f t="array" aca="1" ref="Z899" ca="1">IFERROR(IF(_xlfn._xlws.FILTER(game_rosters!$J:$J,(game_rosters!$G:$G=events!$AN899)*(game_rosters!$J:$J=events!$X899))&gt;0,1,""),"")</f>
        <v>#VALUE!</v>
      </c>
      <c r="AA899">
        <f t="shared" si="135"/>
        <v>1000</v>
      </c>
      <c r="AB899" t="str">
        <f t="shared" si="136"/>
        <v/>
      </c>
      <c r="AC899">
        <f t="shared" si="137"/>
        <v>1000</v>
      </c>
      <c r="AD899" s="6"/>
    </row>
    <row r="900" spans="1:30" x14ac:dyDescent="0.2">
      <c r="A900" t="str">
        <f t="shared" si="131"/>
        <v/>
      </c>
      <c r="X900" t="str" cm="1">
        <f t="array" ref="X900">IF(S900="","",IF($I900&lt;&gt;"",$I900,INDEX($I$2:$I899,ROW()-COUNTIFS($T$2:$T899,"="&amp;$T900,$S$2:$S899,"&lt;&gt;"&amp;$S900)-1)))</f>
        <v/>
      </c>
      <c r="Y900" t="b">
        <f>IF(X900&lt;&gt;"",VLOOKUP(X900,game_rosters!$C$43:$E$64,3,FALSE))</f>
        <v>0</v>
      </c>
      <c r="Z900" t="e" cm="1" vm="1">
        <f t="array" aca="1" ref="Z900" ca="1">IFERROR(IF(_xlfn._xlws.FILTER(game_rosters!$J:$J,(game_rosters!$G:$G=events!$AN900)*(game_rosters!$J:$J=events!$X900))&gt;0,1,""),"")</f>
        <v>#VALUE!</v>
      </c>
      <c r="AA900">
        <f t="shared" si="135"/>
        <v>1000</v>
      </c>
      <c r="AB900" t="str">
        <f t="shared" si="136"/>
        <v/>
      </c>
      <c r="AC900">
        <f t="shared" si="137"/>
        <v>1000</v>
      </c>
      <c r="AD900" s="6"/>
    </row>
    <row r="901" spans="1:30" x14ac:dyDescent="0.2">
      <c r="A901" t="str">
        <f t="shared" ref="A901:A964" si="138">IF(K901&lt;&gt;"",1,IF(D901="x","x",""))</f>
        <v/>
      </c>
      <c r="X901" t="str" cm="1">
        <f t="array" ref="X901">IF(S901="","",IF($I901&lt;&gt;"",$I901,INDEX($I$2:$I900,ROW()-COUNTIFS($T$2:$T900,"="&amp;$T901,$S$2:$S900,"&lt;&gt;"&amp;$S901)-1)))</f>
        <v/>
      </c>
      <c r="Y901" t="b">
        <f>IF(X901&lt;&gt;"",VLOOKUP(X901,game_rosters!$C$43:$E$64,3,FALSE))</f>
        <v>0</v>
      </c>
      <c r="Z901" t="e" cm="1" vm="1">
        <f t="array" aca="1" ref="Z901" ca="1">IFERROR(IF(_xlfn._xlws.FILTER(game_rosters!$J:$J,(game_rosters!$G:$G=events!$AN901)*(game_rosters!$J:$J=events!$X901))&gt;0,1,""),"")</f>
        <v>#VALUE!</v>
      </c>
      <c r="AA901">
        <f t="shared" si="135"/>
        <v>1000</v>
      </c>
      <c r="AB901" t="str">
        <f t="shared" si="136"/>
        <v/>
      </c>
      <c r="AC901">
        <f t="shared" si="137"/>
        <v>1000</v>
      </c>
      <c r="AD901" s="6"/>
    </row>
    <row r="902" spans="1:30" x14ac:dyDescent="0.2">
      <c r="A902" t="str">
        <f t="shared" si="138"/>
        <v/>
      </c>
      <c r="X902" t="str" cm="1">
        <f t="array" ref="X902">IF(S902="","",IF($I902&lt;&gt;"",$I902,INDEX($I$2:$I901,ROW()-COUNTIFS($T$2:$T901,"="&amp;$T902,$S$2:$S901,"&lt;&gt;"&amp;$S902)-1)))</f>
        <v/>
      </c>
      <c r="Y902" t="b">
        <f>IF(X902&lt;&gt;"",VLOOKUP(X902,game_rosters!$C$43:$E$64,3,FALSE))</f>
        <v>0</v>
      </c>
      <c r="Z902" t="e" cm="1" vm="1">
        <f t="array" aca="1" ref="Z902" ca="1">IFERROR(IF(_xlfn._xlws.FILTER(game_rosters!$J:$J,(game_rosters!$G:$G=events!$AN902)*(game_rosters!$J:$J=events!$X902))&gt;0,1,""),"")</f>
        <v>#VALUE!</v>
      </c>
      <c r="AA902">
        <f t="shared" si="135"/>
        <v>1000</v>
      </c>
      <c r="AB902" t="str">
        <f t="shared" si="136"/>
        <v/>
      </c>
      <c r="AC902">
        <f t="shared" si="137"/>
        <v>1000</v>
      </c>
      <c r="AD902" s="6"/>
    </row>
    <row r="903" spans="1:30" x14ac:dyDescent="0.2">
      <c r="A903" t="str">
        <f t="shared" si="138"/>
        <v/>
      </c>
      <c r="X903" t="str" cm="1">
        <f t="array" ref="X903">IF(S903="","",IF($I903&lt;&gt;"",$I903,INDEX($I$2:$I902,ROW()-COUNTIFS($T$2:$T902,"="&amp;$T903,$S$2:$S902,"&lt;&gt;"&amp;$S903)-1)))</f>
        <v/>
      </c>
      <c r="Y903" t="b">
        <f>IF(X903&lt;&gt;"",VLOOKUP(X903,game_rosters!$C$43:$E$64,3,FALSE))</f>
        <v>0</v>
      </c>
      <c r="Z903" t="e" cm="1" vm="1">
        <f t="array" aca="1" ref="Z903" ca="1">IFERROR(IF(_xlfn._xlws.FILTER(game_rosters!$J:$J,(game_rosters!$G:$G=events!$AN903)*(game_rosters!$J:$J=events!$X903))&gt;0,1,""),"")</f>
        <v>#VALUE!</v>
      </c>
      <c r="AA903">
        <f t="shared" si="135"/>
        <v>1000</v>
      </c>
      <c r="AB903" t="str">
        <f t="shared" si="136"/>
        <v/>
      </c>
      <c r="AC903">
        <f t="shared" si="137"/>
        <v>1000</v>
      </c>
      <c r="AD903" s="6"/>
    </row>
    <row r="904" spans="1:30" x14ac:dyDescent="0.2">
      <c r="A904" t="str">
        <f t="shared" si="138"/>
        <v/>
      </c>
      <c r="X904" t="str" cm="1">
        <f t="array" ref="X904">IF(S904="","",IF($I904&lt;&gt;"",$I904,INDEX($I$2:$I903,ROW()-COUNTIFS($T$2:$T903,"="&amp;$T904,$S$2:$S903,"&lt;&gt;"&amp;$S904)-1)))</f>
        <v/>
      </c>
      <c r="Y904" t="b">
        <f>IF(X904&lt;&gt;"",VLOOKUP(X904,game_rosters!$C$43:$E$64,3,FALSE))</f>
        <v>0</v>
      </c>
      <c r="Z904" t="e" cm="1" vm="1">
        <f t="array" aca="1" ref="Z904" ca="1">IFERROR(IF(_xlfn._xlws.FILTER(game_rosters!$J:$J,(game_rosters!$G:$G=events!$AN904)*(game_rosters!$J:$J=events!$X904))&gt;0,1,""),"")</f>
        <v>#VALUE!</v>
      </c>
      <c r="AA904">
        <f t="shared" si="135"/>
        <v>1000</v>
      </c>
      <c r="AB904" t="str">
        <f t="shared" si="136"/>
        <v/>
      </c>
      <c r="AC904">
        <f t="shared" si="137"/>
        <v>1000</v>
      </c>
      <c r="AD904" s="6"/>
    </row>
    <row r="905" spans="1:30" x14ac:dyDescent="0.2">
      <c r="A905" t="str">
        <f t="shared" si="138"/>
        <v/>
      </c>
      <c r="X905" t="str" cm="1">
        <f t="array" ref="X905">IF(S905="","",IF($I905&lt;&gt;"",$I905,INDEX($I$2:$I904,ROW()-COUNTIFS($T$2:$T904,"="&amp;$T905,$S$2:$S904,"&lt;&gt;"&amp;$S905)-1)))</f>
        <v/>
      </c>
      <c r="Y905" t="b">
        <f>IF(X905&lt;&gt;"",VLOOKUP(X905,game_rosters!$C$43:$E$64,3,FALSE))</f>
        <v>0</v>
      </c>
      <c r="Z905" t="e" cm="1" vm="1">
        <f t="array" aca="1" ref="Z905" ca="1">IFERROR(IF(_xlfn._xlws.FILTER(game_rosters!$J:$J,(game_rosters!$G:$G=events!$AN905)*(game_rosters!$J:$J=events!$X905))&gt;0,1,""),"")</f>
        <v>#VALUE!</v>
      </c>
      <c r="AA905">
        <f t="shared" si="135"/>
        <v>1000</v>
      </c>
      <c r="AB905" t="str">
        <f t="shared" si="136"/>
        <v/>
      </c>
      <c r="AC905">
        <f t="shared" si="137"/>
        <v>1000</v>
      </c>
      <c r="AD905" s="6"/>
    </row>
    <row r="906" spans="1:30" x14ac:dyDescent="0.2">
      <c r="A906" t="str">
        <f t="shared" si="138"/>
        <v/>
      </c>
      <c r="X906" t="str" cm="1">
        <f t="array" ref="X906">IF(S906="","",IF($I906&lt;&gt;"",$I906,INDEX($I$2:$I905,ROW()-COUNTIFS($T$2:$T905,"="&amp;$T906,$S$2:$S905,"&lt;&gt;"&amp;$S906)-1)))</f>
        <v/>
      </c>
      <c r="Y906" t="b">
        <f>IF(X906&lt;&gt;"",VLOOKUP(X906,game_rosters!$C$43:$E$64,3,FALSE))</f>
        <v>0</v>
      </c>
      <c r="Z906" t="e" cm="1" vm="1">
        <f t="array" aca="1" ref="Z906" ca="1">IFERROR(IF(_xlfn._xlws.FILTER(game_rosters!$J:$J,(game_rosters!$G:$G=events!$AN906)*(game_rosters!$J:$J=events!$X906))&gt;0,1,""),"")</f>
        <v>#VALUE!</v>
      </c>
      <c r="AA906">
        <f t="shared" si="135"/>
        <v>1000</v>
      </c>
      <c r="AB906" t="str">
        <f t="shared" si="136"/>
        <v/>
      </c>
      <c r="AC906">
        <f t="shared" si="137"/>
        <v>1000</v>
      </c>
      <c r="AD906" s="6"/>
    </row>
    <row r="907" spans="1:30" x14ac:dyDescent="0.2">
      <c r="A907" t="str">
        <f t="shared" si="138"/>
        <v/>
      </c>
      <c r="X907" t="str" cm="1">
        <f t="array" ref="X907">IF(S907="","",IF($I907&lt;&gt;"",$I907,INDEX($I$2:$I906,ROW()-COUNTIFS($T$2:$T906,"="&amp;$T907,$S$2:$S906,"&lt;&gt;"&amp;$S907)-1)))</f>
        <v/>
      </c>
      <c r="Y907" t="b">
        <f>IF(X907&lt;&gt;"",VLOOKUP(X907,game_rosters!$C$43:$E$64,3,FALSE))</f>
        <v>0</v>
      </c>
      <c r="Z907" t="e" cm="1" vm="1">
        <f t="array" aca="1" ref="Z907" ca="1">IFERROR(IF(_xlfn._xlws.FILTER(game_rosters!$J:$J,(game_rosters!$G:$G=events!$AN907)*(game_rosters!$J:$J=events!$X907))&gt;0,1,""),"")</f>
        <v>#VALUE!</v>
      </c>
      <c r="AA907">
        <f t="shared" si="135"/>
        <v>1000</v>
      </c>
      <c r="AB907" t="str">
        <f t="shared" si="136"/>
        <v/>
      </c>
      <c r="AC907">
        <f t="shared" si="137"/>
        <v>1000</v>
      </c>
      <c r="AD907" s="6"/>
    </row>
    <row r="908" spans="1:30" x14ac:dyDescent="0.2">
      <c r="A908" t="str">
        <f t="shared" si="138"/>
        <v/>
      </c>
      <c r="X908" t="str" cm="1">
        <f t="array" ref="X908">IF(S908="","",IF($I908&lt;&gt;"",$I908,INDEX($I$2:$I907,ROW()-COUNTIFS($T$2:$T907,"="&amp;$T908,$S$2:$S907,"&lt;&gt;"&amp;$S908)-1)))</f>
        <v/>
      </c>
      <c r="Y908" t="b">
        <f>IF(X908&lt;&gt;"",VLOOKUP(X908,game_rosters!$C$43:$E$64,3,FALSE))</f>
        <v>0</v>
      </c>
      <c r="Z908" t="e" cm="1" vm="1">
        <f t="array" aca="1" ref="Z908" ca="1">IFERROR(IF(_xlfn._xlws.FILTER(game_rosters!$J:$J,(game_rosters!$G:$G=events!$AN908)*(game_rosters!$J:$J=events!$X908))&gt;0,1,""),"")</f>
        <v>#VALUE!</v>
      </c>
      <c r="AA908">
        <f t="shared" si="135"/>
        <v>1000</v>
      </c>
      <c r="AB908" t="str">
        <f t="shared" si="136"/>
        <v/>
      </c>
      <c r="AC908">
        <f t="shared" si="137"/>
        <v>1000</v>
      </c>
      <c r="AD908" s="6"/>
    </row>
    <row r="909" spans="1:30" x14ac:dyDescent="0.2">
      <c r="A909" t="str">
        <f t="shared" si="138"/>
        <v/>
      </c>
      <c r="X909" t="str" cm="1">
        <f t="array" ref="X909">IF(S909="","",IF($I909&lt;&gt;"",$I909,INDEX($I$2:$I908,ROW()-COUNTIFS($T$2:$T908,"="&amp;$T909,$S$2:$S908,"&lt;&gt;"&amp;$S909)-1)))</f>
        <v/>
      </c>
      <c r="Y909" t="b">
        <f>IF(X909&lt;&gt;"",VLOOKUP(X909,game_rosters!$C$43:$E$64,3,FALSE))</f>
        <v>0</v>
      </c>
      <c r="Z909" t="e" cm="1" vm="1">
        <f t="array" aca="1" ref="Z909" ca="1">IFERROR(IF(_xlfn._xlws.FILTER(game_rosters!$J:$J,(game_rosters!$G:$G=events!$AN909)*(game_rosters!$J:$J=events!$X909))&gt;0,1,""),"")</f>
        <v>#VALUE!</v>
      </c>
      <c r="AA909">
        <f t="shared" si="135"/>
        <v>1000</v>
      </c>
      <c r="AB909" t="str">
        <f t="shared" si="136"/>
        <v/>
      </c>
      <c r="AC909">
        <f t="shared" si="137"/>
        <v>1000</v>
      </c>
      <c r="AD909" s="6"/>
    </row>
    <row r="910" spans="1:30" x14ac:dyDescent="0.2">
      <c r="A910" t="str">
        <f t="shared" si="138"/>
        <v/>
      </c>
      <c r="X910" t="str" cm="1">
        <f t="array" ref="X910">IF(S910="","",IF($I910&lt;&gt;"",$I910,INDEX($I$2:$I909,ROW()-COUNTIFS($T$2:$T909,"="&amp;$T910,$S$2:$S909,"&lt;&gt;"&amp;$S910)-1)))</f>
        <v/>
      </c>
      <c r="Y910" t="b">
        <f>IF(X910&lt;&gt;"",VLOOKUP(X910,game_rosters!$C$43:$E$64,3,FALSE))</f>
        <v>0</v>
      </c>
      <c r="Z910" t="e" cm="1" vm="1">
        <f t="array" aca="1" ref="Z910" ca="1">IFERROR(IF(_xlfn._xlws.FILTER(game_rosters!$J:$J,(game_rosters!$G:$G=events!$AN910)*(game_rosters!$J:$J=events!$X910))&gt;0,1,""),"")</f>
        <v>#VALUE!</v>
      </c>
      <c r="AA910">
        <f t="shared" si="135"/>
        <v>1000</v>
      </c>
      <c r="AB910" t="str">
        <f t="shared" si="136"/>
        <v/>
      </c>
      <c r="AC910">
        <f t="shared" si="137"/>
        <v>1000</v>
      </c>
      <c r="AD910" s="6"/>
    </row>
    <row r="911" spans="1:30" x14ac:dyDescent="0.2">
      <c r="A911" t="str">
        <f t="shared" si="138"/>
        <v/>
      </c>
      <c r="X911" t="str" cm="1">
        <f t="array" ref="X911">IF(S911="","",IF($I911&lt;&gt;"",$I911,INDEX($I$2:$I910,ROW()-COUNTIFS($T$2:$T910,"="&amp;$T911,$S$2:$S910,"&lt;&gt;"&amp;$S911)-1)))</f>
        <v/>
      </c>
      <c r="Y911" t="b">
        <f>IF(X911&lt;&gt;"",VLOOKUP(X911,game_rosters!$C$43:$E$64,3,FALSE))</f>
        <v>0</v>
      </c>
      <c r="Z911" t="e" cm="1" vm="1">
        <f t="array" aca="1" ref="Z911" ca="1">IFERROR(IF(_xlfn._xlws.FILTER(game_rosters!$J:$J,(game_rosters!$G:$G=events!$AN911)*(game_rosters!$J:$J=events!$X911))&gt;0,1,""),"")</f>
        <v>#VALUE!</v>
      </c>
      <c r="AA911">
        <f t="shared" si="135"/>
        <v>1000</v>
      </c>
      <c r="AB911" t="str">
        <f t="shared" si="136"/>
        <v/>
      </c>
      <c r="AC911">
        <f t="shared" si="137"/>
        <v>1000</v>
      </c>
      <c r="AD911" s="6"/>
    </row>
    <row r="912" spans="1:30" x14ac:dyDescent="0.2">
      <c r="A912" t="str">
        <f t="shared" si="138"/>
        <v/>
      </c>
      <c r="X912" t="str" cm="1">
        <f t="array" ref="X912">IF(S912="","",IF($I912&lt;&gt;"",$I912,INDEX($I$2:$I911,ROW()-COUNTIFS($T$2:$T911,"="&amp;$T912,$S$2:$S911,"&lt;&gt;"&amp;$S912)-1)))</f>
        <v/>
      </c>
      <c r="Y912" t="b">
        <f>IF(X912&lt;&gt;"",VLOOKUP(X912,game_rosters!$C$43:$E$64,3,FALSE))</f>
        <v>0</v>
      </c>
      <c r="Z912" t="e" cm="1" vm="1">
        <f t="array" aca="1" ref="Z912" ca="1">IFERROR(IF(_xlfn._xlws.FILTER(game_rosters!$J:$J,(game_rosters!$G:$G=events!$AN912)*(game_rosters!$J:$J=events!$X912))&gt;0,1,""),"")</f>
        <v>#VALUE!</v>
      </c>
      <c r="AA912">
        <f t="shared" si="135"/>
        <v>1000</v>
      </c>
      <c r="AB912" t="str">
        <f t="shared" si="136"/>
        <v/>
      </c>
      <c r="AC912">
        <f t="shared" si="137"/>
        <v>1000</v>
      </c>
      <c r="AD912" s="6"/>
    </row>
    <row r="913" spans="1:30" x14ac:dyDescent="0.2">
      <c r="A913" t="str">
        <f t="shared" si="138"/>
        <v/>
      </c>
      <c r="X913" t="str" cm="1">
        <f t="array" ref="X913">IF(S913="","",IF($I913&lt;&gt;"",$I913,INDEX($I$2:$I912,ROW()-COUNTIFS($T$2:$T912,"="&amp;$T913,$S$2:$S912,"&lt;&gt;"&amp;$S913)-1)))</f>
        <v/>
      </c>
      <c r="Y913" t="b">
        <f>IF(X913&lt;&gt;"",VLOOKUP(X913,game_rosters!$C$43:$E$64,3,FALSE))</f>
        <v>0</v>
      </c>
      <c r="Z913" t="e" cm="1" vm="1">
        <f t="array" aca="1" ref="Z913" ca="1">IFERROR(IF(_xlfn._xlws.FILTER(game_rosters!$J:$J,(game_rosters!$G:$G=events!$AN913)*(game_rosters!$J:$J=events!$X913))&gt;0,1,""),"")</f>
        <v>#VALUE!</v>
      </c>
      <c r="AA913">
        <f t="shared" si="135"/>
        <v>1000</v>
      </c>
      <c r="AB913" t="str">
        <f t="shared" si="136"/>
        <v/>
      </c>
      <c r="AC913">
        <f t="shared" si="137"/>
        <v>1000</v>
      </c>
      <c r="AD913" s="6"/>
    </row>
    <row r="914" spans="1:30" x14ac:dyDescent="0.2">
      <c r="A914" t="str">
        <f t="shared" si="138"/>
        <v/>
      </c>
      <c r="X914" t="str" cm="1">
        <f t="array" ref="X914">IF(S914="","",IF($I914&lt;&gt;"",$I914,INDEX($I$2:$I913,ROW()-COUNTIFS($T$2:$T913,"="&amp;$T914,$S$2:$S913,"&lt;&gt;"&amp;$S914)-1)))</f>
        <v/>
      </c>
      <c r="Y914" t="b">
        <f>IF(X914&lt;&gt;"",VLOOKUP(X914,game_rosters!$C$43:$E$64,3,FALSE))</f>
        <v>0</v>
      </c>
      <c r="Z914" t="e" cm="1" vm="1">
        <f t="array" aca="1" ref="Z914" ca="1">IFERROR(IF(_xlfn._xlws.FILTER(game_rosters!$J:$J,(game_rosters!$G:$G=events!$AN914)*(game_rosters!$J:$J=events!$X914))&gt;0,1,""),"")</f>
        <v>#VALUE!</v>
      </c>
      <c r="AA914">
        <f t="shared" si="135"/>
        <v>1000</v>
      </c>
      <c r="AB914" t="str">
        <f t="shared" si="136"/>
        <v/>
      </c>
      <c r="AC914">
        <f t="shared" si="137"/>
        <v>1000</v>
      </c>
      <c r="AD914" s="6"/>
    </row>
    <row r="915" spans="1:30" x14ac:dyDescent="0.2">
      <c r="A915" t="str">
        <f t="shared" si="138"/>
        <v/>
      </c>
      <c r="X915" t="str" cm="1">
        <f t="array" ref="X915">IF(S915="","",IF($I915&lt;&gt;"",$I915,INDEX($I$2:$I914,ROW()-COUNTIFS($T$2:$T914,"="&amp;$T915,$S$2:$S914,"&lt;&gt;"&amp;$S915)-1)))</f>
        <v/>
      </c>
      <c r="Y915" t="b">
        <f>IF(X915&lt;&gt;"",VLOOKUP(X915,game_rosters!$C$43:$E$64,3,FALSE))</f>
        <v>0</v>
      </c>
      <c r="Z915" t="e" cm="1" vm="1">
        <f t="array" aca="1" ref="Z915" ca="1">IFERROR(IF(_xlfn._xlws.FILTER(game_rosters!$J:$J,(game_rosters!$G:$G=events!$AN915)*(game_rosters!$J:$J=events!$X915))&gt;0,1,""),"")</f>
        <v>#VALUE!</v>
      </c>
      <c r="AA915">
        <f t="shared" si="135"/>
        <v>1000</v>
      </c>
      <c r="AB915" t="str">
        <f t="shared" si="136"/>
        <v/>
      </c>
      <c r="AC915">
        <f t="shared" si="137"/>
        <v>1000</v>
      </c>
      <c r="AD915" s="6"/>
    </row>
    <row r="916" spans="1:30" x14ac:dyDescent="0.2">
      <c r="A916" t="str">
        <f t="shared" si="138"/>
        <v/>
      </c>
      <c r="X916" t="str" cm="1">
        <f t="array" ref="X916">IF(S916="","",IF($I916&lt;&gt;"",$I916,INDEX($I$2:$I915,ROW()-COUNTIFS($T$2:$T915,"="&amp;$T916,$S$2:$S915,"&lt;&gt;"&amp;$S916)-1)))</f>
        <v/>
      </c>
      <c r="Y916" t="b">
        <f>IF(X916&lt;&gt;"",VLOOKUP(X916,game_rosters!$C$43:$E$64,3,FALSE))</f>
        <v>0</v>
      </c>
      <c r="Z916" t="e" cm="1" vm="1">
        <f t="array" aca="1" ref="Z916" ca="1">IFERROR(IF(_xlfn._xlws.FILTER(game_rosters!$J:$J,(game_rosters!$G:$G=events!$AN916)*(game_rosters!$J:$J=events!$X916))&gt;0,1,""),"")</f>
        <v>#VALUE!</v>
      </c>
      <c r="AA916">
        <f t="shared" si="135"/>
        <v>1000</v>
      </c>
      <c r="AB916" t="str">
        <f t="shared" si="136"/>
        <v/>
      </c>
      <c r="AC916">
        <f t="shared" si="137"/>
        <v>1000</v>
      </c>
      <c r="AD916" s="6"/>
    </row>
    <row r="917" spans="1:30" x14ac:dyDescent="0.2">
      <c r="A917" t="str">
        <f t="shared" si="138"/>
        <v/>
      </c>
      <c r="X917" t="str" cm="1">
        <f t="array" ref="X917">IF(S917="","",IF($I917&lt;&gt;"",$I917,INDEX($I$2:$I916,ROW()-COUNTIFS($T$2:$T916,"="&amp;$T917,$S$2:$S916,"&lt;&gt;"&amp;$S917)-1)))</f>
        <v/>
      </c>
      <c r="Y917" t="b">
        <f>IF(X917&lt;&gt;"",VLOOKUP(X917,game_rosters!$C$43:$E$64,3,FALSE))</f>
        <v>0</v>
      </c>
      <c r="Z917" t="e" cm="1" vm="1">
        <f t="array" aca="1" ref="Z917" ca="1">IFERROR(IF(_xlfn._xlws.FILTER(game_rosters!$J:$J,(game_rosters!$G:$G=events!$AN917)*(game_rosters!$J:$J=events!$X917))&gt;0,1,""),"")</f>
        <v>#VALUE!</v>
      </c>
      <c r="AA917">
        <f t="shared" si="135"/>
        <v>1000</v>
      </c>
      <c r="AB917" t="str">
        <f t="shared" si="136"/>
        <v/>
      </c>
      <c r="AC917">
        <f t="shared" si="137"/>
        <v>1000</v>
      </c>
      <c r="AD917" s="6"/>
    </row>
    <row r="918" spans="1:30" x14ac:dyDescent="0.2">
      <c r="A918" t="str">
        <f t="shared" si="138"/>
        <v/>
      </c>
      <c r="X918" t="str" cm="1">
        <f t="array" ref="X918">IF(S918="","",IF($I918&lt;&gt;"",$I918,INDEX($I$2:$I917,ROW()-COUNTIFS($T$2:$T917,"="&amp;$T918,$S$2:$S917,"&lt;&gt;"&amp;$S918)-1)))</f>
        <v/>
      </c>
      <c r="Y918" t="b">
        <f>IF(X918&lt;&gt;"",VLOOKUP(X918,game_rosters!$C$43:$E$64,3,FALSE))</f>
        <v>0</v>
      </c>
      <c r="Z918" t="e" cm="1" vm="1">
        <f t="array" aca="1" ref="Z918" ca="1">IFERROR(IF(_xlfn._xlws.FILTER(game_rosters!$J:$J,(game_rosters!$G:$G=events!$AN918)*(game_rosters!$J:$J=events!$X918))&gt;0,1,""),"")</f>
        <v>#VALUE!</v>
      </c>
      <c r="AA918">
        <f t="shared" si="135"/>
        <v>1000</v>
      </c>
      <c r="AB918" t="str">
        <f t="shared" si="136"/>
        <v/>
      </c>
      <c r="AC918">
        <f t="shared" si="137"/>
        <v>1000</v>
      </c>
      <c r="AD918" s="6"/>
    </row>
    <row r="919" spans="1:30" x14ac:dyDescent="0.2">
      <c r="A919" t="str">
        <f t="shared" si="138"/>
        <v/>
      </c>
      <c r="X919" t="str" cm="1">
        <f t="array" ref="X919">IF(S919="","",IF($I919&lt;&gt;"",$I919,INDEX($I$2:$I918,ROW()-COUNTIFS($T$2:$T918,"="&amp;$T919,$S$2:$S918,"&lt;&gt;"&amp;$S919)-1)))</f>
        <v/>
      </c>
      <c r="Y919" t="b">
        <f>IF(X919&lt;&gt;"",VLOOKUP(X919,game_rosters!$C$43:$E$64,3,FALSE))</f>
        <v>0</v>
      </c>
      <c r="Z919" t="e" cm="1" vm="1">
        <f t="array" aca="1" ref="Z919" ca="1">IFERROR(IF(_xlfn._xlws.FILTER(game_rosters!$J:$J,(game_rosters!$G:$G=events!$AN919)*(game_rosters!$J:$J=events!$X919))&gt;0,1,""),"")</f>
        <v>#VALUE!</v>
      </c>
      <c r="AA919">
        <f t="shared" si="135"/>
        <v>1000</v>
      </c>
      <c r="AB919" t="str">
        <f t="shared" si="136"/>
        <v/>
      </c>
      <c r="AC919">
        <f t="shared" si="137"/>
        <v>1000</v>
      </c>
      <c r="AD919" s="6"/>
    </row>
    <row r="920" spans="1:30" x14ac:dyDescent="0.2">
      <c r="A920" t="str">
        <f t="shared" si="138"/>
        <v/>
      </c>
      <c r="X920" t="str" cm="1">
        <f t="array" ref="X920">IF(S920="","",IF($I920&lt;&gt;"",$I920,INDEX($I$2:$I919,ROW()-COUNTIFS($T$2:$T919,"="&amp;$T920,$S$2:$S919,"&lt;&gt;"&amp;$S920)-1)))</f>
        <v/>
      </c>
      <c r="Y920" t="b">
        <f>IF(X920&lt;&gt;"",VLOOKUP(X920,game_rosters!$C$43:$E$64,3,FALSE))</f>
        <v>0</v>
      </c>
      <c r="Z920" t="e" cm="1" vm="1">
        <f t="array" aca="1" ref="Z920" ca="1">IFERROR(IF(_xlfn._xlws.FILTER(game_rosters!$J:$J,(game_rosters!$G:$G=events!$AN920)*(game_rosters!$J:$J=events!$X920))&gt;0,1,""),"")</f>
        <v>#VALUE!</v>
      </c>
      <c r="AA920">
        <f t="shared" si="135"/>
        <v>1000</v>
      </c>
      <c r="AB920" t="str">
        <f t="shared" si="136"/>
        <v/>
      </c>
      <c r="AC920">
        <f t="shared" si="137"/>
        <v>1000</v>
      </c>
      <c r="AD920" s="6"/>
    </row>
    <row r="921" spans="1:30" x14ac:dyDescent="0.2">
      <c r="A921" t="str">
        <f t="shared" si="138"/>
        <v/>
      </c>
      <c r="X921" t="str" cm="1">
        <f t="array" ref="X921">IF(S921="","",IF($I921&lt;&gt;"",$I921,INDEX($I$2:$I920,ROW()-COUNTIFS($T$2:$T920,"="&amp;$T921,$S$2:$S920,"&lt;&gt;"&amp;$S921)-1)))</f>
        <v/>
      </c>
      <c r="Y921" t="b">
        <f>IF(X921&lt;&gt;"",VLOOKUP(X921,game_rosters!$C$43:$E$64,3,FALSE))</f>
        <v>0</v>
      </c>
      <c r="Z921" t="e" cm="1" vm="1">
        <f t="array" aca="1" ref="Z921" ca="1">IFERROR(IF(_xlfn._xlws.FILTER(game_rosters!$J:$J,(game_rosters!$G:$G=events!$AN921)*(game_rosters!$J:$J=events!$X921))&gt;0,1,""),"")</f>
        <v>#VALUE!</v>
      </c>
      <c r="AA921">
        <f t="shared" si="135"/>
        <v>1000</v>
      </c>
      <c r="AB921" t="str">
        <f t="shared" si="136"/>
        <v/>
      </c>
      <c r="AC921">
        <f t="shared" si="137"/>
        <v>1000</v>
      </c>
      <c r="AD921" s="6"/>
    </row>
    <row r="922" spans="1:30" x14ac:dyDescent="0.2">
      <c r="A922" t="str">
        <f t="shared" si="138"/>
        <v/>
      </c>
      <c r="X922" t="str" cm="1">
        <f t="array" ref="X922">IF(S922="","",IF($I922&lt;&gt;"",$I922,INDEX($I$2:$I921,ROW()-COUNTIFS($T$2:$T921,"="&amp;$T922,$S$2:$S921,"&lt;&gt;"&amp;$S922)-1)))</f>
        <v/>
      </c>
      <c r="Y922" t="b">
        <f>IF(X922&lt;&gt;"",VLOOKUP(X922,game_rosters!$C$43:$E$64,3,FALSE))</f>
        <v>0</v>
      </c>
      <c r="Z922" t="e" cm="1" vm="1">
        <f t="array" aca="1" ref="Z922" ca="1">IFERROR(IF(_xlfn._xlws.FILTER(game_rosters!$J:$J,(game_rosters!$G:$G=events!$AN922)*(game_rosters!$J:$J=events!$X922))&gt;0,1,""),"")</f>
        <v>#VALUE!</v>
      </c>
      <c r="AA922">
        <f t="shared" si="135"/>
        <v>1000</v>
      </c>
      <c r="AB922" t="str">
        <f t="shared" si="136"/>
        <v/>
      </c>
      <c r="AC922">
        <f t="shared" si="137"/>
        <v>1000</v>
      </c>
      <c r="AD922" s="6"/>
    </row>
    <row r="923" spans="1:30" x14ac:dyDescent="0.2">
      <c r="A923" t="str">
        <f t="shared" si="138"/>
        <v/>
      </c>
      <c r="X923" t="str" cm="1">
        <f t="array" ref="X923">IF(S923="","",IF($I923&lt;&gt;"",$I923,INDEX($I$2:$I922,ROW()-COUNTIFS($T$2:$T922,"="&amp;$T923,$S$2:$S922,"&lt;&gt;"&amp;$S923)-1)))</f>
        <v/>
      </c>
      <c r="Y923" t="b">
        <f>IF(X923&lt;&gt;"",VLOOKUP(X923,game_rosters!$C$43:$E$64,3,FALSE))</f>
        <v>0</v>
      </c>
      <c r="Z923" t="e" cm="1" vm="1">
        <f t="array" aca="1" ref="Z923" ca="1">IFERROR(IF(_xlfn._xlws.FILTER(game_rosters!$J:$J,(game_rosters!$G:$G=events!$AN923)*(game_rosters!$J:$J=events!$X923))&gt;0,1,""),"")</f>
        <v>#VALUE!</v>
      </c>
      <c r="AA923">
        <f t="shared" si="135"/>
        <v>1000</v>
      </c>
      <c r="AB923" t="str">
        <f t="shared" si="136"/>
        <v/>
      </c>
      <c r="AC923">
        <f t="shared" si="137"/>
        <v>1000</v>
      </c>
      <c r="AD923" s="6"/>
    </row>
    <row r="924" spans="1:30" x14ac:dyDescent="0.2">
      <c r="A924" t="str">
        <f t="shared" si="138"/>
        <v/>
      </c>
      <c r="X924" t="str" cm="1">
        <f t="array" ref="X924">IF(S924="","",IF($I924&lt;&gt;"",$I924,INDEX($I$2:$I923,ROW()-COUNTIFS($T$2:$T923,"="&amp;$T924,$S$2:$S923,"&lt;&gt;"&amp;$S924)-1)))</f>
        <v/>
      </c>
      <c r="Y924" t="b">
        <f>IF(X924&lt;&gt;"",VLOOKUP(X924,game_rosters!$C$43:$E$64,3,FALSE))</f>
        <v>0</v>
      </c>
      <c r="Z924" t="e" cm="1" vm="1">
        <f t="array" aca="1" ref="Z924" ca="1">IFERROR(IF(_xlfn._xlws.FILTER(game_rosters!$J:$J,(game_rosters!$G:$G=events!$AN924)*(game_rosters!$J:$J=events!$X924))&gt;0,1,""),"")</f>
        <v>#VALUE!</v>
      </c>
      <c r="AA924">
        <f t="shared" si="135"/>
        <v>1000</v>
      </c>
      <c r="AB924" t="str">
        <f t="shared" si="136"/>
        <v/>
      </c>
      <c r="AC924">
        <f t="shared" si="137"/>
        <v>1000</v>
      </c>
      <c r="AD924" s="6"/>
    </row>
    <row r="925" spans="1:30" x14ac:dyDescent="0.2">
      <c r="A925" t="str">
        <f t="shared" si="138"/>
        <v/>
      </c>
      <c r="X925" t="str" cm="1">
        <f t="array" ref="X925">IF(S925="","",IF($I925&lt;&gt;"",$I925,INDEX($I$2:$I924,ROW()-COUNTIFS($T$2:$T924,"="&amp;$T925,$S$2:$S924,"&lt;&gt;"&amp;$S925)-1)))</f>
        <v/>
      </c>
      <c r="Y925" t="b">
        <f>IF(X925&lt;&gt;"",VLOOKUP(X925,game_rosters!$C$43:$E$64,3,FALSE))</f>
        <v>0</v>
      </c>
      <c r="Z925" t="e" cm="1" vm="1">
        <f t="array" aca="1" ref="Z925" ca="1">IFERROR(IF(_xlfn._xlws.FILTER(game_rosters!$J:$J,(game_rosters!$G:$G=events!$AN925)*(game_rosters!$J:$J=events!$X925))&gt;0,1,""),"")</f>
        <v>#VALUE!</v>
      </c>
      <c r="AA925">
        <f t="shared" ref="AA925:AA988" si="139">S925+1000</f>
        <v>1000</v>
      </c>
      <c r="AB925" t="str">
        <f t="shared" ref="AB925:AB988" si="140">IF(T925&lt;&gt;"",9000+T925,"")</f>
        <v/>
      </c>
      <c r="AC925">
        <f t="shared" si="137"/>
        <v>1000</v>
      </c>
      <c r="AD925" s="6"/>
    </row>
    <row r="926" spans="1:30" x14ac:dyDescent="0.2">
      <c r="A926" t="str">
        <f t="shared" si="138"/>
        <v/>
      </c>
      <c r="X926" t="str" cm="1">
        <f t="array" ref="X926">IF(S926="","",IF($I926&lt;&gt;"",$I926,INDEX($I$2:$I925,ROW()-COUNTIFS($T$2:$T925,"="&amp;$T926,$S$2:$S925,"&lt;&gt;"&amp;$S926)-1)))</f>
        <v/>
      </c>
      <c r="Y926" t="b">
        <f>IF(X926&lt;&gt;"",VLOOKUP(X926,game_rosters!$C$43:$E$64,3,FALSE))</f>
        <v>0</v>
      </c>
      <c r="Z926" t="e" cm="1" vm="1">
        <f t="array" aca="1" ref="Z926" ca="1">IFERROR(IF(_xlfn._xlws.FILTER(game_rosters!$J:$J,(game_rosters!$G:$G=events!$AN926)*(game_rosters!$J:$J=events!$X926))&gt;0,1,""),"")</f>
        <v>#VALUE!</v>
      </c>
      <c r="AA926">
        <f t="shared" si="139"/>
        <v>1000</v>
      </c>
      <c r="AB926" t="str">
        <f t="shared" si="140"/>
        <v/>
      </c>
      <c r="AC926">
        <f t="shared" si="137"/>
        <v>1000</v>
      </c>
      <c r="AD926" s="6"/>
    </row>
    <row r="927" spans="1:30" x14ac:dyDescent="0.2">
      <c r="A927" t="str">
        <f t="shared" si="138"/>
        <v/>
      </c>
      <c r="X927" t="str" cm="1">
        <f t="array" ref="X927">IF(S927="","",IF($I927&lt;&gt;"",$I927,INDEX($I$2:$I926,ROW()-COUNTIFS($T$2:$T926,"="&amp;$T927,$S$2:$S926,"&lt;&gt;"&amp;$S927)-1)))</f>
        <v/>
      </c>
      <c r="Y927" t="b">
        <f>IF(X927&lt;&gt;"",VLOOKUP(X927,game_rosters!$C$43:$E$64,3,FALSE))</f>
        <v>0</v>
      </c>
      <c r="Z927" t="e" cm="1" vm="1">
        <f t="array" aca="1" ref="Z927" ca="1">IFERROR(IF(_xlfn._xlws.FILTER(game_rosters!$J:$J,(game_rosters!$G:$G=events!$AN927)*(game_rosters!$J:$J=events!$X927))&gt;0,1,""),"")</f>
        <v>#VALUE!</v>
      </c>
      <c r="AA927">
        <f t="shared" si="139"/>
        <v>1000</v>
      </c>
      <c r="AB927" t="str">
        <f t="shared" si="140"/>
        <v/>
      </c>
      <c r="AC927">
        <f t="shared" si="137"/>
        <v>1000</v>
      </c>
      <c r="AD927" s="6"/>
    </row>
    <row r="928" spans="1:30" x14ac:dyDescent="0.2">
      <c r="A928" t="str">
        <f t="shared" si="138"/>
        <v/>
      </c>
      <c r="X928" t="str" cm="1">
        <f t="array" ref="X928">IF(S928="","",IF($I928&lt;&gt;"",$I928,INDEX($I$2:$I927,ROW()-COUNTIFS($T$2:$T927,"="&amp;$T928,$S$2:$S927,"&lt;&gt;"&amp;$S928)-1)))</f>
        <v/>
      </c>
      <c r="Y928" t="b">
        <f>IF(X928&lt;&gt;"",VLOOKUP(X928,game_rosters!$C$43:$E$64,3,FALSE))</f>
        <v>0</v>
      </c>
      <c r="Z928" t="e" cm="1" vm="1">
        <f t="array" aca="1" ref="Z928" ca="1">IFERROR(IF(_xlfn._xlws.FILTER(game_rosters!$J:$J,(game_rosters!$G:$G=events!$AN928)*(game_rosters!$J:$J=events!$X928))&gt;0,1,""),"")</f>
        <v>#VALUE!</v>
      </c>
      <c r="AA928">
        <f t="shared" si="139"/>
        <v>1000</v>
      </c>
      <c r="AB928" t="str">
        <f t="shared" si="140"/>
        <v/>
      </c>
      <c r="AC928">
        <f t="shared" si="137"/>
        <v>1000</v>
      </c>
      <c r="AD928" s="6"/>
    </row>
    <row r="929" spans="1:30" x14ac:dyDescent="0.2">
      <c r="A929" t="str">
        <f t="shared" si="138"/>
        <v/>
      </c>
      <c r="X929" t="str" cm="1">
        <f t="array" ref="X929">IF(S929="","",IF($I929&lt;&gt;"",$I929,INDEX($I$2:$I928,ROW()-COUNTIFS($T$2:$T928,"="&amp;$T929,$S$2:$S928,"&lt;&gt;"&amp;$S929)-1)))</f>
        <v/>
      </c>
      <c r="Y929" t="b">
        <f>IF(X929&lt;&gt;"",VLOOKUP(X929,game_rosters!$C$43:$E$64,3,FALSE))</f>
        <v>0</v>
      </c>
      <c r="Z929" t="e" cm="1" vm="1">
        <f t="array" aca="1" ref="Z929" ca="1">IFERROR(IF(_xlfn._xlws.FILTER(game_rosters!$J:$J,(game_rosters!$G:$G=events!$AN929)*(game_rosters!$J:$J=events!$X929))&gt;0,1,""),"")</f>
        <v>#VALUE!</v>
      </c>
      <c r="AA929">
        <f t="shared" si="139"/>
        <v>1000</v>
      </c>
      <c r="AB929" t="str">
        <f t="shared" si="140"/>
        <v/>
      </c>
      <c r="AC929">
        <f t="shared" si="137"/>
        <v>1000</v>
      </c>
      <c r="AD929" s="6"/>
    </row>
    <row r="930" spans="1:30" x14ac:dyDescent="0.2">
      <c r="A930" t="str">
        <f t="shared" si="138"/>
        <v/>
      </c>
      <c r="X930" t="str" cm="1">
        <f t="array" ref="X930">IF(S930="","",IF($I930&lt;&gt;"",$I930,INDEX($I$2:$I929,ROW()-COUNTIFS($T$2:$T929,"="&amp;$T930,$S$2:$S929,"&lt;&gt;"&amp;$S930)-1)))</f>
        <v/>
      </c>
      <c r="Y930" t="b">
        <f>IF(X930&lt;&gt;"",VLOOKUP(X930,game_rosters!$C$43:$E$64,3,FALSE))</f>
        <v>0</v>
      </c>
      <c r="Z930" t="e" cm="1" vm="1">
        <f t="array" aca="1" ref="Z930" ca="1">IFERROR(IF(_xlfn._xlws.FILTER(game_rosters!$J:$J,(game_rosters!$G:$G=events!$AN930)*(game_rosters!$J:$J=events!$X930))&gt;0,1,""),"")</f>
        <v>#VALUE!</v>
      </c>
      <c r="AA930">
        <f t="shared" si="139"/>
        <v>1000</v>
      </c>
      <c r="AB930" t="str">
        <f t="shared" si="140"/>
        <v/>
      </c>
      <c r="AC930">
        <f t="shared" si="137"/>
        <v>1000</v>
      </c>
      <c r="AD930" s="6"/>
    </row>
    <row r="931" spans="1:30" x14ac:dyDescent="0.2">
      <c r="A931" t="str">
        <f t="shared" si="138"/>
        <v/>
      </c>
      <c r="X931" t="str" cm="1">
        <f t="array" ref="X931">IF(S931="","",IF($I931&lt;&gt;"",$I931,INDEX($I$2:$I930,ROW()-COUNTIFS($T$2:$T930,"="&amp;$T931,$S$2:$S930,"&lt;&gt;"&amp;$S931)-1)))</f>
        <v/>
      </c>
      <c r="Y931" t="b">
        <f>IF(X931&lt;&gt;"",VLOOKUP(X931,game_rosters!$C$43:$E$64,3,FALSE))</f>
        <v>0</v>
      </c>
      <c r="Z931" t="e" cm="1" vm="1">
        <f t="array" aca="1" ref="Z931" ca="1">IFERROR(IF(_xlfn._xlws.FILTER(game_rosters!$J:$J,(game_rosters!$G:$G=events!$AN931)*(game_rosters!$J:$J=events!$X931))&gt;0,1,""),"")</f>
        <v>#VALUE!</v>
      </c>
      <c r="AA931">
        <f t="shared" si="139"/>
        <v>1000</v>
      </c>
      <c r="AB931" t="str">
        <f t="shared" si="140"/>
        <v/>
      </c>
      <c r="AC931">
        <f t="shared" si="137"/>
        <v>1000</v>
      </c>
      <c r="AD931" s="6"/>
    </row>
    <row r="932" spans="1:30" x14ac:dyDescent="0.2">
      <c r="A932" t="str">
        <f t="shared" si="138"/>
        <v/>
      </c>
      <c r="X932" t="str" cm="1">
        <f t="array" ref="X932">IF(S932="","",IF($I932&lt;&gt;"",$I932,INDEX($I$2:$I931,ROW()-COUNTIFS($T$2:$T931,"="&amp;$T932,$S$2:$S931,"&lt;&gt;"&amp;$S932)-1)))</f>
        <v/>
      </c>
      <c r="Y932" t="b">
        <f>IF(X932&lt;&gt;"",VLOOKUP(X932,game_rosters!$C$43:$E$64,3,FALSE))</f>
        <v>0</v>
      </c>
      <c r="Z932" t="e" cm="1" vm="1">
        <f t="array" aca="1" ref="Z932" ca="1">IFERROR(IF(_xlfn._xlws.FILTER(game_rosters!$J:$J,(game_rosters!$G:$G=events!$AN932)*(game_rosters!$J:$J=events!$X932))&gt;0,1,""),"")</f>
        <v>#VALUE!</v>
      </c>
      <c r="AA932">
        <f t="shared" si="139"/>
        <v>1000</v>
      </c>
      <c r="AB932" t="str">
        <f t="shared" si="140"/>
        <v/>
      </c>
      <c r="AC932">
        <f t="shared" si="137"/>
        <v>1000</v>
      </c>
      <c r="AD932" s="6"/>
    </row>
    <row r="933" spans="1:30" x14ac:dyDescent="0.2">
      <c r="A933" t="str">
        <f t="shared" si="138"/>
        <v/>
      </c>
      <c r="X933" t="str" cm="1">
        <f t="array" ref="X933">IF(S933="","",IF($I933&lt;&gt;"",$I933,INDEX($I$2:$I932,ROW()-COUNTIFS($T$2:$T932,"="&amp;$T933,$S$2:$S932,"&lt;&gt;"&amp;$S933)-1)))</f>
        <v/>
      </c>
      <c r="Y933" t="b">
        <f>IF(X933&lt;&gt;"",VLOOKUP(X933,game_rosters!$C$43:$E$64,3,FALSE))</f>
        <v>0</v>
      </c>
      <c r="Z933" t="e" cm="1" vm="1">
        <f t="array" aca="1" ref="Z933" ca="1">IFERROR(IF(_xlfn._xlws.FILTER(game_rosters!$J:$J,(game_rosters!$G:$G=events!$AN933)*(game_rosters!$J:$J=events!$X933))&gt;0,1,""),"")</f>
        <v>#VALUE!</v>
      </c>
      <c r="AA933">
        <f t="shared" si="139"/>
        <v>1000</v>
      </c>
      <c r="AB933" t="str">
        <f t="shared" si="140"/>
        <v/>
      </c>
      <c r="AC933">
        <f t="shared" si="137"/>
        <v>1000</v>
      </c>
      <c r="AD933" s="6"/>
    </row>
    <row r="934" spans="1:30" x14ac:dyDescent="0.2">
      <c r="A934" t="str">
        <f t="shared" si="138"/>
        <v/>
      </c>
      <c r="X934" t="str" cm="1">
        <f t="array" ref="X934">IF(S934="","",IF($I934&lt;&gt;"",$I934,INDEX($I$2:$I933,ROW()-COUNTIFS($T$2:$T933,"="&amp;$T934,$S$2:$S933,"&lt;&gt;"&amp;$S934)-1)))</f>
        <v/>
      </c>
      <c r="Y934" t="b">
        <f>IF(X934&lt;&gt;"",VLOOKUP(X934,game_rosters!$C$43:$E$64,3,FALSE))</f>
        <v>0</v>
      </c>
      <c r="Z934" t="e" cm="1" vm="1">
        <f t="array" aca="1" ref="Z934" ca="1">IFERROR(IF(_xlfn._xlws.FILTER(game_rosters!$J:$J,(game_rosters!$G:$G=events!$AN934)*(game_rosters!$J:$J=events!$X934))&gt;0,1,""),"")</f>
        <v>#VALUE!</v>
      </c>
      <c r="AA934">
        <f t="shared" si="139"/>
        <v>1000</v>
      </c>
      <c r="AB934" t="str">
        <f t="shared" si="140"/>
        <v/>
      </c>
      <c r="AC934">
        <f t="shared" si="137"/>
        <v>1000</v>
      </c>
      <c r="AD934" s="6"/>
    </row>
    <row r="935" spans="1:30" x14ac:dyDescent="0.2">
      <c r="A935" t="str">
        <f t="shared" si="138"/>
        <v/>
      </c>
      <c r="X935" t="str" cm="1">
        <f t="array" ref="X935">IF(S935="","",IF($I935&lt;&gt;"",$I935,INDEX($I$2:$I934,ROW()-COUNTIFS($T$2:$T934,"="&amp;$T935,$S$2:$S934,"&lt;&gt;"&amp;$S935)-1)))</f>
        <v/>
      </c>
      <c r="Y935" t="b">
        <f>IF(X935&lt;&gt;"",VLOOKUP(X935,game_rosters!$C$43:$E$64,3,FALSE))</f>
        <v>0</v>
      </c>
      <c r="Z935" t="e" cm="1" vm="1">
        <f t="array" aca="1" ref="Z935" ca="1">IFERROR(IF(_xlfn._xlws.FILTER(game_rosters!$J:$J,(game_rosters!$G:$G=events!$AN935)*(game_rosters!$J:$J=events!$X935))&gt;0,1,""),"")</f>
        <v>#VALUE!</v>
      </c>
      <c r="AA935">
        <f t="shared" si="139"/>
        <v>1000</v>
      </c>
      <c r="AB935" t="str">
        <f t="shared" si="140"/>
        <v/>
      </c>
      <c r="AC935">
        <f t="shared" si="137"/>
        <v>1000</v>
      </c>
      <c r="AD935" s="6"/>
    </row>
    <row r="936" spans="1:30" x14ac:dyDescent="0.2">
      <c r="A936" t="str">
        <f t="shared" si="138"/>
        <v/>
      </c>
      <c r="X936" t="str" cm="1">
        <f t="array" ref="X936">IF(S936="","",IF($I936&lt;&gt;"",$I936,INDEX($I$2:$I935,ROW()-COUNTIFS($T$2:$T935,"="&amp;$T936,$S$2:$S935,"&lt;&gt;"&amp;$S936)-1)))</f>
        <v/>
      </c>
      <c r="Y936" t="b">
        <f>IF(X936&lt;&gt;"",VLOOKUP(X936,game_rosters!$C$43:$E$64,3,FALSE))</f>
        <v>0</v>
      </c>
      <c r="Z936" t="e" cm="1" vm="1">
        <f t="array" aca="1" ref="Z936" ca="1">IFERROR(IF(_xlfn._xlws.FILTER(game_rosters!$J:$J,(game_rosters!$G:$G=events!$AN936)*(game_rosters!$J:$J=events!$X936))&gt;0,1,""),"")</f>
        <v>#VALUE!</v>
      </c>
      <c r="AA936">
        <f t="shared" si="139"/>
        <v>1000</v>
      </c>
      <c r="AB936" t="str">
        <f t="shared" si="140"/>
        <v/>
      </c>
      <c r="AC936">
        <f t="shared" si="137"/>
        <v>1000</v>
      </c>
      <c r="AD936" s="6"/>
    </row>
    <row r="937" spans="1:30" x14ac:dyDescent="0.2">
      <c r="A937" t="str">
        <f t="shared" si="138"/>
        <v/>
      </c>
      <c r="X937" t="str" cm="1">
        <f t="array" ref="X937">IF(S937="","",IF($I937&lt;&gt;"",$I937,INDEX($I$2:$I936,ROW()-COUNTIFS($T$2:$T936,"="&amp;$T937,$S$2:$S936,"&lt;&gt;"&amp;$S937)-1)))</f>
        <v/>
      </c>
      <c r="Y937" t="b">
        <f>IF(X937&lt;&gt;"",VLOOKUP(X937,game_rosters!$C$43:$E$64,3,FALSE))</f>
        <v>0</v>
      </c>
      <c r="Z937" t="e" cm="1" vm="1">
        <f t="array" aca="1" ref="Z937" ca="1">IFERROR(IF(_xlfn._xlws.FILTER(game_rosters!$J:$J,(game_rosters!$G:$G=events!$AN937)*(game_rosters!$J:$J=events!$X937))&gt;0,1,""),"")</f>
        <v>#VALUE!</v>
      </c>
      <c r="AA937">
        <f t="shared" si="139"/>
        <v>1000</v>
      </c>
      <c r="AB937" t="str">
        <f t="shared" si="140"/>
        <v/>
      </c>
      <c r="AC937">
        <f t="shared" si="137"/>
        <v>1000</v>
      </c>
      <c r="AD937" s="6"/>
    </row>
    <row r="938" spans="1:30" x14ac:dyDescent="0.2">
      <c r="A938" t="str">
        <f t="shared" si="138"/>
        <v/>
      </c>
      <c r="X938" t="str" cm="1">
        <f t="array" ref="X938">IF(S938="","",IF($I938&lt;&gt;"",$I938,INDEX($I$2:$I937,ROW()-COUNTIFS($T$2:$T937,"="&amp;$T938,$S$2:$S937,"&lt;&gt;"&amp;$S938)-1)))</f>
        <v/>
      </c>
      <c r="Y938" t="b">
        <f>IF(X938&lt;&gt;"",VLOOKUP(X938,game_rosters!$C$43:$E$64,3,FALSE))</f>
        <v>0</v>
      </c>
      <c r="Z938" t="e" cm="1" vm="1">
        <f t="array" aca="1" ref="Z938" ca="1">IFERROR(IF(_xlfn._xlws.FILTER(game_rosters!$J:$J,(game_rosters!$G:$G=events!$AN938)*(game_rosters!$J:$J=events!$X938))&gt;0,1,""),"")</f>
        <v>#VALUE!</v>
      </c>
      <c r="AA938">
        <f t="shared" si="139"/>
        <v>1000</v>
      </c>
      <c r="AB938" t="str">
        <f t="shared" si="140"/>
        <v/>
      </c>
      <c r="AC938">
        <f t="shared" si="137"/>
        <v>1000</v>
      </c>
      <c r="AD938" s="6"/>
    </row>
    <row r="939" spans="1:30" x14ac:dyDescent="0.2">
      <c r="A939" t="str">
        <f t="shared" si="138"/>
        <v/>
      </c>
      <c r="X939" t="str" cm="1">
        <f t="array" ref="X939">IF(S939="","",IF($I939&lt;&gt;"",$I939,INDEX($I$2:$I938,ROW()-COUNTIFS($T$2:$T938,"="&amp;$T939,$S$2:$S938,"&lt;&gt;"&amp;$S939)-1)))</f>
        <v/>
      </c>
      <c r="Y939" t="b">
        <f>IF(X939&lt;&gt;"",VLOOKUP(X939,game_rosters!$C$43:$E$64,3,FALSE))</f>
        <v>0</v>
      </c>
      <c r="Z939" t="e" cm="1" vm="1">
        <f t="array" aca="1" ref="Z939" ca="1">IFERROR(IF(_xlfn._xlws.FILTER(game_rosters!$J:$J,(game_rosters!$G:$G=events!$AN939)*(game_rosters!$J:$J=events!$X939))&gt;0,1,""),"")</f>
        <v>#VALUE!</v>
      </c>
      <c r="AA939">
        <f t="shared" si="139"/>
        <v>1000</v>
      </c>
      <c r="AB939" t="str">
        <f t="shared" si="140"/>
        <v/>
      </c>
      <c r="AC939">
        <f t="shared" si="137"/>
        <v>1000</v>
      </c>
      <c r="AD939" s="6"/>
    </row>
    <row r="940" spans="1:30" x14ac:dyDescent="0.2">
      <c r="A940" t="str">
        <f t="shared" si="138"/>
        <v/>
      </c>
      <c r="X940" t="str" cm="1">
        <f t="array" ref="X940">IF(S940="","",IF($I940&lt;&gt;"",$I940,INDEX($I$2:$I939,ROW()-COUNTIFS($T$2:$T939,"="&amp;$T940,$S$2:$S939,"&lt;&gt;"&amp;$S940)-1)))</f>
        <v/>
      </c>
      <c r="Y940" t="b">
        <f>IF(X940&lt;&gt;"",VLOOKUP(X940,game_rosters!$C$43:$E$64,3,FALSE))</f>
        <v>0</v>
      </c>
      <c r="Z940" t="e" cm="1" vm="1">
        <f t="array" aca="1" ref="Z940" ca="1">IFERROR(IF(_xlfn._xlws.FILTER(game_rosters!$J:$J,(game_rosters!$G:$G=events!$AN940)*(game_rosters!$J:$J=events!$X940))&gt;0,1,""),"")</f>
        <v>#VALUE!</v>
      </c>
      <c r="AA940">
        <f t="shared" si="139"/>
        <v>1000</v>
      </c>
      <c r="AB940" t="str">
        <f t="shared" si="140"/>
        <v/>
      </c>
      <c r="AC940">
        <f t="shared" si="137"/>
        <v>1000</v>
      </c>
      <c r="AD940" s="6"/>
    </row>
    <row r="941" spans="1:30" x14ac:dyDescent="0.2">
      <c r="A941" t="str">
        <f t="shared" si="138"/>
        <v/>
      </c>
      <c r="X941" t="str" cm="1">
        <f t="array" ref="X941">IF(S941="","",IF($I941&lt;&gt;"",$I941,INDEX($I$2:$I940,ROW()-COUNTIFS($T$2:$T940,"="&amp;$T941,$S$2:$S940,"&lt;&gt;"&amp;$S941)-1)))</f>
        <v/>
      </c>
      <c r="Y941" t="b">
        <f>IF(X941&lt;&gt;"",VLOOKUP(X941,game_rosters!$C$43:$E$64,3,FALSE))</f>
        <v>0</v>
      </c>
      <c r="Z941" t="e" cm="1" vm="1">
        <f t="array" aca="1" ref="Z941" ca="1">IFERROR(IF(_xlfn._xlws.FILTER(game_rosters!$J:$J,(game_rosters!$G:$G=events!$AN941)*(game_rosters!$J:$J=events!$X941))&gt;0,1,""),"")</f>
        <v>#VALUE!</v>
      </c>
      <c r="AA941">
        <f t="shared" si="139"/>
        <v>1000</v>
      </c>
      <c r="AB941" t="str">
        <f t="shared" si="140"/>
        <v/>
      </c>
      <c r="AC941">
        <f t="shared" si="137"/>
        <v>1000</v>
      </c>
      <c r="AD941" s="6"/>
    </row>
    <row r="942" spans="1:30" x14ac:dyDescent="0.2">
      <c r="A942" t="str">
        <f t="shared" si="138"/>
        <v/>
      </c>
      <c r="X942" t="str" cm="1">
        <f t="array" ref="X942">IF(S942="","",IF($I942&lt;&gt;"",$I942,INDEX($I$2:$I941,ROW()-COUNTIFS($T$2:$T941,"="&amp;$T942,$S$2:$S941,"&lt;&gt;"&amp;$S942)-1)))</f>
        <v/>
      </c>
      <c r="Y942" t="b">
        <f>IF(X942&lt;&gt;"",VLOOKUP(X942,game_rosters!$C$43:$E$64,3,FALSE))</f>
        <v>0</v>
      </c>
      <c r="Z942" t="e" cm="1" vm="1">
        <f t="array" aca="1" ref="Z942" ca="1">IFERROR(IF(_xlfn._xlws.FILTER(game_rosters!$J:$J,(game_rosters!$G:$G=events!$AN942)*(game_rosters!$J:$J=events!$X942))&gt;0,1,""),"")</f>
        <v>#VALUE!</v>
      </c>
      <c r="AA942">
        <f t="shared" si="139"/>
        <v>1000</v>
      </c>
      <c r="AB942" t="str">
        <f t="shared" si="140"/>
        <v/>
      </c>
      <c r="AC942">
        <f t="shared" si="137"/>
        <v>1000</v>
      </c>
      <c r="AD942" s="6"/>
    </row>
    <row r="943" spans="1:30" x14ac:dyDescent="0.2">
      <c r="A943" t="str">
        <f t="shared" si="138"/>
        <v/>
      </c>
      <c r="X943" t="str" cm="1">
        <f t="array" ref="X943">IF(S943="","",IF($I943&lt;&gt;"",$I943,INDEX($I$2:$I942,ROW()-COUNTIFS($T$2:$T942,"="&amp;$T943,$S$2:$S942,"&lt;&gt;"&amp;$S943)-1)))</f>
        <v/>
      </c>
      <c r="Y943" t="b">
        <f>IF(X943&lt;&gt;"",VLOOKUP(X943,game_rosters!$C$43:$E$64,3,FALSE))</f>
        <v>0</v>
      </c>
      <c r="Z943" t="e" cm="1" vm="1">
        <f t="array" aca="1" ref="Z943" ca="1">IFERROR(IF(_xlfn._xlws.FILTER(game_rosters!$J:$J,(game_rosters!$G:$G=events!$AN943)*(game_rosters!$J:$J=events!$X943))&gt;0,1,""),"")</f>
        <v>#VALUE!</v>
      </c>
      <c r="AA943">
        <f t="shared" si="139"/>
        <v>1000</v>
      </c>
      <c r="AB943" t="str">
        <f t="shared" si="140"/>
        <v/>
      </c>
      <c r="AC943">
        <f t="shared" si="137"/>
        <v>1000</v>
      </c>
      <c r="AD943" s="6"/>
    </row>
    <row r="944" spans="1:30" x14ac:dyDescent="0.2">
      <c r="A944" t="str">
        <f t="shared" si="138"/>
        <v/>
      </c>
      <c r="X944" t="str" cm="1">
        <f t="array" ref="X944">IF(S944="","",IF($I944&lt;&gt;"",$I944,INDEX($I$2:$I943,ROW()-COUNTIFS($T$2:$T943,"="&amp;$T944,$S$2:$S943,"&lt;&gt;"&amp;$S944)-1)))</f>
        <v/>
      </c>
      <c r="Y944" t="b">
        <f>IF(X944&lt;&gt;"",VLOOKUP(X944,game_rosters!$C$43:$E$64,3,FALSE))</f>
        <v>0</v>
      </c>
      <c r="Z944" t="e" cm="1" vm="1">
        <f t="array" aca="1" ref="Z944" ca="1">IFERROR(IF(_xlfn._xlws.FILTER(game_rosters!$J:$J,(game_rosters!$G:$G=events!$AN944)*(game_rosters!$J:$J=events!$X944))&gt;0,1,""),"")</f>
        <v>#VALUE!</v>
      </c>
      <c r="AA944">
        <f t="shared" si="139"/>
        <v>1000</v>
      </c>
      <c r="AB944" t="str">
        <f t="shared" si="140"/>
        <v/>
      </c>
      <c r="AC944">
        <f t="shared" si="137"/>
        <v>1000</v>
      </c>
      <c r="AD944" s="6"/>
    </row>
    <row r="945" spans="1:30" x14ac:dyDescent="0.2">
      <c r="A945" t="str">
        <f t="shared" si="138"/>
        <v/>
      </c>
      <c r="X945" t="str" cm="1">
        <f t="array" ref="X945">IF(S945="","",IF($I945&lt;&gt;"",$I945,INDEX($I$2:$I944,ROW()-COUNTIFS($T$2:$T944,"="&amp;$T945,$S$2:$S944,"&lt;&gt;"&amp;$S945)-1)))</f>
        <v/>
      </c>
      <c r="Y945" t="b">
        <f>IF(X945&lt;&gt;"",VLOOKUP(X945,game_rosters!$C$43:$E$64,3,FALSE))</f>
        <v>0</v>
      </c>
      <c r="Z945" t="e" cm="1" vm="1">
        <f t="array" aca="1" ref="Z945" ca="1">IFERROR(IF(_xlfn._xlws.FILTER(game_rosters!$J:$J,(game_rosters!$G:$G=events!$AN945)*(game_rosters!$J:$J=events!$X945))&gt;0,1,""),"")</f>
        <v>#VALUE!</v>
      </c>
      <c r="AA945">
        <f t="shared" si="139"/>
        <v>1000</v>
      </c>
      <c r="AB945" t="str">
        <f t="shared" si="140"/>
        <v/>
      </c>
      <c r="AC945">
        <f t="shared" si="137"/>
        <v>1000</v>
      </c>
      <c r="AD945" s="6"/>
    </row>
    <row r="946" spans="1:30" x14ac:dyDescent="0.2">
      <c r="A946" t="str">
        <f t="shared" si="138"/>
        <v/>
      </c>
      <c r="X946" t="str" cm="1">
        <f t="array" ref="X946">IF(S946="","",IF($I946&lt;&gt;"",$I946,INDEX($I$2:$I945,ROW()-COUNTIFS($T$2:$T945,"="&amp;$T946,$S$2:$S945,"&lt;&gt;"&amp;$S946)-1)))</f>
        <v/>
      </c>
      <c r="Y946" t="b">
        <f>IF(X946&lt;&gt;"",VLOOKUP(X946,game_rosters!$C$43:$E$64,3,FALSE))</f>
        <v>0</v>
      </c>
      <c r="Z946" t="e" cm="1" vm="1">
        <f t="array" aca="1" ref="Z946" ca="1">IFERROR(IF(_xlfn._xlws.FILTER(game_rosters!$J:$J,(game_rosters!$G:$G=events!$AN946)*(game_rosters!$J:$J=events!$X946))&gt;0,1,""),"")</f>
        <v>#VALUE!</v>
      </c>
      <c r="AA946">
        <f t="shared" si="139"/>
        <v>1000</v>
      </c>
      <c r="AB946" t="str">
        <f t="shared" si="140"/>
        <v/>
      </c>
      <c r="AC946">
        <f t="shared" si="137"/>
        <v>1000</v>
      </c>
      <c r="AD946" s="6"/>
    </row>
    <row r="947" spans="1:30" x14ac:dyDescent="0.2">
      <c r="A947" t="str">
        <f t="shared" si="138"/>
        <v/>
      </c>
      <c r="X947" t="str" cm="1">
        <f t="array" ref="X947">IF(S947="","",IF($I947&lt;&gt;"",$I947,INDEX($I$2:$I946,ROW()-COUNTIFS($T$2:$T946,"="&amp;$T947,$S$2:$S946,"&lt;&gt;"&amp;$S947)-1)))</f>
        <v/>
      </c>
      <c r="Y947" t="b">
        <f>IF(X947&lt;&gt;"",VLOOKUP(X947,game_rosters!$C$43:$E$64,3,FALSE))</f>
        <v>0</v>
      </c>
      <c r="Z947" t="e" cm="1" vm="1">
        <f t="array" aca="1" ref="Z947" ca="1">IFERROR(IF(_xlfn._xlws.FILTER(game_rosters!$J:$J,(game_rosters!$G:$G=events!$AN947)*(game_rosters!$J:$J=events!$X947))&gt;0,1,""),"")</f>
        <v>#VALUE!</v>
      </c>
      <c r="AA947">
        <f t="shared" si="139"/>
        <v>1000</v>
      </c>
      <c r="AB947" t="str">
        <f t="shared" si="140"/>
        <v/>
      </c>
      <c r="AC947">
        <f t="shared" si="137"/>
        <v>1000</v>
      </c>
      <c r="AD947" s="6"/>
    </row>
    <row r="948" spans="1:30" x14ac:dyDescent="0.2">
      <c r="A948" t="str">
        <f t="shared" si="138"/>
        <v/>
      </c>
      <c r="X948" t="str" cm="1">
        <f t="array" ref="X948">IF(S948="","",IF($I948&lt;&gt;"",$I948,INDEX($I$2:$I947,ROW()-COUNTIFS($T$2:$T947,"="&amp;$T948,$S$2:$S947,"&lt;&gt;"&amp;$S948)-1)))</f>
        <v/>
      </c>
      <c r="Y948" t="b">
        <f>IF(X948&lt;&gt;"",VLOOKUP(X948,game_rosters!$C$43:$E$64,3,FALSE))</f>
        <v>0</v>
      </c>
      <c r="Z948" t="e" cm="1" vm="1">
        <f t="array" aca="1" ref="Z948" ca="1">IFERROR(IF(_xlfn._xlws.FILTER(game_rosters!$J:$J,(game_rosters!$G:$G=events!$AN948)*(game_rosters!$J:$J=events!$X948))&gt;0,1,""),"")</f>
        <v>#VALUE!</v>
      </c>
      <c r="AA948">
        <f t="shared" si="139"/>
        <v>1000</v>
      </c>
      <c r="AB948" t="str">
        <f t="shared" si="140"/>
        <v/>
      </c>
      <c r="AC948">
        <f t="shared" si="137"/>
        <v>1000</v>
      </c>
      <c r="AD948" s="6"/>
    </row>
    <row r="949" spans="1:30" x14ac:dyDescent="0.2">
      <c r="A949" t="str">
        <f t="shared" si="138"/>
        <v/>
      </c>
      <c r="X949" t="str" cm="1">
        <f t="array" ref="X949">IF(S949="","",IF($I949&lt;&gt;"",$I949,INDEX($I$2:$I948,ROW()-COUNTIFS($T$2:$T948,"="&amp;$T949,$S$2:$S948,"&lt;&gt;"&amp;$S949)-1)))</f>
        <v/>
      </c>
      <c r="Y949" t="b">
        <f>IF(X949&lt;&gt;"",VLOOKUP(X949,game_rosters!$C$43:$E$64,3,FALSE))</f>
        <v>0</v>
      </c>
      <c r="Z949" t="e" cm="1" vm="1">
        <f t="array" aca="1" ref="Z949" ca="1">IFERROR(IF(_xlfn._xlws.FILTER(game_rosters!$J:$J,(game_rosters!$G:$G=events!$AN949)*(game_rosters!$J:$J=events!$X949))&gt;0,1,""),"")</f>
        <v>#VALUE!</v>
      </c>
      <c r="AA949">
        <f t="shared" si="139"/>
        <v>1000</v>
      </c>
      <c r="AB949" t="str">
        <f t="shared" si="140"/>
        <v/>
      </c>
      <c r="AC949">
        <f t="shared" si="137"/>
        <v>1000</v>
      </c>
      <c r="AD949" s="6"/>
    </row>
    <row r="950" spans="1:30" x14ac:dyDescent="0.2">
      <c r="A950" t="str">
        <f t="shared" si="138"/>
        <v/>
      </c>
      <c r="X950" t="str" cm="1">
        <f t="array" ref="X950">IF(S950="","",IF($I950&lt;&gt;"",$I950,INDEX($I$2:$I949,ROW()-COUNTIFS($T$2:$T949,"="&amp;$T950,$S$2:$S949,"&lt;&gt;"&amp;$S950)-1)))</f>
        <v/>
      </c>
      <c r="Y950" t="b">
        <f>IF(X950&lt;&gt;"",VLOOKUP(X950,game_rosters!$C$43:$E$64,3,FALSE))</f>
        <v>0</v>
      </c>
      <c r="Z950" t="e" cm="1" vm="1">
        <f t="array" aca="1" ref="Z950" ca="1">IFERROR(IF(_xlfn._xlws.FILTER(game_rosters!$J:$J,(game_rosters!$G:$G=events!$AN950)*(game_rosters!$J:$J=events!$X950))&gt;0,1,""),"")</f>
        <v>#VALUE!</v>
      </c>
      <c r="AA950">
        <f t="shared" si="139"/>
        <v>1000</v>
      </c>
      <c r="AB950" t="str">
        <f t="shared" si="140"/>
        <v/>
      </c>
      <c r="AC950">
        <f t="shared" si="137"/>
        <v>1000</v>
      </c>
      <c r="AD950" s="6"/>
    </row>
    <row r="951" spans="1:30" x14ac:dyDescent="0.2">
      <c r="A951" t="str">
        <f t="shared" si="138"/>
        <v/>
      </c>
      <c r="X951" t="str" cm="1">
        <f t="array" ref="X951">IF(S951="","",IF($I951&lt;&gt;"",$I951,INDEX($I$2:$I950,ROW()-COUNTIFS($T$2:$T950,"="&amp;$T951,$S$2:$S950,"&lt;&gt;"&amp;$S951)-1)))</f>
        <v/>
      </c>
      <c r="Y951" t="b">
        <f>IF(X951&lt;&gt;"",VLOOKUP(X951,game_rosters!$C$43:$E$64,3,FALSE))</f>
        <v>0</v>
      </c>
      <c r="Z951" t="e" cm="1" vm="1">
        <f t="array" aca="1" ref="Z951" ca="1">IFERROR(IF(_xlfn._xlws.FILTER(game_rosters!$J:$J,(game_rosters!$G:$G=events!$AN951)*(game_rosters!$J:$J=events!$X951))&gt;0,1,""),"")</f>
        <v>#VALUE!</v>
      </c>
      <c r="AA951">
        <f t="shared" si="139"/>
        <v>1000</v>
      </c>
      <c r="AB951" t="str">
        <f t="shared" si="140"/>
        <v/>
      </c>
      <c r="AC951">
        <f t="shared" si="137"/>
        <v>1000</v>
      </c>
      <c r="AD951" s="6"/>
    </row>
    <row r="952" spans="1:30" x14ac:dyDescent="0.2">
      <c r="A952" t="str">
        <f t="shared" si="138"/>
        <v/>
      </c>
      <c r="X952" t="str" cm="1">
        <f t="array" ref="X952">IF(S952="","",IF($I952&lt;&gt;"",$I952,INDEX($I$2:$I951,ROW()-COUNTIFS($T$2:$T951,"="&amp;$T952,$S$2:$S951,"&lt;&gt;"&amp;$S952)-1)))</f>
        <v/>
      </c>
      <c r="Y952" t="b">
        <f>IF(X952&lt;&gt;"",VLOOKUP(X952,game_rosters!$C$43:$E$64,3,FALSE))</f>
        <v>0</v>
      </c>
      <c r="Z952" t="e" cm="1" vm="1">
        <f t="array" aca="1" ref="Z952" ca="1">IFERROR(IF(_xlfn._xlws.FILTER(game_rosters!$J:$J,(game_rosters!$G:$G=events!$AN952)*(game_rosters!$J:$J=events!$X952))&gt;0,1,""),"")</f>
        <v>#VALUE!</v>
      </c>
      <c r="AA952">
        <f t="shared" si="139"/>
        <v>1000</v>
      </c>
      <c r="AB952" t="str">
        <f t="shared" si="140"/>
        <v/>
      </c>
      <c r="AC952">
        <f t="shared" si="137"/>
        <v>1000</v>
      </c>
      <c r="AD952" s="6"/>
    </row>
    <row r="953" spans="1:30" x14ac:dyDescent="0.2">
      <c r="A953" t="str">
        <f t="shared" si="138"/>
        <v/>
      </c>
      <c r="X953" t="str" cm="1">
        <f t="array" ref="X953">IF(S953="","",IF($I953&lt;&gt;"",$I953,INDEX($I$2:$I952,ROW()-COUNTIFS($T$2:$T952,"="&amp;$T953,$S$2:$S952,"&lt;&gt;"&amp;$S953)-1)))</f>
        <v/>
      </c>
      <c r="Y953" t="b">
        <f>IF(X953&lt;&gt;"",VLOOKUP(X953,game_rosters!$C$43:$E$64,3,FALSE))</f>
        <v>0</v>
      </c>
      <c r="Z953" t="e" cm="1" vm="1">
        <f t="array" aca="1" ref="Z953" ca="1">IFERROR(IF(_xlfn._xlws.FILTER(game_rosters!$J:$J,(game_rosters!$G:$G=events!$AN953)*(game_rosters!$J:$J=events!$X953))&gt;0,1,""),"")</f>
        <v>#VALUE!</v>
      </c>
      <c r="AA953">
        <f t="shared" si="139"/>
        <v>1000</v>
      </c>
      <c r="AB953" t="str">
        <f t="shared" si="140"/>
        <v/>
      </c>
      <c r="AC953">
        <f t="shared" si="137"/>
        <v>1000</v>
      </c>
      <c r="AD953" s="6"/>
    </row>
    <row r="954" spans="1:30" x14ac:dyDescent="0.2">
      <c r="A954" t="str">
        <f t="shared" si="138"/>
        <v/>
      </c>
      <c r="X954" t="str" cm="1">
        <f t="array" ref="X954">IF(S954="","",IF($I954&lt;&gt;"",$I954,INDEX($I$2:$I953,ROW()-COUNTIFS($T$2:$T953,"="&amp;$T954,$S$2:$S953,"&lt;&gt;"&amp;$S954)-1)))</f>
        <v/>
      </c>
      <c r="Y954" t="b">
        <f>IF(X954&lt;&gt;"",VLOOKUP(X954,game_rosters!$C$43:$E$64,3,FALSE))</f>
        <v>0</v>
      </c>
      <c r="Z954" t="e" cm="1" vm="1">
        <f t="array" aca="1" ref="Z954" ca="1">IFERROR(IF(_xlfn._xlws.FILTER(game_rosters!$J:$J,(game_rosters!$G:$G=events!$AN954)*(game_rosters!$J:$J=events!$X954))&gt;0,1,""),"")</f>
        <v>#VALUE!</v>
      </c>
      <c r="AA954">
        <f t="shared" si="139"/>
        <v>1000</v>
      </c>
      <c r="AB954" t="str">
        <f t="shared" si="140"/>
        <v/>
      </c>
      <c r="AC954">
        <f t="shared" si="137"/>
        <v>1000</v>
      </c>
      <c r="AD954" s="6"/>
    </row>
    <row r="955" spans="1:30" x14ac:dyDescent="0.2">
      <c r="A955" t="str">
        <f t="shared" si="138"/>
        <v/>
      </c>
      <c r="X955" t="str" cm="1">
        <f t="array" ref="X955">IF(S955="","",IF($I955&lt;&gt;"",$I955,INDEX($I$2:$I954,ROW()-COUNTIFS($T$2:$T954,"="&amp;$T955,$S$2:$S954,"&lt;&gt;"&amp;$S955)-1)))</f>
        <v/>
      </c>
      <c r="Y955" t="b">
        <f>IF(X955&lt;&gt;"",VLOOKUP(X955,game_rosters!$C$43:$E$64,3,FALSE))</f>
        <v>0</v>
      </c>
      <c r="Z955" t="e" cm="1" vm="1">
        <f t="array" aca="1" ref="Z955" ca="1">IFERROR(IF(_xlfn._xlws.FILTER(game_rosters!$J:$J,(game_rosters!$G:$G=events!$AN955)*(game_rosters!$J:$J=events!$X955))&gt;0,1,""),"")</f>
        <v>#VALUE!</v>
      </c>
      <c r="AA955">
        <f t="shared" si="139"/>
        <v>1000</v>
      </c>
      <c r="AB955" t="str">
        <f t="shared" si="140"/>
        <v/>
      </c>
      <c r="AC955">
        <f t="shared" si="137"/>
        <v>1000</v>
      </c>
      <c r="AD955" s="6"/>
    </row>
    <row r="956" spans="1:30" x14ac:dyDescent="0.2">
      <c r="A956" t="str">
        <f t="shared" si="138"/>
        <v/>
      </c>
      <c r="X956" t="str" cm="1">
        <f t="array" ref="X956">IF(S956="","",IF($I956&lt;&gt;"",$I956,INDEX($I$2:$I955,ROW()-COUNTIFS($T$2:$T955,"="&amp;$T956,$S$2:$S955,"&lt;&gt;"&amp;$S956)-1)))</f>
        <v/>
      </c>
      <c r="Y956" t="b">
        <f>IF(X956&lt;&gt;"",VLOOKUP(X956,game_rosters!$C$43:$E$64,3,FALSE))</f>
        <v>0</v>
      </c>
      <c r="Z956" t="e" cm="1" vm="1">
        <f t="array" aca="1" ref="Z956" ca="1">IFERROR(IF(_xlfn._xlws.FILTER(game_rosters!$J:$J,(game_rosters!$G:$G=events!$AN956)*(game_rosters!$J:$J=events!$X956))&gt;0,1,""),"")</f>
        <v>#VALUE!</v>
      </c>
      <c r="AA956">
        <f t="shared" si="139"/>
        <v>1000</v>
      </c>
      <c r="AB956" t="str">
        <f t="shared" si="140"/>
        <v/>
      </c>
      <c r="AC956">
        <f t="shared" si="137"/>
        <v>1000</v>
      </c>
      <c r="AD956" s="6"/>
    </row>
    <row r="957" spans="1:30" x14ac:dyDescent="0.2">
      <c r="A957" t="str">
        <f t="shared" si="138"/>
        <v/>
      </c>
      <c r="X957" t="str" cm="1">
        <f t="array" ref="X957">IF(S957="","",IF($I957&lt;&gt;"",$I957,INDEX($I$2:$I956,ROW()-COUNTIFS($T$2:$T956,"="&amp;$T957,$S$2:$S956,"&lt;&gt;"&amp;$S957)-1)))</f>
        <v/>
      </c>
      <c r="Y957" t="b">
        <f>IF(X957&lt;&gt;"",VLOOKUP(X957,game_rosters!$C$43:$E$64,3,FALSE))</f>
        <v>0</v>
      </c>
      <c r="Z957" t="e" cm="1" vm="1">
        <f t="array" aca="1" ref="Z957" ca="1">IFERROR(IF(_xlfn._xlws.FILTER(game_rosters!$J:$J,(game_rosters!$G:$G=events!$AN957)*(game_rosters!$J:$J=events!$X957))&gt;0,1,""),"")</f>
        <v>#VALUE!</v>
      </c>
      <c r="AA957">
        <f t="shared" si="139"/>
        <v>1000</v>
      </c>
      <c r="AB957" t="str">
        <f t="shared" si="140"/>
        <v/>
      </c>
      <c r="AC957">
        <f t="shared" si="137"/>
        <v>1000</v>
      </c>
      <c r="AD957" s="6"/>
    </row>
    <row r="958" spans="1:30" x14ac:dyDescent="0.2">
      <c r="A958" t="str">
        <f t="shared" si="138"/>
        <v/>
      </c>
      <c r="X958" t="str" cm="1">
        <f t="array" ref="X958">IF(S958="","",IF($I958&lt;&gt;"",$I958,INDEX($I$2:$I957,ROW()-COUNTIFS($T$2:$T957,"="&amp;$T958,$S$2:$S957,"&lt;&gt;"&amp;$S958)-1)))</f>
        <v/>
      </c>
      <c r="Y958" t="b">
        <f>IF(X958&lt;&gt;"",VLOOKUP(X958,game_rosters!$C$43:$E$64,3,FALSE))</f>
        <v>0</v>
      </c>
      <c r="Z958" t="e" cm="1" vm="1">
        <f t="array" aca="1" ref="Z958" ca="1">IFERROR(IF(_xlfn._xlws.FILTER(game_rosters!$J:$J,(game_rosters!$G:$G=events!$AN958)*(game_rosters!$J:$J=events!$X958))&gt;0,1,""),"")</f>
        <v>#VALUE!</v>
      </c>
      <c r="AA958">
        <f t="shared" si="139"/>
        <v>1000</v>
      </c>
      <c r="AB958" t="str">
        <f t="shared" si="140"/>
        <v/>
      </c>
      <c r="AC958">
        <f t="shared" si="137"/>
        <v>1000</v>
      </c>
      <c r="AD958" s="6"/>
    </row>
    <row r="959" spans="1:30" x14ac:dyDescent="0.2">
      <c r="A959" t="str">
        <f t="shared" si="138"/>
        <v/>
      </c>
      <c r="X959" t="str" cm="1">
        <f t="array" ref="X959">IF(S959="","",IF($I959&lt;&gt;"",$I959,INDEX($I$2:$I958,ROW()-COUNTIFS($T$2:$T958,"="&amp;$T959,$S$2:$S958,"&lt;&gt;"&amp;$S959)-1)))</f>
        <v/>
      </c>
      <c r="Y959" t="b">
        <f>IF(X959&lt;&gt;"",VLOOKUP(X959,game_rosters!$C$43:$E$64,3,FALSE))</f>
        <v>0</v>
      </c>
      <c r="Z959" t="e" cm="1" vm="1">
        <f t="array" aca="1" ref="Z959" ca="1">IFERROR(IF(_xlfn._xlws.FILTER(game_rosters!$J:$J,(game_rosters!$G:$G=events!$AN959)*(game_rosters!$J:$J=events!$X959))&gt;0,1,""),"")</f>
        <v>#VALUE!</v>
      </c>
      <c r="AA959">
        <f t="shared" si="139"/>
        <v>1000</v>
      </c>
      <c r="AB959" t="str">
        <f t="shared" si="140"/>
        <v/>
      </c>
      <c r="AC959">
        <f t="shared" si="137"/>
        <v>1000</v>
      </c>
      <c r="AD959" s="6"/>
    </row>
    <row r="960" spans="1:30" x14ac:dyDescent="0.2">
      <c r="A960" t="str">
        <f t="shared" si="138"/>
        <v/>
      </c>
      <c r="X960" t="str" cm="1">
        <f t="array" ref="X960">IF(S960="","",IF($I960&lt;&gt;"",$I960,INDEX($I$2:$I959,ROW()-COUNTIFS($T$2:$T959,"="&amp;$T960,$S$2:$S959,"&lt;&gt;"&amp;$S960)-1)))</f>
        <v/>
      </c>
      <c r="Y960" t="b">
        <f>IF(X960&lt;&gt;"",VLOOKUP(X960,game_rosters!$C$43:$E$64,3,FALSE))</f>
        <v>0</v>
      </c>
      <c r="Z960" t="e" cm="1" vm="1">
        <f t="array" aca="1" ref="Z960" ca="1">IFERROR(IF(_xlfn._xlws.FILTER(game_rosters!$J:$J,(game_rosters!$G:$G=events!$AN960)*(game_rosters!$J:$J=events!$X960))&gt;0,1,""),"")</f>
        <v>#VALUE!</v>
      </c>
      <c r="AA960">
        <f t="shared" si="139"/>
        <v>1000</v>
      </c>
      <c r="AB960" t="str">
        <f t="shared" si="140"/>
        <v/>
      </c>
      <c r="AC960">
        <f t="shared" si="137"/>
        <v>1000</v>
      </c>
      <c r="AD960" s="6"/>
    </row>
    <row r="961" spans="1:30" x14ac:dyDescent="0.2">
      <c r="A961" t="str">
        <f t="shared" si="138"/>
        <v/>
      </c>
      <c r="X961" t="str" cm="1">
        <f t="array" ref="X961">IF(S961="","",IF($I961&lt;&gt;"",$I961,INDEX($I$2:$I960,ROW()-COUNTIFS($T$2:$T960,"="&amp;$T961,$S$2:$S960,"&lt;&gt;"&amp;$S961)-1)))</f>
        <v/>
      </c>
      <c r="Y961" t="b">
        <f>IF(X961&lt;&gt;"",VLOOKUP(X961,game_rosters!$C$43:$E$64,3,FALSE))</f>
        <v>0</v>
      </c>
      <c r="Z961" t="e" cm="1" vm="1">
        <f t="array" aca="1" ref="Z961" ca="1">IFERROR(IF(_xlfn._xlws.FILTER(game_rosters!$J:$J,(game_rosters!$G:$G=events!$AN961)*(game_rosters!$J:$J=events!$X961))&gt;0,1,""),"")</f>
        <v>#VALUE!</v>
      </c>
      <c r="AA961">
        <f t="shared" si="139"/>
        <v>1000</v>
      </c>
      <c r="AB961" t="str">
        <f t="shared" si="140"/>
        <v/>
      </c>
      <c r="AC961">
        <f t="shared" si="137"/>
        <v>1000</v>
      </c>
      <c r="AD961" s="6"/>
    </row>
    <row r="962" spans="1:30" x14ac:dyDescent="0.2">
      <c r="A962" t="str">
        <f t="shared" si="138"/>
        <v/>
      </c>
      <c r="X962" t="str" cm="1">
        <f t="array" ref="X962">IF(S962="","",IF($I962&lt;&gt;"",$I962,INDEX($I$2:$I961,ROW()-COUNTIFS($T$2:$T961,"="&amp;$T962,$S$2:$S961,"&lt;&gt;"&amp;$S962)-1)))</f>
        <v/>
      </c>
      <c r="Y962" t="b">
        <f>IF(X962&lt;&gt;"",VLOOKUP(X962,game_rosters!$C$43:$E$64,3,FALSE))</f>
        <v>0</v>
      </c>
      <c r="Z962" t="e" cm="1" vm="1">
        <f t="array" aca="1" ref="Z962" ca="1">IFERROR(IF(_xlfn._xlws.FILTER(game_rosters!$J:$J,(game_rosters!$G:$G=events!$AN962)*(game_rosters!$J:$J=events!$X962))&gt;0,1,""),"")</f>
        <v>#VALUE!</v>
      </c>
      <c r="AA962">
        <f t="shared" si="139"/>
        <v>1000</v>
      </c>
      <c r="AB962" t="str">
        <f t="shared" si="140"/>
        <v/>
      </c>
      <c r="AC962">
        <f t="shared" ref="AC962:AC1025" si="141">IF(AB962&lt;&gt;"",AB962,S962+1000)</f>
        <v>1000</v>
      </c>
      <c r="AD962" s="6"/>
    </row>
    <row r="963" spans="1:30" x14ac:dyDescent="0.2">
      <c r="A963" t="str">
        <f t="shared" si="138"/>
        <v/>
      </c>
      <c r="X963" t="str" cm="1">
        <f t="array" ref="X963">IF(S963="","",IF($I963&lt;&gt;"",$I963,INDEX($I$2:$I962,ROW()-COUNTIFS($T$2:$T962,"="&amp;$T963,$S$2:$S962,"&lt;&gt;"&amp;$S963)-1)))</f>
        <v/>
      </c>
      <c r="Y963" t="b">
        <f>IF(X963&lt;&gt;"",VLOOKUP(X963,game_rosters!$C$43:$E$64,3,FALSE))</f>
        <v>0</v>
      </c>
      <c r="Z963" t="e" cm="1" vm="1">
        <f t="array" aca="1" ref="Z963" ca="1">IFERROR(IF(_xlfn._xlws.FILTER(game_rosters!$J:$J,(game_rosters!$G:$G=events!$AN963)*(game_rosters!$J:$J=events!$X963))&gt;0,1,""),"")</f>
        <v>#VALUE!</v>
      </c>
      <c r="AA963">
        <f t="shared" si="139"/>
        <v>1000</v>
      </c>
      <c r="AB963" t="str">
        <f t="shared" si="140"/>
        <v/>
      </c>
      <c r="AC963">
        <f t="shared" si="141"/>
        <v>1000</v>
      </c>
      <c r="AD963" s="6"/>
    </row>
    <row r="964" spans="1:30" x14ac:dyDescent="0.2">
      <c r="A964" t="str">
        <f t="shared" si="138"/>
        <v/>
      </c>
      <c r="X964" t="str" cm="1">
        <f t="array" ref="X964">IF(S964="","",IF($I964&lt;&gt;"",$I964,INDEX($I$2:$I963,ROW()-COUNTIFS($T$2:$T963,"="&amp;$T964,$S$2:$S963,"&lt;&gt;"&amp;$S964)-1)))</f>
        <v/>
      </c>
      <c r="Y964" t="b">
        <f>IF(X964&lt;&gt;"",VLOOKUP(X964,game_rosters!$C$43:$E$64,3,FALSE))</f>
        <v>0</v>
      </c>
      <c r="Z964" t="e" cm="1" vm="1">
        <f t="array" aca="1" ref="Z964" ca="1">IFERROR(IF(_xlfn._xlws.FILTER(game_rosters!$J:$J,(game_rosters!$G:$G=events!$AN964)*(game_rosters!$J:$J=events!$X964))&gt;0,1,""),"")</f>
        <v>#VALUE!</v>
      </c>
      <c r="AA964">
        <f t="shared" si="139"/>
        <v>1000</v>
      </c>
      <c r="AB964" t="str">
        <f t="shared" si="140"/>
        <v/>
      </c>
      <c r="AC964">
        <f t="shared" si="141"/>
        <v>1000</v>
      </c>
      <c r="AD964" s="6"/>
    </row>
    <row r="965" spans="1:30" x14ac:dyDescent="0.2">
      <c r="A965" t="str">
        <f t="shared" ref="A965:A1028" si="142">IF(K965&lt;&gt;"",1,IF(D965="x","x",""))</f>
        <v/>
      </c>
      <c r="X965" t="str" cm="1">
        <f t="array" ref="X965">IF(S965="","",IF($I965&lt;&gt;"",$I965,INDEX($I$2:$I964,ROW()-COUNTIFS($T$2:$T964,"="&amp;$T965,$S$2:$S964,"&lt;&gt;"&amp;$S965)-1)))</f>
        <v/>
      </c>
      <c r="Y965" t="b">
        <f>IF(X965&lt;&gt;"",VLOOKUP(X965,game_rosters!$C$43:$E$64,3,FALSE))</f>
        <v>0</v>
      </c>
      <c r="Z965" t="e" cm="1" vm="1">
        <f t="array" aca="1" ref="Z965" ca="1">IFERROR(IF(_xlfn._xlws.FILTER(game_rosters!$J:$J,(game_rosters!$G:$G=events!$AN965)*(game_rosters!$J:$J=events!$X965))&gt;0,1,""),"")</f>
        <v>#VALUE!</v>
      </c>
      <c r="AA965">
        <f t="shared" si="139"/>
        <v>1000</v>
      </c>
      <c r="AB965" t="str">
        <f t="shared" si="140"/>
        <v/>
      </c>
      <c r="AC965">
        <f t="shared" si="141"/>
        <v>1000</v>
      </c>
      <c r="AD965" s="6"/>
    </row>
    <row r="966" spans="1:30" x14ac:dyDescent="0.2">
      <c r="A966" t="str">
        <f t="shared" si="142"/>
        <v/>
      </c>
      <c r="X966" t="str" cm="1">
        <f t="array" ref="X966">IF(S966="","",IF($I966&lt;&gt;"",$I966,INDEX($I$2:$I965,ROW()-COUNTIFS($T$2:$T965,"="&amp;$T966,$S$2:$S965,"&lt;&gt;"&amp;$S966)-1)))</f>
        <v/>
      </c>
      <c r="Y966" t="b">
        <f>IF(X966&lt;&gt;"",VLOOKUP(X966,game_rosters!$C$43:$E$64,3,FALSE))</f>
        <v>0</v>
      </c>
      <c r="Z966" t="e" cm="1" vm="1">
        <f t="array" aca="1" ref="Z966" ca="1">IFERROR(IF(_xlfn._xlws.FILTER(game_rosters!$J:$J,(game_rosters!$G:$G=events!$AN966)*(game_rosters!$J:$J=events!$X966))&gt;0,1,""),"")</f>
        <v>#VALUE!</v>
      </c>
      <c r="AA966">
        <f t="shared" si="139"/>
        <v>1000</v>
      </c>
      <c r="AB966" t="str">
        <f t="shared" si="140"/>
        <v/>
      </c>
      <c r="AC966">
        <f t="shared" si="141"/>
        <v>1000</v>
      </c>
      <c r="AD966" s="6"/>
    </row>
    <row r="967" spans="1:30" x14ac:dyDescent="0.2">
      <c r="A967" t="str">
        <f t="shared" si="142"/>
        <v/>
      </c>
      <c r="X967" t="str" cm="1">
        <f t="array" ref="X967">IF(S967="","",IF($I967&lt;&gt;"",$I967,INDEX($I$2:$I966,ROW()-COUNTIFS($T$2:$T966,"="&amp;$T967,$S$2:$S966,"&lt;&gt;"&amp;$S967)-1)))</f>
        <v/>
      </c>
      <c r="Y967" t="b">
        <f>IF(X967&lt;&gt;"",VLOOKUP(X967,game_rosters!$C$43:$E$64,3,FALSE))</f>
        <v>0</v>
      </c>
      <c r="Z967" t="e" cm="1" vm="1">
        <f t="array" aca="1" ref="Z967" ca="1">IFERROR(IF(_xlfn._xlws.FILTER(game_rosters!$J:$J,(game_rosters!$G:$G=events!$AN967)*(game_rosters!$J:$J=events!$X967))&gt;0,1,""),"")</f>
        <v>#VALUE!</v>
      </c>
      <c r="AA967">
        <f t="shared" si="139"/>
        <v>1000</v>
      </c>
      <c r="AB967" t="str">
        <f t="shared" si="140"/>
        <v/>
      </c>
      <c r="AC967">
        <f t="shared" si="141"/>
        <v>1000</v>
      </c>
      <c r="AD967" s="6"/>
    </row>
    <row r="968" spans="1:30" x14ac:dyDescent="0.2">
      <c r="A968" t="str">
        <f t="shared" si="142"/>
        <v/>
      </c>
      <c r="X968" t="str" cm="1">
        <f t="array" ref="X968">IF(S968="","",IF($I968&lt;&gt;"",$I968,INDEX($I$2:$I967,ROW()-COUNTIFS($T$2:$T967,"="&amp;$T968,$S$2:$S967,"&lt;&gt;"&amp;$S968)-1)))</f>
        <v/>
      </c>
      <c r="Y968" t="b">
        <f>IF(X968&lt;&gt;"",VLOOKUP(X968,game_rosters!$C$43:$E$64,3,FALSE))</f>
        <v>0</v>
      </c>
      <c r="Z968" t="e" cm="1" vm="1">
        <f t="array" aca="1" ref="Z968" ca="1">IFERROR(IF(_xlfn._xlws.FILTER(game_rosters!$J:$J,(game_rosters!$G:$G=events!$AN968)*(game_rosters!$J:$J=events!$X968))&gt;0,1,""),"")</f>
        <v>#VALUE!</v>
      </c>
      <c r="AA968">
        <f t="shared" si="139"/>
        <v>1000</v>
      </c>
      <c r="AB968" t="str">
        <f t="shared" si="140"/>
        <v/>
      </c>
      <c r="AC968">
        <f t="shared" si="141"/>
        <v>1000</v>
      </c>
      <c r="AD968" s="6"/>
    </row>
    <row r="969" spans="1:30" x14ac:dyDescent="0.2">
      <c r="A969" t="str">
        <f t="shared" si="142"/>
        <v/>
      </c>
      <c r="X969" t="str" cm="1">
        <f t="array" ref="X969">IF(S969="","",IF($I969&lt;&gt;"",$I969,INDEX($I$2:$I968,ROW()-COUNTIFS($T$2:$T968,"="&amp;$T969,$S$2:$S968,"&lt;&gt;"&amp;$S969)-1)))</f>
        <v/>
      </c>
      <c r="Y969" t="b">
        <f>IF(X969&lt;&gt;"",VLOOKUP(X969,game_rosters!$C$43:$E$64,3,FALSE))</f>
        <v>0</v>
      </c>
      <c r="Z969" t="e" cm="1" vm="1">
        <f t="array" aca="1" ref="Z969" ca="1">IFERROR(IF(_xlfn._xlws.FILTER(game_rosters!$J:$J,(game_rosters!$G:$G=events!$AN969)*(game_rosters!$J:$J=events!$X969))&gt;0,1,""),"")</f>
        <v>#VALUE!</v>
      </c>
      <c r="AA969">
        <f t="shared" si="139"/>
        <v>1000</v>
      </c>
      <c r="AB969" t="str">
        <f t="shared" si="140"/>
        <v/>
      </c>
      <c r="AC969">
        <f t="shared" si="141"/>
        <v>1000</v>
      </c>
      <c r="AD969" s="6"/>
    </row>
    <row r="970" spans="1:30" x14ac:dyDescent="0.2">
      <c r="A970" t="str">
        <f t="shared" si="142"/>
        <v/>
      </c>
      <c r="X970" t="str" cm="1">
        <f t="array" ref="X970">IF(S970="","",IF($I970&lt;&gt;"",$I970,INDEX($I$2:$I969,ROW()-COUNTIFS($T$2:$T969,"="&amp;$T970,$S$2:$S969,"&lt;&gt;"&amp;$S970)-1)))</f>
        <v/>
      </c>
      <c r="Y970" t="b">
        <f>IF(X970&lt;&gt;"",VLOOKUP(X970,game_rosters!$C$43:$E$64,3,FALSE))</f>
        <v>0</v>
      </c>
      <c r="Z970" t="e" cm="1" vm="1">
        <f t="array" aca="1" ref="Z970" ca="1">IFERROR(IF(_xlfn._xlws.FILTER(game_rosters!$J:$J,(game_rosters!$G:$G=events!$AN970)*(game_rosters!$J:$J=events!$X970))&gt;0,1,""),"")</f>
        <v>#VALUE!</v>
      </c>
      <c r="AA970">
        <f t="shared" si="139"/>
        <v>1000</v>
      </c>
      <c r="AB970" t="str">
        <f t="shared" si="140"/>
        <v/>
      </c>
      <c r="AC970">
        <f t="shared" si="141"/>
        <v>1000</v>
      </c>
      <c r="AD970" s="6"/>
    </row>
    <row r="971" spans="1:30" x14ac:dyDescent="0.2">
      <c r="A971" t="str">
        <f t="shared" si="142"/>
        <v/>
      </c>
      <c r="X971" t="str" cm="1">
        <f t="array" ref="X971">IF(S971="","",IF($I971&lt;&gt;"",$I971,INDEX($I$2:$I970,ROW()-COUNTIFS($T$2:$T970,"="&amp;$T971,$S$2:$S970,"&lt;&gt;"&amp;$S971)-1)))</f>
        <v/>
      </c>
      <c r="Y971" t="b">
        <f>IF(X971&lt;&gt;"",VLOOKUP(X971,game_rosters!$C$43:$E$64,3,FALSE))</f>
        <v>0</v>
      </c>
      <c r="Z971" t="e" cm="1" vm="1">
        <f t="array" aca="1" ref="Z971" ca="1">IFERROR(IF(_xlfn._xlws.FILTER(game_rosters!$J:$J,(game_rosters!$G:$G=events!$AN971)*(game_rosters!$J:$J=events!$X971))&gt;0,1,""),"")</f>
        <v>#VALUE!</v>
      </c>
      <c r="AA971">
        <f t="shared" si="139"/>
        <v>1000</v>
      </c>
      <c r="AB971" t="str">
        <f t="shared" si="140"/>
        <v/>
      </c>
      <c r="AC971">
        <f t="shared" si="141"/>
        <v>1000</v>
      </c>
      <c r="AD971" s="6"/>
    </row>
    <row r="972" spans="1:30" x14ac:dyDescent="0.2">
      <c r="A972" t="str">
        <f t="shared" si="142"/>
        <v/>
      </c>
      <c r="X972" t="str" cm="1">
        <f t="array" ref="X972">IF(S972="","",IF($I972&lt;&gt;"",$I972,INDEX($I$2:$I971,ROW()-COUNTIFS($T$2:$T971,"="&amp;$T972,$S$2:$S971,"&lt;&gt;"&amp;$S972)-1)))</f>
        <v/>
      </c>
      <c r="Y972" t="b">
        <f>IF(X972&lt;&gt;"",VLOOKUP(X972,game_rosters!$C$43:$E$64,3,FALSE))</f>
        <v>0</v>
      </c>
      <c r="Z972" t="e" cm="1" vm="1">
        <f t="array" aca="1" ref="Z972" ca="1">IFERROR(IF(_xlfn._xlws.FILTER(game_rosters!$J:$J,(game_rosters!$G:$G=events!$AN972)*(game_rosters!$J:$J=events!$X972))&gt;0,1,""),"")</f>
        <v>#VALUE!</v>
      </c>
      <c r="AA972">
        <f t="shared" si="139"/>
        <v>1000</v>
      </c>
      <c r="AB972" t="str">
        <f t="shared" si="140"/>
        <v/>
      </c>
      <c r="AC972">
        <f t="shared" si="141"/>
        <v>1000</v>
      </c>
      <c r="AD972" s="6"/>
    </row>
    <row r="973" spans="1:30" x14ac:dyDescent="0.2">
      <c r="A973" t="str">
        <f t="shared" si="142"/>
        <v/>
      </c>
      <c r="X973" t="str" cm="1">
        <f t="array" ref="X973">IF(S973="","",IF($I973&lt;&gt;"",$I973,INDEX($I$2:$I972,ROW()-COUNTIFS($T$2:$T972,"="&amp;$T973,$S$2:$S972,"&lt;&gt;"&amp;$S973)-1)))</f>
        <v/>
      </c>
      <c r="Y973" t="b">
        <f>IF(X973&lt;&gt;"",VLOOKUP(X973,game_rosters!$C$43:$E$64,3,FALSE))</f>
        <v>0</v>
      </c>
      <c r="Z973" t="e" cm="1" vm="1">
        <f t="array" aca="1" ref="Z973" ca="1">IFERROR(IF(_xlfn._xlws.FILTER(game_rosters!$J:$J,(game_rosters!$G:$G=events!$AN973)*(game_rosters!$J:$J=events!$X973))&gt;0,1,""),"")</f>
        <v>#VALUE!</v>
      </c>
      <c r="AA973">
        <f t="shared" si="139"/>
        <v>1000</v>
      </c>
      <c r="AB973" t="str">
        <f t="shared" si="140"/>
        <v/>
      </c>
      <c r="AC973">
        <f t="shared" si="141"/>
        <v>1000</v>
      </c>
      <c r="AD973" s="6"/>
    </row>
    <row r="974" spans="1:30" x14ac:dyDescent="0.2">
      <c r="A974" t="str">
        <f t="shared" si="142"/>
        <v/>
      </c>
      <c r="X974" t="str" cm="1">
        <f t="array" ref="X974">IF(S974="","",IF($I974&lt;&gt;"",$I974,INDEX($I$2:$I973,ROW()-COUNTIFS($T$2:$T973,"="&amp;$T974,$S$2:$S973,"&lt;&gt;"&amp;$S974)-1)))</f>
        <v/>
      </c>
      <c r="Y974" t="b">
        <f>IF(X974&lt;&gt;"",VLOOKUP(X974,game_rosters!$C$43:$E$64,3,FALSE))</f>
        <v>0</v>
      </c>
      <c r="Z974" t="e" cm="1" vm="1">
        <f t="array" aca="1" ref="Z974" ca="1">IFERROR(IF(_xlfn._xlws.FILTER(game_rosters!$J:$J,(game_rosters!$G:$G=events!$AN974)*(game_rosters!$J:$J=events!$X974))&gt;0,1,""),"")</f>
        <v>#VALUE!</v>
      </c>
      <c r="AA974">
        <f t="shared" si="139"/>
        <v>1000</v>
      </c>
      <c r="AB974" t="str">
        <f t="shared" si="140"/>
        <v/>
      </c>
      <c r="AC974">
        <f t="shared" si="141"/>
        <v>1000</v>
      </c>
      <c r="AD974" s="6"/>
    </row>
    <row r="975" spans="1:30" x14ac:dyDescent="0.2">
      <c r="A975" t="str">
        <f t="shared" si="142"/>
        <v/>
      </c>
      <c r="X975" t="str" cm="1">
        <f t="array" ref="X975">IF(S975="","",IF($I975&lt;&gt;"",$I975,INDEX($I$2:$I974,ROW()-COUNTIFS($T$2:$T974,"="&amp;$T975,$S$2:$S974,"&lt;&gt;"&amp;$S975)-1)))</f>
        <v/>
      </c>
      <c r="Y975" t="b">
        <f>IF(X975&lt;&gt;"",VLOOKUP(X975,game_rosters!$C$43:$E$64,3,FALSE))</f>
        <v>0</v>
      </c>
      <c r="Z975" t="e" cm="1" vm="1">
        <f t="array" aca="1" ref="Z975" ca="1">IFERROR(IF(_xlfn._xlws.FILTER(game_rosters!$J:$J,(game_rosters!$G:$G=events!$AN975)*(game_rosters!$J:$J=events!$X975))&gt;0,1,""),"")</f>
        <v>#VALUE!</v>
      </c>
      <c r="AA975">
        <f t="shared" si="139"/>
        <v>1000</v>
      </c>
      <c r="AB975" t="str">
        <f t="shared" si="140"/>
        <v/>
      </c>
      <c r="AC975">
        <f t="shared" si="141"/>
        <v>1000</v>
      </c>
      <c r="AD975" s="6"/>
    </row>
    <row r="976" spans="1:30" x14ac:dyDescent="0.2">
      <c r="A976" t="str">
        <f t="shared" si="142"/>
        <v/>
      </c>
      <c r="X976" t="str" cm="1">
        <f t="array" ref="X976">IF(S976="","",IF($I976&lt;&gt;"",$I976,INDEX($I$2:$I975,ROW()-COUNTIFS($T$2:$T975,"="&amp;$T976,$S$2:$S975,"&lt;&gt;"&amp;$S976)-1)))</f>
        <v/>
      </c>
      <c r="Y976" t="b">
        <f>IF(X976&lt;&gt;"",VLOOKUP(X976,game_rosters!$C$43:$E$64,3,FALSE))</f>
        <v>0</v>
      </c>
      <c r="Z976" t="e" cm="1" vm="1">
        <f t="array" aca="1" ref="Z976" ca="1">IFERROR(IF(_xlfn._xlws.FILTER(game_rosters!$J:$J,(game_rosters!$G:$G=events!$AN976)*(game_rosters!$J:$J=events!$X976))&gt;0,1,""),"")</f>
        <v>#VALUE!</v>
      </c>
      <c r="AA976">
        <f t="shared" si="139"/>
        <v>1000</v>
      </c>
      <c r="AB976" t="str">
        <f t="shared" si="140"/>
        <v/>
      </c>
      <c r="AC976">
        <f t="shared" si="141"/>
        <v>1000</v>
      </c>
      <c r="AD976" s="6"/>
    </row>
    <row r="977" spans="1:30" x14ac:dyDescent="0.2">
      <c r="A977" t="str">
        <f t="shared" si="142"/>
        <v/>
      </c>
      <c r="X977" t="str" cm="1">
        <f t="array" ref="X977">IF(S977="","",IF($I977&lt;&gt;"",$I977,INDEX($I$2:$I976,ROW()-COUNTIFS($T$2:$T976,"="&amp;$T977,$S$2:$S976,"&lt;&gt;"&amp;$S977)-1)))</f>
        <v/>
      </c>
      <c r="Y977" t="b">
        <f>IF(X977&lt;&gt;"",VLOOKUP(X977,game_rosters!$C$43:$E$64,3,FALSE))</f>
        <v>0</v>
      </c>
      <c r="Z977" t="e" cm="1" vm="1">
        <f t="array" aca="1" ref="Z977" ca="1">IFERROR(IF(_xlfn._xlws.FILTER(game_rosters!$J:$J,(game_rosters!$G:$G=events!$AN977)*(game_rosters!$J:$J=events!$X977))&gt;0,1,""),"")</f>
        <v>#VALUE!</v>
      </c>
      <c r="AA977">
        <f t="shared" si="139"/>
        <v>1000</v>
      </c>
      <c r="AB977" t="str">
        <f t="shared" si="140"/>
        <v/>
      </c>
      <c r="AC977">
        <f t="shared" si="141"/>
        <v>1000</v>
      </c>
      <c r="AD977" s="6"/>
    </row>
    <row r="978" spans="1:30" x14ac:dyDescent="0.2">
      <c r="A978" t="str">
        <f t="shared" si="142"/>
        <v/>
      </c>
      <c r="X978" t="str" cm="1">
        <f t="array" ref="X978">IF(S978="","",IF($I978&lt;&gt;"",$I978,INDEX($I$2:$I977,ROW()-COUNTIFS($T$2:$T977,"="&amp;$T978,$S$2:$S977,"&lt;&gt;"&amp;$S978)-1)))</f>
        <v/>
      </c>
      <c r="Y978" t="b">
        <f>IF(X978&lt;&gt;"",VLOOKUP(X978,game_rosters!$C$43:$E$64,3,FALSE))</f>
        <v>0</v>
      </c>
      <c r="Z978" t="e" cm="1" vm="1">
        <f t="array" aca="1" ref="Z978" ca="1">IFERROR(IF(_xlfn._xlws.FILTER(game_rosters!$J:$J,(game_rosters!$G:$G=events!$AN978)*(game_rosters!$J:$J=events!$X978))&gt;0,1,""),"")</f>
        <v>#VALUE!</v>
      </c>
      <c r="AA978">
        <f t="shared" si="139"/>
        <v>1000</v>
      </c>
      <c r="AB978" t="str">
        <f t="shared" si="140"/>
        <v/>
      </c>
      <c r="AC978">
        <f t="shared" si="141"/>
        <v>1000</v>
      </c>
      <c r="AD978" s="6"/>
    </row>
    <row r="979" spans="1:30" x14ac:dyDescent="0.2">
      <c r="A979" t="str">
        <f t="shared" si="142"/>
        <v/>
      </c>
      <c r="X979" t="str" cm="1">
        <f t="array" ref="X979">IF(S979="","",IF($I979&lt;&gt;"",$I979,INDEX($I$2:$I978,ROW()-COUNTIFS($T$2:$T978,"="&amp;$T979,$S$2:$S978,"&lt;&gt;"&amp;$S979)-1)))</f>
        <v/>
      </c>
      <c r="Y979" t="b">
        <f>IF(X979&lt;&gt;"",VLOOKUP(X979,game_rosters!$C$43:$E$64,3,FALSE))</f>
        <v>0</v>
      </c>
      <c r="Z979" t="e" cm="1" vm="1">
        <f t="array" aca="1" ref="Z979" ca="1">IFERROR(IF(_xlfn._xlws.FILTER(game_rosters!$J:$J,(game_rosters!$G:$G=events!$AN979)*(game_rosters!$J:$J=events!$X979))&gt;0,1,""),"")</f>
        <v>#VALUE!</v>
      </c>
      <c r="AA979">
        <f t="shared" si="139"/>
        <v>1000</v>
      </c>
      <c r="AB979" t="str">
        <f t="shared" si="140"/>
        <v/>
      </c>
      <c r="AC979">
        <f t="shared" si="141"/>
        <v>1000</v>
      </c>
      <c r="AD979" s="6"/>
    </row>
    <row r="980" spans="1:30" x14ac:dyDescent="0.2">
      <c r="A980" t="str">
        <f t="shared" si="142"/>
        <v/>
      </c>
      <c r="X980" t="str" cm="1">
        <f t="array" ref="X980">IF(S980="","",IF($I980&lt;&gt;"",$I980,INDEX($I$2:$I979,ROW()-COUNTIFS($T$2:$T979,"="&amp;$T980,$S$2:$S979,"&lt;&gt;"&amp;$S980)-1)))</f>
        <v/>
      </c>
      <c r="Y980" t="b">
        <f>IF(X980&lt;&gt;"",VLOOKUP(X980,game_rosters!$C$43:$E$64,3,FALSE))</f>
        <v>0</v>
      </c>
      <c r="Z980" t="e" cm="1" vm="1">
        <f t="array" aca="1" ref="Z980" ca="1">IFERROR(IF(_xlfn._xlws.FILTER(game_rosters!$J:$J,(game_rosters!$G:$G=events!$AN980)*(game_rosters!$J:$J=events!$X980))&gt;0,1,""),"")</f>
        <v>#VALUE!</v>
      </c>
      <c r="AA980">
        <f t="shared" si="139"/>
        <v>1000</v>
      </c>
      <c r="AB980" t="str">
        <f t="shared" si="140"/>
        <v/>
      </c>
      <c r="AC980">
        <f t="shared" si="141"/>
        <v>1000</v>
      </c>
      <c r="AD980" s="6"/>
    </row>
    <row r="981" spans="1:30" x14ac:dyDescent="0.2">
      <c r="A981" t="str">
        <f t="shared" si="142"/>
        <v/>
      </c>
      <c r="X981" t="str" cm="1">
        <f t="array" ref="X981">IF(S981="","",IF($I981&lt;&gt;"",$I981,INDEX($I$2:$I980,ROW()-COUNTIFS($T$2:$T980,"="&amp;$T981,$S$2:$S980,"&lt;&gt;"&amp;$S981)-1)))</f>
        <v/>
      </c>
      <c r="Y981" t="b">
        <f>IF(X981&lt;&gt;"",VLOOKUP(X981,game_rosters!$C$43:$E$64,3,FALSE))</f>
        <v>0</v>
      </c>
      <c r="Z981" t="e" cm="1" vm="1">
        <f t="array" aca="1" ref="Z981" ca="1">IFERROR(IF(_xlfn._xlws.FILTER(game_rosters!$J:$J,(game_rosters!$G:$G=events!$AN981)*(game_rosters!$J:$J=events!$X981))&gt;0,1,""),"")</f>
        <v>#VALUE!</v>
      </c>
      <c r="AA981">
        <f t="shared" si="139"/>
        <v>1000</v>
      </c>
      <c r="AB981" t="str">
        <f t="shared" si="140"/>
        <v/>
      </c>
      <c r="AC981">
        <f t="shared" si="141"/>
        <v>1000</v>
      </c>
      <c r="AD981" s="6"/>
    </row>
    <row r="982" spans="1:30" x14ac:dyDescent="0.2">
      <c r="A982" t="str">
        <f t="shared" si="142"/>
        <v/>
      </c>
      <c r="X982" t="str" cm="1">
        <f t="array" ref="X982">IF(S982="","",IF($I982&lt;&gt;"",$I982,INDEX($I$2:$I981,ROW()-COUNTIFS($T$2:$T981,"="&amp;$T982,$S$2:$S981,"&lt;&gt;"&amp;$S982)-1)))</f>
        <v/>
      </c>
      <c r="Y982" t="b">
        <f>IF(X982&lt;&gt;"",VLOOKUP(X982,game_rosters!$C$43:$E$64,3,FALSE))</f>
        <v>0</v>
      </c>
      <c r="Z982" t="e" cm="1" vm="1">
        <f t="array" aca="1" ref="Z982" ca="1">IFERROR(IF(_xlfn._xlws.FILTER(game_rosters!$J:$J,(game_rosters!$G:$G=events!$AN982)*(game_rosters!$J:$J=events!$X982))&gt;0,1,""),"")</f>
        <v>#VALUE!</v>
      </c>
      <c r="AA982">
        <f t="shared" si="139"/>
        <v>1000</v>
      </c>
      <c r="AB982" t="str">
        <f t="shared" si="140"/>
        <v/>
      </c>
      <c r="AC982">
        <f t="shared" si="141"/>
        <v>1000</v>
      </c>
      <c r="AD982" s="6"/>
    </row>
    <row r="983" spans="1:30" x14ac:dyDescent="0.2">
      <c r="A983" t="str">
        <f t="shared" si="142"/>
        <v/>
      </c>
      <c r="X983" t="str" cm="1">
        <f t="array" ref="X983">IF(S983="","",IF($I983&lt;&gt;"",$I983,INDEX($I$2:$I982,ROW()-COUNTIFS($T$2:$T982,"="&amp;$T983,$S$2:$S982,"&lt;&gt;"&amp;$S983)-1)))</f>
        <v/>
      </c>
      <c r="Y983" t="b">
        <f>IF(X983&lt;&gt;"",VLOOKUP(X983,game_rosters!$C$43:$E$64,3,FALSE))</f>
        <v>0</v>
      </c>
      <c r="Z983" t="e" cm="1" vm="1">
        <f t="array" aca="1" ref="Z983" ca="1">IFERROR(IF(_xlfn._xlws.FILTER(game_rosters!$J:$J,(game_rosters!$G:$G=events!$AN983)*(game_rosters!$J:$J=events!$X983))&gt;0,1,""),"")</f>
        <v>#VALUE!</v>
      </c>
      <c r="AA983">
        <f t="shared" si="139"/>
        <v>1000</v>
      </c>
      <c r="AB983" t="str">
        <f t="shared" si="140"/>
        <v/>
      </c>
      <c r="AC983">
        <f t="shared" si="141"/>
        <v>1000</v>
      </c>
      <c r="AD983" s="6"/>
    </row>
    <row r="984" spans="1:30" x14ac:dyDescent="0.2">
      <c r="A984" t="str">
        <f t="shared" si="142"/>
        <v/>
      </c>
      <c r="X984" t="str" cm="1">
        <f t="array" ref="X984">IF(S984="","",IF($I984&lt;&gt;"",$I984,INDEX($I$2:$I983,ROW()-COUNTIFS($T$2:$T983,"="&amp;$T984,$S$2:$S983,"&lt;&gt;"&amp;$S984)-1)))</f>
        <v/>
      </c>
      <c r="Y984" t="b">
        <f>IF(X984&lt;&gt;"",VLOOKUP(X984,game_rosters!$C$43:$E$64,3,FALSE))</f>
        <v>0</v>
      </c>
      <c r="Z984" t="e" cm="1" vm="1">
        <f t="array" aca="1" ref="Z984" ca="1">IFERROR(IF(_xlfn._xlws.FILTER(game_rosters!$J:$J,(game_rosters!$G:$G=events!$AN984)*(game_rosters!$J:$J=events!$X984))&gt;0,1,""),"")</f>
        <v>#VALUE!</v>
      </c>
      <c r="AA984">
        <f t="shared" si="139"/>
        <v>1000</v>
      </c>
      <c r="AB984" t="str">
        <f t="shared" si="140"/>
        <v/>
      </c>
      <c r="AC984">
        <f t="shared" si="141"/>
        <v>1000</v>
      </c>
      <c r="AD984" s="6"/>
    </row>
    <row r="985" spans="1:30" x14ac:dyDescent="0.2">
      <c r="A985" t="str">
        <f t="shared" si="142"/>
        <v/>
      </c>
      <c r="X985" t="str" cm="1">
        <f t="array" ref="X985">IF(S985="","",IF($I985&lt;&gt;"",$I985,INDEX($I$2:$I984,ROW()-COUNTIFS($T$2:$T984,"="&amp;$T985,$S$2:$S984,"&lt;&gt;"&amp;$S985)-1)))</f>
        <v/>
      </c>
      <c r="Y985" t="b">
        <f>IF(X985&lt;&gt;"",VLOOKUP(X985,game_rosters!$C$43:$E$64,3,FALSE))</f>
        <v>0</v>
      </c>
      <c r="Z985" t="e" cm="1" vm="1">
        <f t="array" aca="1" ref="Z985" ca="1">IFERROR(IF(_xlfn._xlws.FILTER(game_rosters!$J:$J,(game_rosters!$G:$G=events!$AN985)*(game_rosters!$J:$J=events!$X985))&gt;0,1,""),"")</f>
        <v>#VALUE!</v>
      </c>
      <c r="AA985">
        <f t="shared" si="139"/>
        <v>1000</v>
      </c>
      <c r="AB985" t="str">
        <f t="shared" si="140"/>
        <v/>
      </c>
      <c r="AC985">
        <f t="shared" si="141"/>
        <v>1000</v>
      </c>
      <c r="AD985" s="6"/>
    </row>
    <row r="986" spans="1:30" x14ac:dyDescent="0.2">
      <c r="A986" t="str">
        <f t="shared" si="142"/>
        <v/>
      </c>
      <c r="X986" t="str" cm="1">
        <f t="array" ref="X986">IF(S986="","",IF($I986&lt;&gt;"",$I986,INDEX($I$2:$I985,ROW()-COUNTIFS($T$2:$T985,"="&amp;$T986,$S$2:$S985,"&lt;&gt;"&amp;$S986)-1)))</f>
        <v/>
      </c>
      <c r="Y986" t="b">
        <f>IF(X986&lt;&gt;"",VLOOKUP(X986,game_rosters!$C$43:$E$64,3,FALSE))</f>
        <v>0</v>
      </c>
      <c r="Z986" t="e" cm="1" vm="1">
        <f t="array" aca="1" ref="Z986" ca="1">IFERROR(IF(_xlfn._xlws.FILTER(game_rosters!$J:$J,(game_rosters!$G:$G=events!$AN986)*(game_rosters!$J:$J=events!$X986))&gt;0,1,""),"")</f>
        <v>#VALUE!</v>
      </c>
      <c r="AA986">
        <f t="shared" si="139"/>
        <v>1000</v>
      </c>
      <c r="AB986" t="str">
        <f t="shared" si="140"/>
        <v/>
      </c>
      <c r="AC986">
        <f t="shared" si="141"/>
        <v>1000</v>
      </c>
      <c r="AD986" s="6"/>
    </row>
    <row r="987" spans="1:30" x14ac:dyDescent="0.2">
      <c r="A987" t="str">
        <f t="shared" si="142"/>
        <v/>
      </c>
      <c r="X987" t="str" cm="1">
        <f t="array" ref="X987">IF(S987="","",IF($I987&lt;&gt;"",$I987,INDEX($I$2:$I986,ROW()-COUNTIFS($T$2:$T986,"="&amp;$T987,$S$2:$S986,"&lt;&gt;"&amp;$S987)-1)))</f>
        <v/>
      </c>
      <c r="Y987" t="b">
        <f>IF(X987&lt;&gt;"",VLOOKUP(X987,game_rosters!$C$43:$E$64,3,FALSE))</f>
        <v>0</v>
      </c>
      <c r="Z987" t="e" cm="1" vm="1">
        <f t="array" aca="1" ref="Z987" ca="1">IFERROR(IF(_xlfn._xlws.FILTER(game_rosters!$J:$J,(game_rosters!$G:$G=events!$AN987)*(game_rosters!$J:$J=events!$X987))&gt;0,1,""),"")</f>
        <v>#VALUE!</v>
      </c>
      <c r="AA987">
        <f t="shared" si="139"/>
        <v>1000</v>
      </c>
      <c r="AB987" t="str">
        <f t="shared" si="140"/>
        <v/>
      </c>
      <c r="AC987">
        <f t="shared" si="141"/>
        <v>1000</v>
      </c>
      <c r="AD987" s="6"/>
    </row>
    <row r="988" spans="1:30" x14ac:dyDescent="0.2">
      <c r="A988" t="str">
        <f t="shared" si="142"/>
        <v/>
      </c>
      <c r="X988" t="str" cm="1">
        <f t="array" ref="X988">IF(S988="","",IF($I988&lt;&gt;"",$I988,INDEX($I$2:$I987,ROW()-COUNTIFS($T$2:$T987,"="&amp;$T988,$S$2:$S987,"&lt;&gt;"&amp;$S988)-1)))</f>
        <v/>
      </c>
      <c r="Y988" t="b">
        <f>IF(X988&lt;&gt;"",VLOOKUP(X988,game_rosters!$C$43:$E$64,3,FALSE))</f>
        <v>0</v>
      </c>
      <c r="Z988" t="e" cm="1" vm="1">
        <f t="array" aca="1" ref="Z988" ca="1">IFERROR(IF(_xlfn._xlws.FILTER(game_rosters!$J:$J,(game_rosters!$G:$G=events!$AN988)*(game_rosters!$J:$J=events!$X988))&gt;0,1,""),"")</f>
        <v>#VALUE!</v>
      </c>
      <c r="AA988">
        <f t="shared" si="139"/>
        <v>1000</v>
      </c>
      <c r="AB988" t="str">
        <f t="shared" si="140"/>
        <v/>
      </c>
      <c r="AC988">
        <f t="shared" si="141"/>
        <v>1000</v>
      </c>
      <c r="AD988" s="6"/>
    </row>
    <row r="989" spans="1:30" x14ac:dyDescent="0.2">
      <c r="A989" t="str">
        <f t="shared" si="142"/>
        <v/>
      </c>
      <c r="X989" t="str" cm="1">
        <f t="array" ref="X989">IF(S989="","",IF($I989&lt;&gt;"",$I989,INDEX($I$2:$I988,ROW()-COUNTIFS($T$2:$T988,"="&amp;$T989,$S$2:$S988,"&lt;&gt;"&amp;$S989)-1)))</f>
        <v/>
      </c>
      <c r="Y989" t="b">
        <f>IF(X989&lt;&gt;"",VLOOKUP(X989,game_rosters!$C$43:$E$64,3,FALSE))</f>
        <v>0</v>
      </c>
      <c r="Z989" t="e" cm="1" vm="1">
        <f t="array" aca="1" ref="Z989" ca="1">IFERROR(IF(_xlfn._xlws.FILTER(game_rosters!$J:$J,(game_rosters!$G:$G=events!$AN989)*(game_rosters!$J:$J=events!$X989))&gt;0,1,""),"")</f>
        <v>#VALUE!</v>
      </c>
      <c r="AA989">
        <f t="shared" ref="AA989:AA1052" si="143">S989+1000</f>
        <v>1000</v>
      </c>
      <c r="AB989" t="str">
        <f t="shared" ref="AB989:AB1052" si="144">IF(T989&lt;&gt;"",9000+T989,"")</f>
        <v/>
      </c>
      <c r="AC989">
        <f t="shared" si="141"/>
        <v>1000</v>
      </c>
      <c r="AD989" s="6"/>
    </row>
    <row r="990" spans="1:30" x14ac:dyDescent="0.2">
      <c r="A990" t="str">
        <f t="shared" si="142"/>
        <v/>
      </c>
      <c r="X990" t="str" cm="1">
        <f t="array" ref="X990">IF(S990="","",IF($I990&lt;&gt;"",$I990,INDEX($I$2:$I989,ROW()-COUNTIFS($T$2:$T989,"="&amp;$T990,$S$2:$S989,"&lt;&gt;"&amp;$S990)-1)))</f>
        <v/>
      </c>
      <c r="Y990" t="b">
        <f>IF(X990&lt;&gt;"",VLOOKUP(X990,game_rosters!$C$43:$E$64,3,FALSE))</f>
        <v>0</v>
      </c>
      <c r="Z990" t="e" cm="1" vm="1">
        <f t="array" aca="1" ref="Z990" ca="1">IFERROR(IF(_xlfn._xlws.FILTER(game_rosters!$J:$J,(game_rosters!$G:$G=events!$AN990)*(game_rosters!$J:$J=events!$X990))&gt;0,1,""),"")</f>
        <v>#VALUE!</v>
      </c>
      <c r="AA990">
        <f t="shared" si="143"/>
        <v>1000</v>
      </c>
      <c r="AB990" t="str">
        <f t="shared" si="144"/>
        <v/>
      </c>
      <c r="AC990">
        <f t="shared" si="141"/>
        <v>1000</v>
      </c>
      <c r="AD990" s="6"/>
    </row>
    <row r="991" spans="1:30" x14ac:dyDescent="0.2">
      <c r="A991" t="str">
        <f t="shared" si="142"/>
        <v/>
      </c>
      <c r="X991" t="str" cm="1">
        <f t="array" ref="X991">IF(S991="","",IF($I991&lt;&gt;"",$I991,INDEX($I$2:$I990,ROW()-COUNTIFS($T$2:$T990,"="&amp;$T991,$S$2:$S990,"&lt;&gt;"&amp;$S991)-1)))</f>
        <v/>
      </c>
      <c r="Y991" t="b">
        <f>IF(X991&lt;&gt;"",VLOOKUP(X991,game_rosters!$C$43:$E$64,3,FALSE))</f>
        <v>0</v>
      </c>
      <c r="Z991" t="e" cm="1" vm="1">
        <f t="array" aca="1" ref="Z991" ca="1">IFERROR(IF(_xlfn._xlws.FILTER(game_rosters!$J:$J,(game_rosters!$G:$G=events!$AN991)*(game_rosters!$J:$J=events!$X991))&gt;0,1,""),"")</f>
        <v>#VALUE!</v>
      </c>
      <c r="AA991">
        <f t="shared" si="143"/>
        <v>1000</v>
      </c>
      <c r="AB991" t="str">
        <f t="shared" si="144"/>
        <v/>
      </c>
      <c r="AC991">
        <f t="shared" si="141"/>
        <v>1000</v>
      </c>
      <c r="AD991" s="6"/>
    </row>
    <row r="992" spans="1:30" x14ac:dyDescent="0.2">
      <c r="A992" t="str">
        <f t="shared" si="142"/>
        <v/>
      </c>
      <c r="X992" t="str" cm="1">
        <f t="array" ref="X992">IF(S992="","",IF($I992&lt;&gt;"",$I992,INDEX($I$2:$I991,ROW()-COUNTIFS($T$2:$T991,"="&amp;$T992,$S$2:$S991,"&lt;&gt;"&amp;$S992)-1)))</f>
        <v/>
      </c>
      <c r="Y992" t="b">
        <f>IF(X992&lt;&gt;"",VLOOKUP(X992,game_rosters!$C$43:$E$64,3,FALSE))</f>
        <v>0</v>
      </c>
      <c r="Z992" t="e" cm="1" vm="1">
        <f t="array" aca="1" ref="Z992" ca="1">IFERROR(IF(_xlfn._xlws.FILTER(game_rosters!$J:$J,(game_rosters!$G:$G=events!$AN992)*(game_rosters!$J:$J=events!$X992))&gt;0,1,""),"")</f>
        <v>#VALUE!</v>
      </c>
      <c r="AA992">
        <f t="shared" si="143"/>
        <v>1000</v>
      </c>
      <c r="AB992" t="str">
        <f t="shared" si="144"/>
        <v/>
      </c>
      <c r="AC992">
        <f t="shared" si="141"/>
        <v>1000</v>
      </c>
      <c r="AD992" s="6"/>
    </row>
    <row r="993" spans="1:30" x14ac:dyDescent="0.2">
      <c r="A993" t="str">
        <f t="shared" si="142"/>
        <v/>
      </c>
      <c r="X993" t="str" cm="1">
        <f t="array" ref="X993">IF(S993="","",IF($I993&lt;&gt;"",$I993,INDEX($I$2:$I992,ROW()-COUNTIFS($T$2:$T992,"="&amp;$T993,$S$2:$S992,"&lt;&gt;"&amp;$S993)-1)))</f>
        <v/>
      </c>
      <c r="Y993" t="b">
        <f>IF(X993&lt;&gt;"",VLOOKUP(X993,game_rosters!$C$43:$E$64,3,FALSE))</f>
        <v>0</v>
      </c>
      <c r="Z993" t="e" cm="1" vm="1">
        <f t="array" aca="1" ref="Z993" ca="1">IFERROR(IF(_xlfn._xlws.FILTER(game_rosters!$J:$J,(game_rosters!$G:$G=events!$AN993)*(game_rosters!$J:$J=events!$X993))&gt;0,1,""),"")</f>
        <v>#VALUE!</v>
      </c>
      <c r="AA993">
        <f t="shared" si="143"/>
        <v>1000</v>
      </c>
      <c r="AB993" t="str">
        <f t="shared" si="144"/>
        <v/>
      </c>
      <c r="AC993">
        <f t="shared" si="141"/>
        <v>1000</v>
      </c>
      <c r="AD993" s="6"/>
    </row>
    <row r="994" spans="1:30" x14ac:dyDescent="0.2">
      <c r="A994" t="str">
        <f t="shared" si="142"/>
        <v/>
      </c>
      <c r="X994" t="str" cm="1">
        <f t="array" ref="X994">IF(S994="","",IF($I994&lt;&gt;"",$I994,INDEX($I$2:$I993,ROW()-COUNTIFS($T$2:$T993,"="&amp;$T994,$S$2:$S993,"&lt;&gt;"&amp;$S994)-1)))</f>
        <v/>
      </c>
      <c r="Y994" t="b">
        <f>IF(X994&lt;&gt;"",VLOOKUP(X994,game_rosters!$C$43:$E$64,3,FALSE))</f>
        <v>0</v>
      </c>
      <c r="Z994" t="e" cm="1" vm="1">
        <f t="array" aca="1" ref="Z994" ca="1">IFERROR(IF(_xlfn._xlws.FILTER(game_rosters!$J:$J,(game_rosters!$G:$G=events!$AN994)*(game_rosters!$J:$J=events!$X994))&gt;0,1,""),"")</f>
        <v>#VALUE!</v>
      </c>
      <c r="AA994">
        <f t="shared" si="143"/>
        <v>1000</v>
      </c>
      <c r="AB994" t="str">
        <f t="shared" si="144"/>
        <v/>
      </c>
      <c r="AC994">
        <f t="shared" si="141"/>
        <v>1000</v>
      </c>
      <c r="AD994" s="6"/>
    </row>
    <row r="995" spans="1:30" x14ac:dyDescent="0.2">
      <c r="A995" t="str">
        <f t="shared" si="142"/>
        <v/>
      </c>
      <c r="X995" t="str" cm="1">
        <f t="array" ref="X995">IF(S995="","",IF($I995&lt;&gt;"",$I995,INDEX($I$2:$I994,ROW()-COUNTIFS($T$2:$T994,"="&amp;$T995,$S$2:$S994,"&lt;&gt;"&amp;$S995)-1)))</f>
        <v/>
      </c>
      <c r="Y995" t="b">
        <f>IF(X995&lt;&gt;"",VLOOKUP(X995,game_rosters!$C$43:$E$64,3,FALSE))</f>
        <v>0</v>
      </c>
      <c r="Z995" t="e" cm="1" vm="1">
        <f t="array" aca="1" ref="Z995" ca="1">IFERROR(IF(_xlfn._xlws.FILTER(game_rosters!$J:$J,(game_rosters!$G:$G=events!$AN995)*(game_rosters!$J:$J=events!$X995))&gt;0,1,""),"")</f>
        <v>#VALUE!</v>
      </c>
      <c r="AA995">
        <f t="shared" si="143"/>
        <v>1000</v>
      </c>
      <c r="AB995" t="str">
        <f t="shared" si="144"/>
        <v/>
      </c>
      <c r="AC995">
        <f t="shared" si="141"/>
        <v>1000</v>
      </c>
      <c r="AD995" s="6"/>
    </row>
    <row r="996" spans="1:30" x14ac:dyDescent="0.2">
      <c r="A996" t="str">
        <f t="shared" si="142"/>
        <v/>
      </c>
      <c r="X996" t="str" cm="1">
        <f t="array" ref="X996">IF(S996="","",IF($I996&lt;&gt;"",$I996,INDEX($I$2:$I995,ROW()-COUNTIFS($T$2:$T995,"="&amp;$T996,$S$2:$S995,"&lt;&gt;"&amp;$S996)-1)))</f>
        <v/>
      </c>
      <c r="Y996" t="b">
        <f>IF(X996&lt;&gt;"",VLOOKUP(X996,game_rosters!$C$43:$E$64,3,FALSE))</f>
        <v>0</v>
      </c>
      <c r="Z996" t="e" cm="1" vm="1">
        <f t="array" aca="1" ref="Z996" ca="1">IFERROR(IF(_xlfn._xlws.FILTER(game_rosters!$J:$J,(game_rosters!$G:$G=events!$AN996)*(game_rosters!$J:$J=events!$X996))&gt;0,1,""),"")</f>
        <v>#VALUE!</v>
      </c>
      <c r="AA996">
        <f t="shared" si="143"/>
        <v>1000</v>
      </c>
      <c r="AB996" t="str">
        <f t="shared" si="144"/>
        <v/>
      </c>
      <c r="AC996">
        <f t="shared" si="141"/>
        <v>1000</v>
      </c>
      <c r="AD996" s="6"/>
    </row>
    <row r="997" spans="1:30" x14ac:dyDescent="0.2">
      <c r="A997" t="str">
        <f t="shared" si="142"/>
        <v/>
      </c>
      <c r="X997" t="str" cm="1">
        <f t="array" ref="X997">IF(S997="","",IF($I997&lt;&gt;"",$I997,INDEX($I$2:$I996,ROW()-COUNTIFS($T$2:$T996,"="&amp;$T997,$S$2:$S996,"&lt;&gt;"&amp;$S997)-1)))</f>
        <v/>
      </c>
      <c r="Y997" t="b">
        <f>IF(X997&lt;&gt;"",VLOOKUP(X997,game_rosters!$C$43:$E$64,3,FALSE))</f>
        <v>0</v>
      </c>
      <c r="Z997" t="e" cm="1" vm="1">
        <f t="array" aca="1" ref="Z997" ca="1">IFERROR(IF(_xlfn._xlws.FILTER(game_rosters!$J:$J,(game_rosters!$G:$G=events!$AN997)*(game_rosters!$J:$J=events!$X997))&gt;0,1,""),"")</f>
        <v>#VALUE!</v>
      </c>
      <c r="AA997">
        <f t="shared" si="143"/>
        <v>1000</v>
      </c>
      <c r="AB997" t="str">
        <f t="shared" si="144"/>
        <v/>
      </c>
      <c r="AC997">
        <f t="shared" si="141"/>
        <v>1000</v>
      </c>
      <c r="AD997" s="6"/>
    </row>
    <row r="998" spans="1:30" x14ac:dyDescent="0.2">
      <c r="A998" t="str">
        <f t="shared" si="142"/>
        <v/>
      </c>
      <c r="X998" t="str" cm="1">
        <f t="array" ref="X998">IF(S998="","",IF($I998&lt;&gt;"",$I998,INDEX($I$2:$I997,ROW()-COUNTIFS($T$2:$T997,"="&amp;$T998,$S$2:$S997,"&lt;&gt;"&amp;$S998)-1)))</f>
        <v/>
      </c>
      <c r="Y998" t="b">
        <f>IF(X998&lt;&gt;"",VLOOKUP(X998,game_rosters!$C$43:$E$64,3,FALSE))</f>
        <v>0</v>
      </c>
      <c r="Z998" t="e" cm="1" vm="1">
        <f t="array" aca="1" ref="Z998" ca="1">IFERROR(IF(_xlfn._xlws.FILTER(game_rosters!$J:$J,(game_rosters!$G:$G=events!$AN998)*(game_rosters!$J:$J=events!$X998))&gt;0,1,""),"")</f>
        <v>#VALUE!</v>
      </c>
      <c r="AA998">
        <f t="shared" si="143"/>
        <v>1000</v>
      </c>
      <c r="AB998" t="str">
        <f t="shared" si="144"/>
        <v/>
      </c>
      <c r="AC998">
        <f t="shared" si="141"/>
        <v>1000</v>
      </c>
      <c r="AD998" s="6"/>
    </row>
    <row r="999" spans="1:30" x14ac:dyDescent="0.2">
      <c r="A999" t="str">
        <f t="shared" si="142"/>
        <v/>
      </c>
      <c r="X999" t="str" cm="1">
        <f t="array" ref="X999">IF(S999="","",IF($I999&lt;&gt;"",$I999,INDEX($I$2:$I998,ROW()-COUNTIFS($T$2:$T998,"="&amp;$T999,$S$2:$S998,"&lt;&gt;"&amp;$S999)-1)))</f>
        <v/>
      </c>
      <c r="Y999" t="b">
        <f>IF(X999&lt;&gt;"",VLOOKUP(X999,game_rosters!$C$43:$E$64,3,FALSE))</f>
        <v>0</v>
      </c>
      <c r="Z999" t="e" cm="1" vm="1">
        <f t="array" aca="1" ref="Z999" ca="1">IFERROR(IF(_xlfn._xlws.FILTER(game_rosters!$J:$J,(game_rosters!$G:$G=events!$AN999)*(game_rosters!$J:$J=events!$X999))&gt;0,1,""),"")</f>
        <v>#VALUE!</v>
      </c>
      <c r="AA999">
        <f t="shared" si="143"/>
        <v>1000</v>
      </c>
      <c r="AB999" t="str">
        <f t="shared" si="144"/>
        <v/>
      </c>
      <c r="AC999">
        <f t="shared" si="141"/>
        <v>1000</v>
      </c>
      <c r="AD999" s="6"/>
    </row>
    <row r="1000" spans="1:30" x14ac:dyDescent="0.2">
      <c r="A1000" t="str">
        <f t="shared" si="142"/>
        <v/>
      </c>
      <c r="X1000" t="str" cm="1">
        <f t="array" ref="X1000">IF(S1000="","",IF($I1000&lt;&gt;"",$I1000,INDEX($I$2:$I999,ROW()-COUNTIFS($T$2:$T999,"="&amp;$T1000,$S$2:$S999,"&lt;&gt;"&amp;$S1000)-1)))</f>
        <v/>
      </c>
      <c r="Y1000" t="b">
        <f>IF(X1000&lt;&gt;"",VLOOKUP(X1000,game_rosters!$C$43:$E$64,3,FALSE))</f>
        <v>0</v>
      </c>
      <c r="Z1000" t="e" cm="1" vm="1">
        <f t="array" aca="1" ref="Z1000" ca="1">IFERROR(IF(_xlfn._xlws.FILTER(game_rosters!$J:$J,(game_rosters!$G:$G=events!$AN1000)*(game_rosters!$J:$J=events!$X1000))&gt;0,1,""),"")</f>
        <v>#VALUE!</v>
      </c>
      <c r="AA1000">
        <f t="shared" si="143"/>
        <v>1000</v>
      </c>
      <c r="AB1000" t="str">
        <f t="shared" si="144"/>
        <v/>
      </c>
      <c r="AC1000">
        <f t="shared" si="141"/>
        <v>1000</v>
      </c>
      <c r="AD1000" s="6"/>
    </row>
    <row r="1001" spans="1:30" x14ac:dyDescent="0.2">
      <c r="A1001" t="str">
        <f t="shared" si="142"/>
        <v/>
      </c>
      <c r="X1001" t="str" cm="1">
        <f t="array" ref="X1001">IF(S1001="","",IF($I1001&lt;&gt;"",$I1001,INDEX($I$2:$I1000,ROW()-COUNTIFS($T$2:$T1000,"="&amp;$T1001,$S$2:$S1000,"&lt;&gt;"&amp;$S1001)-1)))</f>
        <v/>
      </c>
      <c r="Y1001" t="b">
        <f>IF(X1001&lt;&gt;"",VLOOKUP(X1001,game_rosters!$C$43:$E$64,3,FALSE))</f>
        <v>0</v>
      </c>
      <c r="Z1001" t="e" cm="1" vm="1">
        <f t="array" aca="1" ref="Z1001" ca="1">IFERROR(IF(_xlfn._xlws.FILTER(game_rosters!$J:$J,(game_rosters!$G:$G=events!$AN1001)*(game_rosters!$J:$J=events!$X1001))&gt;0,1,""),"")</f>
        <v>#VALUE!</v>
      </c>
      <c r="AA1001">
        <f t="shared" si="143"/>
        <v>1000</v>
      </c>
      <c r="AB1001" t="str">
        <f t="shared" si="144"/>
        <v/>
      </c>
      <c r="AC1001">
        <f t="shared" si="141"/>
        <v>1000</v>
      </c>
      <c r="AD1001" s="6"/>
    </row>
    <row r="1002" spans="1:30" x14ac:dyDescent="0.2">
      <c r="A1002" t="str">
        <f t="shared" si="142"/>
        <v/>
      </c>
      <c r="X1002" t="str" cm="1">
        <f t="array" ref="X1002">IF(S1002="","",IF($I1002&lt;&gt;"",$I1002,INDEX($I$2:$I1001,ROW()-COUNTIFS($T$2:$T1001,"="&amp;$T1002,$S$2:$S1001,"&lt;&gt;"&amp;$S1002)-1)))</f>
        <v/>
      </c>
      <c r="Y1002" t="b">
        <f>IF(X1002&lt;&gt;"",VLOOKUP(X1002,game_rosters!$C$43:$E$64,3,FALSE))</f>
        <v>0</v>
      </c>
      <c r="Z1002" t="e" cm="1" vm="1">
        <f t="array" aca="1" ref="Z1002" ca="1">IFERROR(IF(_xlfn._xlws.FILTER(game_rosters!$J:$J,(game_rosters!$G:$G=events!$AN1002)*(game_rosters!$J:$J=events!$X1002))&gt;0,1,""),"")</f>
        <v>#VALUE!</v>
      </c>
      <c r="AA1002">
        <f t="shared" si="143"/>
        <v>1000</v>
      </c>
      <c r="AB1002" t="str">
        <f t="shared" si="144"/>
        <v/>
      </c>
      <c r="AC1002">
        <f t="shared" si="141"/>
        <v>1000</v>
      </c>
      <c r="AD1002" s="6"/>
    </row>
    <row r="1003" spans="1:30" x14ac:dyDescent="0.2">
      <c r="A1003" t="str">
        <f t="shared" si="142"/>
        <v/>
      </c>
      <c r="X1003" t="str" cm="1">
        <f t="array" ref="X1003">IF(S1003="","",IF($I1003&lt;&gt;"",$I1003,INDEX($I$2:$I1002,ROW()-COUNTIFS($T$2:$T1002,"="&amp;$T1003,$S$2:$S1002,"&lt;&gt;"&amp;$S1003)-1)))</f>
        <v/>
      </c>
      <c r="Y1003" t="b">
        <f>IF(X1003&lt;&gt;"",VLOOKUP(X1003,game_rosters!$C$43:$E$64,3,FALSE))</f>
        <v>0</v>
      </c>
      <c r="Z1003" t="e" cm="1" vm="1">
        <f t="array" aca="1" ref="Z1003" ca="1">IFERROR(IF(_xlfn._xlws.FILTER(game_rosters!$J:$J,(game_rosters!$G:$G=events!$AN1003)*(game_rosters!$J:$J=events!$X1003))&gt;0,1,""),"")</f>
        <v>#VALUE!</v>
      </c>
      <c r="AA1003">
        <f t="shared" si="143"/>
        <v>1000</v>
      </c>
      <c r="AB1003" t="str">
        <f t="shared" si="144"/>
        <v/>
      </c>
      <c r="AC1003">
        <f t="shared" si="141"/>
        <v>1000</v>
      </c>
      <c r="AD1003" s="6"/>
    </row>
    <row r="1004" spans="1:30" x14ac:dyDescent="0.2">
      <c r="A1004" t="str">
        <f t="shared" si="142"/>
        <v/>
      </c>
      <c r="X1004" t="str" cm="1">
        <f t="array" ref="X1004">IF(S1004="","",IF($I1004&lt;&gt;"",$I1004,INDEX($I$2:$I1003,ROW()-COUNTIFS($T$2:$T1003,"="&amp;$T1004,$S$2:$S1003,"&lt;&gt;"&amp;$S1004)-1)))</f>
        <v/>
      </c>
      <c r="Y1004" t="b">
        <f>IF(X1004&lt;&gt;"",VLOOKUP(X1004,game_rosters!$C$43:$E$64,3,FALSE))</f>
        <v>0</v>
      </c>
      <c r="Z1004" t="e" cm="1" vm="1">
        <f t="array" aca="1" ref="Z1004" ca="1">IFERROR(IF(_xlfn._xlws.FILTER(game_rosters!$J:$J,(game_rosters!$G:$G=events!$AN1004)*(game_rosters!$J:$J=events!$X1004))&gt;0,1,""),"")</f>
        <v>#VALUE!</v>
      </c>
      <c r="AA1004">
        <f t="shared" si="143"/>
        <v>1000</v>
      </c>
      <c r="AB1004" t="str">
        <f t="shared" si="144"/>
        <v/>
      </c>
      <c r="AC1004">
        <f t="shared" si="141"/>
        <v>1000</v>
      </c>
      <c r="AD1004" s="6"/>
    </row>
    <row r="1005" spans="1:30" x14ac:dyDescent="0.2">
      <c r="A1005" t="str">
        <f t="shared" si="142"/>
        <v/>
      </c>
      <c r="X1005" t="str" cm="1">
        <f t="array" ref="X1005">IF(S1005="","",IF($I1005&lt;&gt;"",$I1005,INDEX($I$2:$I1004,ROW()-COUNTIFS($T$2:$T1004,"="&amp;$T1005,$S$2:$S1004,"&lt;&gt;"&amp;$S1005)-1)))</f>
        <v/>
      </c>
      <c r="Y1005" t="b">
        <f>IF(X1005&lt;&gt;"",VLOOKUP(X1005,game_rosters!$C$43:$E$64,3,FALSE))</f>
        <v>0</v>
      </c>
      <c r="Z1005" t="e" cm="1" vm="1">
        <f t="array" aca="1" ref="Z1005" ca="1">IFERROR(IF(_xlfn._xlws.FILTER(game_rosters!$J:$J,(game_rosters!$G:$G=events!$AN1005)*(game_rosters!$J:$J=events!$X1005))&gt;0,1,""),"")</f>
        <v>#VALUE!</v>
      </c>
      <c r="AA1005">
        <f t="shared" si="143"/>
        <v>1000</v>
      </c>
      <c r="AB1005" t="str">
        <f t="shared" si="144"/>
        <v/>
      </c>
      <c r="AC1005">
        <f t="shared" si="141"/>
        <v>1000</v>
      </c>
      <c r="AD1005" s="6"/>
    </row>
    <row r="1006" spans="1:30" x14ac:dyDescent="0.2">
      <c r="A1006" t="str">
        <f t="shared" si="142"/>
        <v/>
      </c>
      <c r="X1006" t="str" cm="1">
        <f t="array" ref="X1006">IF(S1006="","",IF($I1006&lt;&gt;"",$I1006,INDEX($I$2:$I1005,ROW()-COUNTIFS($T$2:$T1005,"="&amp;$T1006,$S$2:$S1005,"&lt;&gt;"&amp;$S1006)-1)))</f>
        <v/>
      </c>
      <c r="Y1006" t="b">
        <f>IF(X1006&lt;&gt;"",VLOOKUP(X1006,game_rosters!$C$43:$E$64,3,FALSE))</f>
        <v>0</v>
      </c>
      <c r="Z1006" t="e" cm="1" vm="1">
        <f t="array" aca="1" ref="Z1006" ca="1">IFERROR(IF(_xlfn._xlws.FILTER(game_rosters!$J:$J,(game_rosters!$G:$G=events!$AN1006)*(game_rosters!$J:$J=events!$X1006))&gt;0,1,""),"")</f>
        <v>#VALUE!</v>
      </c>
      <c r="AA1006">
        <f t="shared" si="143"/>
        <v>1000</v>
      </c>
      <c r="AB1006" t="str">
        <f t="shared" si="144"/>
        <v/>
      </c>
      <c r="AC1006">
        <f t="shared" si="141"/>
        <v>1000</v>
      </c>
      <c r="AD1006" s="6"/>
    </row>
    <row r="1007" spans="1:30" x14ac:dyDescent="0.2">
      <c r="A1007" t="str">
        <f t="shared" si="142"/>
        <v/>
      </c>
      <c r="X1007" t="str" cm="1">
        <f t="array" ref="X1007">IF(S1007="","",IF($I1007&lt;&gt;"",$I1007,INDEX($I$2:$I1006,ROW()-COUNTIFS($T$2:$T1006,"="&amp;$T1007,$S$2:$S1006,"&lt;&gt;"&amp;$S1007)-1)))</f>
        <v/>
      </c>
      <c r="Y1007" t="b">
        <f>IF(X1007&lt;&gt;"",VLOOKUP(X1007,game_rosters!$C$43:$E$64,3,FALSE))</f>
        <v>0</v>
      </c>
      <c r="Z1007" t="e" cm="1" vm="1">
        <f t="array" aca="1" ref="Z1007" ca="1">IFERROR(IF(_xlfn._xlws.FILTER(game_rosters!$J:$J,(game_rosters!$G:$G=events!$AN1007)*(game_rosters!$J:$J=events!$X1007))&gt;0,1,""),"")</f>
        <v>#VALUE!</v>
      </c>
      <c r="AA1007">
        <f t="shared" si="143"/>
        <v>1000</v>
      </c>
      <c r="AB1007" t="str">
        <f t="shared" si="144"/>
        <v/>
      </c>
      <c r="AC1007">
        <f t="shared" si="141"/>
        <v>1000</v>
      </c>
      <c r="AD1007" s="6"/>
    </row>
    <row r="1008" spans="1:30" x14ac:dyDescent="0.2">
      <c r="A1008" t="str">
        <f t="shared" si="142"/>
        <v/>
      </c>
      <c r="X1008" t="str" cm="1">
        <f t="array" ref="X1008">IF(S1008="","",IF($I1008&lt;&gt;"",$I1008,INDEX($I$2:$I1007,ROW()-COUNTIFS($T$2:$T1007,"="&amp;$T1008,$S$2:$S1007,"&lt;&gt;"&amp;$S1008)-1)))</f>
        <v/>
      </c>
      <c r="Y1008" t="b">
        <f>IF(X1008&lt;&gt;"",VLOOKUP(X1008,game_rosters!$C$43:$E$64,3,FALSE))</f>
        <v>0</v>
      </c>
      <c r="Z1008" t="e" cm="1" vm="1">
        <f t="array" aca="1" ref="Z1008" ca="1">IFERROR(IF(_xlfn._xlws.FILTER(game_rosters!$J:$J,(game_rosters!$G:$G=events!$AN1008)*(game_rosters!$J:$J=events!$X1008))&gt;0,1,""),"")</f>
        <v>#VALUE!</v>
      </c>
      <c r="AA1008">
        <f t="shared" si="143"/>
        <v>1000</v>
      </c>
      <c r="AB1008" t="str">
        <f t="shared" si="144"/>
        <v/>
      </c>
      <c r="AC1008">
        <f t="shared" si="141"/>
        <v>1000</v>
      </c>
      <c r="AD1008" s="6"/>
    </row>
    <row r="1009" spans="1:30" x14ac:dyDescent="0.2">
      <c r="A1009" t="str">
        <f t="shared" si="142"/>
        <v/>
      </c>
      <c r="X1009" t="str" cm="1">
        <f t="array" ref="X1009">IF(S1009="","",IF($I1009&lt;&gt;"",$I1009,INDEX($I$2:$I1008,ROW()-COUNTIFS($T$2:$T1008,"="&amp;$T1009,$S$2:$S1008,"&lt;&gt;"&amp;$S1009)-1)))</f>
        <v/>
      </c>
      <c r="Y1009" t="b">
        <f>IF(X1009&lt;&gt;"",VLOOKUP(X1009,game_rosters!$C$43:$E$64,3,FALSE))</f>
        <v>0</v>
      </c>
      <c r="Z1009" t="e" cm="1" vm="1">
        <f t="array" aca="1" ref="Z1009" ca="1">IFERROR(IF(_xlfn._xlws.FILTER(game_rosters!$J:$J,(game_rosters!$G:$G=events!$AN1009)*(game_rosters!$J:$J=events!$X1009))&gt;0,1,""),"")</f>
        <v>#VALUE!</v>
      </c>
      <c r="AA1009">
        <f t="shared" si="143"/>
        <v>1000</v>
      </c>
      <c r="AB1009" t="str">
        <f t="shared" si="144"/>
        <v/>
      </c>
      <c r="AC1009">
        <f t="shared" si="141"/>
        <v>1000</v>
      </c>
      <c r="AD1009" s="6"/>
    </row>
    <row r="1010" spans="1:30" x14ac:dyDescent="0.2">
      <c r="A1010" t="str">
        <f t="shared" si="142"/>
        <v/>
      </c>
      <c r="X1010" t="str" cm="1">
        <f t="array" ref="X1010">IF(S1010="","",IF($I1010&lt;&gt;"",$I1010,INDEX($I$2:$I1009,ROW()-COUNTIFS($T$2:$T1009,"="&amp;$T1010,$S$2:$S1009,"&lt;&gt;"&amp;$S1010)-1)))</f>
        <v/>
      </c>
      <c r="Y1010" t="b">
        <f>IF(X1010&lt;&gt;"",VLOOKUP(X1010,game_rosters!$C$43:$E$64,3,FALSE))</f>
        <v>0</v>
      </c>
      <c r="Z1010" t="e" cm="1" vm="1">
        <f t="array" aca="1" ref="Z1010" ca="1">IFERROR(IF(_xlfn._xlws.FILTER(game_rosters!$J:$J,(game_rosters!$G:$G=events!$AN1010)*(game_rosters!$J:$J=events!$X1010))&gt;0,1,""),"")</f>
        <v>#VALUE!</v>
      </c>
      <c r="AA1010">
        <f t="shared" si="143"/>
        <v>1000</v>
      </c>
      <c r="AB1010" t="str">
        <f t="shared" si="144"/>
        <v/>
      </c>
      <c r="AC1010">
        <f t="shared" si="141"/>
        <v>1000</v>
      </c>
      <c r="AD1010" s="6"/>
    </row>
    <row r="1011" spans="1:30" x14ac:dyDescent="0.2">
      <c r="A1011" t="str">
        <f t="shared" si="142"/>
        <v/>
      </c>
      <c r="X1011" t="str" cm="1">
        <f t="array" ref="X1011">IF(S1011="","",IF($I1011&lt;&gt;"",$I1011,INDEX($I$2:$I1010,ROW()-COUNTIFS($T$2:$T1010,"="&amp;$T1011,$S$2:$S1010,"&lt;&gt;"&amp;$S1011)-1)))</f>
        <v/>
      </c>
      <c r="Y1011" t="b">
        <f>IF(X1011&lt;&gt;"",VLOOKUP(X1011,game_rosters!$C$43:$E$64,3,FALSE))</f>
        <v>0</v>
      </c>
      <c r="Z1011" t="e" cm="1" vm="1">
        <f t="array" aca="1" ref="Z1011" ca="1">IFERROR(IF(_xlfn._xlws.FILTER(game_rosters!$J:$J,(game_rosters!$G:$G=events!$AN1011)*(game_rosters!$J:$J=events!$X1011))&gt;0,1,""),"")</f>
        <v>#VALUE!</v>
      </c>
      <c r="AA1011">
        <f t="shared" si="143"/>
        <v>1000</v>
      </c>
      <c r="AB1011" t="str">
        <f t="shared" si="144"/>
        <v/>
      </c>
      <c r="AC1011">
        <f t="shared" si="141"/>
        <v>1000</v>
      </c>
      <c r="AD1011" s="6"/>
    </row>
    <row r="1012" spans="1:30" x14ac:dyDescent="0.2">
      <c r="A1012" t="str">
        <f t="shared" si="142"/>
        <v/>
      </c>
      <c r="X1012" t="str" cm="1">
        <f t="array" ref="X1012">IF(S1012="","",IF($I1012&lt;&gt;"",$I1012,INDEX($I$2:$I1011,ROW()-COUNTIFS($T$2:$T1011,"="&amp;$T1012,$S$2:$S1011,"&lt;&gt;"&amp;$S1012)-1)))</f>
        <v/>
      </c>
      <c r="Y1012" t="b">
        <f>IF(X1012&lt;&gt;"",VLOOKUP(X1012,game_rosters!$C$43:$E$64,3,FALSE))</f>
        <v>0</v>
      </c>
      <c r="Z1012" t="e" cm="1" vm="1">
        <f t="array" aca="1" ref="Z1012" ca="1">IFERROR(IF(_xlfn._xlws.FILTER(game_rosters!$J:$J,(game_rosters!$G:$G=events!$AN1012)*(game_rosters!$J:$J=events!$X1012))&gt;0,1,""),"")</f>
        <v>#VALUE!</v>
      </c>
      <c r="AA1012">
        <f t="shared" si="143"/>
        <v>1000</v>
      </c>
      <c r="AB1012" t="str">
        <f t="shared" si="144"/>
        <v/>
      </c>
      <c r="AC1012">
        <f t="shared" si="141"/>
        <v>1000</v>
      </c>
      <c r="AD1012" s="6"/>
    </row>
    <row r="1013" spans="1:30" x14ac:dyDescent="0.2">
      <c r="A1013" t="str">
        <f t="shared" si="142"/>
        <v/>
      </c>
      <c r="X1013" t="str" cm="1">
        <f t="array" ref="X1013">IF(S1013="","",IF($I1013&lt;&gt;"",$I1013,INDEX($I$2:$I1012,ROW()-COUNTIFS($T$2:$T1012,"="&amp;$T1013,$S$2:$S1012,"&lt;&gt;"&amp;$S1013)-1)))</f>
        <v/>
      </c>
      <c r="Y1013" t="b">
        <f>IF(X1013&lt;&gt;"",VLOOKUP(X1013,game_rosters!$C$43:$E$64,3,FALSE))</f>
        <v>0</v>
      </c>
      <c r="Z1013" t="e" cm="1" vm="1">
        <f t="array" aca="1" ref="Z1013" ca="1">IFERROR(IF(_xlfn._xlws.FILTER(game_rosters!$J:$J,(game_rosters!$G:$G=events!$AN1013)*(game_rosters!$J:$J=events!$X1013))&gt;0,1,""),"")</f>
        <v>#VALUE!</v>
      </c>
      <c r="AA1013">
        <f t="shared" si="143"/>
        <v>1000</v>
      </c>
      <c r="AB1013" t="str">
        <f t="shared" si="144"/>
        <v/>
      </c>
      <c r="AC1013">
        <f t="shared" si="141"/>
        <v>1000</v>
      </c>
      <c r="AD1013" s="6"/>
    </row>
    <row r="1014" spans="1:30" x14ac:dyDescent="0.2">
      <c r="A1014" t="str">
        <f t="shared" si="142"/>
        <v/>
      </c>
      <c r="X1014" t="str" cm="1">
        <f t="array" ref="X1014">IF(S1014="","",IF($I1014&lt;&gt;"",$I1014,INDEX($I$2:$I1013,ROW()-COUNTIFS($T$2:$T1013,"="&amp;$T1014,$S$2:$S1013,"&lt;&gt;"&amp;$S1014)-1)))</f>
        <v/>
      </c>
      <c r="Y1014" t="b">
        <f>IF(X1014&lt;&gt;"",VLOOKUP(X1014,game_rosters!$C$43:$E$64,3,FALSE))</f>
        <v>0</v>
      </c>
      <c r="Z1014" t="e" cm="1" vm="1">
        <f t="array" aca="1" ref="Z1014" ca="1">IFERROR(IF(_xlfn._xlws.FILTER(game_rosters!$J:$J,(game_rosters!$G:$G=events!$AN1014)*(game_rosters!$J:$J=events!$X1014))&gt;0,1,""),"")</f>
        <v>#VALUE!</v>
      </c>
      <c r="AA1014">
        <f t="shared" si="143"/>
        <v>1000</v>
      </c>
      <c r="AB1014" t="str">
        <f t="shared" si="144"/>
        <v/>
      </c>
      <c r="AC1014">
        <f t="shared" si="141"/>
        <v>1000</v>
      </c>
      <c r="AD1014" s="6"/>
    </row>
    <row r="1015" spans="1:30" x14ac:dyDescent="0.2">
      <c r="A1015" t="str">
        <f t="shared" si="142"/>
        <v/>
      </c>
      <c r="X1015" t="str" cm="1">
        <f t="array" ref="X1015">IF(S1015="","",IF($I1015&lt;&gt;"",$I1015,INDEX($I$2:$I1014,ROW()-COUNTIFS($T$2:$T1014,"="&amp;$T1015,$S$2:$S1014,"&lt;&gt;"&amp;$S1015)-1)))</f>
        <v/>
      </c>
      <c r="Y1015" t="b">
        <f>IF(X1015&lt;&gt;"",VLOOKUP(X1015,game_rosters!$C$43:$E$64,3,FALSE))</f>
        <v>0</v>
      </c>
      <c r="Z1015" t="e" cm="1" vm="1">
        <f t="array" aca="1" ref="Z1015" ca="1">IFERROR(IF(_xlfn._xlws.FILTER(game_rosters!$J:$J,(game_rosters!$G:$G=events!$AN1015)*(game_rosters!$J:$J=events!$X1015))&gt;0,1,""),"")</f>
        <v>#VALUE!</v>
      </c>
      <c r="AA1015">
        <f t="shared" si="143"/>
        <v>1000</v>
      </c>
      <c r="AB1015" t="str">
        <f t="shared" si="144"/>
        <v/>
      </c>
      <c r="AC1015">
        <f t="shared" si="141"/>
        <v>1000</v>
      </c>
      <c r="AD1015" s="6"/>
    </row>
    <row r="1016" spans="1:30" x14ac:dyDescent="0.2">
      <c r="A1016" t="str">
        <f t="shared" si="142"/>
        <v/>
      </c>
      <c r="X1016" t="str" cm="1">
        <f t="array" ref="X1016">IF(S1016="","",IF($I1016&lt;&gt;"",$I1016,INDEX($I$2:$I1015,ROW()-COUNTIFS($T$2:$T1015,"="&amp;$T1016,$S$2:$S1015,"&lt;&gt;"&amp;$S1016)-1)))</f>
        <v/>
      </c>
      <c r="Y1016" t="b">
        <f>IF(X1016&lt;&gt;"",VLOOKUP(X1016,game_rosters!$C$43:$E$64,3,FALSE))</f>
        <v>0</v>
      </c>
      <c r="Z1016" t="e" cm="1" vm="1">
        <f t="array" aca="1" ref="Z1016" ca="1">IFERROR(IF(_xlfn._xlws.FILTER(game_rosters!$J:$J,(game_rosters!$G:$G=events!$AN1016)*(game_rosters!$J:$J=events!$X1016))&gt;0,1,""),"")</f>
        <v>#VALUE!</v>
      </c>
      <c r="AA1016">
        <f t="shared" si="143"/>
        <v>1000</v>
      </c>
      <c r="AB1016" t="str">
        <f t="shared" si="144"/>
        <v/>
      </c>
      <c r="AC1016">
        <f t="shared" si="141"/>
        <v>1000</v>
      </c>
      <c r="AD1016" s="6"/>
    </row>
    <row r="1017" spans="1:30" x14ac:dyDescent="0.2">
      <c r="A1017" t="str">
        <f t="shared" si="142"/>
        <v/>
      </c>
      <c r="X1017" t="str" cm="1">
        <f t="array" ref="X1017">IF(S1017="","",IF($I1017&lt;&gt;"",$I1017,INDEX($I$2:$I1016,ROW()-COUNTIFS($T$2:$T1016,"="&amp;$T1017,$S$2:$S1016,"&lt;&gt;"&amp;$S1017)-1)))</f>
        <v/>
      </c>
      <c r="Y1017" t="b">
        <f>IF(X1017&lt;&gt;"",VLOOKUP(X1017,game_rosters!$C$43:$E$64,3,FALSE))</f>
        <v>0</v>
      </c>
      <c r="Z1017" t="e" cm="1" vm="1">
        <f t="array" aca="1" ref="Z1017" ca="1">IFERROR(IF(_xlfn._xlws.FILTER(game_rosters!$J:$J,(game_rosters!$G:$G=events!$AN1017)*(game_rosters!$J:$J=events!$X1017))&gt;0,1,""),"")</f>
        <v>#VALUE!</v>
      </c>
      <c r="AA1017">
        <f t="shared" si="143"/>
        <v>1000</v>
      </c>
      <c r="AB1017" t="str">
        <f t="shared" si="144"/>
        <v/>
      </c>
      <c r="AC1017">
        <f t="shared" si="141"/>
        <v>1000</v>
      </c>
      <c r="AD1017" s="6"/>
    </row>
    <row r="1018" spans="1:30" x14ac:dyDescent="0.2">
      <c r="A1018" t="str">
        <f t="shared" si="142"/>
        <v/>
      </c>
      <c r="X1018" t="str" cm="1">
        <f t="array" ref="X1018">IF(S1018="","",IF($I1018&lt;&gt;"",$I1018,INDEX($I$2:$I1017,ROW()-COUNTIFS($T$2:$T1017,"="&amp;$T1018,$S$2:$S1017,"&lt;&gt;"&amp;$S1018)-1)))</f>
        <v/>
      </c>
      <c r="Y1018" t="b">
        <f>IF(X1018&lt;&gt;"",VLOOKUP(X1018,game_rosters!$C$43:$E$64,3,FALSE))</f>
        <v>0</v>
      </c>
      <c r="Z1018" t="e" cm="1" vm="1">
        <f t="array" aca="1" ref="Z1018" ca="1">IFERROR(IF(_xlfn._xlws.FILTER(game_rosters!$J:$J,(game_rosters!$G:$G=events!$AN1018)*(game_rosters!$J:$J=events!$X1018))&gt;0,1,""),"")</f>
        <v>#VALUE!</v>
      </c>
      <c r="AA1018">
        <f t="shared" si="143"/>
        <v>1000</v>
      </c>
      <c r="AB1018" t="str">
        <f t="shared" si="144"/>
        <v/>
      </c>
      <c r="AC1018">
        <f t="shared" si="141"/>
        <v>1000</v>
      </c>
      <c r="AD1018" s="6"/>
    </row>
    <row r="1019" spans="1:30" x14ac:dyDescent="0.2">
      <c r="A1019" t="str">
        <f t="shared" si="142"/>
        <v/>
      </c>
      <c r="X1019" t="str" cm="1">
        <f t="array" ref="X1019">IF(S1019="","",IF($I1019&lt;&gt;"",$I1019,INDEX($I$2:$I1018,ROW()-COUNTIFS($T$2:$T1018,"="&amp;$T1019,$S$2:$S1018,"&lt;&gt;"&amp;$S1019)-1)))</f>
        <v/>
      </c>
      <c r="Y1019" t="b">
        <f>IF(X1019&lt;&gt;"",VLOOKUP(X1019,game_rosters!$C$43:$E$64,3,FALSE))</f>
        <v>0</v>
      </c>
      <c r="Z1019" t="e" cm="1" vm="1">
        <f t="array" aca="1" ref="Z1019" ca="1">IFERROR(IF(_xlfn._xlws.FILTER(game_rosters!$J:$J,(game_rosters!$G:$G=events!$AN1019)*(game_rosters!$J:$J=events!$X1019))&gt;0,1,""),"")</f>
        <v>#VALUE!</v>
      </c>
      <c r="AA1019">
        <f t="shared" si="143"/>
        <v>1000</v>
      </c>
      <c r="AB1019" t="str">
        <f t="shared" si="144"/>
        <v/>
      </c>
      <c r="AC1019">
        <f t="shared" si="141"/>
        <v>1000</v>
      </c>
      <c r="AD1019" s="6"/>
    </row>
    <row r="1020" spans="1:30" x14ac:dyDescent="0.2">
      <c r="A1020" t="str">
        <f t="shared" si="142"/>
        <v/>
      </c>
      <c r="X1020" t="str" cm="1">
        <f t="array" ref="X1020">IF(S1020="","",IF($I1020&lt;&gt;"",$I1020,INDEX($I$2:$I1019,ROW()-COUNTIFS($T$2:$T1019,"="&amp;$T1020,$S$2:$S1019,"&lt;&gt;"&amp;$S1020)-1)))</f>
        <v/>
      </c>
      <c r="Y1020" t="b">
        <f>IF(X1020&lt;&gt;"",VLOOKUP(X1020,game_rosters!$C$43:$E$64,3,FALSE))</f>
        <v>0</v>
      </c>
      <c r="Z1020" t="e" cm="1" vm="1">
        <f t="array" aca="1" ref="Z1020" ca="1">IFERROR(IF(_xlfn._xlws.FILTER(game_rosters!$J:$J,(game_rosters!$G:$G=events!$AN1020)*(game_rosters!$J:$J=events!$X1020))&gt;0,1,""),"")</f>
        <v>#VALUE!</v>
      </c>
      <c r="AA1020">
        <f t="shared" si="143"/>
        <v>1000</v>
      </c>
      <c r="AB1020" t="str">
        <f t="shared" si="144"/>
        <v/>
      </c>
      <c r="AC1020">
        <f t="shared" si="141"/>
        <v>1000</v>
      </c>
      <c r="AD1020" s="6"/>
    </row>
    <row r="1021" spans="1:30" x14ac:dyDescent="0.2">
      <c r="A1021" t="str">
        <f t="shared" si="142"/>
        <v/>
      </c>
      <c r="X1021" t="str" cm="1">
        <f t="array" ref="X1021">IF(S1021="","",IF($I1021&lt;&gt;"",$I1021,INDEX($I$2:$I1020,ROW()-COUNTIFS($T$2:$T1020,"="&amp;$T1021,$S$2:$S1020,"&lt;&gt;"&amp;$S1021)-1)))</f>
        <v/>
      </c>
      <c r="Y1021" t="b">
        <f>IF(X1021&lt;&gt;"",VLOOKUP(X1021,game_rosters!$C$43:$E$64,3,FALSE))</f>
        <v>0</v>
      </c>
      <c r="Z1021" t="e" cm="1" vm="1">
        <f t="array" aca="1" ref="Z1021" ca="1">IFERROR(IF(_xlfn._xlws.FILTER(game_rosters!$J:$J,(game_rosters!$G:$G=events!$AN1021)*(game_rosters!$J:$J=events!$X1021))&gt;0,1,""),"")</f>
        <v>#VALUE!</v>
      </c>
      <c r="AA1021">
        <f t="shared" si="143"/>
        <v>1000</v>
      </c>
      <c r="AB1021" t="str">
        <f t="shared" si="144"/>
        <v/>
      </c>
      <c r="AC1021">
        <f t="shared" si="141"/>
        <v>1000</v>
      </c>
      <c r="AD1021" s="6"/>
    </row>
    <row r="1022" spans="1:30" x14ac:dyDescent="0.2">
      <c r="A1022" t="str">
        <f t="shared" si="142"/>
        <v/>
      </c>
      <c r="X1022" t="str" cm="1">
        <f t="array" ref="X1022">IF(S1022="","",IF($I1022&lt;&gt;"",$I1022,INDEX($I$2:$I1021,ROW()-COUNTIFS($T$2:$T1021,"="&amp;$T1022,$S$2:$S1021,"&lt;&gt;"&amp;$S1022)-1)))</f>
        <v/>
      </c>
      <c r="Y1022" t="b">
        <f>IF(X1022&lt;&gt;"",VLOOKUP(X1022,game_rosters!$C$43:$E$64,3,FALSE))</f>
        <v>0</v>
      </c>
      <c r="Z1022" t="e" cm="1" vm="1">
        <f t="array" aca="1" ref="Z1022" ca="1">IFERROR(IF(_xlfn._xlws.FILTER(game_rosters!$J:$J,(game_rosters!$G:$G=events!$AN1022)*(game_rosters!$J:$J=events!$X1022))&gt;0,1,""),"")</f>
        <v>#VALUE!</v>
      </c>
      <c r="AA1022">
        <f t="shared" si="143"/>
        <v>1000</v>
      </c>
      <c r="AB1022" t="str">
        <f t="shared" si="144"/>
        <v/>
      </c>
      <c r="AC1022">
        <f t="shared" si="141"/>
        <v>1000</v>
      </c>
      <c r="AD1022" s="6"/>
    </row>
    <row r="1023" spans="1:30" x14ac:dyDescent="0.2">
      <c r="A1023" t="str">
        <f t="shared" si="142"/>
        <v/>
      </c>
      <c r="X1023" t="str" cm="1">
        <f t="array" ref="X1023">IF(S1023="","",IF($I1023&lt;&gt;"",$I1023,INDEX($I$2:$I1022,ROW()-COUNTIFS($T$2:$T1022,"="&amp;$T1023,$S$2:$S1022,"&lt;&gt;"&amp;$S1023)-1)))</f>
        <v/>
      </c>
      <c r="Y1023" t="b">
        <f>IF(X1023&lt;&gt;"",VLOOKUP(X1023,game_rosters!$C$43:$E$64,3,FALSE))</f>
        <v>0</v>
      </c>
      <c r="Z1023" t="e" cm="1" vm="1">
        <f t="array" aca="1" ref="Z1023" ca="1">IFERROR(IF(_xlfn._xlws.FILTER(game_rosters!$J:$J,(game_rosters!$G:$G=events!$AN1023)*(game_rosters!$J:$J=events!$X1023))&gt;0,1,""),"")</f>
        <v>#VALUE!</v>
      </c>
      <c r="AA1023">
        <f t="shared" si="143"/>
        <v>1000</v>
      </c>
      <c r="AB1023" t="str">
        <f t="shared" si="144"/>
        <v/>
      </c>
      <c r="AC1023">
        <f t="shared" si="141"/>
        <v>1000</v>
      </c>
      <c r="AD1023" s="6"/>
    </row>
    <row r="1024" spans="1:30" x14ac:dyDescent="0.2">
      <c r="A1024" t="str">
        <f t="shared" si="142"/>
        <v/>
      </c>
      <c r="X1024" t="str" cm="1">
        <f t="array" ref="X1024">IF(S1024="","",IF($I1024&lt;&gt;"",$I1024,INDEX($I$2:$I1023,ROW()-COUNTIFS($T$2:$T1023,"="&amp;$T1024,$S$2:$S1023,"&lt;&gt;"&amp;$S1024)-1)))</f>
        <v/>
      </c>
      <c r="Y1024" t="b">
        <f>IF(X1024&lt;&gt;"",VLOOKUP(X1024,game_rosters!$C$43:$E$64,3,FALSE))</f>
        <v>0</v>
      </c>
      <c r="Z1024" t="e" cm="1" vm="1">
        <f t="array" aca="1" ref="Z1024" ca="1">IFERROR(IF(_xlfn._xlws.FILTER(game_rosters!$J:$J,(game_rosters!$G:$G=events!$AN1024)*(game_rosters!$J:$J=events!$X1024))&gt;0,1,""),"")</f>
        <v>#VALUE!</v>
      </c>
      <c r="AA1024">
        <f t="shared" si="143"/>
        <v>1000</v>
      </c>
      <c r="AB1024" t="str">
        <f t="shared" si="144"/>
        <v/>
      </c>
      <c r="AC1024">
        <f t="shared" si="141"/>
        <v>1000</v>
      </c>
      <c r="AD1024" s="6"/>
    </row>
    <row r="1025" spans="1:30" x14ac:dyDescent="0.2">
      <c r="A1025" t="str">
        <f t="shared" si="142"/>
        <v/>
      </c>
      <c r="X1025" t="str" cm="1">
        <f t="array" ref="X1025">IF(S1025="","",IF($I1025&lt;&gt;"",$I1025,INDEX($I$2:$I1024,ROW()-COUNTIFS($T$2:$T1024,"="&amp;$T1025,$S$2:$S1024,"&lt;&gt;"&amp;$S1025)-1)))</f>
        <v/>
      </c>
      <c r="Y1025" t="b">
        <f>IF(X1025&lt;&gt;"",VLOOKUP(X1025,game_rosters!$C$43:$E$64,3,FALSE))</f>
        <v>0</v>
      </c>
      <c r="Z1025" t="e" cm="1" vm="1">
        <f t="array" aca="1" ref="Z1025" ca="1">IFERROR(IF(_xlfn._xlws.FILTER(game_rosters!$J:$J,(game_rosters!$G:$G=events!$AN1025)*(game_rosters!$J:$J=events!$X1025))&gt;0,1,""),"")</f>
        <v>#VALUE!</v>
      </c>
      <c r="AA1025">
        <f t="shared" si="143"/>
        <v>1000</v>
      </c>
      <c r="AB1025" t="str">
        <f t="shared" si="144"/>
        <v/>
      </c>
      <c r="AC1025">
        <f t="shared" si="141"/>
        <v>1000</v>
      </c>
      <c r="AD1025" s="6"/>
    </row>
    <row r="1026" spans="1:30" x14ac:dyDescent="0.2">
      <c r="A1026" t="str">
        <f t="shared" si="142"/>
        <v/>
      </c>
      <c r="X1026" t="str" cm="1">
        <f t="array" ref="X1026">IF(S1026="","",IF($I1026&lt;&gt;"",$I1026,INDEX($I$2:$I1025,ROW()-COUNTIFS($T$2:$T1025,"="&amp;$T1026,$S$2:$S1025,"&lt;&gt;"&amp;$S1026)-1)))</f>
        <v/>
      </c>
      <c r="Y1026" t="b">
        <f>IF(X1026&lt;&gt;"",VLOOKUP(X1026,game_rosters!$C$43:$E$64,3,FALSE))</f>
        <v>0</v>
      </c>
      <c r="Z1026" t="e" cm="1" vm="1">
        <f t="array" aca="1" ref="Z1026" ca="1">IFERROR(IF(_xlfn._xlws.FILTER(game_rosters!$J:$J,(game_rosters!$G:$G=events!$AN1026)*(game_rosters!$J:$J=events!$X1026))&gt;0,1,""),"")</f>
        <v>#VALUE!</v>
      </c>
      <c r="AA1026">
        <f t="shared" si="143"/>
        <v>1000</v>
      </c>
      <c r="AB1026" t="str">
        <f t="shared" si="144"/>
        <v/>
      </c>
      <c r="AC1026">
        <f t="shared" ref="AC1026:AC1089" si="145">IF(AB1026&lt;&gt;"",AB1026,S1026+1000)</f>
        <v>1000</v>
      </c>
      <c r="AD1026" s="6"/>
    </row>
    <row r="1027" spans="1:30" x14ac:dyDescent="0.2">
      <c r="A1027" t="str">
        <f t="shared" si="142"/>
        <v/>
      </c>
      <c r="X1027" t="str" cm="1">
        <f t="array" ref="X1027">IF(S1027="","",IF($I1027&lt;&gt;"",$I1027,INDEX($I$2:$I1026,ROW()-COUNTIFS($T$2:$T1026,"="&amp;$T1027,$S$2:$S1026,"&lt;&gt;"&amp;$S1027)-1)))</f>
        <v/>
      </c>
      <c r="Y1027" t="b">
        <f>IF(X1027&lt;&gt;"",VLOOKUP(X1027,game_rosters!$C$43:$E$64,3,FALSE))</f>
        <v>0</v>
      </c>
      <c r="Z1027" t="e" cm="1" vm="1">
        <f t="array" aca="1" ref="Z1027" ca="1">IFERROR(IF(_xlfn._xlws.FILTER(game_rosters!$J:$J,(game_rosters!$G:$G=events!$AN1027)*(game_rosters!$J:$J=events!$X1027))&gt;0,1,""),"")</f>
        <v>#VALUE!</v>
      </c>
      <c r="AA1027">
        <f t="shared" si="143"/>
        <v>1000</v>
      </c>
      <c r="AB1027" t="str">
        <f t="shared" si="144"/>
        <v/>
      </c>
      <c r="AC1027">
        <f t="shared" si="145"/>
        <v>1000</v>
      </c>
      <c r="AD1027" s="6"/>
    </row>
    <row r="1028" spans="1:30" x14ac:dyDescent="0.2">
      <c r="A1028" t="str">
        <f t="shared" si="142"/>
        <v/>
      </c>
      <c r="X1028" t="str" cm="1">
        <f t="array" ref="X1028">IF(S1028="","",IF($I1028&lt;&gt;"",$I1028,INDEX($I$2:$I1027,ROW()-COUNTIFS($T$2:$T1027,"="&amp;$T1028,$S$2:$S1027,"&lt;&gt;"&amp;$S1028)-1)))</f>
        <v/>
      </c>
      <c r="Y1028" t="b">
        <f>IF(X1028&lt;&gt;"",VLOOKUP(X1028,game_rosters!$C$43:$E$64,3,FALSE))</f>
        <v>0</v>
      </c>
      <c r="Z1028" t="e" cm="1" vm="1">
        <f t="array" aca="1" ref="Z1028" ca="1">IFERROR(IF(_xlfn._xlws.FILTER(game_rosters!$J:$J,(game_rosters!$G:$G=events!$AN1028)*(game_rosters!$J:$J=events!$X1028))&gt;0,1,""),"")</f>
        <v>#VALUE!</v>
      </c>
      <c r="AA1028">
        <f t="shared" si="143"/>
        <v>1000</v>
      </c>
      <c r="AB1028" t="str">
        <f t="shared" si="144"/>
        <v/>
      </c>
      <c r="AC1028">
        <f t="shared" si="145"/>
        <v>1000</v>
      </c>
      <c r="AD1028" s="6"/>
    </row>
    <row r="1029" spans="1:30" x14ac:dyDescent="0.2">
      <c r="A1029" t="str">
        <f t="shared" ref="A1029:A1092" si="146">IF(K1029&lt;&gt;"",1,IF(D1029="x","x",""))</f>
        <v/>
      </c>
      <c r="X1029" t="str" cm="1">
        <f t="array" ref="X1029">IF(S1029="","",IF($I1029&lt;&gt;"",$I1029,INDEX($I$2:$I1028,ROW()-COUNTIFS($T$2:$T1028,"="&amp;$T1029,$S$2:$S1028,"&lt;&gt;"&amp;$S1029)-1)))</f>
        <v/>
      </c>
      <c r="Y1029" t="b">
        <f>IF(X1029&lt;&gt;"",VLOOKUP(X1029,game_rosters!$C$43:$E$64,3,FALSE))</f>
        <v>0</v>
      </c>
      <c r="Z1029" t="e" cm="1" vm="1">
        <f t="array" aca="1" ref="Z1029" ca="1">IFERROR(IF(_xlfn._xlws.FILTER(game_rosters!$J:$J,(game_rosters!$G:$G=events!$AN1029)*(game_rosters!$J:$J=events!$X1029))&gt;0,1,""),"")</f>
        <v>#VALUE!</v>
      </c>
      <c r="AA1029">
        <f t="shared" si="143"/>
        <v>1000</v>
      </c>
      <c r="AB1029" t="str">
        <f t="shared" si="144"/>
        <v/>
      </c>
      <c r="AC1029">
        <f t="shared" si="145"/>
        <v>1000</v>
      </c>
      <c r="AD1029" s="6"/>
    </row>
    <row r="1030" spans="1:30" x14ac:dyDescent="0.2">
      <c r="A1030" t="str">
        <f t="shared" si="146"/>
        <v/>
      </c>
      <c r="X1030" t="str" cm="1">
        <f t="array" ref="X1030">IF(S1030="","",IF($I1030&lt;&gt;"",$I1030,INDEX($I$2:$I1029,ROW()-COUNTIFS($T$2:$T1029,"="&amp;$T1030,$S$2:$S1029,"&lt;&gt;"&amp;$S1030)-1)))</f>
        <v/>
      </c>
      <c r="Y1030" t="b">
        <f>IF(X1030&lt;&gt;"",VLOOKUP(X1030,game_rosters!$C$43:$E$64,3,FALSE))</f>
        <v>0</v>
      </c>
      <c r="Z1030" t="e" cm="1" vm="1">
        <f t="array" aca="1" ref="Z1030" ca="1">IFERROR(IF(_xlfn._xlws.FILTER(game_rosters!$J:$J,(game_rosters!$G:$G=events!$AN1030)*(game_rosters!$J:$J=events!$X1030))&gt;0,1,""),"")</f>
        <v>#VALUE!</v>
      </c>
      <c r="AA1030">
        <f t="shared" si="143"/>
        <v>1000</v>
      </c>
      <c r="AB1030" t="str">
        <f t="shared" si="144"/>
        <v/>
      </c>
      <c r="AC1030">
        <f t="shared" si="145"/>
        <v>1000</v>
      </c>
      <c r="AD1030" s="6"/>
    </row>
    <row r="1031" spans="1:30" x14ac:dyDescent="0.2">
      <c r="A1031" t="str">
        <f t="shared" si="146"/>
        <v/>
      </c>
      <c r="X1031" t="str" cm="1">
        <f t="array" ref="X1031">IF(S1031="","",IF($I1031&lt;&gt;"",$I1031,INDEX($I$2:$I1030,ROW()-COUNTIFS($T$2:$T1030,"="&amp;$T1031,$S$2:$S1030,"&lt;&gt;"&amp;$S1031)-1)))</f>
        <v/>
      </c>
      <c r="Y1031" t="b">
        <f>IF(X1031&lt;&gt;"",VLOOKUP(X1031,game_rosters!$C$43:$E$64,3,FALSE))</f>
        <v>0</v>
      </c>
      <c r="Z1031" t="e" cm="1" vm="1">
        <f t="array" aca="1" ref="Z1031" ca="1">IFERROR(IF(_xlfn._xlws.FILTER(game_rosters!$J:$J,(game_rosters!$G:$G=events!$AN1031)*(game_rosters!$J:$J=events!$X1031))&gt;0,1,""),"")</f>
        <v>#VALUE!</v>
      </c>
      <c r="AA1031">
        <f t="shared" si="143"/>
        <v>1000</v>
      </c>
      <c r="AB1031" t="str">
        <f t="shared" si="144"/>
        <v/>
      </c>
      <c r="AC1031">
        <f t="shared" si="145"/>
        <v>1000</v>
      </c>
      <c r="AD1031" s="6"/>
    </row>
    <row r="1032" spans="1:30" x14ac:dyDescent="0.2">
      <c r="A1032" t="str">
        <f t="shared" si="146"/>
        <v/>
      </c>
      <c r="X1032" t="str" cm="1">
        <f t="array" ref="X1032">IF(S1032="","",IF($I1032&lt;&gt;"",$I1032,INDEX($I$2:$I1031,ROW()-COUNTIFS($T$2:$T1031,"="&amp;$T1032,$S$2:$S1031,"&lt;&gt;"&amp;$S1032)-1)))</f>
        <v/>
      </c>
      <c r="Y1032" t="b">
        <f>IF(X1032&lt;&gt;"",VLOOKUP(X1032,game_rosters!$C$43:$E$64,3,FALSE))</f>
        <v>0</v>
      </c>
      <c r="Z1032" t="e" cm="1" vm="1">
        <f t="array" aca="1" ref="Z1032" ca="1">IFERROR(IF(_xlfn._xlws.FILTER(game_rosters!$J:$J,(game_rosters!$G:$G=events!$AN1032)*(game_rosters!$J:$J=events!$X1032))&gt;0,1,""),"")</f>
        <v>#VALUE!</v>
      </c>
      <c r="AA1032">
        <f t="shared" si="143"/>
        <v>1000</v>
      </c>
      <c r="AB1032" t="str">
        <f t="shared" si="144"/>
        <v/>
      </c>
      <c r="AC1032">
        <f t="shared" si="145"/>
        <v>1000</v>
      </c>
      <c r="AD1032" s="6"/>
    </row>
    <row r="1033" spans="1:30" x14ac:dyDescent="0.2">
      <c r="A1033" t="str">
        <f t="shared" si="146"/>
        <v/>
      </c>
      <c r="X1033" t="str" cm="1">
        <f t="array" ref="X1033">IF(S1033="","",IF($I1033&lt;&gt;"",$I1033,INDEX($I$2:$I1032,ROW()-COUNTIFS($T$2:$T1032,"="&amp;$T1033,$S$2:$S1032,"&lt;&gt;"&amp;$S1033)-1)))</f>
        <v/>
      </c>
      <c r="Y1033" t="b">
        <f>IF(X1033&lt;&gt;"",VLOOKUP(X1033,game_rosters!$C$43:$E$64,3,FALSE))</f>
        <v>0</v>
      </c>
      <c r="Z1033" t="e" cm="1" vm="1">
        <f t="array" aca="1" ref="Z1033" ca="1">IFERROR(IF(_xlfn._xlws.FILTER(game_rosters!$J:$J,(game_rosters!$G:$G=events!$AN1033)*(game_rosters!$J:$J=events!$X1033))&gt;0,1,""),"")</f>
        <v>#VALUE!</v>
      </c>
      <c r="AA1033">
        <f t="shared" si="143"/>
        <v>1000</v>
      </c>
      <c r="AB1033" t="str">
        <f t="shared" si="144"/>
        <v/>
      </c>
      <c r="AC1033">
        <f t="shared" si="145"/>
        <v>1000</v>
      </c>
      <c r="AD1033" s="6"/>
    </row>
    <row r="1034" spans="1:30" x14ac:dyDescent="0.2">
      <c r="A1034" t="str">
        <f t="shared" si="146"/>
        <v/>
      </c>
      <c r="X1034" t="str" cm="1">
        <f t="array" ref="X1034">IF(S1034="","",IF($I1034&lt;&gt;"",$I1034,INDEX($I$2:$I1033,ROW()-COUNTIFS($T$2:$T1033,"="&amp;$T1034,$S$2:$S1033,"&lt;&gt;"&amp;$S1034)-1)))</f>
        <v/>
      </c>
      <c r="Y1034" t="b">
        <f>IF(X1034&lt;&gt;"",VLOOKUP(X1034,game_rosters!$C$43:$E$64,3,FALSE))</f>
        <v>0</v>
      </c>
      <c r="Z1034" t="e" cm="1" vm="1">
        <f t="array" aca="1" ref="Z1034" ca="1">IFERROR(IF(_xlfn._xlws.FILTER(game_rosters!$J:$J,(game_rosters!$G:$G=events!$AN1034)*(game_rosters!$J:$J=events!$X1034))&gt;0,1,""),"")</f>
        <v>#VALUE!</v>
      </c>
      <c r="AA1034">
        <f t="shared" si="143"/>
        <v>1000</v>
      </c>
      <c r="AB1034" t="str">
        <f t="shared" si="144"/>
        <v/>
      </c>
      <c r="AC1034">
        <f t="shared" si="145"/>
        <v>1000</v>
      </c>
      <c r="AD1034" s="6"/>
    </row>
    <row r="1035" spans="1:30" x14ac:dyDescent="0.2">
      <c r="A1035" t="str">
        <f t="shared" si="146"/>
        <v/>
      </c>
      <c r="X1035" t="str" cm="1">
        <f t="array" ref="X1035">IF(S1035="","",IF($I1035&lt;&gt;"",$I1035,INDEX($I$2:$I1034,ROW()-COUNTIFS($T$2:$T1034,"="&amp;$T1035,$S$2:$S1034,"&lt;&gt;"&amp;$S1035)-1)))</f>
        <v/>
      </c>
      <c r="Y1035" t="b">
        <f>IF(X1035&lt;&gt;"",VLOOKUP(X1035,game_rosters!$C$43:$E$64,3,FALSE))</f>
        <v>0</v>
      </c>
      <c r="Z1035" t="e" cm="1" vm="1">
        <f t="array" aca="1" ref="Z1035" ca="1">IFERROR(IF(_xlfn._xlws.FILTER(game_rosters!$J:$J,(game_rosters!$G:$G=events!$AN1035)*(game_rosters!$J:$J=events!$X1035))&gt;0,1,""),"")</f>
        <v>#VALUE!</v>
      </c>
      <c r="AA1035">
        <f t="shared" si="143"/>
        <v>1000</v>
      </c>
      <c r="AB1035" t="str">
        <f t="shared" si="144"/>
        <v/>
      </c>
      <c r="AC1035">
        <f t="shared" si="145"/>
        <v>1000</v>
      </c>
      <c r="AD1035" s="6"/>
    </row>
    <row r="1036" spans="1:30" x14ac:dyDescent="0.2">
      <c r="A1036" t="str">
        <f t="shared" si="146"/>
        <v/>
      </c>
      <c r="X1036" t="str" cm="1">
        <f t="array" ref="X1036">IF(S1036="","",IF($I1036&lt;&gt;"",$I1036,INDEX($I$2:$I1035,ROW()-COUNTIFS($T$2:$T1035,"="&amp;$T1036,$S$2:$S1035,"&lt;&gt;"&amp;$S1036)-1)))</f>
        <v/>
      </c>
      <c r="Y1036" t="b">
        <f>IF(X1036&lt;&gt;"",VLOOKUP(X1036,game_rosters!$C$43:$E$64,3,FALSE))</f>
        <v>0</v>
      </c>
      <c r="Z1036" t="e" cm="1" vm="1">
        <f t="array" aca="1" ref="Z1036" ca="1">IFERROR(IF(_xlfn._xlws.FILTER(game_rosters!$J:$J,(game_rosters!$G:$G=events!$AN1036)*(game_rosters!$J:$J=events!$X1036))&gt;0,1,""),"")</f>
        <v>#VALUE!</v>
      </c>
      <c r="AA1036">
        <f t="shared" si="143"/>
        <v>1000</v>
      </c>
      <c r="AB1036" t="str">
        <f t="shared" si="144"/>
        <v/>
      </c>
      <c r="AC1036">
        <f t="shared" si="145"/>
        <v>1000</v>
      </c>
      <c r="AD1036" s="6"/>
    </row>
    <row r="1037" spans="1:30" x14ac:dyDescent="0.2">
      <c r="A1037" t="str">
        <f t="shared" si="146"/>
        <v/>
      </c>
      <c r="X1037" t="str" cm="1">
        <f t="array" ref="X1037">IF(S1037="","",IF($I1037&lt;&gt;"",$I1037,INDEX($I$2:$I1036,ROW()-COUNTIFS($T$2:$T1036,"="&amp;$T1037,$S$2:$S1036,"&lt;&gt;"&amp;$S1037)-1)))</f>
        <v/>
      </c>
      <c r="Y1037" t="b">
        <f>IF(X1037&lt;&gt;"",VLOOKUP(X1037,game_rosters!$C$43:$E$64,3,FALSE))</f>
        <v>0</v>
      </c>
      <c r="Z1037" t="e" cm="1" vm="1">
        <f t="array" aca="1" ref="Z1037" ca="1">IFERROR(IF(_xlfn._xlws.FILTER(game_rosters!$J:$J,(game_rosters!$G:$G=events!$AN1037)*(game_rosters!$J:$J=events!$X1037))&gt;0,1,""),"")</f>
        <v>#VALUE!</v>
      </c>
      <c r="AA1037">
        <f t="shared" si="143"/>
        <v>1000</v>
      </c>
      <c r="AB1037" t="str">
        <f t="shared" si="144"/>
        <v/>
      </c>
      <c r="AC1037">
        <f t="shared" si="145"/>
        <v>1000</v>
      </c>
      <c r="AD1037" s="6"/>
    </row>
    <row r="1038" spans="1:30" x14ac:dyDescent="0.2">
      <c r="A1038" t="str">
        <f t="shared" si="146"/>
        <v/>
      </c>
      <c r="X1038" t="str" cm="1">
        <f t="array" ref="X1038">IF(S1038="","",IF($I1038&lt;&gt;"",$I1038,INDEX($I$2:$I1037,ROW()-COUNTIFS($T$2:$T1037,"="&amp;$T1038,$S$2:$S1037,"&lt;&gt;"&amp;$S1038)-1)))</f>
        <v/>
      </c>
      <c r="Y1038" t="b">
        <f>IF(X1038&lt;&gt;"",VLOOKUP(X1038,game_rosters!$C$43:$E$64,3,FALSE))</f>
        <v>0</v>
      </c>
      <c r="Z1038" t="e" cm="1" vm="1">
        <f t="array" aca="1" ref="Z1038" ca="1">IFERROR(IF(_xlfn._xlws.FILTER(game_rosters!$J:$J,(game_rosters!$G:$G=events!$AN1038)*(game_rosters!$J:$J=events!$X1038))&gt;0,1,""),"")</f>
        <v>#VALUE!</v>
      </c>
      <c r="AA1038">
        <f t="shared" si="143"/>
        <v>1000</v>
      </c>
      <c r="AB1038" t="str">
        <f t="shared" si="144"/>
        <v/>
      </c>
      <c r="AC1038">
        <f t="shared" si="145"/>
        <v>1000</v>
      </c>
      <c r="AD1038" s="6"/>
    </row>
    <row r="1039" spans="1:30" x14ac:dyDescent="0.2">
      <c r="A1039" t="str">
        <f t="shared" si="146"/>
        <v/>
      </c>
      <c r="X1039" t="str" cm="1">
        <f t="array" ref="X1039">IF(S1039="","",IF($I1039&lt;&gt;"",$I1039,INDEX($I$2:$I1038,ROW()-COUNTIFS($T$2:$T1038,"="&amp;$T1039,$S$2:$S1038,"&lt;&gt;"&amp;$S1039)-1)))</f>
        <v/>
      </c>
      <c r="Y1039" t="b">
        <f>IF(X1039&lt;&gt;"",VLOOKUP(X1039,game_rosters!$C$43:$E$64,3,FALSE))</f>
        <v>0</v>
      </c>
      <c r="Z1039" t="e" cm="1" vm="1">
        <f t="array" aca="1" ref="Z1039" ca="1">IFERROR(IF(_xlfn._xlws.FILTER(game_rosters!$J:$J,(game_rosters!$G:$G=events!$AN1039)*(game_rosters!$J:$J=events!$X1039))&gt;0,1,""),"")</f>
        <v>#VALUE!</v>
      </c>
      <c r="AA1039">
        <f t="shared" si="143"/>
        <v>1000</v>
      </c>
      <c r="AB1039" t="str">
        <f t="shared" si="144"/>
        <v/>
      </c>
      <c r="AC1039">
        <f t="shared" si="145"/>
        <v>1000</v>
      </c>
      <c r="AD1039" s="6"/>
    </row>
    <row r="1040" spans="1:30" x14ac:dyDescent="0.2">
      <c r="A1040" t="str">
        <f t="shared" si="146"/>
        <v/>
      </c>
      <c r="X1040" t="str" cm="1">
        <f t="array" ref="X1040">IF(S1040="","",IF($I1040&lt;&gt;"",$I1040,INDEX($I$2:$I1039,ROW()-COUNTIFS($T$2:$T1039,"="&amp;$T1040,$S$2:$S1039,"&lt;&gt;"&amp;$S1040)-1)))</f>
        <v/>
      </c>
      <c r="Y1040" t="b">
        <f>IF(X1040&lt;&gt;"",VLOOKUP(X1040,game_rosters!$C$43:$E$64,3,FALSE))</f>
        <v>0</v>
      </c>
      <c r="Z1040" t="e" cm="1" vm="1">
        <f t="array" aca="1" ref="Z1040" ca="1">IFERROR(IF(_xlfn._xlws.FILTER(game_rosters!$J:$J,(game_rosters!$G:$G=events!$AN1040)*(game_rosters!$J:$J=events!$X1040))&gt;0,1,""),"")</f>
        <v>#VALUE!</v>
      </c>
      <c r="AA1040">
        <f t="shared" si="143"/>
        <v>1000</v>
      </c>
      <c r="AB1040" t="str">
        <f t="shared" si="144"/>
        <v/>
      </c>
      <c r="AC1040">
        <f t="shared" si="145"/>
        <v>1000</v>
      </c>
      <c r="AD1040" s="6"/>
    </row>
    <row r="1041" spans="1:30" x14ac:dyDescent="0.2">
      <c r="A1041" t="str">
        <f t="shared" si="146"/>
        <v/>
      </c>
      <c r="X1041" t="str" cm="1">
        <f t="array" ref="X1041">IF(S1041="","",IF($I1041&lt;&gt;"",$I1041,INDEX($I$2:$I1040,ROW()-COUNTIFS($T$2:$T1040,"="&amp;$T1041,$S$2:$S1040,"&lt;&gt;"&amp;$S1041)-1)))</f>
        <v/>
      </c>
      <c r="Y1041" t="b">
        <f>IF(X1041&lt;&gt;"",VLOOKUP(X1041,game_rosters!$C$43:$E$64,3,FALSE))</f>
        <v>0</v>
      </c>
      <c r="Z1041" t="e" cm="1" vm="1">
        <f t="array" aca="1" ref="Z1041" ca="1">IFERROR(IF(_xlfn._xlws.FILTER(game_rosters!$J:$J,(game_rosters!$G:$G=events!$AN1041)*(game_rosters!$J:$J=events!$X1041))&gt;0,1,""),"")</f>
        <v>#VALUE!</v>
      </c>
      <c r="AA1041">
        <f t="shared" si="143"/>
        <v>1000</v>
      </c>
      <c r="AB1041" t="str">
        <f t="shared" si="144"/>
        <v/>
      </c>
      <c r="AC1041">
        <f t="shared" si="145"/>
        <v>1000</v>
      </c>
      <c r="AD1041" s="6"/>
    </row>
    <row r="1042" spans="1:30" x14ac:dyDescent="0.2">
      <c r="A1042" t="str">
        <f t="shared" si="146"/>
        <v/>
      </c>
      <c r="X1042" t="str" cm="1">
        <f t="array" ref="X1042">IF(S1042="","",IF($I1042&lt;&gt;"",$I1042,INDEX($I$2:$I1041,ROW()-COUNTIFS($T$2:$T1041,"="&amp;$T1042,$S$2:$S1041,"&lt;&gt;"&amp;$S1042)-1)))</f>
        <v/>
      </c>
      <c r="Y1042" t="b">
        <f>IF(X1042&lt;&gt;"",VLOOKUP(X1042,game_rosters!$C$43:$E$64,3,FALSE))</f>
        <v>0</v>
      </c>
      <c r="Z1042" t="e" cm="1" vm="1">
        <f t="array" aca="1" ref="Z1042" ca="1">IFERROR(IF(_xlfn._xlws.FILTER(game_rosters!$J:$J,(game_rosters!$G:$G=events!$AN1042)*(game_rosters!$J:$J=events!$X1042))&gt;0,1,""),"")</f>
        <v>#VALUE!</v>
      </c>
      <c r="AA1042">
        <f t="shared" si="143"/>
        <v>1000</v>
      </c>
      <c r="AB1042" t="str">
        <f t="shared" si="144"/>
        <v/>
      </c>
      <c r="AC1042">
        <f t="shared" si="145"/>
        <v>1000</v>
      </c>
      <c r="AD1042" s="6"/>
    </row>
    <row r="1043" spans="1:30" x14ac:dyDescent="0.2">
      <c r="A1043" t="str">
        <f t="shared" si="146"/>
        <v/>
      </c>
      <c r="X1043" t="str" cm="1">
        <f t="array" ref="X1043">IF(S1043="","",IF($I1043&lt;&gt;"",$I1043,INDEX($I$2:$I1042,ROW()-COUNTIFS($T$2:$T1042,"="&amp;$T1043,$S$2:$S1042,"&lt;&gt;"&amp;$S1043)-1)))</f>
        <v/>
      </c>
      <c r="Y1043" t="b">
        <f>IF(X1043&lt;&gt;"",VLOOKUP(X1043,game_rosters!$C$43:$E$64,3,FALSE))</f>
        <v>0</v>
      </c>
      <c r="Z1043" t="e" cm="1" vm="1">
        <f t="array" aca="1" ref="Z1043" ca="1">IFERROR(IF(_xlfn._xlws.FILTER(game_rosters!$J:$J,(game_rosters!$G:$G=events!$AN1043)*(game_rosters!$J:$J=events!$X1043))&gt;0,1,""),"")</f>
        <v>#VALUE!</v>
      </c>
      <c r="AA1043">
        <f t="shared" si="143"/>
        <v>1000</v>
      </c>
      <c r="AB1043" t="str">
        <f t="shared" si="144"/>
        <v/>
      </c>
      <c r="AC1043">
        <f t="shared" si="145"/>
        <v>1000</v>
      </c>
      <c r="AD1043" s="6"/>
    </row>
    <row r="1044" spans="1:30" x14ac:dyDescent="0.2">
      <c r="A1044" t="str">
        <f t="shared" si="146"/>
        <v/>
      </c>
      <c r="X1044" t="str" cm="1">
        <f t="array" ref="X1044">IF(S1044="","",IF($I1044&lt;&gt;"",$I1044,INDEX($I$2:$I1043,ROW()-COUNTIFS($T$2:$T1043,"="&amp;$T1044,$S$2:$S1043,"&lt;&gt;"&amp;$S1044)-1)))</f>
        <v/>
      </c>
      <c r="Y1044" t="b">
        <f>IF(X1044&lt;&gt;"",VLOOKUP(X1044,game_rosters!$C$43:$E$64,3,FALSE))</f>
        <v>0</v>
      </c>
      <c r="Z1044" t="e" cm="1" vm="1">
        <f t="array" aca="1" ref="Z1044" ca="1">IFERROR(IF(_xlfn._xlws.FILTER(game_rosters!$J:$J,(game_rosters!$G:$G=events!$AN1044)*(game_rosters!$J:$J=events!$X1044))&gt;0,1,""),"")</f>
        <v>#VALUE!</v>
      </c>
      <c r="AA1044">
        <f t="shared" si="143"/>
        <v>1000</v>
      </c>
      <c r="AB1044" t="str">
        <f t="shared" si="144"/>
        <v/>
      </c>
      <c r="AC1044">
        <f t="shared" si="145"/>
        <v>1000</v>
      </c>
      <c r="AD1044" s="6"/>
    </row>
    <row r="1045" spans="1:30" x14ac:dyDescent="0.2">
      <c r="A1045" t="str">
        <f t="shared" si="146"/>
        <v/>
      </c>
      <c r="X1045" t="str" cm="1">
        <f t="array" ref="X1045">IF(S1045="","",IF($I1045&lt;&gt;"",$I1045,INDEX($I$2:$I1044,ROW()-COUNTIFS($T$2:$T1044,"="&amp;$T1045,$S$2:$S1044,"&lt;&gt;"&amp;$S1045)-1)))</f>
        <v/>
      </c>
      <c r="Y1045" t="b">
        <f>IF(X1045&lt;&gt;"",VLOOKUP(X1045,game_rosters!$C$43:$E$64,3,FALSE))</f>
        <v>0</v>
      </c>
      <c r="Z1045" t="e" cm="1" vm="1">
        <f t="array" aca="1" ref="Z1045" ca="1">IFERROR(IF(_xlfn._xlws.FILTER(game_rosters!$J:$J,(game_rosters!$G:$G=events!$AN1045)*(game_rosters!$J:$J=events!$X1045))&gt;0,1,""),"")</f>
        <v>#VALUE!</v>
      </c>
      <c r="AA1045">
        <f t="shared" si="143"/>
        <v>1000</v>
      </c>
      <c r="AB1045" t="str">
        <f t="shared" si="144"/>
        <v/>
      </c>
      <c r="AC1045">
        <f t="shared" si="145"/>
        <v>1000</v>
      </c>
      <c r="AD1045" s="6"/>
    </row>
    <row r="1046" spans="1:30" x14ac:dyDescent="0.2">
      <c r="A1046" t="str">
        <f t="shared" si="146"/>
        <v/>
      </c>
      <c r="X1046" t="str" cm="1">
        <f t="array" ref="X1046">IF(S1046="","",IF($I1046&lt;&gt;"",$I1046,INDEX($I$2:$I1045,ROW()-COUNTIFS($T$2:$T1045,"="&amp;$T1046,$S$2:$S1045,"&lt;&gt;"&amp;$S1046)-1)))</f>
        <v/>
      </c>
      <c r="Y1046" t="b">
        <f>IF(X1046&lt;&gt;"",VLOOKUP(X1046,game_rosters!$C$43:$E$64,3,FALSE))</f>
        <v>0</v>
      </c>
      <c r="Z1046" t="e" cm="1" vm="1">
        <f t="array" aca="1" ref="Z1046" ca="1">IFERROR(IF(_xlfn._xlws.FILTER(game_rosters!$J:$J,(game_rosters!$G:$G=events!$AN1046)*(game_rosters!$J:$J=events!$X1046))&gt;0,1,""),"")</f>
        <v>#VALUE!</v>
      </c>
      <c r="AA1046">
        <f t="shared" si="143"/>
        <v>1000</v>
      </c>
      <c r="AB1046" t="str">
        <f t="shared" si="144"/>
        <v/>
      </c>
      <c r="AC1046">
        <f t="shared" si="145"/>
        <v>1000</v>
      </c>
      <c r="AD1046" s="6"/>
    </row>
    <row r="1047" spans="1:30" x14ac:dyDescent="0.2">
      <c r="A1047" t="str">
        <f t="shared" si="146"/>
        <v/>
      </c>
      <c r="X1047" t="str" cm="1">
        <f t="array" ref="X1047">IF(S1047="","",IF($I1047&lt;&gt;"",$I1047,INDEX($I$2:$I1046,ROW()-COUNTIFS($T$2:$T1046,"="&amp;$T1047,$S$2:$S1046,"&lt;&gt;"&amp;$S1047)-1)))</f>
        <v/>
      </c>
      <c r="Y1047" t="b">
        <f>IF(X1047&lt;&gt;"",VLOOKUP(X1047,game_rosters!$C$43:$E$64,3,FALSE))</f>
        <v>0</v>
      </c>
      <c r="Z1047" t="e" cm="1" vm="1">
        <f t="array" aca="1" ref="Z1047" ca="1">IFERROR(IF(_xlfn._xlws.FILTER(game_rosters!$J:$J,(game_rosters!$G:$G=events!$AN1047)*(game_rosters!$J:$J=events!$X1047))&gt;0,1,""),"")</f>
        <v>#VALUE!</v>
      </c>
      <c r="AA1047">
        <f t="shared" si="143"/>
        <v>1000</v>
      </c>
      <c r="AB1047" t="str">
        <f t="shared" si="144"/>
        <v/>
      </c>
      <c r="AC1047">
        <f t="shared" si="145"/>
        <v>1000</v>
      </c>
      <c r="AD1047" s="6"/>
    </row>
    <row r="1048" spans="1:30" x14ac:dyDescent="0.2">
      <c r="A1048" t="str">
        <f t="shared" si="146"/>
        <v/>
      </c>
      <c r="X1048" t="str" cm="1">
        <f t="array" ref="X1048">IF(S1048="","",IF($I1048&lt;&gt;"",$I1048,INDEX($I$2:$I1047,ROW()-COUNTIFS($T$2:$T1047,"="&amp;$T1048,$S$2:$S1047,"&lt;&gt;"&amp;$S1048)-1)))</f>
        <v/>
      </c>
      <c r="Y1048" t="b">
        <f>IF(X1048&lt;&gt;"",VLOOKUP(X1048,game_rosters!$C$43:$E$64,3,FALSE))</f>
        <v>0</v>
      </c>
      <c r="Z1048" t="e" cm="1" vm="1">
        <f t="array" aca="1" ref="Z1048" ca="1">IFERROR(IF(_xlfn._xlws.FILTER(game_rosters!$J:$J,(game_rosters!$G:$G=events!$AN1048)*(game_rosters!$J:$J=events!$X1048))&gt;0,1,""),"")</f>
        <v>#VALUE!</v>
      </c>
      <c r="AA1048">
        <f t="shared" si="143"/>
        <v>1000</v>
      </c>
      <c r="AB1048" t="str">
        <f t="shared" si="144"/>
        <v/>
      </c>
      <c r="AC1048">
        <f t="shared" si="145"/>
        <v>1000</v>
      </c>
      <c r="AD1048" s="6"/>
    </row>
    <row r="1049" spans="1:30" x14ac:dyDescent="0.2">
      <c r="A1049" t="str">
        <f t="shared" si="146"/>
        <v/>
      </c>
      <c r="X1049" t="str" cm="1">
        <f t="array" ref="X1049">IF(S1049="","",IF($I1049&lt;&gt;"",$I1049,INDEX($I$2:$I1048,ROW()-COUNTIFS($T$2:$T1048,"="&amp;$T1049,$S$2:$S1048,"&lt;&gt;"&amp;$S1049)-1)))</f>
        <v/>
      </c>
      <c r="Y1049" t="b">
        <f>IF(X1049&lt;&gt;"",VLOOKUP(X1049,game_rosters!$C$43:$E$64,3,FALSE))</f>
        <v>0</v>
      </c>
      <c r="Z1049" t="e" cm="1" vm="1">
        <f t="array" aca="1" ref="Z1049" ca="1">IFERROR(IF(_xlfn._xlws.FILTER(game_rosters!$J:$J,(game_rosters!$G:$G=events!$AN1049)*(game_rosters!$J:$J=events!$X1049))&gt;0,1,""),"")</f>
        <v>#VALUE!</v>
      </c>
      <c r="AA1049">
        <f t="shared" si="143"/>
        <v>1000</v>
      </c>
      <c r="AB1049" t="str">
        <f t="shared" si="144"/>
        <v/>
      </c>
      <c r="AC1049">
        <f t="shared" si="145"/>
        <v>1000</v>
      </c>
      <c r="AD1049" s="6"/>
    </row>
    <row r="1050" spans="1:30" x14ac:dyDescent="0.2">
      <c r="A1050" t="str">
        <f t="shared" si="146"/>
        <v/>
      </c>
      <c r="X1050" t="str" cm="1">
        <f t="array" ref="X1050">IF(S1050="","",IF($I1050&lt;&gt;"",$I1050,INDEX($I$2:$I1049,ROW()-COUNTIFS($T$2:$T1049,"="&amp;$T1050,$S$2:$S1049,"&lt;&gt;"&amp;$S1050)-1)))</f>
        <v/>
      </c>
      <c r="Y1050" t="b">
        <f>IF(X1050&lt;&gt;"",VLOOKUP(X1050,game_rosters!$C$43:$E$64,3,FALSE))</f>
        <v>0</v>
      </c>
      <c r="Z1050" t="e" cm="1" vm="1">
        <f t="array" aca="1" ref="Z1050" ca="1">IFERROR(IF(_xlfn._xlws.FILTER(game_rosters!$J:$J,(game_rosters!$G:$G=events!$AN1050)*(game_rosters!$J:$J=events!$X1050))&gt;0,1,""),"")</f>
        <v>#VALUE!</v>
      </c>
      <c r="AA1050">
        <f t="shared" si="143"/>
        <v>1000</v>
      </c>
      <c r="AB1050" t="str">
        <f t="shared" si="144"/>
        <v/>
      </c>
      <c r="AC1050">
        <f t="shared" si="145"/>
        <v>1000</v>
      </c>
      <c r="AD1050" s="6"/>
    </row>
    <row r="1051" spans="1:30" x14ac:dyDescent="0.2">
      <c r="A1051" t="str">
        <f t="shared" si="146"/>
        <v/>
      </c>
      <c r="X1051" t="str" cm="1">
        <f t="array" ref="X1051">IF(S1051="","",IF($I1051&lt;&gt;"",$I1051,INDEX($I$2:$I1050,ROW()-COUNTIFS($T$2:$T1050,"="&amp;$T1051,$S$2:$S1050,"&lt;&gt;"&amp;$S1051)-1)))</f>
        <v/>
      </c>
      <c r="Y1051" t="b">
        <f>IF(X1051&lt;&gt;"",VLOOKUP(X1051,game_rosters!$C$43:$E$64,3,FALSE))</f>
        <v>0</v>
      </c>
      <c r="Z1051" t="e" cm="1" vm="1">
        <f t="array" aca="1" ref="Z1051" ca="1">IFERROR(IF(_xlfn._xlws.FILTER(game_rosters!$J:$J,(game_rosters!$G:$G=events!$AN1051)*(game_rosters!$J:$J=events!$X1051))&gt;0,1,""),"")</f>
        <v>#VALUE!</v>
      </c>
      <c r="AA1051">
        <f t="shared" si="143"/>
        <v>1000</v>
      </c>
      <c r="AB1051" t="str">
        <f t="shared" si="144"/>
        <v/>
      </c>
      <c r="AC1051">
        <f t="shared" si="145"/>
        <v>1000</v>
      </c>
      <c r="AD1051" s="6"/>
    </row>
    <row r="1052" spans="1:30" x14ac:dyDescent="0.2">
      <c r="A1052" t="str">
        <f t="shared" si="146"/>
        <v/>
      </c>
      <c r="X1052" t="str" cm="1">
        <f t="array" ref="X1052">IF(S1052="","",IF($I1052&lt;&gt;"",$I1052,INDEX($I$2:$I1051,ROW()-COUNTIFS($T$2:$T1051,"="&amp;$T1052,$S$2:$S1051,"&lt;&gt;"&amp;$S1052)-1)))</f>
        <v/>
      </c>
      <c r="Y1052" t="b">
        <f>IF(X1052&lt;&gt;"",VLOOKUP(X1052,game_rosters!$C$43:$E$64,3,FALSE))</f>
        <v>0</v>
      </c>
      <c r="Z1052" t="e" cm="1" vm="1">
        <f t="array" aca="1" ref="Z1052" ca="1">IFERROR(IF(_xlfn._xlws.FILTER(game_rosters!$J:$J,(game_rosters!$G:$G=events!$AN1052)*(game_rosters!$J:$J=events!$X1052))&gt;0,1,""),"")</f>
        <v>#VALUE!</v>
      </c>
      <c r="AA1052">
        <f t="shared" si="143"/>
        <v>1000</v>
      </c>
      <c r="AB1052" t="str">
        <f t="shared" si="144"/>
        <v/>
      </c>
      <c r="AC1052">
        <f t="shared" si="145"/>
        <v>1000</v>
      </c>
      <c r="AD1052" s="6"/>
    </row>
    <row r="1053" spans="1:30" x14ac:dyDescent="0.2">
      <c r="A1053" t="str">
        <f t="shared" si="146"/>
        <v/>
      </c>
      <c r="X1053" t="str" cm="1">
        <f t="array" ref="X1053">IF(S1053="","",IF($I1053&lt;&gt;"",$I1053,INDEX($I$2:$I1052,ROW()-COUNTIFS($T$2:$T1052,"="&amp;$T1053,$S$2:$S1052,"&lt;&gt;"&amp;$S1053)-1)))</f>
        <v/>
      </c>
      <c r="Y1053" t="b">
        <f>IF(X1053&lt;&gt;"",VLOOKUP(X1053,game_rosters!$C$43:$E$64,3,FALSE))</f>
        <v>0</v>
      </c>
      <c r="Z1053" t="e" cm="1" vm="1">
        <f t="array" aca="1" ref="Z1053" ca="1">IFERROR(IF(_xlfn._xlws.FILTER(game_rosters!$J:$J,(game_rosters!$G:$G=events!$AN1053)*(game_rosters!$J:$J=events!$X1053))&gt;0,1,""),"")</f>
        <v>#VALUE!</v>
      </c>
      <c r="AA1053">
        <f t="shared" ref="AA1053:AA1116" si="147">S1053+1000</f>
        <v>1000</v>
      </c>
      <c r="AB1053" t="str">
        <f t="shared" ref="AB1053:AB1116" si="148">IF(T1053&lt;&gt;"",9000+T1053,"")</f>
        <v/>
      </c>
      <c r="AC1053">
        <f t="shared" si="145"/>
        <v>1000</v>
      </c>
      <c r="AD1053" s="6"/>
    </row>
    <row r="1054" spans="1:30" x14ac:dyDescent="0.2">
      <c r="A1054" t="str">
        <f t="shared" si="146"/>
        <v/>
      </c>
      <c r="X1054" t="str" cm="1">
        <f t="array" ref="X1054">IF(S1054="","",IF($I1054&lt;&gt;"",$I1054,INDEX($I$2:$I1053,ROW()-COUNTIFS($T$2:$T1053,"="&amp;$T1054,$S$2:$S1053,"&lt;&gt;"&amp;$S1054)-1)))</f>
        <v/>
      </c>
      <c r="Y1054" t="b">
        <f>IF(X1054&lt;&gt;"",VLOOKUP(X1054,game_rosters!$C$43:$E$64,3,FALSE))</f>
        <v>0</v>
      </c>
      <c r="Z1054" t="e" cm="1" vm="1">
        <f t="array" aca="1" ref="Z1054" ca="1">IFERROR(IF(_xlfn._xlws.FILTER(game_rosters!$J:$J,(game_rosters!$G:$G=events!$AN1054)*(game_rosters!$J:$J=events!$X1054))&gt;0,1,""),"")</f>
        <v>#VALUE!</v>
      </c>
      <c r="AA1054">
        <f t="shared" si="147"/>
        <v>1000</v>
      </c>
      <c r="AB1054" t="str">
        <f t="shared" si="148"/>
        <v/>
      </c>
      <c r="AC1054">
        <f t="shared" si="145"/>
        <v>1000</v>
      </c>
      <c r="AD1054" s="6"/>
    </row>
    <row r="1055" spans="1:30" x14ac:dyDescent="0.2">
      <c r="A1055" t="str">
        <f t="shared" si="146"/>
        <v/>
      </c>
      <c r="X1055" t="str" cm="1">
        <f t="array" ref="X1055">IF(S1055="","",IF($I1055&lt;&gt;"",$I1055,INDEX($I$2:$I1054,ROW()-COUNTIFS($T$2:$T1054,"="&amp;$T1055,$S$2:$S1054,"&lt;&gt;"&amp;$S1055)-1)))</f>
        <v/>
      </c>
      <c r="Y1055" t="b">
        <f>IF(X1055&lt;&gt;"",VLOOKUP(X1055,game_rosters!$C$43:$E$64,3,FALSE))</f>
        <v>0</v>
      </c>
      <c r="Z1055" t="e" cm="1" vm="1">
        <f t="array" aca="1" ref="Z1055" ca="1">IFERROR(IF(_xlfn._xlws.FILTER(game_rosters!$J:$J,(game_rosters!$G:$G=events!$AN1055)*(game_rosters!$J:$J=events!$X1055))&gt;0,1,""),"")</f>
        <v>#VALUE!</v>
      </c>
      <c r="AA1055">
        <f t="shared" si="147"/>
        <v>1000</v>
      </c>
      <c r="AB1055" t="str">
        <f t="shared" si="148"/>
        <v/>
      </c>
      <c r="AC1055">
        <f t="shared" si="145"/>
        <v>1000</v>
      </c>
      <c r="AD1055" s="6"/>
    </row>
    <row r="1056" spans="1:30" x14ac:dyDescent="0.2">
      <c r="A1056" t="str">
        <f t="shared" si="146"/>
        <v/>
      </c>
      <c r="X1056" t="str" cm="1">
        <f t="array" ref="X1056">IF(S1056="","",IF($I1056&lt;&gt;"",$I1056,INDEX($I$2:$I1055,ROW()-COUNTIFS($T$2:$T1055,"="&amp;$T1056,$S$2:$S1055,"&lt;&gt;"&amp;$S1056)-1)))</f>
        <v/>
      </c>
      <c r="Y1056" t="b">
        <f>IF(X1056&lt;&gt;"",VLOOKUP(X1056,game_rosters!$C$43:$E$64,3,FALSE))</f>
        <v>0</v>
      </c>
      <c r="Z1056" t="e" cm="1" vm="1">
        <f t="array" aca="1" ref="Z1056" ca="1">IFERROR(IF(_xlfn._xlws.FILTER(game_rosters!$J:$J,(game_rosters!$G:$G=events!$AN1056)*(game_rosters!$J:$J=events!$X1056))&gt;0,1,""),"")</f>
        <v>#VALUE!</v>
      </c>
      <c r="AA1056">
        <f t="shared" si="147"/>
        <v>1000</v>
      </c>
      <c r="AB1056" t="str">
        <f t="shared" si="148"/>
        <v/>
      </c>
      <c r="AC1056">
        <f t="shared" si="145"/>
        <v>1000</v>
      </c>
      <c r="AD1056" s="6"/>
    </row>
    <row r="1057" spans="1:30" x14ac:dyDescent="0.2">
      <c r="A1057" t="str">
        <f t="shared" si="146"/>
        <v/>
      </c>
      <c r="X1057" t="str" cm="1">
        <f t="array" ref="X1057">IF(S1057="","",IF($I1057&lt;&gt;"",$I1057,INDEX($I$2:$I1056,ROW()-COUNTIFS($T$2:$T1056,"="&amp;$T1057,$S$2:$S1056,"&lt;&gt;"&amp;$S1057)-1)))</f>
        <v/>
      </c>
      <c r="Y1057" t="b">
        <f>IF(X1057&lt;&gt;"",VLOOKUP(X1057,game_rosters!$C$43:$E$64,3,FALSE))</f>
        <v>0</v>
      </c>
      <c r="Z1057" t="e" cm="1" vm="1">
        <f t="array" aca="1" ref="Z1057" ca="1">IFERROR(IF(_xlfn._xlws.FILTER(game_rosters!$J:$J,(game_rosters!$G:$G=events!$AN1057)*(game_rosters!$J:$J=events!$X1057))&gt;0,1,""),"")</f>
        <v>#VALUE!</v>
      </c>
      <c r="AA1057">
        <f t="shared" si="147"/>
        <v>1000</v>
      </c>
      <c r="AB1057" t="str">
        <f t="shared" si="148"/>
        <v/>
      </c>
      <c r="AC1057">
        <f t="shared" si="145"/>
        <v>1000</v>
      </c>
      <c r="AD1057" s="6"/>
    </row>
    <row r="1058" spans="1:30" x14ac:dyDescent="0.2">
      <c r="A1058" t="str">
        <f t="shared" si="146"/>
        <v/>
      </c>
      <c r="X1058" t="str" cm="1">
        <f t="array" ref="X1058">IF(S1058="","",IF($I1058&lt;&gt;"",$I1058,INDEX($I$2:$I1057,ROW()-COUNTIFS($T$2:$T1057,"="&amp;$T1058,$S$2:$S1057,"&lt;&gt;"&amp;$S1058)-1)))</f>
        <v/>
      </c>
      <c r="Y1058" t="b">
        <f>IF(X1058&lt;&gt;"",VLOOKUP(X1058,game_rosters!$C$43:$E$64,3,FALSE))</f>
        <v>0</v>
      </c>
      <c r="Z1058" t="e" cm="1" vm="1">
        <f t="array" aca="1" ref="Z1058" ca="1">IFERROR(IF(_xlfn._xlws.FILTER(game_rosters!$J:$J,(game_rosters!$G:$G=events!$AN1058)*(game_rosters!$J:$J=events!$X1058))&gt;0,1,""),"")</f>
        <v>#VALUE!</v>
      </c>
      <c r="AA1058">
        <f t="shared" si="147"/>
        <v>1000</v>
      </c>
      <c r="AB1058" t="str">
        <f t="shared" si="148"/>
        <v/>
      </c>
      <c r="AC1058">
        <f t="shared" si="145"/>
        <v>1000</v>
      </c>
      <c r="AD1058" s="6"/>
    </row>
    <row r="1059" spans="1:30" x14ac:dyDescent="0.2">
      <c r="A1059" t="str">
        <f t="shared" si="146"/>
        <v/>
      </c>
      <c r="X1059" t="str" cm="1">
        <f t="array" ref="X1059">IF(S1059="","",IF($I1059&lt;&gt;"",$I1059,INDEX($I$2:$I1058,ROW()-COUNTIFS($T$2:$T1058,"="&amp;$T1059,$S$2:$S1058,"&lt;&gt;"&amp;$S1059)-1)))</f>
        <v/>
      </c>
      <c r="Y1059" t="b">
        <f>IF(X1059&lt;&gt;"",VLOOKUP(X1059,game_rosters!$C$43:$E$64,3,FALSE))</f>
        <v>0</v>
      </c>
      <c r="Z1059" t="e" cm="1" vm="1">
        <f t="array" aca="1" ref="Z1059" ca="1">IFERROR(IF(_xlfn._xlws.FILTER(game_rosters!$J:$J,(game_rosters!$G:$G=events!$AN1059)*(game_rosters!$J:$J=events!$X1059))&gt;0,1,""),"")</f>
        <v>#VALUE!</v>
      </c>
      <c r="AA1059">
        <f t="shared" si="147"/>
        <v>1000</v>
      </c>
      <c r="AB1059" t="str">
        <f t="shared" si="148"/>
        <v/>
      </c>
      <c r="AC1059">
        <f t="shared" si="145"/>
        <v>1000</v>
      </c>
      <c r="AD1059" s="6"/>
    </row>
    <row r="1060" spans="1:30" x14ac:dyDescent="0.2">
      <c r="A1060" t="str">
        <f t="shared" si="146"/>
        <v/>
      </c>
      <c r="X1060" t="str" cm="1">
        <f t="array" ref="X1060">IF(S1060="","",IF($I1060&lt;&gt;"",$I1060,INDEX($I$2:$I1059,ROW()-COUNTIFS($T$2:$T1059,"="&amp;$T1060,$S$2:$S1059,"&lt;&gt;"&amp;$S1060)-1)))</f>
        <v/>
      </c>
      <c r="Y1060" t="b">
        <f>IF(X1060&lt;&gt;"",VLOOKUP(X1060,game_rosters!$C$43:$E$64,3,FALSE))</f>
        <v>0</v>
      </c>
      <c r="Z1060" t="e" cm="1" vm="1">
        <f t="array" aca="1" ref="Z1060" ca="1">IFERROR(IF(_xlfn._xlws.FILTER(game_rosters!$J:$J,(game_rosters!$G:$G=events!$AN1060)*(game_rosters!$J:$J=events!$X1060))&gt;0,1,""),"")</f>
        <v>#VALUE!</v>
      </c>
      <c r="AA1060">
        <f t="shared" si="147"/>
        <v>1000</v>
      </c>
      <c r="AB1060" t="str">
        <f t="shared" si="148"/>
        <v/>
      </c>
      <c r="AC1060">
        <f t="shared" si="145"/>
        <v>1000</v>
      </c>
      <c r="AD1060" s="6"/>
    </row>
    <row r="1061" spans="1:30" x14ac:dyDescent="0.2">
      <c r="A1061" t="str">
        <f t="shared" si="146"/>
        <v/>
      </c>
      <c r="X1061" t="str" cm="1">
        <f t="array" ref="X1061">IF(S1061="","",IF($I1061&lt;&gt;"",$I1061,INDEX($I$2:$I1060,ROW()-COUNTIFS($T$2:$T1060,"="&amp;$T1061,$S$2:$S1060,"&lt;&gt;"&amp;$S1061)-1)))</f>
        <v/>
      </c>
      <c r="Y1061" t="b">
        <f>IF(X1061&lt;&gt;"",VLOOKUP(X1061,game_rosters!$C$43:$E$64,3,FALSE))</f>
        <v>0</v>
      </c>
      <c r="Z1061" t="e" cm="1" vm="1">
        <f t="array" aca="1" ref="Z1061" ca="1">IFERROR(IF(_xlfn._xlws.FILTER(game_rosters!$J:$J,(game_rosters!$G:$G=events!$AN1061)*(game_rosters!$J:$J=events!$X1061))&gt;0,1,""),"")</f>
        <v>#VALUE!</v>
      </c>
      <c r="AA1061">
        <f t="shared" si="147"/>
        <v>1000</v>
      </c>
      <c r="AB1061" t="str">
        <f t="shared" si="148"/>
        <v/>
      </c>
      <c r="AC1061">
        <f t="shared" si="145"/>
        <v>1000</v>
      </c>
      <c r="AD1061" s="6"/>
    </row>
    <row r="1062" spans="1:30" x14ac:dyDescent="0.2">
      <c r="A1062" t="str">
        <f t="shared" si="146"/>
        <v/>
      </c>
      <c r="X1062" t="str" cm="1">
        <f t="array" ref="X1062">IF(S1062="","",IF($I1062&lt;&gt;"",$I1062,INDEX($I$2:$I1061,ROW()-COUNTIFS($T$2:$T1061,"="&amp;$T1062,$S$2:$S1061,"&lt;&gt;"&amp;$S1062)-1)))</f>
        <v/>
      </c>
      <c r="Y1062" t="b">
        <f>IF(X1062&lt;&gt;"",VLOOKUP(X1062,game_rosters!$C$43:$E$64,3,FALSE))</f>
        <v>0</v>
      </c>
      <c r="Z1062" t="e" cm="1" vm="1">
        <f t="array" aca="1" ref="Z1062" ca="1">IFERROR(IF(_xlfn._xlws.FILTER(game_rosters!$J:$J,(game_rosters!$G:$G=events!$AN1062)*(game_rosters!$J:$J=events!$X1062))&gt;0,1,""),"")</f>
        <v>#VALUE!</v>
      </c>
      <c r="AA1062">
        <f t="shared" si="147"/>
        <v>1000</v>
      </c>
      <c r="AB1062" t="str">
        <f t="shared" si="148"/>
        <v/>
      </c>
      <c r="AC1062">
        <f t="shared" si="145"/>
        <v>1000</v>
      </c>
      <c r="AD1062" s="6"/>
    </row>
    <row r="1063" spans="1:30" x14ac:dyDescent="0.2">
      <c r="A1063" t="str">
        <f t="shared" si="146"/>
        <v/>
      </c>
      <c r="X1063" t="str" cm="1">
        <f t="array" ref="X1063">IF(S1063="","",IF($I1063&lt;&gt;"",$I1063,INDEX($I$2:$I1062,ROW()-COUNTIFS($T$2:$T1062,"="&amp;$T1063,$S$2:$S1062,"&lt;&gt;"&amp;$S1063)-1)))</f>
        <v/>
      </c>
      <c r="Y1063" t="b">
        <f>IF(X1063&lt;&gt;"",VLOOKUP(X1063,game_rosters!$C$43:$E$64,3,FALSE))</f>
        <v>0</v>
      </c>
      <c r="Z1063" t="e" cm="1" vm="1">
        <f t="array" aca="1" ref="Z1063" ca="1">IFERROR(IF(_xlfn._xlws.FILTER(game_rosters!$J:$J,(game_rosters!$G:$G=events!$AN1063)*(game_rosters!$J:$J=events!$X1063))&gt;0,1,""),"")</f>
        <v>#VALUE!</v>
      </c>
      <c r="AA1063">
        <f t="shared" si="147"/>
        <v>1000</v>
      </c>
      <c r="AB1063" t="str">
        <f t="shared" si="148"/>
        <v/>
      </c>
      <c r="AC1063">
        <f t="shared" si="145"/>
        <v>1000</v>
      </c>
      <c r="AD1063" s="6"/>
    </row>
    <row r="1064" spans="1:30" x14ac:dyDescent="0.2">
      <c r="A1064" t="str">
        <f t="shared" si="146"/>
        <v/>
      </c>
      <c r="X1064" t="str" cm="1">
        <f t="array" ref="X1064">IF(S1064="","",IF($I1064&lt;&gt;"",$I1064,INDEX($I$2:$I1063,ROW()-COUNTIFS($T$2:$T1063,"="&amp;$T1064,$S$2:$S1063,"&lt;&gt;"&amp;$S1064)-1)))</f>
        <v/>
      </c>
      <c r="Y1064" t="b">
        <f>IF(X1064&lt;&gt;"",VLOOKUP(X1064,game_rosters!$C$43:$E$64,3,FALSE))</f>
        <v>0</v>
      </c>
      <c r="Z1064" t="e" cm="1" vm="1">
        <f t="array" aca="1" ref="Z1064" ca="1">IFERROR(IF(_xlfn._xlws.FILTER(game_rosters!$J:$J,(game_rosters!$G:$G=events!$AN1064)*(game_rosters!$J:$J=events!$X1064))&gt;0,1,""),"")</f>
        <v>#VALUE!</v>
      </c>
      <c r="AA1064">
        <f t="shared" si="147"/>
        <v>1000</v>
      </c>
      <c r="AB1064" t="str">
        <f t="shared" si="148"/>
        <v/>
      </c>
      <c r="AC1064">
        <f t="shared" si="145"/>
        <v>1000</v>
      </c>
      <c r="AD1064" s="6"/>
    </row>
    <row r="1065" spans="1:30" x14ac:dyDescent="0.2">
      <c r="A1065" t="str">
        <f t="shared" si="146"/>
        <v/>
      </c>
      <c r="X1065" t="str" cm="1">
        <f t="array" ref="X1065">IF(S1065="","",IF($I1065&lt;&gt;"",$I1065,INDEX($I$2:$I1064,ROW()-COUNTIFS($T$2:$T1064,"="&amp;$T1065,$S$2:$S1064,"&lt;&gt;"&amp;$S1065)-1)))</f>
        <v/>
      </c>
      <c r="Y1065" t="b">
        <f>IF(X1065&lt;&gt;"",VLOOKUP(X1065,game_rosters!$C$43:$E$64,3,FALSE))</f>
        <v>0</v>
      </c>
      <c r="Z1065" t="e" cm="1" vm="1">
        <f t="array" aca="1" ref="Z1065" ca="1">IFERROR(IF(_xlfn._xlws.FILTER(game_rosters!$J:$J,(game_rosters!$G:$G=events!$AN1065)*(game_rosters!$J:$J=events!$X1065))&gt;0,1,""),"")</f>
        <v>#VALUE!</v>
      </c>
      <c r="AA1065">
        <f t="shared" si="147"/>
        <v>1000</v>
      </c>
      <c r="AB1065" t="str">
        <f t="shared" si="148"/>
        <v/>
      </c>
      <c r="AC1065">
        <f t="shared" si="145"/>
        <v>1000</v>
      </c>
      <c r="AD1065" s="6"/>
    </row>
    <row r="1066" spans="1:30" x14ac:dyDescent="0.2">
      <c r="A1066" t="str">
        <f t="shared" si="146"/>
        <v/>
      </c>
      <c r="X1066" t="str" cm="1">
        <f t="array" ref="X1066">IF(S1066="","",IF($I1066&lt;&gt;"",$I1066,INDEX($I$2:$I1065,ROW()-COUNTIFS($T$2:$T1065,"="&amp;$T1066,$S$2:$S1065,"&lt;&gt;"&amp;$S1066)-1)))</f>
        <v/>
      </c>
      <c r="Y1066" t="b">
        <f>IF(X1066&lt;&gt;"",VLOOKUP(X1066,game_rosters!$C$43:$E$64,3,FALSE))</f>
        <v>0</v>
      </c>
      <c r="Z1066" t="e" cm="1" vm="1">
        <f t="array" aca="1" ref="Z1066" ca="1">IFERROR(IF(_xlfn._xlws.FILTER(game_rosters!$J:$J,(game_rosters!$G:$G=events!$AN1066)*(game_rosters!$J:$J=events!$X1066))&gt;0,1,""),"")</f>
        <v>#VALUE!</v>
      </c>
      <c r="AA1066">
        <f t="shared" si="147"/>
        <v>1000</v>
      </c>
      <c r="AB1066" t="str">
        <f t="shared" si="148"/>
        <v/>
      </c>
      <c r="AC1066">
        <f t="shared" si="145"/>
        <v>1000</v>
      </c>
      <c r="AD1066" s="6"/>
    </row>
    <row r="1067" spans="1:30" x14ac:dyDescent="0.2">
      <c r="A1067" t="str">
        <f t="shared" si="146"/>
        <v/>
      </c>
      <c r="X1067" t="str" cm="1">
        <f t="array" ref="X1067">IF(S1067="","",IF($I1067&lt;&gt;"",$I1067,INDEX($I$2:$I1066,ROW()-COUNTIFS($T$2:$T1066,"="&amp;$T1067,$S$2:$S1066,"&lt;&gt;"&amp;$S1067)-1)))</f>
        <v/>
      </c>
      <c r="Y1067" t="b">
        <f>IF(X1067&lt;&gt;"",VLOOKUP(X1067,game_rosters!$C$43:$E$64,3,FALSE))</f>
        <v>0</v>
      </c>
      <c r="Z1067" t="e" cm="1" vm="1">
        <f t="array" aca="1" ref="Z1067" ca="1">IFERROR(IF(_xlfn._xlws.FILTER(game_rosters!$J:$J,(game_rosters!$G:$G=events!$AN1067)*(game_rosters!$J:$J=events!$X1067))&gt;0,1,""),"")</f>
        <v>#VALUE!</v>
      </c>
      <c r="AA1067">
        <f t="shared" si="147"/>
        <v>1000</v>
      </c>
      <c r="AB1067" t="str">
        <f t="shared" si="148"/>
        <v/>
      </c>
      <c r="AC1067">
        <f t="shared" si="145"/>
        <v>1000</v>
      </c>
      <c r="AD1067" s="6"/>
    </row>
    <row r="1068" spans="1:30" x14ac:dyDescent="0.2">
      <c r="A1068" t="str">
        <f t="shared" si="146"/>
        <v/>
      </c>
      <c r="X1068" t="str" cm="1">
        <f t="array" ref="X1068">IF(S1068="","",IF($I1068&lt;&gt;"",$I1068,INDEX($I$2:$I1067,ROW()-COUNTIFS($T$2:$T1067,"="&amp;$T1068,$S$2:$S1067,"&lt;&gt;"&amp;$S1068)-1)))</f>
        <v/>
      </c>
      <c r="Y1068" t="b">
        <f>IF(X1068&lt;&gt;"",VLOOKUP(X1068,game_rosters!$C$43:$E$64,3,FALSE))</f>
        <v>0</v>
      </c>
      <c r="Z1068" t="e" cm="1" vm="1">
        <f t="array" aca="1" ref="Z1068" ca="1">IFERROR(IF(_xlfn._xlws.FILTER(game_rosters!$J:$J,(game_rosters!$G:$G=events!$AN1068)*(game_rosters!$J:$J=events!$X1068))&gt;0,1,""),"")</f>
        <v>#VALUE!</v>
      </c>
      <c r="AA1068">
        <f t="shared" si="147"/>
        <v>1000</v>
      </c>
      <c r="AB1068" t="str">
        <f t="shared" si="148"/>
        <v/>
      </c>
      <c r="AC1068">
        <f t="shared" si="145"/>
        <v>1000</v>
      </c>
      <c r="AD1068" s="6"/>
    </row>
    <row r="1069" spans="1:30" x14ac:dyDescent="0.2">
      <c r="A1069" t="str">
        <f t="shared" si="146"/>
        <v/>
      </c>
      <c r="X1069" t="str" cm="1">
        <f t="array" ref="X1069">IF(S1069="","",IF($I1069&lt;&gt;"",$I1069,INDEX($I$2:$I1068,ROW()-COUNTIFS($T$2:$T1068,"="&amp;$T1069,$S$2:$S1068,"&lt;&gt;"&amp;$S1069)-1)))</f>
        <v/>
      </c>
      <c r="Y1069" t="b">
        <f>IF(X1069&lt;&gt;"",VLOOKUP(X1069,game_rosters!$C$43:$E$64,3,FALSE))</f>
        <v>0</v>
      </c>
      <c r="Z1069" t="e" cm="1" vm="1">
        <f t="array" aca="1" ref="Z1069" ca="1">IFERROR(IF(_xlfn._xlws.FILTER(game_rosters!$J:$J,(game_rosters!$G:$G=events!$AN1069)*(game_rosters!$J:$J=events!$X1069))&gt;0,1,""),"")</f>
        <v>#VALUE!</v>
      </c>
      <c r="AA1069">
        <f t="shared" si="147"/>
        <v>1000</v>
      </c>
      <c r="AB1069" t="str">
        <f t="shared" si="148"/>
        <v/>
      </c>
      <c r="AC1069">
        <f t="shared" si="145"/>
        <v>1000</v>
      </c>
      <c r="AD1069" s="6"/>
    </row>
    <row r="1070" spans="1:30" x14ac:dyDescent="0.2">
      <c r="A1070" t="str">
        <f t="shared" si="146"/>
        <v/>
      </c>
      <c r="X1070" t="str" cm="1">
        <f t="array" ref="X1070">IF(S1070="","",IF($I1070&lt;&gt;"",$I1070,INDEX($I$2:$I1069,ROW()-COUNTIFS($T$2:$T1069,"="&amp;$T1070,$S$2:$S1069,"&lt;&gt;"&amp;$S1070)-1)))</f>
        <v/>
      </c>
      <c r="Y1070" t="b">
        <f>IF(X1070&lt;&gt;"",VLOOKUP(X1070,game_rosters!$C$43:$E$64,3,FALSE))</f>
        <v>0</v>
      </c>
      <c r="Z1070" t="e" cm="1" vm="1">
        <f t="array" aca="1" ref="Z1070" ca="1">IFERROR(IF(_xlfn._xlws.FILTER(game_rosters!$J:$J,(game_rosters!$G:$G=events!$AN1070)*(game_rosters!$J:$J=events!$X1070))&gt;0,1,""),"")</f>
        <v>#VALUE!</v>
      </c>
      <c r="AA1070">
        <f t="shared" si="147"/>
        <v>1000</v>
      </c>
      <c r="AB1070" t="str">
        <f t="shared" si="148"/>
        <v/>
      </c>
      <c r="AC1070">
        <f t="shared" si="145"/>
        <v>1000</v>
      </c>
      <c r="AD1070" s="6"/>
    </row>
    <row r="1071" spans="1:30" x14ac:dyDescent="0.2">
      <c r="A1071" t="str">
        <f t="shared" si="146"/>
        <v/>
      </c>
      <c r="X1071" t="str" cm="1">
        <f t="array" ref="X1071">IF(S1071="","",IF($I1071&lt;&gt;"",$I1071,INDEX($I$2:$I1070,ROW()-COUNTIFS($T$2:$T1070,"="&amp;$T1071,$S$2:$S1070,"&lt;&gt;"&amp;$S1071)-1)))</f>
        <v/>
      </c>
      <c r="Y1071" t="b">
        <f>IF(X1071&lt;&gt;"",VLOOKUP(X1071,game_rosters!$C$43:$E$64,3,FALSE))</f>
        <v>0</v>
      </c>
      <c r="Z1071" t="e" cm="1" vm="1">
        <f t="array" aca="1" ref="Z1071" ca="1">IFERROR(IF(_xlfn._xlws.FILTER(game_rosters!$J:$J,(game_rosters!$G:$G=events!$AN1071)*(game_rosters!$J:$J=events!$X1071))&gt;0,1,""),"")</f>
        <v>#VALUE!</v>
      </c>
      <c r="AA1071">
        <f t="shared" si="147"/>
        <v>1000</v>
      </c>
      <c r="AB1071" t="str">
        <f t="shared" si="148"/>
        <v/>
      </c>
      <c r="AC1071">
        <f t="shared" si="145"/>
        <v>1000</v>
      </c>
      <c r="AD1071" s="6"/>
    </row>
    <row r="1072" spans="1:30" x14ac:dyDescent="0.2">
      <c r="A1072" t="str">
        <f t="shared" si="146"/>
        <v/>
      </c>
      <c r="X1072" t="str" cm="1">
        <f t="array" ref="X1072">IF(S1072="","",IF($I1072&lt;&gt;"",$I1072,INDEX($I$2:$I1071,ROW()-COUNTIFS($T$2:$T1071,"="&amp;$T1072,$S$2:$S1071,"&lt;&gt;"&amp;$S1072)-1)))</f>
        <v/>
      </c>
      <c r="Y1072" t="b">
        <f>IF(X1072&lt;&gt;"",VLOOKUP(X1072,game_rosters!$C$43:$E$64,3,FALSE))</f>
        <v>0</v>
      </c>
      <c r="Z1072" t="e" cm="1" vm="1">
        <f t="array" aca="1" ref="Z1072" ca="1">IFERROR(IF(_xlfn._xlws.FILTER(game_rosters!$J:$J,(game_rosters!$G:$G=events!$AN1072)*(game_rosters!$J:$J=events!$X1072))&gt;0,1,""),"")</f>
        <v>#VALUE!</v>
      </c>
      <c r="AA1072">
        <f t="shared" si="147"/>
        <v>1000</v>
      </c>
      <c r="AB1072" t="str">
        <f t="shared" si="148"/>
        <v/>
      </c>
      <c r="AC1072">
        <f t="shared" si="145"/>
        <v>1000</v>
      </c>
      <c r="AD1072" s="6"/>
    </row>
    <row r="1073" spans="1:30" x14ac:dyDescent="0.2">
      <c r="A1073" t="str">
        <f t="shared" si="146"/>
        <v/>
      </c>
      <c r="X1073" t="str" cm="1">
        <f t="array" ref="X1073">IF(S1073="","",IF($I1073&lt;&gt;"",$I1073,INDEX($I$2:$I1072,ROW()-COUNTIFS($T$2:$T1072,"="&amp;$T1073,$S$2:$S1072,"&lt;&gt;"&amp;$S1073)-1)))</f>
        <v/>
      </c>
      <c r="Y1073" t="b">
        <f>IF(X1073&lt;&gt;"",VLOOKUP(X1073,game_rosters!$C$43:$E$64,3,FALSE))</f>
        <v>0</v>
      </c>
      <c r="Z1073" t="e" cm="1" vm="1">
        <f t="array" aca="1" ref="Z1073" ca="1">IFERROR(IF(_xlfn._xlws.FILTER(game_rosters!$J:$J,(game_rosters!$G:$G=events!$AN1073)*(game_rosters!$J:$J=events!$X1073))&gt;0,1,""),"")</f>
        <v>#VALUE!</v>
      </c>
      <c r="AA1073">
        <f t="shared" si="147"/>
        <v>1000</v>
      </c>
      <c r="AB1073" t="str">
        <f t="shared" si="148"/>
        <v/>
      </c>
      <c r="AC1073">
        <f t="shared" si="145"/>
        <v>1000</v>
      </c>
      <c r="AD1073" s="6"/>
    </row>
    <row r="1074" spans="1:30" x14ac:dyDescent="0.2">
      <c r="A1074" t="str">
        <f t="shared" si="146"/>
        <v/>
      </c>
      <c r="X1074" t="str" cm="1">
        <f t="array" ref="X1074">IF(S1074="","",IF($I1074&lt;&gt;"",$I1074,INDEX($I$2:$I1073,ROW()-COUNTIFS($T$2:$T1073,"="&amp;$T1074,$S$2:$S1073,"&lt;&gt;"&amp;$S1074)-1)))</f>
        <v/>
      </c>
      <c r="Y1074" t="b">
        <f>IF(X1074&lt;&gt;"",VLOOKUP(X1074,game_rosters!$C$43:$E$64,3,FALSE))</f>
        <v>0</v>
      </c>
      <c r="Z1074" t="e" cm="1" vm="1">
        <f t="array" aca="1" ref="Z1074" ca="1">IFERROR(IF(_xlfn._xlws.FILTER(game_rosters!$J:$J,(game_rosters!$G:$G=events!$AN1074)*(game_rosters!$J:$J=events!$X1074))&gt;0,1,""),"")</f>
        <v>#VALUE!</v>
      </c>
      <c r="AA1074">
        <f t="shared" si="147"/>
        <v>1000</v>
      </c>
      <c r="AB1074" t="str">
        <f t="shared" si="148"/>
        <v/>
      </c>
      <c r="AC1074">
        <f t="shared" si="145"/>
        <v>1000</v>
      </c>
      <c r="AD1074" s="6"/>
    </row>
    <row r="1075" spans="1:30" x14ac:dyDescent="0.2">
      <c r="A1075" t="str">
        <f t="shared" si="146"/>
        <v/>
      </c>
      <c r="X1075" t="str" cm="1">
        <f t="array" ref="X1075">IF(S1075="","",IF($I1075&lt;&gt;"",$I1075,INDEX($I$2:$I1074,ROW()-COUNTIFS($T$2:$T1074,"="&amp;$T1075,$S$2:$S1074,"&lt;&gt;"&amp;$S1075)-1)))</f>
        <v/>
      </c>
      <c r="Y1075" t="b">
        <f>IF(X1075&lt;&gt;"",VLOOKUP(X1075,game_rosters!$C$43:$E$64,3,FALSE))</f>
        <v>0</v>
      </c>
      <c r="Z1075" t="e" cm="1" vm="1">
        <f t="array" aca="1" ref="Z1075" ca="1">IFERROR(IF(_xlfn._xlws.FILTER(game_rosters!$J:$J,(game_rosters!$G:$G=events!$AN1075)*(game_rosters!$J:$J=events!$X1075))&gt;0,1,""),"")</f>
        <v>#VALUE!</v>
      </c>
      <c r="AA1075">
        <f t="shared" si="147"/>
        <v>1000</v>
      </c>
      <c r="AB1075" t="str">
        <f t="shared" si="148"/>
        <v/>
      </c>
      <c r="AC1075">
        <f t="shared" si="145"/>
        <v>1000</v>
      </c>
      <c r="AD1075" s="6"/>
    </row>
    <row r="1076" spans="1:30" x14ac:dyDescent="0.2">
      <c r="A1076" t="str">
        <f t="shared" si="146"/>
        <v/>
      </c>
      <c r="X1076" t="str" cm="1">
        <f t="array" ref="X1076">IF(S1076="","",IF($I1076&lt;&gt;"",$I1076,INDEX($I$2:$I1075,ROW()-COUNTIFS($T$2:$T1075,"="&amp;$T1076,$S$2:$S1075,"&lt;&gt;"&amp;$S1076)-1)))</f>
        <v/>
      </c>
      <c r="Y1076" t="b">
        <f>IF(X1076&lt;&gt;"",VLOOKUP(X1076,game_rosters!$C$43:$E$64,3,FALSE))</f>
        <v>0</v>
      </c>
      <c r="Z1076" t="e" cm="1" vm="1">
        <f t="array" aca="1" ref="Z1076" ca="1">IFERROR(IF(_xlfn._xlws.FILTER(game_rosters!$J:$J,(game_rosters!$G:$G=events!$AN1076)*(game_rosters!$J:$J=events!$X1076))&gt;0,1,""),"")</f>
        <v>#VALUE!</v>
      </c>
      <c r="AA1076">
        <f t="shared" si="147"/>
        <v>1000</v>
      </c>
      <c r="AB1076" t="str">
        <f t="shared" si="148"/>
        <v/>
      </c>
      <c r="AC1076">
        <f t="shared" si="145"/>
        <v>1000</v>
      </c>
      <c r="AD1076" s="6"/>
    </row>
    <row r="1077" spans="1:30" x14ac:dyDescent="0.2">
      <c r="A1077" t="str">
        <f t="shared" si="146"/>
        <v/>
      </c>
      <c r="X1077" t="str" cm="1">
        <f t="array" ref="X1077">IF(S1077="","",IF($I1077&lt;&gt;"",$I1077,INDEX($I$2:$I1076,ROW()-COUNTIFS($T$2:$T1076,"="&amp;$T1077,$S$2:$S1076,"&lt;&gt;"&amp;$S1077)-1)))</f>
        <v/>
      </c>
      <c r="Y1077" t="b">
        <f>IF(X1077&lt;&gt;"",VLOOKUP(X1077,game_rosters!$C$43:$E$64,3,FALSE))</f>
        <v>0</v>
      </c>
      <c r="Z1077" t="e" cm="1" vm="1">
        <f t="array" aca="1" ref="Z1077" ca="1">IFERROR(IF(_xlfn._xlws.FILTER(game_rosters!$J:$J,(game_rosters!$G:$G=events!$AN1077)*(game_rosters!$J:$J=events!$X1077))&gt;0,1,""),"")</f>
        <v>#VALUE!</v>
      </c>
      <c r="AA1077">
        <f t="shared" si="147"/>
        <v>1000</v>
      </c>
      <c r="AB1077" t="str">
        <f t="shared" si="148"/>
        <v/>
      </c>
      <c r="AC1077">
        <f t="shared" si="145"/>
        <v>1000</v>
      </c>
      <c r="AD1077" s="6"/>
    </row>
    <row r="1078" spans="1:30" x14ac:dyDescent="0.2">
      <c r="A1078" t="str">
        <f t="shared" si="146"/>
        <v/>
      </c>
      <c r="X1078" t="str" cm="1">
        <f t="array" ref="X1078">IF(S1078="","",IF($I1078&lt;&gt;"",$I1078,INDEX($I$2:$I1077,ROW()-COUNTIFS($T$2:$T1077,"="&amp;$T1078,$S$2:$S1077,"&lt;&gt;"&amp;$S1078)-1)))</f>
        <v/>
      </c>
      <c r="Y1078" t="b">
        <f>IF(X1078&lt;&gt;"",VLOOKUP(X1078,game_rosters!$C$43:$E$64,3,FALSE))</f>
        <v>0</v>
      </c>
      <c r="Z1078" t="e" cm="1" vm="1">
        <f t="array" aca="1" ref="Z1078" ca="1">IFERROR(IF(_xlfn._xlws.FILTER(game_rosters!$J:$J,(game_rosters!$G:$G=events!$AN1078)*(game_rosters!$J:$J=events!$X1078))&gt;0,1,""),"")</f>
        <v>#VALUE!</v>
      </c>
      <c r="AA1078">
        <f t="shared" si="147"/>
        <v>1000</v>
      </c>
      <c r="AB1078" t="str">
        <f t="shared" si="148"/>
        <v/>
      </c>
      <c r="AC1078">
        <f t="shared" si="145"/>
        <v>1000</v>
      </c>
      <c r="AD1078" s="6"/>
    </row>
    <row r="1079" spans="1:30" x14ac:dyDescent="0.2">
      <c r="A1079" t="str">
        <f t="shared" si="146"/>
        <v/>
      </c>
      <c r="X1079" t="str" cm="1">
        <f t="array" ref="X1079">IF(S1079="","",IF($I1079&lt;&gt;"",$I1079,INDEX($I$2:$I1078,ROW()-COUNTIFS($T$2:$T1078,"="&amp;$T1079,$S$2:$S1078,"&lt;&gt;"&amp;$S1079)-1)))</f>
        <v/>
      </c>
      <c r="Y1079" t="b">
        <f>IF(X1079&lt;&gt;"",VLOOKUP(X1079,game_rosters!$C$43:$E$64,3,FALSE))</f>
        <v>0</v>
      </c>
      <c r="Z1079" t="e" cm="1" vm="1">
        <f t="array" aca="1" ref="Z1079" ca="1">IFERROR(IF(_xlfn._xlws.FILTER(game_rosters!$J:$J,(game_rosters!$G:$G=events!$AN1079)*(game_rosters!$J:$J=events!$X1079))&gt;0,1,""),"")</f>
        <v>#VALUE!</v>
      </c>
      <c r="AA1079">
        <f t="shared" si="147"/>
        <v>1000</v>
      </c>
      <c r="AB1079" t="str">
        <f t="shared" si="148"/>
        <v/>
      </c>
      <c r="AC1079">
        <f t="shared" si="145"/>
        <v>1000</v>
      </c>
      <c r="AD1079" s="6"/>
    </row>
    <row r="1080" spans="1:30" x14ac:dyDescent="0.2">
      <c r="A1080" t="str">
        <f t="shared" si="146"/>
        <v/>
      </c>
      <c r="X1080" t="str" cm="1">
        <f t="array" ref="X1080">IF(S1080="","",IF($I1080&lt;&gt;"",$I1080,INDEX($I$2:$I1079,ROW()-COUNTIFS($T$2:$T1079,"="&amp;$T1080,$S$2:$S1079,"&lt;&gt;"&amp;$S1080)-1)))</f>
        <v/>
      </c>
      <c r="Y1080" t="b">
        <f>IF(X1080&lt;&gt;"",VLOOKUP(X1080,game_rosters!$C$43:$E$64,3,FALSE))</f>
        <v>0</v>
      </c>
      <c r="Z1080" t="e" cm="1" vm="1">
        <f t="array" aca="1" ref="Z1080" ca="1">IFERROR(IF(_xlfn._xlws.FILTER(game_rosters!$J:$J,(game_rosters!$G:$G=events!$AN1080)*(game_rosters!$J:$J=events!$X1080))&gt;0,1,""),"")</f>
        <v>#VALUE!</v>
      </c>
      <c r="AA1080">
        <f t="shared" si="147"/>
        <v>1000</v>
      </c>
      <c r="AB1080" t="str">
        <f t="shared" si="148"/>
        <v/>
      </c>
      <c r="AC1080">
        <f t="shared" si="145"/>
        <v>1000</v>
      </c>
      <c r="AD1080" s="6"/>
    </row>
    <row r="1081" spans="1:30" x14ac:dyDescent="0.2">
      <c r="A1081" t="str">
        <f t="shared" si="146"/>
        <v/>
      </c>
      <c r="X1081" t="str" cm="1">
        <f t="array" ref="X1081">IF(S1081="","",IF($I1081&lt;&gt;"",$I1081,INDEX($I$2:$I1080,ROW()-COUNTIFS($T$2:$T1080,"="&amp;$T1081,$S$2:$S1080,"&lt;&gt;"&amp;$S1081)-1)))</f>
        <v/>
      </c>
      <c r="Y1081" t="b">
        <f>IF(X1081&lt;&gt;"",VLOOKUP(X1081,game_rosters!$C$43:$E$64,3,FALSE))</f>
        <v>0</v>
      </c>
      <c r="Z1081" t="e" cm="1" vm="1">
        <f t="array" aca="1" ref="Z1081" ca="1">IFERROR(IF(_xlfn._xlws.FILTER(game_rosters!$J:$J,(game_rosters!$G:$G=events!$AN1081)*(game_rosters!$J:$J=events!$X1081))&gt;0,1,""),"")</f>
        <v>#VALUE!</v>
      </c>
      <c r="AA1081">
        <f t="shared" si="147"/>
        <v>1000</v>
      </c>
      <c r="AB1081" t="str">
        <f t="shared" si="148"/>
        <v/>
      </c>
      <c r="AC1081">
        <f t="shared" si="145"/>
        <v>1000</v>
      </c>
      <c r="AD1081" s="6"/>
    </row>
    <row r="1082" spans="1:30" x14ac:dyDescent="0.2">
      <c r="A1082" t="str">
        <f t="shared" si="146"/>
        <v/>
      </c>
      <c r="X1082" t="str" cm="1">
        <f t="array" ref="X1082">IF(S1082="","",IF($I1082&lt;&gt;"",$I1082,INDEX($I$2:$I1081,ROW()-COUNTIFS($T$2:$T1081,"="&amp;$T1082,$S$2:$S1081,"&lt;&gt;"&amp;$S1082)-1)))</f>
        <v/>
      </c>
      <c r="Y1082" t="b">
        <f>IF(X1082&lt;&gt;"",VLOOKUP(X1082,game_rosters!$C$43:$E$64,3,FALSE))</f>
        <v>0</v>
      </c>
      <c r="Z1082" t="e" cm="1" vm="1">
        <f t="array" aca="1" ref="Z1082" ca="1">IFERROR(IF(_xlfn._xlws.FILTER(game_rosters!$J:$J,(game_rosters!$G:$G=events!$AN1082)*(game_rosters!$J:$J=events!$X1082))&gt;0,1,""),"")</f>
        <v>#VALUE!</v>
      </c>
      <c r="AA1082">
        <f t="shared" si="147"/>
        <v>1000</v>
      </c>
      <c r="AB1082" t="str">
        <f t="shared" si="148"/>
        <v/>
      </c>
      <c r="AC1082">
        <f t="shared" si="145"/>
        <v>1000</v>
      </c>
      <c r="AD1082" s="6"/>
    </row>
    <row r="1083" spans="1:30" x14ac:dyDescent="0.2">
      <c r="A1083" t="str">
        <f t="shared" si="146"/>
        <v/>
      </c>
      <c r="X1083" t="str" cm="1">
        <f t="array" ref="X1083">IF(S1083="","",IF($I1083&lt;&gt;"",$I1083,INDEX($I$2:$I1082,ROW()-COUNTIFS($T$2:$T1082,"="&amp;$T1083,$S$2:$S1082,"&lt;&gt;"&amp;$S1083)-1)))</f>
        <v/>
      </c>
      <c r="Y1083" t="b">
        <f>IF(X1083&lt;&gt;"",VLOOKUP(X1083,game_rosters!$C$43:$E$64,3,FALSE))</f>
        <v>0</v>
      </c>
      <c r="Z1083" t="e" cm="1" vm="1">
        <f t="array" aca="1" ref="Z1083" ca="1">IFERROR(IF(_xlfn._xlws.FILTER(game_rosters!$J:$J,(game_rosters!$G:$G=events!$AN1083)*(game_rosters!$J:$J=events!$X1083))&gt;0,1,""),"")</f>
        <v>#VALUE!</v>
      </c>
      <c r="AA1083">
        <f t="shared" si="147"/>
        <v>1000</v>
      </c>
      <c r="AB1083" t="str">
        <f t="shared" si="148"/>
        <v/>
      </c>
      <c r="AC1083">
        <f t="shared" si="145"/>
        <v>1000</v>
      </c>
      <c r="AD1083" s="6"/>
    </row>
    <row r="1084" spans="1:30" x14ac:dyDescent="0.2">
      <c r="A1084" t="str">
        <f t="shared" si="146"/>
        <v/>
      </c>
      <c r="X1084" t="str" cm="1">
        <f t="array" ref="X1084">IF(S1084="","",IF($I1084&lt;&gt;"",$I1084,INDEX($I$2:$I1083,ROW()-COUNTIFS($T$2:$T1083,"="&amp;$T1084,$S$2:$S1083,"&lt;&gt;"&amp;$S1084)-1)))</f>
        <v/>
      </c>
      <c r="Y1084" t="b">
        <f>IF(X1084&lt;&gt;"",VLOOKUP(X1084,game_rosters!$C$43:$E$64,3,FALSE))</f>
        <v>0</v>
      </c>
      <c r="Z1084" t="e" cm="1" vm="1">
        <f t="array" aca="1" ref="Z1084" ca="1">IFERROR(IF(_xlfn._xlws.FILTER(game_rosters!$J:$J,(game_rosters!$G:$G=events!$AN1084)*(game_rosters!$J:$J=events!$X1084))&gt;0,1,""),"")</f>
        <v>#VALUE!</v>
      </c>
      <c r="AA1084">
        <f t="shared" si="147"/>
        <v>1000</v>
      </c>
      <c r="AB1084" t="str">
        <f t="shared" si="148"/>
        <v/>
      </c>
      <c r="AC1084">
        <f t="shared" si="145"/>
        <v>1000</v>
      </c>
      <c r="AD1084" s="6"/>
    </row>
    <row r="1085" spans="1:30" x14ac:dyDescent="0.2">
      <c r="A1085" t="str">
        <f t="shared" si="146"/>
        <v/>
      </c>
      <c r="X1085" t="str" cm="1">
        <f t="array" ref="X1085">IF(S1085="","",IF($I1085&lt;&gt;"",$I1085,INDEX($I$2:$I1084,ROW()-COUNTIFS($T$2:$T1084,"="&amp;$T1085,$S$2:$S1084,"&lt;&gt;"&amp;$S1085)-1)))</f>
        <v/>
      </c>
      <c r="Y1085" t="b">
        <f>IF(X1085&lt;&gt;"",VLOOKUP(X1085,game_rosters!$C$43:$E$64,3,FALSE))</f>
        <v>0</v>
      </c>
      <c r="Z1085" t="e" cm="1" vm="1">
        <f t="array" aca="1" ref="Z1085" ca="1">IFERROR(IF(_xlfn._xlws.FILTER(game_rosters!$J:$J,(game_rosters!$G:$G=events!$AN1085)*(game_rosters!$J:$J=events!$X1085))&gt;0,1,""),"")</f>
        <v>#VALUE!</v>
      </c>
      <c r="AA1085">
        <f t="shared" si="147"/>
        <v>1000</v>
      </c>
      <c r="AB1085" t="str">
        <f t="shared" si="148"/>
        <v/>
      </c>
      <c r="AC1085">
        <f t="shared" si="145"/>
        <v>1000</v>
      </c>
      <c r="AD1085" s="6"/>
    </row>
    <row r="1086" spans="1:30" x14ac:dyDescent="0.2">
      <c r="A1086" t="str">
        <f t="shared" si="146"/>
        <v/>
      </c>
      <c r="X1086" t="str" cm="1">
        <f t="array" ref="X1086">IF(S1086="","",IF($I1086&lt;&gt;"",$I1086,INDEX($I$2:$I1085,ROW()-COUNTIFS($T$2:$T1085,"="&amp;$T1086,$S$2:$S1085,"&lt;&gt;"&amp;$S1086)-1)))</f>
        <v/>
      </c>
      <c r="Y1086" t="b">
        <f>IF(X1086&lt;&gt;"",VLOOKUP(X1086,game_rosters!$C$43:$E$64,3,FALSE))</f>
        <v>0</v>
      </c>
      <c r="Z1086" t="e" cm="1" vm="1">
        <f t="array" aca="1" ref="Z1086" ca="1">IFERROR(IF(_xlfn._xlws.FILTER(game_rosters!$J:$J,(game_rosters!$G:$G=events!$AN1086)*(game_rosters!$J:$J=events!$X1086))&gt;0,1,""),"")</f>
        <v>#VALUE!</v>
      </c>
      <c r="AA1086">
        <f t="shared" si="147"/>
        <v>1000</v>
      </c>
      <c r="AB1086" t="str">
        <f t="shared" si="148"/>
        <v/>
      </c>
      <c r="AC1086">
        <f t="shared" si="145"/>
        <v>1000</v>
      </c>
      <c r="AD1086" s="6"/>
    </row>
    <row r="1087" spans="1:30" x14ac:dyDescent="0.2">
      <c r="A1087" t="str">
        <f t="shared" si="146"/>
        <v/>
      </c>
      <c r="X1087" t="str" cm="1">
        <f t="array" ref="X1087">IF(S1087="","",IF($I1087&lt;&gt;"",$I1087,INDEX($I$2:$I1086,ROW()-COUNTIFS($T$2:$T1086,"="&amp;$T1087,$S$2:$S1086,"&lt;&gt;"&amp;$S1087)-1)))</f>
        <v/>
      </c>
      <c r="Y1087" t="b">
        <f>IF(X1087&lt;&gt;"",VLOOKUP(X1087,game_rosters!$C$43:$E$64,3,FALSE))</f>
        <v>0</v>
      </c>
      <c r="Z1087" t="e" cm="1" vm="1">
        <f t="array" aca="1" ref="Z1087" ca="1">IFERROR(IF(_xlfn._xlws.FILTER(game_rosters!$J:$J,(game_rosters!$G:$G=events!$AN1087)*(game_rosters!$J:$J=events!$X1087))&gt;0,1,""),"")</f>
        <v>#VALUE!</v>
      </c>
      <c r="AA1087">
        <f t="shared" si="147"/>
        <v>1000</v>
      </c>
      <c r="AB1087" t="str">
        <f t="shared" si="148"/>
        <v/>
      </c>
      <c r="AC1087">
        <f t="shared" si="145"/>
        <v>1000</v>
      </c>
      <c r="AD1087" s="6"/>
    </row>
    <row r="1088" spans="1:30" x14ac:dyDescent="0.2">
      <c r="A1088" t="str">
        <f t="shared" si="146"/>
        <v/>
      </c>
      <c r="X1088" t="str" cm="1">
        <f t="array" ref="X1088">IF(S1088="","",IF($I1088&lt;&gt;"",$I1088,INDEX($I$2:$I1087,ROW()-COUNTIFS($T$2:$T1087,"="&amp;$T1088,$S$2:$S1087,"&lt;&gt;"&amp;$S1088)-1)))</f>
        <v/>
      </c>
      <c r="Y1088" t="b">
        <f>IF(X1088&lt;&gt;"",VLOOKUP(X1088,game_rosters!$C$43:$E$64,3,FALSE))</f>
        <v>0</v>
      </c>
      <c r="Z1088" t="e" cm="1" vm="1">
        <f t="array" aca="1" ref="Z1088" ca="1">IFERROR(IF(_xlfn._xlws.FILTER(game_rosters!$J:$J,(game_rosters!$G:$G=events!$AN1088)*(game_rosters!$J:$J=events!$X1088))&gt;0,1,""),"")</f>
        <v>#VALUE!</v>
      </c>
      <c r="AA1088">
        <f t="shared" si="147"/>
        <v>1000</v>
      </c>
      <c r="AB1088" t="str">
        <f t="shared" si="148"/>
        <v/>
      </c>
      <c r="AC1088">
        <f t="shared" si="145"/>
        <v>1000</v>
      </c>
      <c r="AD1088" s="6"/>
    </row>
    <row r="1089" spans="1:30" x14ac:dyDescent="0.2">
      <c r="A1089" t="str">
        <f t="shared" si="146"/>
        <v/>
      </c>
      <c r="X1089" t="str" cm="1">
        <f t="array" ref="X1089">IF(S1089="","",IF($I1089&lt;&gt;"",$I1089,INDEX($I$2:$I1088,ROW()-COUNTIFS($T$2:$T1088,"="&amp;$T1089,$S$2:$S1088,"&lt;&gt;"&amp;$S1089)-1)))</f>
        <v/>
      </c>
      <c r="Y1089" t="b">
        <f>IF(X1089&lt;&gt;"",VLOOKUP(X1089,game_rosters!$C$43:$E$64,3,FALSE))</f>
        <v>0</v>
      </c>
      <c r="Z1089" t="e" cm="1" vm="1">
        <f t="array" aca="1" ref="Z1089" ca="1">IFERROR(IF(_xlfn._xlws.FILTER(game_rosters!$J:$J,(game_rosters!$G:$G=events!$AN1089)*(game_rosters!$J:$J=events!$X1089))&gt;0,1,""),"")</f>
        <v>#VALUE!</v>
      </c>
      <c r="AA1089">
        <f t="shared" si="147"/>
        <v>1000</v>
      </c>
      <c r="AB1089" t="str">
        <f t="shared" si="148"/>
        <v/>
      </c>
      <c r="AC1089">
        <f t="shared" si="145"/>
        <v>1000</v>
      </c>
      <c r="AD1089" s="6"/>
    </row>
    <row r="1090" spans="1:30" x14ac:dyDescent="0.2">
      <c r="A1090" t="str">
        <f t="shared" si="146"/>
        <v/>
      </c>
      <c r="X1090" t="str" cm="1">
        <f t="array" ref="X1090">IF(S1090="","",IF($I1090&lt;&gt;"",$I1090,INDEX($I$2:$I1089,ROW()-COUNTIFS($T$2:$T1089,"="&amp;$T1090,$S$2:$S1089,"&lt;&gt;"&amp;$S1090)-1)))</f>
        <v/>
      </c>
      <c r="Y1090" t="b">
        <f>IF(X1090&lt;&gt;"",VLOOKUP(X1090,game_rosters!$C$43:$E$64,3,FALSE))</f>
        <v>0</v>
      </c>
      <c r="Z1090" t="e" cm="1" vm="1">
        <f t="array" aca="1" ref="Z1090" ca="1">IFERROR(IF(_xlfn._xlws.FILTER(game_rosters!$J:$J,(game_rosters!$G:$G=events!$AN1090)*(game_rosters!$J:$J=events!$X1090))&gt;0,1,""),"")</f>
        <v>#VALUE!</v>
      </c>
      <c r="AA1090">
        <f t="shared" si="147"/>
        <v>1000</v>
      </c>
      <c r="AB1090" t="str">
        <f t="shared" si="148"/>
        <v/>
      </c>
      <c r="AC1090">
        <f t="shared" ref="AC1090:AC1153" si="149">IF(AB1090&lt;&gt;"",AB1090,S1090+1000)</f>
        <v>1000</v>
      </c>
      <c r="AD1090" s="6"/>
    </row>
    <row r="1091" spans="1:30" x14ac:dyDescent="0.2">
      <c r="A1091" t="str">
        <f t="shared" si="146"/>
        <v/>
      </c>
      <c r="X1091" t="str" cm="1">
        <f t="array" ref="X1091">IF(S1091="","",IF($I1091&lt;&gt;"",$I1091,INDEX($I$2:$I1090,ROW()-COUNTIFS($T$2:$T1090,"="&amp;$T1091,$S$2:$S1090,"&lt;&gt;"&amp;$S1091)-1)))</f>
        <v/>
      </c>
      <c r="Y1091" t="b">
        <f>IF(X1091&lt;&gt;"",VLOOKUP(X1091,game_rosters!$C$43:$E$64,3,FALSE))</f>
        <v>0</v>
      </c>
      <c r="Z1091" t="e" cm="1" vm="1">
        <f t="array" aca="1" ref="Z1091" ca="1">IFERROR(IF(_xlfn._xlws.FILTER(game_rosters!$J:$J,(game_rosters!$G:$G=events!$AN1091)*(game_rosters!$J:$J=events!$X1091))&gt;0,1,""),"")</f>
        <v>#VALUE!</v>
      </c>
      <c r="AA1091">
        <f t="shared" si="147"/>
        <v>1000</v>
      </c>
      <c r="AB1091" t="str">
        <f t="shared" si="148"/>
        <v/>
      </c>
      <c r="AC1091">
        <f t="shared" si="149"/>
        <v>1000</v>
      </c>
      <c r="AD1091" s="6"/>
    </row>
    <row r="1092" spans="1:30" x14ac:dyDescent="0.2">
      <c r="A1092" t="str">
        <f t="shared" si="146"/>
        <v/>
      </c>
      <c r="X1092" t="str" cm="1">
        <f t="array" ref="X1092">IF(S1092="","",IF($I1092&lt;&gt;"",$I1092,INDEX($I$2:$I1091,ROW()-COUNTIFS($T$2:$T1091,"="&amp;$T1092,$S$2:$S1091,"&lt;&gt;"&amp;$S1092)-1)))</f>
        <v/>
      </c>
      <c r="Y1092" t="b">
        <f>IF(X1092&lt;&gt;"",VLOOKUP(X1092,game_rosters!$C$43:$E$64,3,FALSE))</f>
        <v>0</v>
      </c>
      <c r="Z1092" t="e" cm="1" vm="1">
        <f t="array" aca="1" ref="Z1092" ca="1">IFERROR(IF(_xlfn._xlws.FILTER(game_rosters!$J:$J,(game_rosters!$G:$G=events!$AN1092)*(game_rosters!$J:$J=events!$X1092))&gt;0,1,""),"")</f>
        <v>#VALUE!</v>
      </c>
      <c r="AA1092">
        <f t="shared" si="147"/>
        <v>1000</v>
      </c>
      <c r="AB1092" t="str">
        <f t="shared" si="148"/>
        <v/>
      </c>
      <c r="AC1092">
        <f t="shared" si="149"/>
        <v>1000</v>
      </c>
      <c r="AD1092" s="6"/>
    </row>
    <row r="1093" spans="1:30" x14ac:dyDescent="0.2">
      <c r="A1093" t="str">
        <f t="shared" ref="A1093:A1156" si="150">IF(K1093&lt;&gt;"",1,IF(D1093="x","x",""))</f>
        <v/>
      </c>
      <c r="X1093" t="str" cm="1">
        <f t="array" ref="X1093">IF(S1093="","",IF($I1093&lt;&gt;"",$I1093,INDEX($I$2:$I1092,ROW()-COUNTIFS($T$2:$T1092,"="&amp;$T1093,$S$2:$S1092,"&lt;&gt;"&amp;$S1093)-1)))</f>
        <v/>
      </c>
      <c r="Y1093" t="b">
        <f>IF(X1093&lt;&gt;"",VLOOKUP(X1093,game_rosters!$C$43:$E$64,3,FALSE))</f>
        <v>0</v>
      </c>
      <c r="Z1093" t="e" cm="1" vm="1">
        <f t="array" aca="1" ref="Z1093" ca="1">IFERROR(IF(_xlfn._xlws.FILTER(game_rosters!$J:$J,(game_rosters!$G:$G=events!$AN1093)*(game_rosters!$J:$J=events!$X1093))&gt;0,1,""),"")</f>
        <v>#VALUE!</v>
      </c>
      <c r="AA1093">
        <f t="shared" si="147"/>
        <v>1000</v>
      </c>
      <c r="AB1093" t="str">
        <f t="shared" si="148"/>
        <v/>
      </c>
      <c r="AC1093">
        <f t="shared" si="149"/>
        <v>1000</v>
      </c>
      <c r="AD1093" s="6"/>
    </row>
    <row r="1094" spans="1:30" x14ac:dyDescent="0.2">
      <c r="A1094" t="str">
        <f t="shared" si="150"/>
        <v/>
      </c>
      <c r="X1094" t="str" cm="1">
        <f t="array" ref="X1094">IF(S1094="","",IF($I1094&lt;&gt;"",$I1094,INDEX($I$2:$I1093,ROW()-COUNTIFS($T$2:$T1093,"="&amp;$T1094,$S$2:$S1093,"&lt;&gt;"&amp;$S1094)-1)))</f>
        <v/>
      </c>
      <c r="Y1094" t="b">
        <f>IF(X1094&lt;&gt;"",VLOOKUP(X1094,game_rosters!$C$43:$E$64,3,FALSE))</f>
        <v>0</v>
      </c>
      <c r="Z1094" t="e" cm="1" vm="1">
        <f t="array" aca="1" ref="Z1094" ca="1">IFERROR(IF(_xlfn._xlws.FILTER(game_rosters!$J:$J,(game_rosters!$G:$G=events!$AN1094)*(game_rosters!$J:$J=events!$X1094))&gt;0,1,""),"")</f>
        <v>#VALUE!</v>
      </c>
      <c r="AA1094">
        <f t="shared" si="147"/>
        <v>1000</v>
      </c>
      <c r="AB1094" t="str">
        <f t="shared" si="148"/>
        <v/>
      </c>
      <c r="AC1094">
        <f t="shared" si="149"/>
        <v>1000</v>
      </c>
      <c r="AD1094" s="6"/>
    </row>
    <row r="1095" spans="1:30" x14ac:dyDescent="0.2">
      <c r="A1095" t="str">
        <f t="shared" si="150"/>
        <v/>
      </c>
      <c r="X1095" t="str" cm="1">
        <f t="array" ref="X1095">IF(S1095="","",IF($I1095&lt;&gt;"",$I1095,INDEX($I$2:$I1094,ROW()-COUNTIFS($T$2:$T1094,"="&amp;$T1095,$S$2:$S1094,"&lt;&gt;"&amp;$S1095)-1)))</f>
        <v/>
      </c>
      <c r="Y1095" t="b">
        <f>IF(X1095&lt;&gt;"",VLOOKUP(X1095,game_rosters!$C$43:$E$64,3,FALSE))</f>
        <v>0</v>
      </c>
      <c r="Z1095" t="e" cm="1" vm="1">
        <f t="array" aca="1" ref="Z1095" ca="1">IFERROR(IF(_xlfn._xlws.FILTER(game_rosters!$J:$J,(game_rosters!$G:$G=events!$AN1095)*(game_rosters!$J:$J=events!$X1095))&gt;0,1,""),"")</f>
        <v>#VALUE!</v>
      </c>
      <c r="AA1095">
        <f t="shared" si="147"/>
        <v>1000</v>
      </c>
      <c r="AB1095" t="str">
        <f t="shared" si="148"/>
        <v/>
      </c>
      <c r="AC1095">
        <f t="shared" si="149"/>
        <v>1000</v>
      </c>
      <c r="AD1095" s="6"/>
    </row>
    <row r="1096" spans="1:30" x14ac:dyDescent="0.2">
      <c r="A1096" t="str">
        <f t="shared" si="150"/>
        <v/>
      </c>
      <c r="X1096" t="str" cm="1">
        <f t="array" ref="X1096">IF(S1096="","",IF($I1096&lt;&gt;"",$I1096,INDEX($I$2:$I1095,ROW()-COUNTIFS($T$2:$T1095,"="&amp;$T1096,$S$2:$S1095,"&lt;&gt;"&amp;$S1096)-1)))</f>
        <v/>
      </c>
      <c r="Y1096" t="b">
        <f>IF(X1096&lt;&gt;"",VLOOKUP(X1096,game_rosters!$C$43:$E$64,3,FALSE))</f>
        <v>0</v>
      </c>
      <c r="Z1096" t="e" cm="1" vm="1">
        <f t="array" aca="1" ref="Z1096" ca="1">IFERROR(IF(_xlfn._xlws.FILTER(game_rosters!$J:$J,(game_rosters!$G:$G=events!$AN1096)*(game_rosters!$J:$J=events!$X1096))&gt;0,1,""),"")</f>
        <v>#VALUE!</v>
      </c>
      <c r="AA1096">
        <f t="shared" si="147"/>
        <v>1000</v>
      </c>
      <c r="AB1096" t="str">
        <f t="shared" si="148"/>
        <v/>
      </c>
      <c r="AC1096">
        <f t="shared" si="149"/>
        <v>1000</v>
      </c>
      <c r="AD1096" s="6"/>
    </row>
    <row r="1097" spans="1:30" x14ac:dyDescent="0.2">
      <c r="A1097" t="str">
        <f t="shared" si="150"/>
        <v/>
      </c>
      <c r="X1097" t="str" cm="1">
        <f t="array" ref="X1097">IF(S1097="","",IF($I1097&lt;&gt;"",$I1097,INDEX($I$2:$I1096,ROW()-COUNTIFS($T$2:$T1096,"="&amp;$T1097,$S$2:$S1096,"&lt;&gt;"&amp;$S1097)-1)))</f>
        <v/>
      </c>
      <c r="Y1097" t="b">
        <f>IF(X1097&lt;&gt;"",VLOOKUP(X1097,game_rosters!$C$43:$E$64,3,FALSE))</f>
        <v>0</v>
      </c>
      <c r="Z1097" t="e" cm="1" vm="1">
        <f t="array" aca="1" ref="Z1097" ca="1">IFERROR(IF(_xlfn._xlws.FILTER(game_rosters!$J:$J,(game_rosters!$G:$G=events!$AN1097)*(game_rosters!$J:$J=events!$X1097))&gt;0,1,""),"")</f>
        <v>#VALUE!</v>
      </c>
      <c r="AA1097">
        <f t="shared" si="147"/>
        <v>1000</v>
      </c>
      <c r="AB1097" t="str">
        <f t="shared" si="148"/>
        <v/>
      </c>
      <c r="AC1097">
        <f t="shared" si="149"/>
        <v>1000</v>
      </c>
      <c r="AD1097" s="6"/>
    </row>
    <row r="1098" spans="1:30" x14ac:dyDescent="0.2">
      <c r="A1098" t="str">
        <f t="shared" si="150"/>
        <v/>
      </c>
      <c r="X1098" t="str" cm="1">
        <f t="array" ref="X1098">IF(S1098="","",IF($I1098&lt;&gt;"",$I1098,INDEX($I$2:$I1097,ROW()-COUNTIFS($T$2:$T1097,"="&amp;$T1098,$S$2:$S1097,"&lt;&gt;"&amp;$S1098)-1)))</f>
        <v/>
      </c>
      <c r="Y1098" t="b">
        <f>IF(X1098&lt;&gt;"",VLOOKUP(X1098,game_rosters!$C$43:$E$64,3,FALSE))</f>
        <v>0</v>
      </c>
      <c r="Z1098" t="e" cm="1" vm="1">
        <f t="array" aca="1" ref="Z1098" ca="1">IFERROR(IF(_xlfn._xlws.FILTER(game_rosters!$J:$J,(game_rosters!$G:$G=events!$AN1098)*(game_rosters!$J:$J=events!$X1098))&gt;0,1,""),"")</f>
        <v>#VALUE!</v>
      </c>
      <c r="AA1098">
        <f t="shared" si="147"/>
        <v>1000</v>
      </c>
      <c r="AB1098" t="str">
        <f t="shared" si="148"/>
        <v/>
      </c>
      <c r="AC1098">
        <f t="shared" si="149"/>
        <v>1000</v>
      </c>
      <c r="AD1098" s="6"/>
    </row>
    <row r="1099" spans="1:30" x14ac:dyDescent="0.2">
      <c r="A1099" t="str">
        <f t="shared" si="150"/>
        <v/>
      </c>
      <c r="X1099" t="str" cm="1">
        <f t="array" ref="X1099">IF(S1099="","",IF($I1099&lt;&gt;"",$I1099,INDEX($I$2:$I1098,ROW()-COUNTIFS($T$2:$T1098,"="&amp;$T1099,$S$2:$S1098,"&lt;&gt;"&amp;$S1099)-1)))</f>
        <v/>
      </c>
      <c r="Y1099" t="b">
        <f>IF(X1099&lt;&gt;"",VLOOKUP(X1099,game_rosters!$C$43:$E$64,3,FALSE))</f>
        <v>0</v>
      </c>
      <c r="Z1099" t="e" cm="1" vm="1">
        <f t="array" aca="1" ref="Z1099" ca="1">IFERROR(IF(_xlfn._xlws.FILTER(game_rosters!$J:$J,(game_rosters!$G:$G=events!$AN1099)*(game_rosters!$J:$J=events!$X1099))&gt;0,1,""),"")</f>
        <v>#VALUE!</v>
      </c>
      <c r="AA1099">
        <f t="shared" si="147"/>
        <v>1000</v>
      </c>
      <c r="AB1099" t="str">
        <f t="shared" si="148"/>
        <v/>
      </c>
      <c r="AC1099">
        <f t="shared" si="149"/>
        <v>1000</v>
      </c>
      <c r="AD1099" s="6"/>
    </row>
    <row r="1100" spans="1:30" x14ac:dyDescent="0.2">
      <c r="A1100" t="str">
        <f t="shared" si="150"/>
        <v/>
      </c>
      <c r="X1100" t="str" cm="1">
        <f t="array" ref="X1100">IF(S1100="","",IF($I1100&lt;&gt;"",$I1100,INDEX($I$2:$I1099,ROW()-COUNTIFS($T$2:$T1099,"="&amp;$T1100,$S$2:$S1099,"&lt;&gt;"&amp;$S1100)-1)))</f>
        <v/>
      </c>
      <c r="Y1100" t="b">
        <f>IF(X1100&lt;&gt;"",VLOOKUP(X1100,game_rosters!$C$43:$E$64,3,FALSE))</f>
        <v>0</v>
      </c>
      <c r="Z1100" t="e" cm="1" vm="1">
        <f t="array" aca="1" ref="Z1100" ca="1">IFERROR(IF(_xlfn._xlws.FILTER(game_rosters!$J:$J,(game_rosters!$G:$G=events!$AN1100)*(game_rosters!$J:$J=events!$X1100))&gt;0,1,""),"")</f>
        <v>#VALUE!</v>
      </c>
      <c r="AA1100">
        <f t="shared" si="147"/>
        <v>1000</v>
      </c>
      <c r="AB1100" t="str">
        <f t="shared" si="148"/>
        <v/>
      </c>
      <c r="AC1100">
        <f t="shared" si="149"/>
        <v>1000</v>
      </c>
      <c r="AD1100" s="6"/>
    </row>
    <row r="1101" spans="1:30" x14ac:dyDescent="0.2">
      <c r="A1101" t="str">
        <f t="shared" si="150"/>
        <v/>
      </c>
      <c r="X1101" t="str" cm="1">
        <f t="array" ref="X1101">IF(S1101="","",IF($I1101&lt;&gt;"",$I1101,INDEX($I$2:$I1100,ROW()-COUNTIFS($T$2:$T1100,"="&amp;$T1101,$S$2:$S1100,"&lt;&gt;"&amp;$S1101)-1)))</f>
        <v/>
      </c>
      <c r="Y1101" t="b">
        <f>IF(X1101&lt;&gt;"",VLOOKUP(X1101,game_rosters!$C$43:$E$64,3,FALSE))</f>
        <v>0</v>
      </c>
      <c r="Z1101" t="e" cm="1" vm="1">
        <f t="array" aca="1" ref="Z1101" ca="1">IFERROR(IF(_xlfn._xlws.FILTER(game_rosters!$J:$J,(game_rosters!$G:$G=events!$AN1101)*(game_rosters!$J:$J=events!$X1101))&gt;0,1,""),"")</f>
        <v>#VALUE!</v>
      </c>
      <c r="AA1101">
        <f t="shared" si="147"/>
        <v>1000</v>
      </c>
      <c r="AB1101" t="str">
        <f t="shared" si="148"/>
        <v/>
      </c>
      <c r="AC1101">
        <f t="shared" si="149"/>
        <v>1000</v>
      </c>
      <c r="AD1101" s="6"/>
    </row>
    <row r="1102" spans="1:30" x14ac:dyDescent="0.2">
      <c r="A1102" t="str">
        <f t="shared" si="150"/>
        <v/>
      </c>
      <c r="X1102" t="str" cm="1">
        <f t="array" ref="X1102">IF(S1102="","",IF($I1102&lt;&gt;"",$I1102,INDEX($I$2:$I1101,ROW()-COUNTIFS($T$2:$T1101,"="&amp;$T1102,$S$2:$S1101,"&lt;&gt;"&amp;$S1102)-1)))</f>
        <v/>
      </c>
      <c r="Y1102" t="b">
        <f>IF(X1102&lt;&gt;"",VLOOKUP(X1102,game_rosters!$C$43:$E$64,3,FALSE))</f>
        <v>0</v>
      </c>
      <c r="Z1102" t="e" cm="1" vm="1">
        <f t="array" aca="1" ref="Z1102" ca="1">IFERROR(IF(_xlfn._xlws.FILTER(game_rosters!$J:$J,(game_rosters!$G:$G=events!$AN1102)*(game_rosters!$J:$J=events!$X1102))&gt;0,1,""),"")</f>
        <v>#VALUE!</v>
      </c>
      <c r="AA1102">
        <f t="shared" si="147"/>
        <v>1000</v>
      </c>
      <c r="AB1102" t="str">
        <f t="shared" si="148"/>
        <v/>
      </c>
      <c r="AC1102">
        <f t="shared" si="149"/>
        <v>1000</v>
      </c>
      <c r="AD1102" s="6"/>
    </row>
    <row r="1103" spans="1:30" x14ac:dyDescent="0.2">
      <c r="A1103" t="str">
        <f t="shared" si="150"/>
        <v/>
      </c>
      <c r="X1103" t="str" cm="1">
        <f t="array" ref="X1103">IF(S1103="","",IF($I1103&lt;&gt;"",$I1103,INDEX($I$2:$I1102,ROW()-COUNTIFS($T$2:$T1102,"="&amp;$T1103,$S$2:$S1102,"&lt;&gt;"&amp;$S1103)-1)))</f>
        <v/>
      </c>
      <c r="Y1103" t="b">
        <f>IF(X1103&lt;&gt;"",VLOOKUP(X1103,game_rosters!$C$43:$E$64,3,FALSE))</f>
        <v>0</v>
      </c>
      <c r="Z1103" t="e" cm="1" vm="1">
        <f t="array" aca="1" ref="Z1103" ca="1">IFERROR(IF(_xlfn._xlws.FILTER(game_rosters!$J:$J,(game_rosters!$G:$G=events!$AN1103)*(game_rosters!$J:$J=events!$X1103))&gt;0,1,""),"")</f>
        <v>#VALUE!</v>
      </c>
      <c r="AA1103">
        <f t="shared" si="147"/>
        <v>1000</v>
      </c>
      <c r="AB1103" t="str">
        <f t="shared" si="148"/>
        <v/>
      </c>
      <c r="AC1103">
        <f t="shared" si="149"/>
        <v>1000</v>
      </c>
      <c r="AD1103" s="6"/>
    </row>
    <row r="1104" spans="1:30" x14ac:dyDescent="0.2">
      <c r="A1104" t="str">
        <f t="shared" si="150"/>
        <v/>
      </c>
      <c r="X1104" t="str" cm="1">
        <f t="array" ref="X1104">IF(S1104="","",IF($I1104&lt;&gt;"",$I1104,INDEX($I$2:$I1103,ROW()-COUNTIFS($T$2:$T1103,"="&amp;$T1104,$S$2:$S1103,"&lt;&gt;"&amp;$S1104)-1)))</f>
        <v/>
      </c>
      <c r="Y1104" t="b">
        <f>IF(X1104&lt;&gt;"",VLOOKUP(X1104,game_rosters!$C$43:$E$64,3,FALSE))</f>
        <v>0</v>
      </c>
      <c r="Z1104" t="e" cm="1" vm="1">
        <f t="array" aca="1" ref="Z1104" ca="1">IFERROR(IF(_xlfn._xlws.FILTER(game_rosters!$J:$J,(game_rosters!$G:$G=events!$AN1104)*(game_rosters!$J:$J=events!$X1104))&gt;0,1,""),"")</f>
        <v>#VALUE!</v>
      </c>
      <c r="AA1104">
        <f t="shared" si="147"/>
        <v>1000</v>
      </c>
      <c r="AB1104" t="str">
        <f t="shared" si="148"/>
        <v/>
      </c>
      <c r="AC1104">
        <f t="shared" si="149"/>
        <v>1000</v>
      </c>
      <c r="AD1104" s="6"/>
    </row>
    <row r="1105" spans="1:30" x14ac:dyDescent="0.2">
      <c r="A1105" t="str">
        <f t="shared" si="150"/>
        <v/>
      </c>
      <c r="X1105" t="str" cm="1">
        <f t="array" ref="X1105">IF(S1105="","",IF($I1105&lt;&gt;"",$I1105,INDEX($I$2:$I1104,ROW()-COUNTIFS($T$2:$T1104,"="&amp;$T1105,$S$2:$S1104,"&lt;&gt;"&amp;$S1105)-1)))</f>
        <v/>
      </c>
      <c r="Y1105" t="b">
        <f>IF(X1105&lt;&gt;"",VLOOKUP(X1105,game_rosters!$C$43:$E$64,3,FALSE))</f>
        <v>0</v>
      </c>
      <c r="Z1105" t="e" cm="1" vm="1">
        <f t="array" aca="1" ref="Z1105" ca="1">IFERROR(IF(_xlfn._xlws.FILTER(game_rosters!$J:$J,(game_rosters!$G:$G=events!$AN1105)*(game_rosters!$J:$J=events!$X1105))&gt;0,1,""),"")</f>
        <v>#VALUE!</v>
      </c>
      <c r="AA1105">
        <f t="shared" si="147"/>
        <v>1000</v>
      </c>
      <c r="AB1105" t="str">
        <f t="shared" si="148"/>
        <v/>
      </c>
      <c r="AC1105">
        <f t="shared" si="149"/>
        <v>1000</v>
      </c>
      <c r="AD1105" s="6"/>
    </row>
    <row r="1106" spans="1:30" x14ac:dyDescent="0.2">
      <c r="A1106" t="str">
        <f t="shared" si="150"/>
        <v/>
      </c>
      <c r="X1106" t="str" cm="1">
        <f t="array" ref="X1106">IF(S1106="","",IF($I1106&lt;&gt;"",$I1106,INDEX($I$2:$I1105,ROW()-COUNTIFS($T$2:$T1105,"="&amp;$T1106,$S$2:$S1105,"&lt;&gt;"&amp;$S1106)-1)))</f>
        <v/>
      </c>
      <c r="Y1106" t="b">
        <f>IF(X1106&lt;&gt;"",VLOOKUP(X1106,game_rosters!$C$43:$E$64,3,FALSE))</f>
        <v>0</v>
      </c>
      <c r="Z1106" t="e" cm="1" vm="1">
        <f t="array" aca="1" ref="Z1106" ca="1">IFERROR(IF(_xlfn._xlws.FILTER(game_rosters!$J:$J,(game_rosters!$G:$G=events!$AN1106)*(game_rosters!$J:$J=events!$X1106))&gt;0,1,""),"")</f>
        <v>#VALUE!</v>
      </c>
      <c r="AA1106">
        <f t="shared" si="147"/>
        <v>1000</v>
      </c>
      <c r="AB1106" t="str">
        <f t="shared" si="148"/>
        <v/>
      </c>
      <c r="AC1106">
        <f t="shared" si="149"/>
        <v>1000</v>
      </c>
      <c r="AD1106" s="6"/>
    </row>
    <row r="1107" spans="1:30" x14ac:dyDescent="0.2">
      <c r="A1107" t="str">
        <f t="shared" si="150"/>
        <v/>
      </c>
      <c r="X1107" t="str" cm="1">
        <f t="array" ref="X1107">IF(S1107="","",IF($I1107&lt;&gt;"",$I1107,INDEX($I$2:$I1106,ROW()-COUNTIFS($T$2:$T1106,"="&amp;$T1107,$S$2:$S1106,"&lt;&gt;"&amp;$S1107)-1)))</f>
        <v/>
      </c>
      <c r="Y1107" t="b">
        <f>IF(X1107&lt;&gt;"",VLOOKUP(X1107,game_rosters!$C$43:$E$64,3,FALSE))</f>
        <v>0</v>
      </c>
      <c r="Z1107" t="e" cm="1" vm="1">
        <f t="array" aca="1" ref="Z1107" ca="1">IFERROR(IF(_xlfn._xlws.FILTER(game_rosters!$J:$J,(game_rosters!$G:$G=events!$AN1107)*(game_rosters!$J:$J=events!$X1107))&gt;0,1,""),"")</f>
        <v>#VALUE!</v>
      </c>
      <c r="AA1107">
        <f t="shared" si="147"/>
        <v>1000</v>
      </c>
      <c r="AB1107" t="str">
        <f t="shared" si="148"/>
        <v/>
      </c>
      <c r="AC1107">
        <f t="shared" si="149"/>
        <v>1000</v>
      </c>
      <c r="AD1107" s="6"/>
    </row>
    <row r="1108" spans="1:30" x14ac:dyDescent="0.2">
      <c r="A1108" t="str">
        <f t="shared" si="150"/>
        <v/>
      </c>
      <c r="X1108" t="str" cm="1">
        <f t="array" ref="X1108">IF(S1108="","",IF($I1108&lt;&gt;"",$I1108,INDEX($I$2:$I1107,ROW()-COUNTIFS($T$2:$T1107,"="&amp;$T1108,$S$2:$S1107,"&lt;&gt;"&amp;$S1108)-1)))</f>
        <v/>
      </c>
      <c r="Y1108" t="b">
        <f>IF(X1108&lt;&gt;"",VLOOKUP(X1108,game_rosters!$C$43:$E$64,3,FALSE))</f>
        <v>0</v>
      </c>
      <c r="Z1108" t="e" cm="1" vm="1">
        <f t="array" aca="1" ref="Z1108" ca="1">IFERROR(IF(_xlfn._xlws.FILTER(game_rosters!$J:$J,(game_rosters!$G:$G=events!$AN1108)*(game_rosters!$J:$J=events!$X1108))&gt;0,1,""),"")</f>
        <v>#VALUE!</v>
      </c>
      <c r="AA1108">
        <f t="shared" si="147"/>
        <v>1000</v>
      </c>
      <c r="AB1108" t="str">
        <f t="shared" si="148"/>
        <v/>
      </c>
      <c r="AC1108">
        <f t="shared" si="149"/>
        <v>1000</v>
      </c>
      <c r="AD1108" s="6"/>
    </row>
    <row r="1109" spans="1:30" x14ac:dyDescent="0.2">
      <c r="A1109" t="str">
        <f t="shared" si="150"/>
        <v/>
      </c>
      <c r="X1109" t="str" cm="1">
        <f t="array" ref="X1109">IF(S1109="","",IF($I1109&lt;&gt;"",$I1109,INDEX($I$2:$I1108,ROW()-COUNTIFS($T$2:$T1108,"="&amp;$T1109,$S$2:$S1108,"&lt;&gt;"&amp;$S1109)-1)))</f>
        <v/>
      </c>
      <c r="Y1109" t="b">
        <f>IF(X1109&lt;&gt;"",VLOOKUP(X1109,game_rosters!$C$43:$E$64,3,FALSE))</f>
        <v>0</v>
      </c>
      <c r="Z1109" t="e" cm="1" vm="1">
        <f t="array" aca="1" ref="Z1109" ca="1">IFERROR(IF(_xlfn._xlws.FILTER(game_rosters!$J:$J,(game_rosters!$G:$G=events!$AN1109)*(game_rosters!$J:$J=events!$X1109))&gt;0,1,""),"")</f>
        <v>#VALUE!</v>
      </c>
      <c r="AA1109">
        <f t="shared" si="147"/>
        <v>1000</v>
      </c>
      <c r="AB1109" t="str">
        <f t="shared" si="148"/>
        <v/>
      </c>
      <c r="AC1109">
        <f t="shared" si="149"/>
        <v>1000</v>
      </c>
      <c r="AD1109" s="6"/>
    </row>
    <row r="1110" spans="1:30" x14ac:dyDescent="0.2">
      <c r="A1110" t="str">
        <f t="shared" si="150"/>
        <v/>
      </c>
      <c r="X1110" t="str" cm="1">
        <f t="array" ref="X1110">IF(S1110="","",IF($I1110&lt;&gt;"",$I1110,INDEX($I$2:$I1109,ROW()-COUNTIFS($T$2:$T1109,"="&amp;$T1110,$S$2:$S1109,"&lt;&gt;"&amp;$S1110)-1)))</f>
        <v/>
      </c>
      <c r="Y1110" t="b">
        <f>IF(X1110&lt;&gt;"",VLOOKUP(X1110,game_rosters!$C$43:$E$64,3,FALSE))</f>
        <v>0</v>
      </c>
      <c r="Z1110" t="e" cm="1" vm="1">
        <f t="array" aca="1" ref="Z1110" ca="1">IFERROR(IF(_xlfn._xlws.FILTER(game_rosters!$J:$J,(game_rosters!$G:$G=events!$AN1110)*(game_rosters!$J:$J=events!$X1110))&gt;0,1,""),"")</f>
        <v>#VALUE!</v>
      </c>
      <c r="AA1110">
        <f t="shared" si="147"/>
        <v>1000</v>
      </c>
      <c r="AB1110" t="str">
        <f t="shared" si="148"/>
        <v/>
      </c>
      <c r="AC1110">
        <f t="shared" si="149"/>
        <v>1000</v>
      </c>
      <c r="AD1110" s="6"/>
    </row>
    <row r="1111" spans="1:30" x14ac:dyDescent="0.2">
      <c r="A1111" t="str">
        <f t="shared" si="150"/>
        <v/>
      </c>
      <c r="X1111" t="str" cm="1">
        <f t="array" ref="X1111">IF(S1111="","",IF($I1111&lt;&gt;"",$I1111,INDEX($I$2:$I1110,ROW()-COUNTIFS($T$2:$T1110,"="&amp;$T1111,$S$2:$S1110,"&lt;&gt;"&amp;$S1111)-1)))</f>
        <v/>
      </c>
      <c r="Y1111" t="b">
        <f>IF(X1111&lt;&gt;"",VLOOKUP(X1111,game_rosters!$C$43:$E$64,3,FALSE))</f>
        <v>0</v>
      </c>
      <c r="Z1111" t="e" cm="1" vm="1">
        <f t="array" aca="1" ref="Z1111" ca="1">IFERROR(IF(_xlfn._xlws.FILTER(game_rosters!$J:$J,(game_rosters!$G:$G=events!$AN1111)*(game_rosters!$J:$J=events!$X1111))&gt;0,1,""),"")</f>
        <v>#VALUE!</v>
      </c>
      <c r="AA1111">
        <f t="shared" si="147"/>
        <v>1000</v>
      </c>
      <c r="AB1111" t="str">
        <f t="shared" si="148"/>
        <v/>
      </c>
      <c r="AC1111">
        <f t="shared" si="149"/>
        <v>1000</v>
      </c>
      <c r="AD1111" s="6"/>
    </row>
    <row r="1112" spans="1:30" x14ac:dyDescent="0.2">
      <c r="A1112" t="str">
        <f t="shared" si="150"/>
        <v/>
      </c>
      <c r="X1112" t="str" cm="1">
        <f t="array" ref="X1112">IF(S1112="","",IF($I1112&lt;&gt;"",$I1112,INDEX($I$2:$I1111,ROW()-COUNTIFS($T$2:$T1111,"="&amp;$T1112,$S$2:$S1111,"&lt;&gt;"&amp;$S1112)-1)))</f>
        <v/>
      </c>
      <c r="Y1112" t="b">
        <f>IF(X1112&lt;&gt;"",VLOOKUP(X1112,game_rosters!$C$43:$E$64,3,FALSE))</f>
        <v>0</v>
      </c>
      <c r="Z1112" t="e" cm="1" vm="1">
        <f t="array" aca="1" ref="Z1112" ca="1">IFERROR(IF(_xlfn._xlws.FILTER(game_rosters!$J:$J,(game_rosters!$G:$G=events!$AN1112)*(game_rosters!$J:$J=events!$X1112))&gt;0,1,""),"")</f>
        <v>#VALUE!</v>
      </c>
      <c r="AA1112">
        <f t="shared" si="147"/>
        <v>1000</v>
      </c>
      <c r="AB1112" t="str">
        <f t="shared" si="148"/>
        <v/>
      </c>
      <c r="AC1112">
        <f t="shared" si="149"/>
        <v>1000</v>
      </c>
      <c r="AD1112" s="6"/>
    </row>
    <row r="1113" spans="1:30" x14ac:dyDescent="0.2">
      <c r="A1113" t="str">
        <f t="shared" si="150"/>
        <v/>
      </c>
      <c r="X1113" t="str" cm="1">
        <f t="array" ref="X1113">IF(S1113="","",IF($I1113&lt;&gt;"",$I1113,INDEX($I$2:$I1112,ROW()-COUNTIFS($T$2:$T1112,"="&amp;$T1113,$S$2:$S1112,"&lt;&gt;"&amp;$S1113)-1)))</f>
        <v/>
      </c>
      <c r="Y1113" t="b">
        <f>IF(X1113&lt;&gt;"",VLOOKUP(X1113,game_rosters!$C$43:$E$64,3,FALSE))</f>
        <v>0</v>
      </c>
      <c r="Z1113" t="e" cm="1" vm="1">
        <f t="array" aca="1" ref="Z1113" ca="1">IFERROR(IF(_xlfn._xlws.FILTER(game_rosters!$J:$J,(game_rosters!$G:$G=events!$AN1113)*(game_rosters!$J:$J=events!$X1113))&gt;0,1,""),"")</f>
        <v>#VALUE!</v>
      </c>
      <c r="AA1113">
        <f t="shared" si="147"/>
        <v>1000</v>
      </c>
      <c r="AB1113" t="str">
        <f t="shared" si="148"/>
        <v/>
      </c>
      <c r="AC1113">
        <f t="shared" si="149"/>
        <v>1000</v>
      </c>
      <c r="AD1113" s="6"/>
    </row>
    <row r="1114" spans="1:30" x14ac:dyDescent="0.2">
      <c r="A1114" t="str">
        <f t="shared" si="150"/>
        <v/>
      </c>
      <c r="X1114" t="str" cm="1">
        <f t="array" ref="X1114">IF(S1114="","",IF($I1114&lt;&gt;"",$I1114,INDEX($I$2:$I1113,ROW()-COUNTIFS($T$2:$T1113,"="&amp;$T1114,$S$2:$S1113,"&lt;&gt;"&amp;$S1114)-1)))</f>
        <v/>
      </c>
      <c r="Y1114" t="b">
        <f>IF(X1114&lt;&gt;"",VLOOKUP(X1114,game_rosters!$C$43:$E$64,3,FALSE))</f>
        <v>0</v>
      </c>
      <c r="Z1114" t="e" cm="1" vm="1">
        <f t="array" aca="1" ref="Z1114" ca="1">IFERROR(IF(_xlfn._xlws.FILTER(game_rosters!$J:$J,(game_rosters!$G:$G=events!$AN1114)*(game_rosters!$J:$J=events!$X1114))&gt;0,1,""),"")</f>
        <v>#VALUE!</v>
      </c>
      <c r="AA1114">
        <f t="shared" si="147"/>
        <v>1000</v>
      </c>
      <c r="AB1114" t="str">
        <f t="shared" si="148"/>
        <v/>
      </c>
      <c r="AC1114">
        <f t="shared" si="149"/>
        <v>1000</v>
      </c>
      <c r="AD1114" s="6"/>
    </row>
    <row r="1115" spans="1:30" x14ac:dyDescent="0.2">
      <c r="A1115" t="str">
        <f t="shared" si="150"/>
        <v/>
      </c>
      <c r="X1115" t="str" cm="1">
        <f t="array" ref="X1115">IF(S1115="","",IF($I1115&lt;&gt;"",$I1115,INDEX($I$2:$I1114,ROW()-COUNTIFS($T$2:$T1114,"="&amp;$T1115,$S$2:$S1114,"&lt;&gt;"&amp;$S1115)-1)))</f>
        <v/>
      </c>
      <c r="Y1115" t="b">
        <f>IF(X1115&lt;&gt;"",VLOOKUP(X1115,game_rosters!$C$43:$E$64,3,FALSE))</f>
        <v>0</v>
      </c>
      <c r="Z1115" t="e" cm="1" vm="1">
        <f t="array" aca="1" ref="Z1115" ca="1">IFERROR(IF(_xlfn._xlws.FILTER(game_rosters!$J:$J,(game_rosters!$G:$G=events!$AN1115)*(game_rosters!$J:$J=events!$X1115))&gt;0,1,""),"")</f>
        <v>#VALUE!</v>
      </c>
      <c r="AA1115">
        <f t="shared" si="147"/>
        <v>1000</v>
      </c>
      <c r="AB1115" t="str">
        <f t="shared" si="148"/>
        <v/>
      </c>
      <c r="AC1115">
        <f t="shared" si="149"/>
        <v>1000</v>
      </c>
      <c r="AD1115" s="6"/>
    </row>
    <row r="1116" spans="1:30" x14ac:dyDescent="0.2">
      <c r="A1116" t="str">
        <f t="shared" si="150"/>
        <v/>
      </c>
      <c r="X1116" t="str" cm="1">
        <f t="array" ref="X1116">IF(S1116="","",IF($I1116&lt;&gt;"",$I1116,INDEX($I$2:$I1115,ROW()-COUNTIFS($T$2:$T1115,"="&amp;$T1116,$S$2:$S1115,"&lt;&gt;"&amp;$S1116)-1)))</f>
        <v/>
      </c>
      <c r="Y1116" t="b">
        <f>IF(X1116&lt;&gt;"",VLOOKUP(X1116,game_rosters!$C$43:$E$64,3,FALSE))</f>
        <v>0</v>
      </c>
      <c r="Z1116" t="e" cm="1" vm="1">
        <f t="array" aca="1" ref="Z1116" ca="1">IFERROR(IF(_xlfn._xlws.FILTER(game_rosters!$J:$J,(game_rosters!$G:$G=events!$AN1116)*(game_rosters!$J:$J=events!$X1116))&gt;0,1,""),"")</f>
        <v>#VALUE!</v>
      </c>
      <c r="AA1116">
        <f t="shared" si="147"/>
        <v>1000</v>
      </c>
      <c r="AB1116" t="str">
        <f t="shared" si="148"/>
        <v/>
      </c>
      <c r="AC1116">
        <f t="shared" si="149"/>
        <v>1000</v>
      </c>
      <c r="AD1116" s="6"/>
    </row>
    <row r="1117" spans="1:30" x14ac:dyDescent="0.2">
      <c r="A1117" t="str">
        <f t="shared" si="150"/>
        <v/>
      </c>
      <c r="X1117" t="str" cm="1">
        <f t="array" ref="X1117">IF(S1117="","",IF($I1117&lt;&gt;"",$I1117,INDEX($I$2:$I1116,ROW()-COUNTIFS($T$2:$T1116,"="&amp;$T1117,$S$2:$S1116,"&lt;&gt;"&amp;$S1117)-1)))</f>
        <v/>
      </c>
      <c r="Y1117" t="b">
        <f>IF(X1117&lt;&gt;"",VLOOKUP(X1117,game_rosters!$C$43:$E$64,3,FALSE))</f>
        <v>0</v>
      </c>
      <c r="Z1117" t="e" cm="1" vm="1">
        <f t="array" aca="1" ref="Z1117" ca="1">IFERROR(IF(_xlfn._xlws.FILTER(game_rosters!$J:$J,(game_rosters!$G:$G=events!$AN1117)*(game_rosters!$J:$J=events!$X1117))&gt;0,1,""),"")</f>
        <v>#VALUE!</v>
      </c>
      <c r="AA1117">
        <f t="shared" ref="AA1117:AA1180" si="151">S1117+1000</f>
        <v>1000</v>
      </c>
      <c r="AB1117" t="str">
        <f t="shared" ref="AB1117:AB1180" si="152">IF(T1117&lt;&gt;"",9000+T1117,"")</f>
        <v/>
      </c>
      <c r="AC1117">
        <f t="shared" si="149"/>
        <v>1000</v>
      </c>
      <c r="AD1117" s="6"/>
    </row>
    <row r="1118" spans="1:30" x14ac:dyDescent="0.2">
      <c r="A1118" t="str">
        <f t="shared" si="150"/>
        <v/>
      </c>
      <c r="X1118" t="str" cm="1">
        <f t="array" ref="X1118">IF(S1118="","",IF($I1118&lt;&gt;"",$I1118,INDEX($I$2:$I1117,ROW()-COUNTIFS($T$2:$T1117,"="&amp;$T1118,$S$2:$S1117,"&lt;&gt;"&amp;$S1118)-1)))</f>
        <v/>
      </c>
      <c r="Y1118" t="b">
        <f>IF(X1118&lt;&gt;"",VLOOKUP(X1118,game_rosters!$C$43:$E$64,3,FALSE))</f>
        <v>0</v>
      </c>
      <c r="Z1118" t="e" cm="1" vm="1">
        <f t="array" aca="1" ref="Z1118" ca="1">IFERROR(IF(_xlfn._xlws.FILTER(game_rosters!$J:$J,(game_rosters!$G:$G=events!$AN1118)*(game_rosters!$J:$J=events!$X1118))&gt;0,1,""),"")</f>
        <v>#VALUE!</v>
      </c>
      <c r="AA1118">
        <f t="shared" si="151"/>
        <v>1000</v>
      </c>
      <c r="AB1118" t="str">
        <f t="shared" si="152"/>
        <v/>
      </c>
      <c r="AC1118">
        <f t="shared" si="149"/>
        <v>1000</v>
      </c>
      <c r="AD1118" s="6"/>
    </row>
    <row r="1119" spans="1:30" x14ac:dyDescent="0.2">
      <c r="A1119" t="str">
        <f t="shared" si="150"/>
        <v/>
      </c>
      <c r="X1119" t="str" cm="1">
        <f t="array" ref="X1119">IF(S1119="","",IF($I1119&lt;&gt;"",$I1119,INDEX($I$2:$I1118,ROW()-COUNTIFS($T$2:$T1118,"="&amp;$T1119,$S$2:$S1118,"&lt;&gt;"&amp;$S1119)-1)))</f>
        <v/>
      </c>
      <c r="Y1119" t="b">
        <f>IF(X1119&lt;&gt;"",VLOOKUP(X1119,game_rosters!$C$43:$E$64,3,FALSE))</f>
        <v>0</v>
      </c>
      <c r="Z1119" t="e" cm="1" vm="1">
        <f t="array" aca="1" ref="Z1119" ca="1">IFERROR(IF(_xlfn._xlws.FILTER(game_rosters!$J:$J,(game_rosters!$G:$G=events!$AN1119)*(game_rosters!$J:$J=events!$X1119))&gt;0,1,""),"")</f>
        <v>#VALUE!</v>
      </c>
      <c r="AA1119">
        <f t="shared" si="151"/>
        <v>1000</v>
      </c>
      <c r="AB1119" t="str">
        <f t="shared" si="152"/>
        <v/>
      </c>
      <c r="AC1119">
        <f t="shared" si="149"/>
        <v>1000</v>
      </c>
      <c r="AD1119" s="6"/>
    </row>
    <row r="1120" spans="1:30" x14ac:dyDescent="0.2">
      <c r="A1120" t="str">
        <f t="shared" si="150"/>
        <v/>
      </c>
      <c r="X1120" t="str" cm="1">
        <f t="array" ref="X1120">IF(S1120="","",IF($I1120&lt;&gt;"",$I1120,INDEX($I$2:$I1119,ROW()-COUNTIFS($T$2:$T1119,"="&amp;$T1120,$S$2:$S1119,"&lt;&gt;"&amp;$S1120)-1)))</f>
        <v/>
      </c>
      <c r="Y1120" t="b">
        <f>IF(X1120&lt;&gt;"",VLOOKUP(X1120,game_rosters!$C$43:$E$64,3,FALSE))</f>
        <v>0</v>
      </c>
      <c r="Z1120" t="e" cm="1" vm="1">
        <f t="array" aca="1" ref="Z1120" ca="1">IFERROR(IF(_xlfn._xlws.FILTER(game_rosters!$J:$J,(game_rosters!$G:$G=events!$AN1120)*(game_rosters!$J:$J=events!$X1120))&gt;0,1,""),"")</f>
        <v>#VALUE!</v>
      </c>
      <c r="AA1120">
        <f t="shared" si="151"/>
        <v>1000</v>
      </c>
      <c r="AB1120" t="str">
        <f t="shared" si="152"/>
        <v/>
      </c>
      <c r="AC1120">
        <f t="shared" si="149"/>
        <v>1000</v>
      </c>
      <c r="AD1120" s="6"/>
    </row>
    <row r="1121" spans="1:30" x14ac:dyDescent="0.2">
      <c r="A1121" t="str">
        <f t="shared" si="150"/>
        <v/>
      </c>
      <c r="X1121" t="str" cm="1">
        <f t="array" ref="X1121">IF(S1121="","",IF($I1121&lt;&gt;"",$I1121,INDEX($I$2:$I1120,ROW()-COUNTIFS($T$2:$T1120,"="&amp;$T1121,$S$2:$S1120,"&lt;&gt;"&amp;$S1121)-1)))</f>
        <v/>
      </c>
      <c r="Y1121" t="b">
        <f>IF(X1121&lt;&gt;"",VLOOKUP(X1121,game_rosters!$C$43:$E$64,3,FALSE))</f>
        <v>0</v>
      </c>
      <c r="Z1121" t="e" cm="1" vm="1">
        <f t="array" aca="1" ref="Z1121" ca="1">IFERROR(IF(_xlfn._xlws.FILTER(game_rosters!$J:$J,(game_rosters!$G:$G=events!$AN1121)*(game_rosters!$J:$J=events!$X1121))&gt;0,1,""),"")</f>
        <v>#VALUE!</v>
      </c>
      <c r="AA1121">
        <f t="shared" si="151"/>
        <v>1000</v>
      </c>
      <c r="AB1121" t="str">
        <f t="shared" si="152"/>
        <v/>
      </c>
      <c r="AC1121">
        <f t="shared" si="149"/>
        <v>1000</v>
      </c>
      <c r="AD1121" s="6"/>
    </row>
    <row r="1122" spans="1:30" x14ac:dyDescent="0.2">
      <c r="A1122" t="str">
        <f t="shared" si="150"/>
        <v/>
      </c>
      <c r="X1122" t="str" cm="1">
        <f t="array" ref="X1122">IF(S1122="","",IF($I1122&lt;&gt;"",$I1122,INDEX($I$2:$I1121,ROW()-COUNTIFS($T$2:$T1121,"="&amp;$T1122,$S$2:$S1121,"&lt;&gt;"&amp;$S1122)-1)))</f>
        <v/>
      </c>
      <c r="Y1122" t="b">
        <f>IF(X1122&lt;&gt;"",VLOOKUP(X1122,game_rosters!$C$43:$E$64,3,FALSE))</f>
        <v>0</v>
      </c>
      <c r="Z1122" t="e" cm="1" vm="1">
        <f t="array" aca="1" ref="Z1122" ca="1">IFERROR(IF(_xlfn._xlws.FILTER(game_rosters!$J:$J,(game_rosters!$G:$G=events!$AN1122)*(game_rosters!$J:$J=events!$X1122))&gt;0,1,""),"")</f>
        <v>#VALUE!</v>
      </c>
      <c r="AA1122">
        <f t="shared" si="151"/>
        <v>1000</v>
      </c>
      <c r="AB1122" t="str">
        <f t="shared" si="152"/>
        <v/>
      </c>
      <c r="AC1122">
        <f t="shared" si="149"/>
        <v>1000</v>
      </c>
      <c r="AD1122" s="6"/>
    </row>
    <row r="1123" spans="1:30" x14ac:dyDescent="0.2">
      <c r="A1123" t="str">
        <f t="shared" si="150"/>
        <v/>
      </c>
      <c r="X1123" t="str" cm="1">
        <f t="array" ref="X1123">IF(S1123="","",IF($I1123&lt;&gt;"",$I1123,INDEX($I$2:$I1122,ROW()-COUNTIFS($T$2:$T1122,"="&amp;$T1123,$S$2:$S1122,"&lt;&gt;"&amp;$S1123)-1)))</f>
        <v/>
      </c>
      <c r="Y1123" t="b">
        <f>IF(X1123&lt;&gt;"",VLOOKUP(X1123,game_rosters!$C$43:$E$64,3,FALSE))</f>
        <v>0</v>
      </c>
      <c r="Z1123" t="e" cm="1" vm="1">
        <f t="array" aca="1" ref="Z1123" ca="1">IFERROR(IF(_xlfn._xlws.FILTER(game_rosters!$J:$J,(game_rosters!$G:$G=events!$AN1123)*(game_rosters!$J:$J=events!$X1123))&gt;0,1,""),"")</f>
        <v>#VALUE!</v>
      </c>
      <c r="AA1123">
        <f t="shared" si="151"/>
        <v>1000</v>
      </c>
      <c r="AB1123" t="str">
        <f t="shared" si="152"/>
        <v/>
      </c>
      <c r="AC1123">
        <f t="shared" si="149"/>
        <v>1000</v>
      </c>
      <c r="AD1123" s="6"/>
    </row>
    <row r="1124" spans="1:30" x14ac:dyDescent="0.2">
      <c r="A1124" t="str">
        <f t="shared" si="150"/>
        <v/>
      </c>
      <c r="X1124" t="str" cm="1">
        <f t="array" ref="X1124">IF(S1124="","",IF($I1124&lt;&gt;"",$I1124,INDEX($I$2:$I1123,ROW()-COUNTIFS($T$2:$T1123,"="&amp;$T1124,$S$2:$S1123,"&lt;&gt;"&amp;$S1124)-1)))</f>
        <v/>
      </c>
      <c r="Y1124" t="b">
        <f>IF(X1124&lt;&gt;"",VLOOKUP(X1124,game_rosters!$C$43:$E$64,3,FALSE))</f>
        <v>0</v>
      </c>
      <c r="Z1124" t="e" cm="1" vm="1">
        <f t="array" aca="1" ref="Z1124" ca="1">IFERROR(IF(_xlfn._xlws.FILTER(game_rosters!$J:$J,(game_rosters!$G:$G=events!$AN1124)*(game_rosters!$J:$J=events!$X1124))&gt;0,1,""),"")</f>
        <v>#VALUE!</v>
      </c>
      <c r="AA1124">
        <f t="shared" si="151"/>
        <v>1000</v>
      </c>
      <c r="AB1124" t="str">
        <f t="shared" si="152"/>
        <v/>
      </c>
      <c r="AC1124">
        <f t="shared" si="149"/>
        <v>1000</v>
      </c>
      <c r="AD1124" s="6"/>
    </row>
    <row r="1125" spans="1:30" x14ac:dyDescent="0.2">
      <c r="A1125" t="str">
        <f t="shared" si="150"/>
        <v/>
      </c>
      <c r="X1125" t="str" cm="1">
        <f t="array" ref="X1125">IF(S1125="","",IF($I1125&lt;&gt;"",$I1125,INDEX($I$2:$I1124,ROW()-COUNTIFS($T$2:$T1124,"="&amp;$T1125,$S$2:$S1124,"&lt;&gt;"&amp;$S1125)-1)))</f>
        <v/>
      </c>
      <c r="Y1125" t="b">
        <f>IF(X1125&lt;&gt;"",VLOOKUP(X1125,game_rosters!$C$43:$E$64,3,FALSE))</f>
        <v>0</v>
      </c>
      <c r="Z1125" t="e" cm="1" vm="1">
        <f t="array" aca="1" ref="Z1125" ca="1">IFERROR(IF(_xlfn._xlws.FILTER(game_rosters!$J:$J,(game_rosters!$G:$G=events!$AN1125)*(game_rosters!$J:$J=events!$X1125))&gt;0,1,""),"")</f>
        <v>#VALUE!</v>
      </c>
      <c r="AA1125">
        <f t="shared" si="151"/>
        <v>1000</v>
      </c>
      <c r="AB1125" t="str">
        <f t="shared" si="152"/>
        <v/>
      </c>
      <c r="AC1125">
        <f t="shared" si="149"/>
        <v>1000</v>
      </c>
      <c r="AD1125" s="6"/>
    </row>
    <row r="1126" spans="1:30" x14ac:dyDescent="0.2">
      <c r="A1126" t="str">
        <f t="shared" si="150"/>
        <v/>
      </c>
      <c r="X1126" t="str" cm="1">
        <f t="array" ref="X1126">IF(S1126="","",IF($I1126&lt;&gt;"",$I1126,INDEX($I$2:$I1125,ROW()-COUNTIFS($T$2:$T1125,"="&amp;$T1126,$S$2:$S1125,"&lt;&gt;"&amp;$S1126)-1)))</f>
        <v/>
      </c>
      <c r="Y1126" t="b">
        <f>IF(X1126&lt;&gt;"",VLOOKUP(X1126,game_rosters!$C$43:$E$64,3,FALSE))</f>
        <v>0</v>
      </c>
      <c r="Z1126" t="e" cm="1" vm="1">
        <f t="array" aca="1" ref="Z1126" ca="1">IFERROR(IF(_xlfn._xlws.FILTER(game_rosters!$J:$J,(game_rosters!$G:$G=events!$AN1126)*(game_rosters!$J:$J=events!$X1126))&gt;0,1,""),"")</f>
        <v>#VALUE!</v>
      </c>
      <c r="AA1126">
        <f t="shared" si="151"/>
        <v>1000</v>
      </c>
      <c r="AB1126" t="str">
        <f t="shared" si="152"/>
        <v/>
      </c>
      <c r="AC1126">
        <f t="shared" si="149"/>
        <v>1000</v>
      </c>
      <c r="AD1126" s="6"/>
    </row>
    <row r="1127" spans="1:30" x14ac:dyDescent="0.2">
      <c r="A1127" t="str">
        <f t="shared" si="150"/>
        <v/>
      </c>
      <c r="X1127" t="str" cm="1">
        <f t="array" ref="X1127">IF(S1127="","",IF($I1127&lt;&gt;"",$I1127,INDEX($I$2:$I1126,ROW()-COUNTIFS($T$2:$T1126,"="&amp;$T1127,$S$2:$S1126,"&lt;&gt;"&amp;$S1127)-1)))</f>
        <v/>
      </c>
      <c r="Y1127" t="b">
        <f>IF(X1127&lt;&gt;"",VLOOKUP(X1127,game_rosters!$C$43:$E$64,3,FALSE))</f>
        <v>0</v>
      </c>
      <c r="Z1127" t="e" cm="1" vm="1">
        <f t="array" aca="1" ref="Z1127" ca="1">IFERROR(IF(_xlfn._xlws.FILTER(game_rosters!$J:$J,(game_rosters!$G:$G=events!$AN1127)*(game_rosters!$J:$J=events!$X1127))&gt;0,1,""),"")</f>
        <v>#VALUE!</v>
      </c>
      <c r="AA1127">
        <f t="shared" si="151"/>
        <v>1000</v>
      </c>
      <c r="AB1127" t="str">
        <f t="shared" si="152"/>
        <v/>
      </c>
      <c r="AC1127">
        <f t="shared" si="149"/>
        <v>1000</v>
      </c>
      <c r="AD1127" s="6"/>
    </row>
    <row r="1128" spans="1:30" x14ac:dyDescent="0.2">
      <c r="A1128" t="str">
        <f t="shared" si="150"/>
        <v/>
      </c>
      <c r="X1128" t="str" cm="1">
        <f t="array" ref="X1128">IF(S1128="","",IF($I1128&lt;&gt;"",$I1128,INDEX($I$2:$I1127,ROW()-COUNTIFS($T$2:$T1127,"="&amp;$T1128,$S$2:$S1127,"&lt;&gt;"&amp;$S1128)-1)))</f>
        <v/>
      </c>
      <c r="Y1128" t="b">
        <f>IF(X1128&lt;&gt;"",VLOOKUP(X1128,game_rosters!$C$43:$E$64,3,FALSE))</f>
        <v>0</v>
      </c>
      <c r="Z1128" t="e" cm="1" vm="1">
        <f t="array" aca="1" ref="Z1128" ca="1">IFERROR(IF(_xlfn._xlws.FILTER(game_rosters!$J:$J,(game_rosters!$G:$G=events!$AN1128)*(game_rosters!$J:$J=events!$X1128))&gt;0,1,""),"")</f>
        <v>#VALUE!</v>
      </c>
      <c r="AA1128">
        <f t="shared" si="151"/>
        <v>1000</v>
      </c>
      <c r="AB1128" t="str">
        <f t="shared" si="152"/>
        <v/>
      </c>
      <c r="AC1128">
        <f t="shared" si="149"/>
        <v>1000</v>
      </c>
      <c r="AD1128" s="6"/>
    </row>
    <row r="1129" spans="1:30" x14ac:dyDescent="0.2">
      <c r="A1129" t="str">
        <f t="shared" si="150"/>
        <v/>
      </c>
      <c r="X1129" t="str" cm="1">
        <f t="array" ref="X1129">IF(S1129="","",IF($I1129&lt;&gt;"",$I1129,INDEX($I$2:$I1128,ROW()-COUNTIFS($T$2:$T1128,"="&amp;$T1129,$S$2:$S1128,"&lt;&gt;"&amp;$S1129)-1)))</f>
        <v/>
      </c>
      <c r="Y1129" t="b">
        <f>IF(X1129&lt;&gt;"",VLOOKUP(X1129,game_rosters!$C$43:$E$64,3,FALSE))</f>
        <v>0</v>
      </c>
      <c r="Z1129" t="e" cm="1" vm="1">
        <f t="array" aca="1" ref="Z1129" ca="1">IFERROR(IF(_xlfn._xlws.FILTER(game_rosters!$J:$J,(game_rosters!$G:$G=events!$AN1129)*(game_rosters!$J:$J=events!$X1129))&gt;0,1,""),"")</f>
        <v>#VALUE!</v>
      </c>
      <c r="AA1129">
        <f t="shared" si="151"/>
        <v>1000</v>
      </c>
      <c r="AB1129" t="str">
        <f t="shared" si="152"/>
        <v/>
      </c>
      <c r="AC1129">
        <f t="shared" si="149"/>
        <v>1000</v>
      </c>
      <c r="AD1129" s="6"/>
    </row>
    <row r="1130" spans="1:30" x14ac:dyDescent="0.2">
      <c r="A1130" t="str">
        <f t="shared" si="150"/>
        <v/>
      </c>
      <c r="X1130" t="str" cm="1">
        <f t="array" ref="X1130">IF(S1130="","",IF($I1130&lt;&gt;"",$I1130,INDEX($I$2:$I1129,ROW()-COUNTIFS($T$2:$T1129,"="&amp;$T1130,$S$2:$S1129,"&lt;&gt;"&amp;$S1130)-1)))</f>
        <v/>
      </c>
      <c r="Y1130" t="b">
        <f>IF(X1130&lt;&gt;"",VLOOKUP(X1130,game_rosters!$C$43:$E$64,3,FALSE))</f>
        <v>0</v>
      </c>
      <c r="Z1130" t="e" cm="1" vm="1">
        <f t="array" aca="1" ref="Z1130" ca="1">IFERROR(IF(_xlfn._xlws.FILTER(game_rosters!$J:$J,(game_rosters!$G:$G=events!$AN1130)*(game_rosters!$J:$J=events!$X1130))&gt;0,1,""),"")</f>
        <v>#VALUE!</v>
      </c>
      <c r="AA1130">
        <f t="shared" si="151"/>
        <v>1000</v>
      </c>
      <c r="AB1130" t="str">
        <f t="shared" si="152"/>
        <v/>
      </c>
      <c r="AC1130">
        <f t="shared" si="149"/>
        <v>1000</v>
      </c>
      <c r="AD1130" s="6"/>
    </row>
    <row r="1131" spans="1:30" x14ac:dyDescent="0.2">
      <c r="A1131" t="str">
        <f t="shared" si="150"/>
        <v/>
      </c>
      <c r="X1131" t="str" cm="1">
        <f t="array" ref="X1131">IF(S1131="","",IF($I1131&lt;&gt;"",$I1131,INDEX($I$2:$I1130,ROW()-COUNTIFS($T$2:$T1130,"="&amp;$T1131,$S$2:$S1130,"&lt;&gt;"&amp;$S1131)-1)))</f>
        <v/>
      </c>
      <c r="Y1131" t="b">
        <f>IF(X1131&lt;&gt;"",VLOOKUP(X1131,game_rosters!$C$43:$E$64,3,FALSE))</f>
        <v>0</v>
      </c>
      <c r="Z1131" t="e" cm="1" vm="1">
        <f t="array" aca="1" ref="Z1131" ca="1">IFERROR(IF(_xlfn._xlws.FILTER(game_rosters!$J:$J,(game_rosters!$G:$G=events!$AN1131)*(game_rosters!$J:$J=events!$X1131))&gt;0,1,""),"")</f>
        <v>#VALUE!</v>
      </c>
      <c r="AA1131">
        <f t="shared" si="151"/>
        <v>1000</v>
      </c>
      <c r="AB1131" t="str">
        <f t="shared" si="152"/>
        <v/>
      </c>
      <c r="AC1131">
        <f t="shared" si="149"/>
        <v>1000</v>
      </c>
      <c r="AD1131" s="6"/>
    </row>
    <row r="1132" spans="1:30" x14ac:dyDescent="0.2">
      <c r="A1132" t="str">
        <f t="shared" si="150"/>
        <v/>
      </c>
      <c r="X1132" t="str" cm="1">
        <f t="array" ref="X1132">IF(S1132="","",IF($I1132&lt;&gt;"",$I1132,INDEX($I$2:$I1131,ROW()-COUNTIFS($T$2:$T1131,"="&amp;$T1132,$S$2:$S1131,"&lt;&gt;"&amp;$S1132)-1)))</f>
        <v/>
      </c>
      <c r="Y1132" t="b">
        <f>IF(X1132&lt;&gt;"",VLOOKUP(X1132,game_rosters!$C$43:$E$64,3,FALSE))</f>
        <v>0</v>
      </c>
      <c r="Z1132" t="e" cm="1" vm="1">
        <f t="array" aca="1" ref="Z1132" ca="1">IFERROR(IF(_xlfn._xlws.FILTER(game_rosters!$J:$J,(game_rosters!$G:$G=events!$AN1132)*(game_rosters!$J:$J=events!$X1132))&gt;0,1,""),"")</f>
        <v>#VALUE!</v>
      </c>
      <c r="AA1132">
        <f t="shared" si="151"/>
        <v>1000</v>
      </c>
      <c r="AB1132" t="str">
        <f t="shared" si="152"/>
        <v/>
      </c>
      <c r="AC1132">
        <f t="shared" si="149"/>
        <v>1000</v>
      </c>
      <c r="AD1132" s="6"/>
    </row>
    <row r="1133" spans="1:30" x14ac:dyDescent="0.2">
      <c r="A1133" t="str">
        <f t="shared" si="150"/>
        <v/>
      </c>
      <c r="X1133" t="str" cm="1">
        <f t="array" ref="X1133">IF(S1133="","",IF($I1133&lt;&gt;"",$I1133,INDEX($I$2:$I1132,ROW()-COUNTIFS($T$2:$T1132,"="&amp;$T1133,$S$2:$S1132,"&lt;&gt;"&amp;$S1133)-1)))</f>
        <v/>
      </c>
      <c r="Y1133" t="b">
        <f>IF(X1133&lt;&gt;"",VLOOKUP(X1133,game_rosters!$C$43:$E$64,3,FALSE))</f>
        <v>0</v>
      </c>
      <c r="Z1133" t="e" cm="1" vm="1">
        <f t="array" aca="1" ref="Z1133" ca="1">IFERROR(IF(_xlfn._xlws.FILTER(game_rosters!$J:$J,(game_rosters!$G:$G=events!$AN1133)*(game_rosters!$J:$J=events!$X1133))&gt;0,1,""),"")</f>
        <v>#VALUE!</v>
      </c>
      <c r="AA1133">
        <f t="shared" si="151"/>
        <v>1000</v>
      </c>
      <c r="AB1133" t="str">
        <f t="shared" si="152"/>
        <v/>
      </c>
      <c r="AC1133">
        <f t="shared" si="149"/>
        <v>1000</v>
      </c>
      <c r="AD1133" s="6"/>
    </row>
    <row r="1134" spans="1:30" x14ac:dyDescent="0.2">
      <c r="A1134" t="str">
        <f t="shared" si="150"/>
        <v/>
      </c>
      <c r="X1134" t="str" cm="1">
        <f t="array" ref="X1134">IF(S1134="","",IF($I1134&lt;&gt;"",$I1134,INDEX($I$2:$I1133,ROW()-COUNTIFS($T$2:$T1133,"="&amp;$T1134,$S$2:$S1133,"&lt;&gt;"&amp;$S1134)-1)))</f>
        <v/>
      </c>
      <c r="Y1134" t="b">
        <f>IF(X1134&lt;&gt;"",VLOOKUP(X1134,game_rosters!$C$43:$E$64,3,FALSE))</f>
        <v>0</v>
      </c>
      <c r="Z1134" t="e" cm="1" vm="1">
        <f t="array" aca="1" ref="Z1134" ca="1">IFERROR(IF(_xlfn._xlws.FILTER(game_rosters!$J:$J,(game_rosters!$G:$G=events!$AN1134)*(game_rosters!$J:$J=events!$X1134))&gt;0,1,""),"")</f>
        <v>#VALUE!</v>
      </c>
      <c r="AA1134">
        <f t="shared" si="151"/>
        <v>1000</v>
      </c>
      <c r="AB1134" t="str">
        <f t="shared" si="152"/>
        <v/>
      </c>
      <c r="AC1134">
        <f t="shared" si="149"/>
        <v>1000</v>
      </c>
      <c r="AD1134" s="6"/>
    </row>
    <row r="1135" spans="1:30" x14ac:dyDescent="0.2">
      <c r="A1135" t="str">
        <f t="shared" si="150"/>
        <v/>
      </c>
      <c r="X1135" t="str" cm="1">
        <f t="array" ref="X1135">IF(S1135="","",IF($I1135&lt;&gt;"",$I1135,INDEX($I$2:$I1134,ROW()-COUNTIFS($T$2:$T1134,"="&amp;$T1135,$S$2:$S1134,"&lt;&gt;"&amp;$S1135)-1)))</f>
        <v/>
      </c>
      <c r="Y1135" t="b">
        <f>IF(X1135&lt;&gt;"",VLOOKUP(X1135,game_rosters!$C$43:$E$64,3,FALSE))</f>
        <v>0</v>
      </c>
      <c r="Z1135" t="e" cm="1" vm="1">
        <f t="array" aca="1" ref="Z1135" ca="1">IFERROR(IF(_xlfn._xlws.FILTER(game_rosters!$J:$J,(game_rosters!$G:$G=events!$AN1135)*(game_rosters!$J:$J=events!$X1135))&gt;0,1,""),"")</f>
        <v>#VALUE!</v>
      </c>
      <c r="AA1135">
        <f t="shared" si="151"/>
        <v>1000</v>
      </c>
      <c r="AB1135" t="str">
        <f t="shared" si="152"/>
        <v/>
      </c>
      <c r="AC1135">
        <f t="shared" si="149"/>
        <v>1000</v>
      </c>
      <c r="AD1135" s="6"/>
    </row>
    <row r="1136" spans="1:30" x14ac:dyDescent="0.2">
      <c r="A1136" t="str">
        <f t="shared" si="150"/>
        <v/>
      </c>
      <c r="X1136" t="str" cm="1">
        <f t="array" ref="X1136">IF(S1136="","",IF($I1136&lt;&gt;"",$I1136,INDEX($I$2:$I1135,ROW()-COUNTIFS($T$2:$T1135,"="&amp;$T1136,$S$2:$S1135,"&lt;&gt;"&amp;$S1136)-1)))</f>
        <v/>
      </c>
      <c r="Y1136" t="b">
        <f>IF(X1136&lt;&gt;"",VLOOKUP(X1136,game_rosters!$C$43:$E$64,3,FALSE))</f>
        <v>0</v>
      </c>
      <c r="Z1136" t="e" cm="1" vm="1">
        <f t="array" aca="1" ref="Z1136" ca="1">IFERROR(IF(_xlfn._xlws.FILTER(game_rosters!$J:$J,(game_rosters!$G:$G=events!$AN1136)*(game_rosters!$J:$J=events!$X1136))&gt;0,1,""),"")</f>
        <v>#VALUE!</v>
      </c>
      <c r="AA1136">
        <f t="shared" si="151"/>
        <v>1000</v>
      </c>
      <c r="AB1136" t="str">
        <f t="shared" si="152"/>
        <v/>
      </c>
      <c r="AC1136">
        <f t="shared" si="149"/>
        <v>1000</v>
      </c>
      <c r="AD1136" s="6"/>
    </row>
    <row r="1137" spans="1:30" x14ac:dyDescent="0.2">
      <c r="A1137" t="str">
        <f t="shared" si="150"/>
        <v/>
      </c>
      <c r="X1137" t="str" cm="1">
        <f t="array" ref="X1137">IF(S1137="","",IF($I1137&lt;&gt;"",$I1137,INDEX($I$2:$I1136,ROW()-COUNTIFS($T$2:$T1136,"="&amp;$T1137,$S$2:$S1136,"&lt;&gt;"&amp;$S1137)-1)))</f>
        <v/>
      </c>
      <c r="Y1137" t="b">
        <f>IF(X1137&lt;&gt;"",VLOOKUP(X1137,game_rosters!$C$43:$E$64,3,FALSE))</f>
        <v>0</v>
      </c>
      <c r="Z1137" t="e" cm="1" vm="1">
        <f t="array" aca="1" ref="Z1137" ca="1">IFERROR(IF(_xlfn._xlws.FILTER(game_rosters!$J:$J,(game_rosters!$G:$G=events!$AN1137)*(game_rosters!$J:$J=events!$X1137))&gt;0,1,""),"")</f>
        <v>#VALUE!</v>
      </c>
      <c r="AA1137">
        <f t="shared" si="151"/>
        <v>1000</v>
      </c>
      <c r="AB1137" t="str">
        <f t="shared" si="152"/>
        <v/>
      </c>
      <c r="AC1137">
        <f t="shared" si="149"/>
        <v>1000</v>
      </c>
      <c r="AD1137" s="6"/>
    </row>
    <row r="1138" spans="1:30" x14ac:dyDescent="0.2">
      <c r="A1138" t="str">
        <f t="shared" si="150"/>
        <v/>
      </c>
      <c r="X1138" t="str" cm="1">
        <f t="array" ref="X1138">IF(S1138="","",IF($I1138&lt;&gt;"",$I1138,INDEX($I$2:$I1137,ROW()-COUNTIFS($T$2:$T1137,"="&amp;$T1138,$S$2:$S1137,"&lt;&gt;"&amp;$S1138)-1)))</f>
        <v/>
      </c>
      <c r="Y1138" t="b">
        <f>IF(X1138&lt;&gt;"",VLOOKUP(X1138,game_rosters!$C$43:$E$64,3,FALSE))</f>
        <v>0</v>
      </c>
      <c r="Z1138" t="e" cm="1" vm="1">
        <f t="array" aca="1" ref="Z1138" ca="1">IFERROR(IF(_xlfn._xlws.FILTER(game_rosters!$J:$J,(game_rosters!$G:$G=events!$AN1138)*(game_rosters!$J:$J=events!$X1138))&gt;0,1,""),"")</f>
        <v>#VALUE!</v>
      </c>
      <c r="AA1138">
        <f t="shared" si="151"/>
        <v>1000</v>
      </c>
      <c r="AB1138" t="str">
        <f t="shared" si="152"/>
        <v/>
      </c>
      <c r="AC1138">
        <f t="shared" si="149"/>
        <v>1000</v>
      </c>
      <c r="AD1138" s="6"/>
    </row>
    <row r="1139" spans="1:30" x14ac:dyDescent="0.2">
      <c r="A1139" t="str">
        <f t="shared" si="150"/>
        <v/>
      </c>
      <c r="X1139" t="str" cm="1">
        <f t="array" ref="X1139">IF(S1139="","",IF($I1139&lt;&gt;"",$I1139,INDEX($I$2:$I1138,ROW()-COUNTIFS($T$2:$T1138,"="&amp;$T1139,$S$2:$S1138,"&lt;&gt;"&amp;$S1139)-1)))</f>
        <v/>
      </c>
      <c r="Y1139" t="b">
        <f>IF(X1139&lt;&gt;"",VLOOKUP(X1139,game_rosters!$C$43:$E$64,3,FALSE))</f>
        <v>0</v>
      </c>
      <c r="Z1139" t="e" cm="1" vm="1">
        <f t="array" aca="1" ref="Z1139" ca="1">IFERROR(IF(_xlfn._xlws.FILTER(game_rosters!$J:$J,(game_rosters!$G:$G=events!$AN1139)*(game_rosters!$J:$J=events!$X1139))&gt;0,1,""),"")</f>
        <v>#VALUE!</v>
      </c>
      <c r="AA1139">
        <f t="shared" si="151"/>
        <v>1000</v>
      </c>
      <c r="AB1139" t="str">
        <f t="shared" si="152"/>
        <v/>
      </c>
      <c r="AC1139">
        <f t="shared" si="149"/>
        <v>1000</v>
      </c>
      <c r="AD1139" s="6"/>
    </row>
    <row r="1140" spans="1:30" x14ac:dyDescent="0.2">
      <c r="A1140" t="str">
        <f t="shared" si="150"/>
        <v/>
      </c>
      <c r="X1140" t="str" cm="1">
        <f t="array" ref="X1140">IF(S1140="","",IF($I1140&lt;&gt;"",$I1140,INDEX($I$2:$I1139,ROW()-COUNTIFS($T$2:$T1139,"="&amp;$T1140,$S$2:$S1139,"&lt;&gt;"&amp;$S1140)-1)))</f>
        <v/>
      </c>
      <c r="Y1140" t="b">
        <f>IF(X1140&lt;&gt;"",VLOOKUP(X1140,game_rosters!$C$43:$E$64,3,FALSE))</f>
        <v>0</v>
      </c>
      <c r="Z1140" t="e" cm="1" vm="1">
        <f t="array" aca="1" ref="Z1140" ca="1">IFERROR(IF(_xlfn._xlws.FILTER(game_rosters!$J:$J,(game_rosters!$G:$G=events!$AN1140)*(game_rosters!$J:$J=events!$X1140))&gt;0,1,""),"")</f>
        <v>#VALUE!</v>
      </c>
      <c r="AA1140">
        <f t="shared" si="151"/>
        <v>1000</v>
      </c>
      <c r="AB1140" t="str">
        <f t="shared" si="152"/>
        <v/>
      </c>
      <c r="AC1140">
        <f t="shared" si="149"/>
        <v>1000</v>
      </c>
      <c r="AD1140" s="6"/>
    </row>
    <row r="1141" spans="1:30" x14ac:dyDescent="0.2">
      <c r="A1141" t="str">
        <f t="shared" si="150"/>
        <v/>
      </c>
      <c r="X1141" t="str" cm="1">
        <f t="array" ref="X1141">IF(S1141="","",IF($I1141&lt;&gt;"",$I1141,INDEX($I$2:$I1140,ROW()-COUNTIFS($T$2:$T1140,"="&amp;$T1141,$S$2:$S1140,"&lt;&gt;"&amp;$S1141)-1)))</f>
        <v/>
      </c>
      <c r="Y1141" t="b">
        <f>IF(X1141&lt;&gt;"",VLOOKUP(X1141,game_rosters!$C$43:$E$64,3,FALSE))</f>
        <v>0</v>
      </c>
      <c r="Z1141" t="e" cm="1" vm="1">
        <f t="array" aca="1" ref="Z1141" ca="1">IFERROR(IF(_xlfn._xlws.FILTER(game_rosters!$J:$J,(game_rosters!$G:$G=events!$AN1141)*(game_rosters!$J:$J=events!$X1141))&gt;0,1,""),"")</f>
        <v>#VALUE!</v>
      </c>
      <c r="AA1141">
        <f t="shared" si="151"/>
        <v>1000</v>
      </c>
      <c r="AB1141" t="str">
        <f t="shared" si="152"/>
        <v/>
      </c>
      <c r="AC1141">
        <f t="shared" si="149"/>
        <v>1000</v>
      </c>
      <c r="AD1141" s="6"/>
    </row>
    <row r="1142" spans="1:30" x14ac:dyDescent="0.2">
      <c r="A1142" t="str">
        <f t="shared" si="150"/>
        <v/>
      </c>
      <c r="X1142" t="str" cm="1">
        <f t="array" ref="X1142">IF(S1142="","",IF($I1142&lt;&gt;"",$I1142,INDEX($I$2:$I1141,ROW()-COUNTIFS($T$2:$T1141,"="&amp;$T1142,$S$2:$S1141,"&lt;&gt;"&amp;$S1142)-1)))</f>
        <v/>
      </c>
      <c r="Y1142" t="b">
        <f>IF(X1142&lt;&gt;"",VLOOKUP(X1142,game_rosters!$C$43:$E$64,3,FALSE))</f>
        <v>0</v>
      </c>
      <c r="Z1142" t="e" cm="1" vm="1">
        <f t="array" aca="1" ref="Z1142" ca="1">IFERROR(IF(_xlfn._xlws.FILTER(game_rosters!$J:$J,(game_rosters!$G:$G=events!$AN1142)*(game_rosters!$J:$J=events!$X1142))&gt;0,1,""),"")</f>
        <v>#VALUE!</v>
      </c>
      <c r="AA1142">
        <f t="shared" si="151"/>
        <v>1000</v>
      </c>
      <c r="AB1142" t="str">
        <f t="shared" si="152"/>
        <v/>
      </c>
      <c r="AC1142">
        <f t="shared" si="149"/>
        <v>1000</v>
      </c>
      <c r="AD1142" s="6"/>
    </row>
    <row r="1143" spans="1:30" x14ac:dyDescent="0.2">
      <c r="A1143" t="str">
        <f t="shared" si="150"/>
        <v/>
      </c>
      <c r="X1143" t="str" cm="1">
        <f t="array" ref="X1143">IF(S1143="","",IF($I1143&lt;&gt;"",$I1143,INDEX($I$2:$I1142,ROW()-COUNTIFS($T$2:$T1142,"="&amp;$T1143,$S$2:$S1142,"&lt;&gt;"&amp;$S1143)-1)))</f>
        <v/>
      </c>
      <c r="Y1143" t="b">
        <f>IF(X1143&lt;&gt;"",VLOOKUP(X1143,game_rosters!$C$43:$E$64,3,FALSE))</f>
        <v>0</v>
      </c>
      <c r="Z1143" t="e" cm="1" vm="1">
        <f t="array" aca="1" ref="Z1143" ca="1">IFERROR(IF(_xlfn._xlws.FILTER(game_rosters!$J:$J,(game_rosters!$G:$G=events!$AN1143)*(game_rosters!$J:$J=events!$X1143))&gt;0,1,""),"")</f>
        <v>#VALUE!</v>
      </c>
      <c r="AA1143">
        <f t="shared" si="151"/>
        <v>1000</v>
      </c>
      <c r="AB1143" t="str">
        <f t="shared" si="152"/>
        <v/>
      </c>
      <c r="AC1143">
        <f t="shared" si="149"/>
        <v>1000</v>
      </c>
      <c r="AD1143" s="6"/>
    </row>
    <row r="1144" spans="1:30" x14ac:dyDescent="0.2">
      <c r="A1144" t="str">
        <f t="shared" si="150"/>
        <v/>
      </c>
      <c r="X1144" t="str" cm="1">
        <f t="array" ref="X1144">IF(S1144="","",IF($I1144&lt;&gt;"",$I1144,INDEX($I$2:$I1143,ROW()-COUNTIFS($T$2:$T1143,"="&amp;$T1144,$S$2:$S1143,"&lt;&gt;"&amp;$S1144)-1)))</f>
        <v/>
      </c>
      <c r="Y1144" t="b">
        <f>IF(X1144&lt;&gt;"",VLOOKUP(X1144,game_rosters!$C$43:$E$64,3,FALSE))</f>
        <v>0</v>
      </c>
      <c r="Z1144" t="e" cm="1" vm="1">
        <f t="array" aca="1" ref="Z1144" ca="1">IFERROR(IF(_xlfn._xlws.FILTER(game_rosters!$J:$J,(game_rosters!$G:$G=events!$AN1144)*(game_rosters!$J:$J=events!$X1144))&gt;0,1,""),"")</f>
        <v>#VALUE!</v>
      </c>
      <c r="AA1144">
        <f t="shared" si="151"/>
        <v>1000</v>
      </c>
      <c r="AB1144" t="str">
        <f t="shared" si="152"/>
        <v/>
      </c>
      <c r="AC1144">
        <f t="shared" si="149"/>
        <v>1000</v>
      </c>
      <c r="AD1144" s="6"/>
    </row>
    <row r="1145" spans="1:30" x14ac:dyDescent="0.2">
      <c r="A1145" t="str">
        <f t="shared" si="150"/>
        <v/>
      </c>
      <c r="X1145" t="str" cm="1">
        <f t="array" ref="X1145">IF(S1145="","",IF($I1145&lt;&gt;"",$I1145,INDEX($I$2:$I1144,ROW()-COUNTIFS($T$2:$T1144,"="&amp;$T1145,$S$2:$S1144,"&lt;&gt;"&amp;$S1145)-1)))</f>
        <v/>
      </c>
      <c r="Y1145" t="b">
        <f>IF(X1145&lt;&gt;"",VLOOKUP(X1145,game_rosters!$C$43:$E$64,3,FALSE))</f>
        <v>0</v>
      </c>
      <c r="Z1145" t="e" cm="1" vm="1">
        <f t="array" aca="1" ref="Z1145" ca="1">IFERROR(IF(_xlfn._xlws.FILTER(game_rosters!$J:$J,(game_rosters!$G:$G=events!$AN1145)*(game_rosters!$J:$J=events!$X1145))&gt;0,1,""),"")</f>
        <v>#VALUE!</v>
      </c>
      <c r="AA1145">
        <f t="shared" si="151"/>
        <v>1000</v>
      </c>
      <c r="AB1145" t="str">
        <f t="shared" si="152"/>
        <v/>
      </c>
      <c r="AC1145">
        <f t="shared" si="149"/>
        <v>1000</v>
      </c>
      <c r="AD1145" s="6"/>
    </row>
    <row r="1146" spans="1:30" x14ac:dyDescent="0.2">
      <c r="A1146" t="str">
        <f t="shared" si="150"/>
        <v/>
      </c>
      <c r="X1146" t="str" cm="1">
        <f t="array" ref="X1146">IF(S1146="","",IF($I1146&lt;&gt;"",$I1146,INDEX($I$2:$I1145,ROW()-COUNTIFS($T$2:$T1145,"="&amp;$T1146,$S$2:$S1145,"&lt;&gt;"&amp;$S1146)-1)))</f>
        <v/>
      </c>
      <c r="Y1146" t="b">
        <f>IF(X1146&lt;&gt;"",VLOOKUP(X1146,game_rosters!$C$43:$E$64,3,FALSE))</f>
        <v>0</v>
      </c>
      <c r="Z1146" t="e" cm="1" vm="1">
        <f t="array" aca="1" ref="Z1146" ca="1">IFERROR(IF(_xlfn._xlws.FILTER(game_rosters!$J:$J,(game_rosters!$G:$G=events!$AN1146)*(game_rosters!$J:$J=events!$X1146))&gt;0,1,""),"")</f>
        <v>#VALUE!</v>
      </c>
      <c r="AA1146">
        <f t="shared" si="151"/>
        <v>1000</v>
      </c>
      <c r="AB1146" t="str">
        <f t="shared" si="152"/>
        <v/>
      </c>
      <c r="AC1146">
        <f t="shared" si="149"/>
        <v>1000</v>
      </c>
      <c r="AD1146" s="6"/>
    </row>
    <row r="1147" spans="1:30" x14ac:dyDescent="0.2">
      <c r="A1147" t="str">
        <f t="shared" si="150"/>
        <v/>
      </c>
      <c r="X1147" t="str" cm="1">
        <f t="array" ref="X1147">IF(S1147="","",IF($I1147&lt;&gt;"",$I1147,INDEX($I$2:$I1146,ROW()-COUNTIFS($T$2:$T1146,"="&amp;$T1147,$S$2:$S1146,"&lt;&gt;"&amp;$S1147)-1)))</f>
        <v/>
      </c>
      <c r="Y1147" t="b">
        <f>IF(X1147&lt;&gt;"",VLOOKUP(X1147,game_rosters!$C$43:$E$64,3,FALSE))</f>
        <v>0</v>
      </c>
      <c r="Z1147" t="e" cm="1" vm="1">
        <f t="array" aca="1" ref="Z1147" ca="1">IFERROR(IF(_xlfn._xlws.FILTER(game_rosters!$J:$J,(game_rosters!$G:$G=events!$AN1147)*(game_rosters!$J:$J=events!$X1147))&gt;0,1,""),"")</f>
        <v>#VALUE!</v>
      </c>
      <c r="AA1147">
        <f t="shared" si="151"/>
        <v>1000</v>
      </c>
      <c r="AB1147" t="str">
        <f t="shared" si="152"/>
        <v/>
      </c>
      <c r="AC1147">
        <f t="shared" si="149"/>
        <v>1000</v>
      </c>
      <c r="AD1147" s="6"/>
    </row>
    <row r="1148" spans="1:30" x14ac:dyDescent="0.2">
      <c r="A1148" t="str">
        <f t="shared" si="150"/>
        <v/>
      </c>
      <c r="X1148" t="str" cm="1">
        <f t="array" ref="X1148">IF(S1148="","",IF($I1148&lt;&gt;"",$I1148,INDEX($I$2:$I1147,ROW()-COUNTIFS($T$2:$T1147,"="&amp;$T1148,$S$2:$S1147,"&lt;&gt;"&amp;$S1148)-1)))</f>
        <v/>
      </c>
      <c r="Y1148" t="b">
        <f>IF(X1148&lt;&gt;"",VLOOKUP(X1148,game_rosters!$C$43:$E$64,3,FALSE))</f>
        <v>0</v>
      </c>
      <c r="Z1148" t="e" cm="1" vm="1">
        <f t="array" aca="1" ref="Z1148" ca="1">IFERROR(IF(_xlfn._xlws.FILTER(game_rosters!$J:$J,(game_rosters!$G:$G=events!$AN1148)*(game_rosters!$J:$J=events!$X1148))&gt;0,1,""),"")</f>
        <v>#VALUE!</v>
      </c>
      <c r="AA1148">
        <f t="shared" si="151"/>
        <v>1000</v>
      </c>
      <c r="AB1148" t="str">
        <f t="shared" si="152"/>
        <v/>
      </c>
      <c r="AC1148">
        <f t="shared" si="149"/>
        <v>1000</v>
      </c>
      <c r="AD1148" s="6"/>
    </row>
    <row r="1149" spans="1:30" x14ac:dyDescent="0.2">
      <c r="A1149" t="str">
        <f t="shared" si="150"/>
        <v/>
      </c>
      <c r="X1149" t="str" cm="1">
        <f t="array" ref="X1149">IF(S1149="","",IF($I1149&lt;&gt;"",$I1149,INDEX($I$2:$I1148,ROW()-COUNTIFS($T$2:$T1148,"="&amp;$T1149,$S$2:$S1148,"&lt;&gt;"&amp;$S1149)-1)))</f>
        <v/>
      </c>
      <c r="Y1149" t="b">
        <f>IF(X1149&lt;&gt;"",VLOOKUP(X1149,game_rosters!$C$43:$E$64,3,FALSE))</f>
        <v>0</v>
      </c>
      <c r="Z1149" t="e" cm="1" vm="1">
        <f t="array" aca="1" ref="Z1149" ca="1">IFERROR(IF(_xlfn._xlws.FILTER(game_rosters!$J:$J,(game_rosters!$G:$G=events!$AN1149)*(game_rosters!$J:$J=events!$X1149))&gt;0,1,""),"")</f>
        <v>#VALUE!</v>
      </c>
      <c r="AA1149">
        <f t="shared" si="151"/>
        <v>1000</v>
      </c>
      <c r="AB1149" t="str">
        <f t="shared" si="152"/>
        <v/>
      </c>
      <c r="AC1149">
        <f t="shared" si="149"/>
        <v>1000</v>
      </c>
      <c r="AD1149" s="6"/>
    </row>
    <row r="1150" spans="1:30" x14ac:dyDescent="0.2">
      <c r="A1150" t="str">
        <f t="shared" si="150"/>
        <v/>
      </c>
      <c r="X1150" t="str" cm="1">
        <f t="array" ref="X1150">IF(S1150="","",IF($I1150&lt;&gt;"",$I1150,INDEX($I$2:$I1149,ROW()-COUNTIFS($T$2:$T1149,"="&amp;$T1150,$S$2:$S1149,"&lt;&gt;"&amp;$S1150)-1)))</f>
        <v/>
      </c>
      <c r="Y1150" t="b">
        <f>IF(X1150&lt;&gt;"",VLOOKUP(X1150,game_rosters!$C$43:$E$64,3,FALSE))</f>
        <v>0</v>
      </c>
      <c r="Z1150" t="e" cm="1" vm="1">
        <f t="array" aca="1" ref="Z1150" ca="1">IFERROR(IF(_xlfn._xlws.FILTER(game_rosters!$J:$J,(game_rosters!$G:$G=events!$AN1150)*(game_rosters!$J:$J=events!$X1150))&gt;0,1,""),"")</f>
        <v>#VALUE!</v>
      </c>
      <c r="AA1150">
        <f t="shared" si="151"/>
        <v>1000</v>
      </c>
      <c r="AB1150" t="str">
        <f t="shared" si="152"/>
        <v/>
      </c>
      <c r="AC1150">
        <f t="shared" si="149"/>
        <v>1000</v>
      </c>
      <c r="AD1150" s="6"/>
    </row>
    <row r="1151" spans="1:30" x14ac:dyDescent="0.2">
      <c r="A1151" t="str">
        <f t="shared" si="150"/>
        <v/>
      </c>
      <c r="X1151" t="str" cm="1">
        <f t="array" ref="X1151">IF(S1151="","",IF($I1151&lt;&gt;"",$I1151,INDEX($I$2:$I1150,ROW()-COUNTIFS($T$2:$T1150,"="&amp;$T1151,$S$2:$S1150,"&lt;&gt;"&amp;$S1151)-1)))</f>
        <v/>
      </c>
      <c r="Y1151" t="b">
        <f>IF(X1151&lt;&gt;"",VLOOKUP(X1151,game_rosters!$C$43:$E$64,3,FALSE))</f>
        <v>0</v>
      </c>
      <c r="Z1151" t="e" cm="1" vm="1">
        <f t="array" aca="1" ref="Z1151" ca="1">IFERROR(IF(_xlfn._xlws.FILTER(game_rosters!$J:$J,(game_rosters!$G:$G=events!$AN1151)*(game_rosters!$J:$J=events!$X1151))&gt;0,1,""),"")</f>
        <v>#VALUE!</v>
      </c>
      <c r="AA1151">
        <f t="shared" si="151"/>
        <v>1000</v>
      </c>
      <c r="AB1151" t="str">
        <f t="shared" si="152"/>
        <v/>
      </c>
      <c r="AC1151">
        <f t="shared" si="149"/>
        <v>1000</v>
      </c>
      <c r="AD1151" s="6"/>
    </row>
    <row r="1152" spans="1:30" x14ac:dyDescent="0.2">
      <c r="A1152" t="str">
        <f t="shared" si="150"/>
        <v/>
      </c>
      <c r="X1152" t="str" cm="1">
        <f t="array" ref="X1152">IF(S1152="","",IF($I1152&lt;&gt;"",$I1152,INDEX($I$2:$I1151,ROW()-COUNTIFS($T$2:$T1151,"="&amp;$T1152,$S$2:$S1151,"&lt;&gt;"&amp;$S1152)-1)))</f>
        <v/>
      </c>
      <c r="Y1152" t="b">
        <f>IF(X1152&lt;&gt;"",VLOOKUP(X1152,game_rosters!$C$43:$E$64,3,FALSE))</f>
        <v>0</v>
      </c>
      <c r="Z1152" t="e" cm="1" vm="1">
        <f t="array" aca="1" ref="Z1152" ca="1">IFERROR(IF(_xlfn._xlws.FILTER(game_rosters!$J:$J,(game_rosters!$G:$G=events!$AN1152)*(game_rosters!$J:$J=events!$X1152))&gt;0,1,""),"")</f>
        <v>#VALUE!</v>
      </c>
      <c r="AA1152">
        <f t="shared" si="151"/>
        <v>1000</v>
      </c>
      <c r="AB1152" t="str">
        <f t="shared" si="152"/>
        <v/>
      </c>
      <c r="AC1152">
        <f t="shared" si="149"/>
        <v>1000</v>
      </c>
      <c r="AD1152" s="6"/>
    </row>
    <row r="1153" spans="1:30" x14ac:dyDescent="0.2">
      <c r="A1153" t="str">
        <f t="shared" si="150"/>
        <v/>
      </c>
      <c r="X1153" t="str" cm="1">
        <f t="array" ref="X1153">IF(S1153="","",IF($I1153&lt;&gt;"",$I1153,INDEX($I$2:$I1152,ROW()-COUNTIFS($T$2:$T1152,"="&amp;$T1153,$S$2:$S1152,"&lt;&gt;"&amp;$S1153)-1)))</f>
        <v/>
      </c>
      <c r="Y1153" t="b">
        <f>IF(X1153&lt;&gt;"",VLOOKUP(X1153,game_rosters!$C$43:$E$64,3,FALSE))</f>
        <v>0</v>
      </c>
      <c r="Z1153" t="e" cm="1" vm="1">
        <f t="array" aca="1" ref="Z1153" ca="1">IFERROR(IF(_xlfn._xlws.FILTER(game_rosters!$J:$J,(game_rosters!$G:$G=events!$AN1153)*(game_rosters!$J:$J=events!$X1153))&gt;0,1,""),"")</f>
        <v>#VALUE!</v>
      </c>
      <c r="AA1153">
        <f t="shared" si="151"/>
        <v>1000</v>
      </c>
      <c r="AB1153" t="str">
        <f t="shared" si="152"/>
        <v/>
      </c>
      <c r="AC1153">
        <f t="shared" si="149"/>
        <v>1000</v>
      </c>
      <c r="AD1153" s="6"/>
    </row>
    <row r="1154" spans="1:30" x14ac:dyDescent="0.2">
      <c r="A1154" t="str">
        <f t="shared" si="150"/>
        <v/>
      </c>
      <c r="X1154" t="str" cm="1">
        <f t="array" ref="X1154">IF(S1154="","",IF($I1154&lt;&gt;"",$I1154,INDEX($I$2:$I1153,ROW()-COUNTIFS($T$2:$T1153,"="&amp;$T1154,$S$2:$S1153,"&lt;&gt;"&amp;$S1154)-1)))</f>
        <v/>
      </c>
      <c r="Y1154" t="b">
        <f>IF(X1154&lt;&gt;"",VLOOKUP(X1154,game_rosters!$C$43:$E$64,3,FALSE))</f>
        <v>0</v>
      </c>
      <c r="Z1154" t="e" cm="1" vm="1">
        <f t="array" aca="1" ref="Z1154" ca="1">IFERROR(IF(_xlfn._xlws.FILTER(game_rosters!$J:$J,(game_rosters!$G:$G=events!$AN1154)*(game_rosters!$J:$J=events!$X1154))&gt;0,1,""),"")</f>
        <v>#VALUE!</v>
      </c>
      <c r="AA1154">
        <f t="shared" si="151"/>
        <v>1000</v>
      </c>
      <c r="AB1154" t="str">
        <f t="shared" si="152"/>
        <v/>
      </c>
      <c r="AC1154">
        <f t="shared" ref="AC1154:AC1217" si="153">IF(AB1154&lt;&gt;"",AB1154,S1154+1000)</f>
        <v>1000</v>
      </c>
      <c r="AD1154" s="6"/>
    </row>
    <row r="1155" spans="1:30" x14ac:dyDescent="0.2">
      <c r="A1155" t="str">
        <f t="shared" si="150"/>
        <v/>
      </c>
      <c r="X1155" t="str" cm="1">
        <f t="array" ref="X1155">IF(S1155="","",IF($I1155&lt;&gt;"",$I1155,INDEX($I$2:$I1154,ROW()-COUNTIFS($T$2:$T1154,"="&amp;$T1155,$S$2:$S1154,"&lt;&gt;"&amp;$S1155)-1)))</f>
        <v/>
      </c>
      <c r="Y1155" t="b">
        <f>IF(X1155&lt;&gt;"",VLOOKUP(X1155,game_rosters!$C$43:$E$64,3,FALSE))</f>
        <v>0</v>
      </c>
      <c r="Z1155" t="e" cm="1" vm="1">
        <f t="array" aca="1" ref="Z1155" ca="1">IFERROR(IF(_xlfn._xlws.FILTER(game_rosters!$J:$J,(game_rosters!$G:$G=events!$AN1155)*(game_rosters!$J:$J=events!$X1155))&gt;0,1,""),"")</f>
        <v>#VALUE!</v>
      </c>
      <c r="AA1155">
        <f t="shared" si="151"/>
        <v>1000</v>
      </c>
      <c r="AB1155" t="str">
        <f t="shared" si="152"/>
        <v/>
      </c>
      <c r="AC1155">
        <f t="shared" si="153"/>
        <v>1000</v>
      </c>
      <c r="AD1155" s="6"/>
    </row>
    <row r="1156" spans="1:30" x14ac:dyDescent="0.2">
      <c r="A1156" t="str">
        <f t="shared" si="150"/>
        <v/>
      </c>
      <c r="X1156" t="str" cm="1">
        <f t="array" ref="X1156">IF(S1156="","",IF($I1156&lt;&gt;"",$I1156,INDEX($I$2:$I1155,ROW()-COUNTIFS($T$2:$T1155,"="&amp;$T1156,$S$2:$S1155,"&lt;&gt;"&amp;$S1156)-1)))</f>
        <v/>
      </c>
      <c r="Y1156" t="b">
        <f>IF(X1156&lt;&gt;"",VLOOKUP(X1156,game_rosters!$C$43:$E$64,3,FALSE))</f>
        <v>0</v>
      </c>
      <c r="Z1156" t="e" cm="1" vm="1">
        <f t="array" aca="1" ref="Z1156" ca="1">IFERROR(IF(_xlfn._xlws.FILTER(game_rosters!$J:$J,(game_rosters!$G:$G=events!$AN1156)*(game_rosters!$J:$J=events!$X1156))&gt;0,1,""),"")</f>
        <v>#VALUE!</v>
      </c>
      <c r="AA1156">
        <f t="shared" si="151"/>
        <v>1000</v>
      </c>
      <c r="AB1156" t="str">
        <f t="shared" si="152"/>
        <v/>
      </c>
      <c r="AC1156">
        <f t="shared" si="153"/>
        <v>1000</v>
      </c>
      <c r="AD1156" s="6"/>
    </row>
    <row r="1157" spans="1:30" x14ac:dyDescent="0.2">
      <c r="A1157" t="str">
        <f t="shared" ref="A1157:A1220" si="154">IF(K1157&lt;&gt;"",1,IF(D1157="x","x",""))</f>
        <v/>
      </c>
      <c r="X1157" t="str" cm="1">
        <f t="array" ref="X1157">IF(S1157="","",IF($I1157&lt;&gt;"",$I1157,INDEX($I$2:$I1156,ROW()-COUNTIFS($T$2:$T1156,"="&amp;$T1157,$S$2:$S1156,"&lt;&gt;"&amp;$S1157)-1)))</f>
        <v/>
      </c>
      <c r="Y1157" t="b">
        <f>IF(X1157&lt;&gt;"",VLOOKUP(X1157,game_rosters!$C$43:$E$64,3,FALSE))</f>
        <v>0</v>
      </c>
      <c r="Z1157" t="e" cm="1" vm="1">
        <f t="array" aca="1" ref="Z1157" ca="1">IFERROR(IF(_xlfn._xlws.FILTER(game_rosters!$J:$J,(game_rosters!$G:$G=events!$AN1157)*(game_rosters!$J:$J=events!$X1157))&gt;0,1,""),"")</f>
        <v>#VALUE!</v>
      </c>
      <c r="AA1157">
        <f t="shared" si="151"/>
        <v>1000</v>
      </c>
      <c r="AB1157" t="str">
        <f t="shared" si="152"/>
        <v/>
      </c>
      <c r="AC1157">
        <f t="shared" si="153"/>
        <v>1000</v>
      </c>
      <c r="AD1157" s="6"/>
    </row>
    <row r="1158" spans="1:30" x14ac:dyDescent="0.2">
      <c r="A1158" t="str">
        <f t="shared" si="154"/>
        <v/>
      </c>
      <c r="X1158" t="str" cm="1">
        <f t="array" ref="X1158">IF(S1158="","",IF($I1158&lt;&gt;"",$I1158,INDEX($I$2:$I1157,ROW()-COUNTIFS($T$2:$T1157,"="&amp;$T1158,$S$2:$S1157,"&lt;&gt;"&amp;$S1158)-1)))</f>
        <v/>
      </c>
      <c r="Y1158" t="b">
        <f>IF(X1158&lt;&gt;"",VLOOKUP(X1158,game_rosters!$C$43:$E$64,3,FALSE))</f>
        <v>0</v>
      </c>
      <c r="Z1158" t="e" cm="1" vm="1">
        <f t="array" aca="1" ref="Z1158" ca="1">IFERROR(IF(_xlfn._xlws.FILTER(game_rosters!$J:$J,(game_rosters!$G:$G=events!$AN1158)*(game_rosters!$J:$J=events!$X1158))&gt;0,1,""),"")</f>
        <v>#VALUE!</v>
      </c>
      <c r="AA1158">
        <f t="shared" si="151"/>
        <v>1000</v>
      </c>
      <c r="AB1158" t="str">
        <f t="shared" si="152"/>
        <v/>
      </c>
      <c r="AC1158">
        <f t="shared" si="153"/>
        <v>1000</v>
      </c>
      <c r="AD1158" s="6"/>
    </row>
    <row r="1159" spans="1:30" x14ac:dyDescent="0.2">
      <c r="A1159" t="str">
        <f t="shared" si="154"/>
        <v/>
      </c>
      <c r="X1159" t="str" cm="1">
        <f t="array" ref="X1159">IF(S1159="","",IF($I1159&lt;&gt;"",$I1159,INDEX($I$2:$I1158,ROW()-COUNTIFS($T$2:$T1158,"="&amp;$T1159,$S$2:$S1158,"&lt;&gt;"&amp;$S1159)-1)))</f>
        <v/>
      </c>
      <c r="Y1159" t="b">
        <f>IF(X1159&lt;&gt;"",VLOOKUP(X1159,game_rosters!$C$43:$E$64,3,FALSE))</f>
        <v>0</v>
      </c>
      <c r="Z1159" t="e" cm="1" vm="1">
        <f t="array" aca="1" ref="Z1159" ca="1">IFERROR(IF(_xlfn._xlws.FILTER(game_rosters!$J:$J,(game_rosters!$G:$G=events!$AN1159)*(game_rosters!$J:$J=events!$X1159))&gt;0,1,""),"")</f>
        <v>#VALUE!</v>
      </c>
      <c r="AA1159">
        <f t="shared" si="151"/>
        <v>1000</v>
      </c>
      <c r="AB1159" t="str">
        <f t="shared" si="152"/>
        <v/>
      </c>
      <c r="AC1159">
        <f t="shared" si="153"/>
        <v>1000</v>
      </c>
      <c r="AD1159" s="6"/>
    </row>
    <row r="1160" spans="1:30" x14ac:dyDescent="0.2">
      <c r="A1160" t="str">
        <f t="shared" si="154"/>
        <v/>
      </c>
      <c r="X1160" t="str" cm="1">
        <f t="array" ref="X1160">IF(S1160="","",IF($I1160&lt;&gt;"",$I1160,INDEX($I$2:$I1159,ROW()-COUNTIFS($T$2:$T1159,"="&amp;$T1160,$S$2:$S1159,"&lt;&gt;"&amp;$S1160)-1)))</f>
        <v/>
      </c>
      <c r="Y1160" t="b">
        <f>IF(X1160&lt;&gt;"",VLOOKUP(X1160,game_rosters!$C$43:$E$64,3,FALSE))</f>
        <v>0</v>
      </c>
      <c r="Z1160" t="e" cm="1" vm="1">
        <f t="array" aca="1" ref="Z1160" ca="1">IFERROR(IF(_xlfn._xlws.FILTER(game_rosters!$J:$J,(game_rosters!$G:$G=events!$AN1160)*(game_rosters!$J:$J=events!$X1160))&gt;0,1,""),"")</f>
        <v>#VALUE!</v>
      </c>
      <c r="AA1160">
        <f t="shared" si="151"/>
        <v>1000</v>
      </c>
      <c r="AB1160" t="str">
        <f t="shared" si="152"/>
        <v/>
      </c>
      <c r="AC1160">
        <f t="shared" si="153"/>
        <v>1000</v>
      </c>
      <c r="AD1160" s="6"/>
    </row>
    <row r="1161" spans="1:30" x14ac:dyDescent="0.2">
      <c r="A1161" t="str">
        <f t="shared" si="154"/>
        <v/>
      </c>
      <c r="X1161" t="str" cm="1">
        <f t="array" ref="X1161">IF(S1161="","",IF($I1161&lt;&gt;"",$I1161,INDEX($I$2:$I1160,ROW()-COUNTIFS($T$2:$T1160,"="&amp;$T1161,$S$2:$S1160,"&lt;&gt;"&amp;$S1161)-1)))</f>
        <v/>
      </c>
      <c r="Y1161" t="b">
        <f>IF(X1161&lt;&gt;"",VLOOKUP(X1161,game_rosters!$C$43:$E$64,3,FALSE))</f>
        <v>0</v>
      </c>
      <c r="Z1161" t="e" cm="1" vm="1">
        <f t="array" aca="1" ref="Z1161" ca="1">IFERROR(IF(_xlfn._xlws.FILTER(game_rosters!$J:$J,(game_rosters!$G:$G=events!$AN1161)*(game_rosters!$J:$J=events!$X1161))&gt;0,1,""),"")</f>
        <v>#VALUE!</v>
      </c>
      <c r="AA1161">
        <f t="shared" si="151"/>
        <v>1000</v>
      </c>
      <c r="AB1161" t="str">
        <f t="shared" si="152"/>
        <v/>
      </c>
      <c r="AC1161">
        <f t="shared" si="153"/>
        <v>1000</v>
      </c>
      <c r="AD1161" s="6"/>
    </row>
    <row r="1162" spans="1:30" x14ac:dyDescent="0.2">
      <c r="A1162" t="str">
        <f t="shared" si="154"/>
        <v/>
      </c>
      <c r="X1162" t="str" cm="1">
        <f t="array" ref="X1162">IF(S1162="","",IF($I1162&lt;&gt;"",$I1162,INDEX($I$2:$I1161,ROW()-COUNTIFS($T$2:$T1161,"="&amp;$T1162,$S$2:$S1161,"&lt;&gt;"&amp;$S1162)-1)))</f>
        <v/>
      </c>
      <c r="Y1162" t="b">
        <f>IF(X1162&lt;&gt;"",VLOOKUP(X1162,game_rosters!$C$43:$E$64,3,FALSE))</f>
        <v>0</v>
      </c>
      <c r="Z1162" t="e" cm="1" vm="1">
        <f t="array" aca="1" ref="Z1162" ca="1">IFERROR(IF(_xlfn._xlws.FILTER(game_rosters!$J:$J,(game_rosters!$G:$G=events!$AN1162)*(game_rosters!$J:$J=events!$X1162))&gt;0,1,""),"")</f>
        <v>#VALUE!</v>
      </c>
      <c r="AA1162">
        <f t="shared" si="151"/>
        <v>1000</v>
      </c>
      <c r="AB1162" t="str">
        <f t="shared" si="152"/>
        <v/>
      </c>
      <c r="AC1162">
        <f t="shared" si="153"/>
        <v>1000</v>
      </c>
      <c r="AD1162" s="6"/>
    </row>
    <row r="1163" spans="1:30" x14ac:dyDescent="0.2">
      <c r="A1163" t="str">
        <f t="shared" si="154"/>
        <v/>
      </c>
      <c r="X1163" t="str" cm="1">
        <f t="array" ref="X1163">IF(S1163="","",IF($I1163&lt;&gt;"",$I1163,INDEX($I$2:$I1162,ROW()-COUNTIFS($T$2:$T1162,"="&amp;$T1163,$S$2:$S1162,"&lt;&gt;"&amp;$S1163)-1)))</f>
        <v/>
      </c>
      <c r="Y1163" t="b">
        <f>IF(X1163&lt;&gt;"",VLOOKUP(X1163,game_rosters!$C$43:$E$64,3,FALSE))</f>
        <v>0</v>
      </c>
      <c r="Z1163" t="e" cm="1" vm="1">
        <f t="array" aca="1" ref="Z1163" ca="1">IFERROR(IF(_xlfn._xlws.FILTER(game_rosters!$J:$J,(game_rosters!$G:$G=events!$AN1163)*(game_rosters!$J:$J=events!$X1163))&gt;0,1,""),"")</f>
        <v>#VALUE!</v>
      </c>
      <c r="AA1163">
        <f t="shared" si="151"/>
        <v>1000</v>
      </c>
      <c r="AB1163" t="str">
        <f t="shared" si="152"/>
        <v/>
      </c>
      <c r="AC1163">
        <f t="shared" si="153"/>
        <v>1000</v>
      </c>
      <c r="AD1163" s="6"/>
    </row>
    <row r="1164" spans="1:30" x14ac:dyDescent="0.2">
      <c r="A1164" t="str">
        <f t="shared" si="154"/>
        <v/>
      </c>
      <c r="X1164" t="str" cm="1">
        <f t="array" ref="X1164">IF(S1164="","",IF($I1164&lt;&gt;"",$I1164,INDEX($I$2:$I1163,ROW()-COUNTIFS($T$2:$T1163,"="&amp;$T1164,$S$2:$S1163,"&lt;&gt;"&amp;$S1164)-1)))</f>
        <v/>
      </c>
      <c r="Y1164" t="b">
        <f>IF(X1164&lt;&gt;"",VLOOKUP(X1164,game_rosters!$C$43:$E$64,3,FALSE))</f>
        <v>0</v>
      </c>
      <c r="Z1164" t="e" cm="1" vm="1">
        <f t="array" aca="1" ref="Z1164" ca="1">IFERROR(IF(_xlfn._xlws.FILTER(game_rosters!$J:$J,(game_rosters!$G:$G=events!$AN1164)*(game_rosters!$J:$J=events!$X1164))&gt;0,1,""),"")</f>
        <v>#VALUE!</v>
      </c>
      <c r="AA1164">
        <f t="shared" si="151"/>
        <v>1000</v>
      </c>
      <c r="AB1164" t="str">
        <f t="shared" si="152"/>
        <v/>
      </c>
      <c r="AC1164">
        <f t="shared" si="153"/>
        <v>1000</v>
      </c>
      <c r="AD1164" s="6"/>
    </row>
    <row r="1165" spans="1:30" x14ac:dyDescent="0.2">
      <c r="A1165" t="str">
        <f t="shared" si="154"/>
        <v/>
      </c>
      <c r="X1165" t="str" cm="1">
        <f t="array" ref="X1165">IF(S1165="","",IF($I1165&lt;&gt;"",$I1165,INDEX($I$2:$I1164,ROW()-COUNTIFS($T$2:$T1164,"="&amp;$T1165,$S$2:$S1164,"&lt;&gt;"&amp;$S1165)-1)))</f>
        <v/>
      </c>
      <c r="Y1165" t="b">
        <f>IF(X1165&lt;&gt;"",VLOOKUP(X1165,game_rosters!$C$43:$E$64,3,FALSE))</f>
        <v>0</v>
      </c>
      <c r="Z1165" t="e" cm="1" vm="1">
        <f t="array" aca="1" ref="Z1165" ca="1">IFERROR(IF(_xlfn._xlws.FILTER(game_rosters!$J:$J,(game_rosters!$G:$G=events!$AN1165)*(game_rosters!$J:$J=events!$X1165))&gt;0,1,""),"")</f>
        <v>#VALUE!</v>
      </c>
      <c r="AA1165">
        <f t="shared" si="151"/>
        <v>1000</v>
      </c>
      <c r="AB1165" t="str">
        <f t="shared" si="152"/>
        <v/>
      </c>
      <c r="AC1165">
        <f t="shared" si="153"/>
        <v>1000</v>
      </c>
      <c r="AD1165" s="6"/>
    </row>
    <row r="1166" spans="1:30" x14ac:dyDescent="0.2">
      <c r="A1166" t="str">
        <f t="shared" si="154"/>
        <v/>
      </c>
      <c r="X1166" t="str" cm="1">
        <f t="array" ref="X1166">IF(S1166="","",IF($I1166&lt;&gt;"",$I1166,INDEX($I$2:$I1165,ROW()-COUNTIFS($T$2:$T1165,"="&amp;$T1166,$S$2:$S1165,"&lt;&gt;"&amp;$S1166)-1)))</f>
        <v/>
      </c>
      <c r="Y1166" t="b">
        <f>IF(X1166&lt;&gt;"",VLOOKUP(X1166,game_rosters!$C$43:$E$64,3,FALSE))</f>
        <v>0</v>
      </c>
      <c r="Z1166" t="e" cm="1" vm="1">
        <f t="array" aca="1" ref="Z1166" ca="1">IFERROR(IF(_xlfn._xlws.FILTER(game_rosters!$J:$J,(game_rosters!$G:$G=events!$AN1166)*(game_rosters!$J:$J=events!$X1166))&gt;0,1,""),"")</f>
        <v>#VALUE!</v>
      </c>
      <c r="AA1166">
        <f t="shared" si="151"/>
        <v>1000</v>
      </c>
      <c r="AB1166" t="str">
        <f t="shared" si="152"/>
        <v/>
      </c>
      <c r="AC1166">
        <f t="shared" si="153"/>
        <v>1000</v>
      </c>
      <c r="AD1166" s="6"/>
    </row>
    <row r="1167" spans="1:30" x14ac:dyDescent="0.2">
      <c r="A1167" t="str">
        <f t="shared" si="154"/>
        <v/>
      </c>
      <c r="X1167" t="str" cm="1">
        <f t="array" ref="X1167">IF(S1167="","",IF($I1167&lt;&gt;"",$I1167,INDEX($I$2:$I1166,ROW()-COUNTIFS($T$2:$T1166,"="&amp;$T1167,$S$2:$S1166,"&lt;&gt;"&amp;$S1167)-1)))</f>
        <v/>
      </c>
      <c r="Y1167" t="b">
        <f>IF(X1167&lt;&gt;"",VLOOKUP(X1167,game_rosters!$C$43:$E$64,3,FALSE))</f>
        <v>0</v>
      </c>
      <c r="Z1167" t="e" cm="1" vm="1">
        <f t="array" aca="1" ref="Z1167" ca="1">IFERROR(IF(_xlfn._xlws.FILTER(game_rosters!$J:$J,(game_rosters!$G:$G=events!$AN1167)*(game_rosters!$J:$J=events!$X1167))&gt;0,1,""),"")</f>
        <v>#VALUE!</v>
      </c>
      <c r="AA1167">
        <f t="shared" si="151"/>
        <v>1000</v>
      </c>
      <c r="AB1167" t="str">
        <f t="shared" si="152"/>
        <v/>
      </c>
      <c r="AC1167">
        <f t="shared" si="153"/>
        <v>1000</v>
      </c>
      <c r="AD1167" s="6"/>
    </row>
    <row r="1168" spans="1:30" x14ac:dyDescent="0.2">
      <c r="A1168" t="str">
        <f t="shared" si="154"/>
        <v/>
      </c>
      <c r="X1168" t="str" cm="1">
        <f t="array" ref="X1168">IF(S1168="","",IF($I1168&lt;&gt;"",$I1168,INDEX($I$2:$I1167,ROW()-COUNTIFS($T$2:$T1167,"="&amp;$T1168,$S$2:$S1167,"&lt;&gt;"&amp;$S1168)-1)))</f>
        <v/>
      </c>
      <c r="Y1168" t="b">
        <f>IF(X1168&lt;&gt;"",VLOOKUP(X1168,game_rosters!$C$43:$E$64,3,FALSE))</f>
        <v>0</v>
      </c>
      <c r="Z1168" t="e" cm="1" vm="1">
        <f t="array" aca="1" ref="Z1168" ca="1">IFERROR(IF(_xlfn._xlws.FILTER(game_rosters!$J:$J,(game_rosters!$G:$G=events!$AN1168)*(game_rosters!$J:$J=events!$X1168))&gt;0,1,""),"")</f>
        <v>#VALUE!</v>
      </c>
      <c r="AA1168">
        <f t="shared" si="151"/>
        <v>1000</v>
      </c>
      <c r="AB1168" t="str">
        <f t="shared" si="152"/>
        <v/>
      </c>
      <c r="AC1168">
        <f t="shared" si="153"/>
        <v>1000</v>
      </c>
      <c r="AD1168" s="6"/>
    </row>
    <row r="1169" spans="1:30" x14ac:dyDescent="0.2">
      <c r="A1169" t="str">
        <f t="shared" si="154"/>
        <v/>
      </c>
      <c r="X1169" t="str" cm="1">
        <f t="array" ref="X1169">IF(S1169="","",IF($I1169&lt;&gt;"",$I1169,INDEX($I$2:$I1168,ROW()-COUNTIFS($T$2:$T1168,"="&amp;$T1169,$S$2:$S1168,"&lt;&gt;"&amp;$S1169)-1)))</f>
        <v/>
      </c>
      <c r="Y1169" t="b">
        <f>IF(X1169&lt;&gt;"",VLOOKUP(X1169,game_rosters!$C$43:$E$64,3,FALSE))</f>
        <v>0</v>
      </c>
      <c r="Z1169" t="e" cm="1" vm="1">
        <f t="array" aca="1" ref="Z1169" ca="1">IFERROR(IF(_xlfn._xlws.FILTER(game_rosters!$J:$J,(game_rosters!$G:$G=events!$AN1169)*(game_rosters!$J:$J=events!$X1169))&gt;0,1,""),"")</f>
        <v>#VALUE!</v>
      </c>
      <c r="AA1169">
        <f t="shared" si="151"/>
        <v>1000</v>
      </c>
      <c r="AB1169" t="str">
        <f t="shared" si="152"/>
        <v/>
      </c>
      <c r="AC1169">
        <f t="shared" si="153"/>
        <v>1000</v>
      </c>
      <c r="AD1169" s="6"/>
    </row>
    <row r="1170" spans="1:30" x14ac:dyDescent="0.2">
      <c r="A1170" t="str">
        <f t="shared" si="154"/>
        <v/>
      </c>
      <c r="X1170" t="str" cm="1">
        <f t="array" ref="X1170">IF(S1170="","",IF($I1170&lt;&gt;"",$I1170,INDEX($I$2:$I1169,ROW()-COUNTIFS($T$2:$T1169,"="&amp;$T1170,$S$2:$S1169,"&lt;&gt;"&amp;$S1170)-1)))</f>
        <v/>
      </c>
      <c r="Y1170" t="b">
        <f>IF(X1170&lt;&gt;"",VLOOKUP(X1170,game_rosters!$C$43:$E$64,3,FALSE))</f>
        <v>0</v>
      </c>
      <c r="Z1170" t="e" cm="1" vm="1">
        <f t="array" aca="1" ref="Z1170" ca="1">IFERROR(IF(_xlfn._xlws.FILTER(game_rosters!$J:$J,(game_rosters!$G:$G=events!$AN1170)*(game_rosters!$J:$J=events!$X1170))&gt;0,1,""),"")</f>
        <v>#VALUE!</v>
      </c>
      <c r="AA1170">
        <f t="shared" si="151"/>
        <v>1000</v>
      </c>
      <c r="AB1170" t="str">
        <f t="shared" si="152"/>
        <v/>
      </c>
      <c r="AC1170">
        <f t="shared" si="153"/>
        <v>1000</v>
      </c>
      <c r="AD1170" s="6"/>
    </row>
    <row r="1171" spans="1:30" x14ac:dyDescent="0.2">
      <c r="A1171" t="str">
        <f t="shared" si="154"/>
        <v/>
      </c>
      <c r="X1171" t="str" cm="1">
        <f t="array" ref="X1171">IF(S1171="","",IF($I1171&lt;&gt;"",$I1171,INDEX($I$2:$I1170,ROW()-COUNTIFS($T$2:$T1170,"="&amp;$T1171,$S$2:$S1170,"&lt;&gt;"&amp;$S1171)-1)))</f>
        <v/>
      </c>
      <c r="Y1171" t="b">
        <f>IF(X1171&lt;&gt;"",VLOOKUP(X1171,game_rosters!$C$43:$E$64,3,FALSE))</f>
        <v>0</v>
      </c>
      <c r="Z1171" t="e" cm="1" vm="1">
        <f t="array" aca="1" ref="Z1171" ca="1">IFERROR(IF(_xlfn._xlws.FILTER(game_rosters!$J:$J,(game_rosters!$G:$G=events!$AN1171)*(game_rosters!$J:$J=events!$X1171))&gt;0,1,""),"")</f>
        <v>#VALUE!</v>
      </c>
      <c r="AA1171">
        <f t="shared" si="151"/>
        <v>1000</v>
      </c>
      <c r="AB1171" t="str">
        <f t="shared" si="152"/>
        <v/>
      </c>
      <c r="AC1171">
        <f t="shared" si="153"/>
        <v>1000</v>
      </c>
      <c r="AD1171" s="6"/>
    </row>
    <row r="1172" spans="1:30" x14ac:dyDescent="0.2">
      <c r="A1172" t="str">
        <f t="shared" si="154"/>
        <v/>
      </c>
      <c r="X1172" t="str" cm="1">
        <f t="array" ref="X1172">IF(S1172="","",IF($I1172&lt;&gt;"",$I1172,INDEX($I$2:$I1171,ROW()-COUNTIFS($T$2:$T1171,"="&amp;$T1172,$S$2:$S1171,"&lt;&gt;"&amp;$S1172)-1)))</f>
        <v/>
      </c>
      <c r="Y1172" t="b">
        <f>IF(X1172&lt;&gt;"",VLOOKUP(X1172,game_rosters!$C$43:$E$64,3,FALSE))</f>
        <v>0</v>
      </c>
      <c r="Z1172" t="e" cm="1" vm="1">
        <f t="array" aca="1" ref="Z1172" ca="1">IFERROR(IF(_xlfn._xlws.FILTER(game_rosters!$J:$J,(game_rosters!$G:$G=events!$AN1172)*(game_rosters!$J:$J=events!$X1172))&gt;0,1,""),"")</f>
        <v>#VALUE!</v>
      </c>
      <c r="AA1172">
        <f t="shared" si="151"/>
        <v>1000</v>
      </c>
      <c r="AB1172" t="str">
        <f t="shared" si="152"/>
        <v/>
      </c>
      <c r="AC1172">
        <f t="shared" si="153"/>
        <v>1000</v>
      </c>
      <c r="AD1172" s="6"/>
    </row>
    <row r="1173" spans="1:30" x14ac:dyDescent="0.2">
      <c r="A1173" t="str">
        <f t="shared" si="154"/>
        <v/>
      </c>
      <c r="X1173" t="str" cm="1">
        <f t="array" ref="X1173">IF(S1173="","",IF($I1173&lt;&gt;"",$I1173,INDEX($I$2:$I1172,ROW()-COUNTIFS($T$2:$T1172,"="&amp;$T1173,$S$2:$S1172,"&lt;&gt;"&amp;$S1173)-1)))</f>
        <v/>
      </c>
      <c r="Y1173" t="b">
        <f>IF(X1173&lt;&gt;"",VLOOKUP(X1173,game_rosters!$C$43:$E$64,3,FALSE))</f>
        <v>0</v>
      </c>
      <c r="Z1173" t="e" cm="1" vm="1">
        <f t="array" aca="1" ref="Z1173" ca="1">IFERROR(IF(_xlfn._xlws.FILTER(game_rosters!$J:$J,(game_rosters!$G:$G=events!$AN1173)*(game_rosters!$J:$J=events!$X1173))&gt;0,1,""),"")</f>
        <v>#VALUE!</v>
      </c>
      <c r="AA1173">
        <f t="shared" si="151"/>
        <v>1000</v>
      </c>
      <c r="AB1173" t="str">
        <f t="shared" si="152"/>
        <v/>
      </c>
      <c r="AC1173">
        <f t="shared" si="153"/>
        <v>1000</v>
      </c>
      <c r="AD1173" s="6"/>
    </row>
    <row r="1174" spans="1:30" x14ac:dyDescent="0.2">
      <c r="A1174" t="str">
        <f t="shared" si="154"/>
        <v/>
      </c>
      <c r="X1174" t="str" cm="1">
        <f t="array" ref="X1174">IF(S1174="","",IF($I1174&lt;&gt;"",$I1174,INDEX($I$2:$I1173,ROW()-COUNTIFS($T$2:$T1173,"="&amp;$T1174,$S$2:$S1173,"&lt;&gt;"&amp;$S1174)-1)))</f>
        <v/>
      </c>
      <c r="Y1174" t="b">
        <f>IF(X1174&lt;&gt;"",VLOOKUP(X1174,game_rosters!$C$43:$E$64,3,FALSE))</f>
        <v>0</v>
      </c>
      <c r="Z1174" t="e" cm="1" vm="1">
        <f t="array" aca="1" ref="Z1174" ca="1">IFERROR(IF(_xlfn._xlws.FILTER(game_rosters!$J:$J,(game_rosters!$G:$G=events!$AN1174)*(game_rosters!$J:$J=events!$X1174))&gt;0,1,""),"")</f>
        <v>#VALUE!</v>
      </c>
      <c r="AA1174">
        <f t="shared" si="151"/>
        <v>1000</v>
      </c>
      <c r="AB1174" t="str">
        <f t="shared" si="152"/>
        <v/>
      </c>
      <c r="AC1174">
        <f t="shared" si="153"/>
        <v>1000</v>
      </c>
      <c r="AD1174" s="6"/>
    </row>
    <row r="1175" spans="1:30" x14ac:dyDescent="0.2">
      <c r="A1175" t="str">
        <f t="shared" si="154"/>
        <v/>
      </c>
      <c r="X1175" t="str" cm="1">
        <f t="array" ref="X1175">IF(S1175="","",IF($I1175&lt;&gt;"",$I1175,INDEX($I$2:$I1174,ROW()-COUNTIFS($T$2:$T1174,"="&amp;$T1175,$S$2:$S1174,"&lt;&gt;"&amp;$S1175)-1)))</f>
        <v/>
      </c>
      <c r="Y1175" t="b">
        <f>IF(X1175&lt;&gt;"",VLOOKUP(X1175,game_rosters!$C$43:$E$64,3,FALSE))</f>
        <v>0</v>
      </c>
      <c r="Z1175" t="e" cm="1" vm="1">
        <f t="array" aca="1" ref="Z1175" ca="1">IFERROR(IF(_xlfn._xlws.FILTER(game_rosters!$J:$J,(game_rosters!$G:$G=events!$AN1175)*(game_rosters!$J:$J=events!$X1175))&gt;0,1,""),"")</f>
        <v>#VALUE!</v>
      </c>
      <c r="AA1175">
        <f t="shared" si="151"/>
        <v>1000</v>
      </c>
      <c r="AB1175" t="str">
        <f t="shared" si="152"/>
        <v/>
      </c>
      <c r="AC1175">
        <f t="shared" si="153"/>
        <v>1000</v>
      </c>
      <c r="AD1175" s="6"/>
    </row>
    <row r="1176" spans="1:30" x14ac:dyDescent="0.2">
      <c r="A1176" t="str">
        <f t="shared" si="154"/>
        <v/>
      </c>
      <c r="X1176" t="str" cm="1">
        <f t="array" ref="X1176">IF(S1176="","",IF($I1176&lt;&gt;"",$I1176,INDEX($I$2:$I1175,ROW()-COUNTIFS($T$2:$T1175,"="&amp;$T1176,$S$2:$S1175,"&lt;&gt;"&amp;$S1176)-1)))</f>
        <v/>
      </c>
      <c r="Y1176" t="b">
        <f>IF(X1176&lt;&gt;"",VLOOKUP(X1176,game_rosters!$C$43:$E$64,3,FALSE))</f>
        <v>0</v>
      </c>
      <c r="Z1176" t="e" cm="1" vm="1">
        <f t="array" aca="1" ref="Z1176" ca="1">IFERROR(IF(_xlfn._xlws.FILTER(game_rosters!$J:$J,(game_rosters!$G:$G=events!$AN1176)*(game_rosters!$J:$J=events!$X1176))&gt;0,1,""),"")</f>
        <v>#VALUE!</v>
      </c>
      <c r="AA1176">
        <f t="shared" si="151"/>
        <v>1000</v>
      </c>
      <c r="AB1176" t="str">
        <f t="shared" si="152"/>
        <v/>
      </c>
      <c r="AC1176">
        <f t="shared" si="153"/>
        <v>1000</v>
      </c>
      <c r="AD1176" s="6"/>
    </row>
    <row r="1177" spans="1:30" x14ac:dyDescent="0.2">
      <c r="A1177" t="str">
        <f t="shared" si="154"/>
        <v/>
      </c>
      <c r="X1177" t="str" cm="1">
        <f t="array" ref="X1177">IF(S1177="","",IF($I1177&lt;&gt;"",$I1177,INDEX($I$2:$I1176,ROW()-COUNTIFS($T$2:$T1176,"="&amp;$T1177,$S$2:$S1176,"&lt;&gt;"&amp;$S1177)-1)))</f>
        <v/>
      </c>
      <c r="Y1177" t="b">
        <f>IF(X1177&lt;&gt;"",VLOOKUP(X1177,game_rosters!$C$43:$E$64,3,FALSE))</f>
        <v>0</v>
      </c>
      <c r="Z1177" t="e" cm="1" vm="1">
        <f t="array" aca="1" ref="Z1177" ca="1">IFERROR(IF(_xlfn._xlws.FILTER(game_rosters!$J:$J,(game_rosters!$G:$G=events!$AN1177)*(game_rosters!$J:$J=events!$X1177))&gt;0,1,""),"")</f>
        <v>#VALUE!</v>
      </c>
      <c r="AA1177">
        <f t="shared" si="151"/>
        <v>1000</v>
      </c>
      <c r="AB1177" t="str">
        <f t="shared" si="152"/>
        <v/>
      </c>
      <c r="AC1177">
        <f t="shared" si="153"/>
        <v>1000</v>
      </c>
      <c r="AD1177" s="6"/>
    </row>
    <row r="1178" spans="1:30" x14ac:dyDescent="0.2">
      <c r="A1178" t="str">
        <f t="shared" si="154"/>
        <v/>
      </c>
      <c r="X1178" t="str" cm="1">
        <f t="array" ref="X1178">IF(S1178="","",IF($I1178&lt;&gt;"",$I1178,INDEX($I$2:$I1177,ROW()-COUNTIFS($T$2:$T1177,"="&amp;$T1178,$S$2:$S1177,"&lt;&gt;"&amp;$S1178)-1)))</f>
        <v/>
      </c>
      <c r="Y1178" t="b">
        <f>IF(X1178&lt;&gt;"",VLOOKUP(X1178,game_rosters!$C$43:$E$64,3,FALSE))</f>
        <v>0</v>
      </c>
      <c r="Z1178" t="e" cm="1" vm="1">
        <f t="array" aca="1" ref="Z1178" ca="1">IFERROR(IF(_xlfn._xlws.FILTER(game_rosters!$J:$J,(game_rosters!$G:$G=events!$AN1178)*(game_rosters!$J:$J=events!$X1178))&gt;0,1,""),"")</f>
        <v>#VALUE!</v>
      </c>
      <c r="AA1178">
        <f t="shared" si="151"/>
        <v>1000</v>
      </c>
      <c r="AB1178" t="str">
        <f t="shared" si="152"/>
        <v/>
      </c>
      <c r="AC1178">
        <f t="shared" si="153"/>
        <v>1000</v>
      </c>
      <c r="AD1178" s="6"/>
    </row>
    <row r="1179" spans="1:30" x14ac:dyDescent="0.2">
      <c r="A1179" t="str">
        <f t="shared" si="154"/>
        <v/>
      </c>
      <c r="X1179" t="str" cm="1">
        <f t="array" ref="X1179">IF(S1179="","",IF($I1179&lt;&gt;"",$I1179,INDEX($I$2:$I1178,ROW()-COUNTIFS($T$2:$T1178,"="&amp;$T1179,$S$2:$S1178,"&lt;&gt;"&amp;$S1179)-1)))</f>
        <v/>
      </c>
      <c r="Y1179" t="b">
        <f>IF(X1179&lt;&gt;"",VLOOKUP(X1179,game_rosters!$C$43:$E$64,3,FALSE))</f>
        <v>0</v>
      </c>
      <c r="Z1179" t="e" cm="1" vm="1">
        <f t="array" aca="1" ref="Z1179" ca="1">IFERROR(IF(_xlfn._xlws.FILTER(game_rosters!$J:$J,(game_rosters!$G:$G=events!$AN1179)*(game_rosters!$J:$J=events!$X1179))&gt;0,1,""),"")</f>
        <v>#VALUE!</v>
      </c>
      <c r="AA1179">
        <f t="shared" si="151"/>
        <v>1000</v>
      </c>
      <c r="AB1179" t="str">
        <f t="shared" si="152"/>
        <v/>
      </c>
      <c r="AC1179">
        <f t="shared" si="153"/>
        <v>1000</v>
      </c>
      <c r="AD1179" s="6"/>
    </row>
    <row r="1180" spans="1:30" x14ac:dyDescent="0.2">
      <c r="A1180" t="str">
        <f t="shared" si="154"/>
        <v/>
      </c>
      <c r="X1180" t="str" cm="1">
        <f t="array" ref="X1180">IF(S1180="","",IF($I1180&lt;&gt;"",$I1180,INDEX($I$2:$I1179,ROW()-COUNTIFS($T$2:$T1179,"="&amp;$T1180,$S$2:$S1179,"&lt;&gt;"&amp;$S1180)-1)))</f>
        <v/>
      </c>
      <c r="Y1180" t="b">
        <f>IF(X1180&lt;&gt;"",VLOOKUP(X1180,game_rosters!$C$43:$E$64,3,FALSE))</f>
        <v>0</v>
      </c>
      <c r="Z1180" t="e" cm="1" vm="1">
        <f t="array" aca="1" ref="Z1180" ca="1">IFERROR(IF(_xlfn._xlws.FILTER(game_rosters!$J:$J,(game_rosters!$G:$G=events!$AN1180)*(game_rosters!$J:$J=events!$X1180))&gt;0,1,""),"")</f>
        <v>#VALUE!</v>
      </c>
      <c r="AA1180">
        <f t="shared" si="151"/>
        <v>1000</v>
      </c>
      <c r="AB1180" t="str">
        <f t="shared" si="152"/>
        <v/>
      </c>
      <c r="AC1180">
        <f t="shared" si="153"/>
        <v>1000</v>
      </c>
      <c r="AD1180" s="6"/>
    </row>
    <row r="1181" spans="1:30" x14ac:dyDescent="0.2">
      <c r="A1181" t="str">
        <f t="shared" si="154"/>
        <v/>
      </c>
      <c r="X1181" t="str" cm="1">
        <f t="array" ref="X1181">IF(S1181="","",IF($I1181&lt;&gt;"",$I1181,INDEX($I$2:$I1180,ROW()-COUNTIFS($T$2:$T1180,"="&amp;$T1181,$S$2:$S1180,"&lt;&gt;"&amp;$S1181)-1)))</f>
        <v/>
      </c>
      <c r="Y1181" t="b">
        <f>IF(X1181&lt;&gt;"",VLOOKUP(X1181,game_rosters!$C$43:$E$64,3,FALSE))</f>
        <v>0</v>
      </c>
      <c r="Z1181" t="e" cm="1" vm="1">
        <f t="array" aca="1" ref="Z1181" ca="1">IFERROR(IF(_xlfn._xlws.FILTER(game_rosters!$J:$J,(game_rosters!$G:$G=events!$AN1181)*(game_rosters!$J:$J=events!$X1181))&gt;0,1,""),"")</f>
        <v>#VALUE!</v>
      </c>
      <c r="AA1181">
        <f t="shared" ref="AA1181:AA1244" si="155">S1181+1000</f>
        <v>1000</v>
      </c>
      <c r="AB1181" t="str">
        <f t="shared" ref="AB1181:AB1244" si="156">IF(T1181&lt;&gt;"",9000+T1181,"")</f>
        <v/>
      </c>
      <c r="AC1181">
        <f t="shared" si="153"/>
        <v>1000</v>
      </c>
      <c r="AD1181" s="6"/>
    </row>
    <row r="1182" spans="1:30" x14ac:dyDescent="0.2">
      <c r="A1182" t="str">
        <f t="shared" si="154"/>
        <v/>
      </c>
      <c r="X1182" t="str" cm="1">
        <f t="array" ref="X1182">IF(S1182="","",IF($I1182&lt;&gt;"",$I1182,INDEX($I$2:$I1181,ROW()-COUNTIFS($T$2:$T1181,"="&amp;$T1182,$S$2:$S1181,"&lt;&gt;"&amp;$S1182)-1)))</f>
        <v/>
      </c>
      <c r="Y1182" t="b">
        <f>IF(X1182&lt;&gt;"",VLOOKUP(X1182,game_rosters!$C$43:$E$64,3,FALSE))</f>
        <v>0</v>
      </c>
      <c r="Z1182" t="e" cm="1" vm="1">
        <f t="array" aca="1" ref="Z1182" ca="1">IFERROR(IF(_xlfn._xlws.FILTER(game_rosters!$J:$J,(game_rosters!$G:$G=events!$AN1182)*(game_rosters!$J:$J=events!$X1182))&gt;0,1,""),"")</f>
        <v>#VALUE!</v>
      </c>
      <c r="AA1182">
        <f t="shared" si="155"/>
        <v>1000</v>
      </c>
      <c r="AB1182" t="str">
        <f t="shared" si="156"/>
        <v/>
      </c>
      <c r="AC1182">
        <f t="shared" si="153"/>
        <v>1000</v>
      </c>
      <c r="AD1182" s="6"/>
    </row>
    <row r="1183" spans="1:30" x14ac:dyDescent="0.2">
      <c r="A1183" t="str">
        <f t="shared" si="154"/>
        <v/>
      </c>
      <c r="X1183" t="str" cm="1">
        <f t="array" ref="X1183">IF(S1183="","",IF($I1183&lt;&gt;"",$I1183,INDEX($I$2:$I1182,ROW()-COUNTIFS($T$2:$T1182,"="&amp;$T1183,$S$2:$S1182,"&lt;&gt;"&amp;$S1183)-1)))</f>
        <v/>
      </c>
      <c r="Y1183" t="b">
        <f>IF(X1183&lt;&gt;"",VLOOKUP(X1183,game_rosters!$C$43:$E$64,3,FALSE))</f>
        <v>0</v>
      </c>
      <c r="Z1183" t="e" cm="1" vm="1">
        <f t="array" aca="1" ref="Z1183" ca="1">IFERROR(IF(_xlfn._xlws.FILTER(game_rosters!$J:$J,(game_rosters!$G:$G=events!$AN1183)*(game_rosters!$J:$J=events!$X1183))&gt;0,1,""),"")</f>
        <v>#VALUE!</v>
      </c>
      <c r="AA1183">
        <f t="shared" si="155"/>
        <v>1000</v>
      </c>
      <c r="AB1183" t="str">
        <f t="shared" si="156"/>
        <v/>
      </c>
      <c r="AC1183">
        <f t="shared" si="153"/>
        <v>1000</v>
      </c>
      <c r="AD1183" s="6"/>
    </row>
    <row r="1184" spans="1:30" x14ac:dyDescent="0.2">
      <c r="A1184" t="str">
        <f t="shared" si="154"/>
        <v/>
      </c>
      <c r="X1184" t="str" cm="1">
        <f t="array" ref="X1184">IF(S1184="","",IF($I1184&lt;&gt;"",$I1184,INDEX($I$2:$I1183,ROW()-COUNTIFS($T$2:$T1183,"="&amp;$T1184,$S$2:$S1183,"&lt;&gt;"&amp;$S1184)-1)))</f>
        <v/>
      </c>
      <c r="Y1184" t="b">
        <f>IF(X1184&lt;&gt;"",VLOOKUP(X1184,game_rosters!$C$43:$E$64,3,FALSE))</f>
        <v>0</v>
      </c>
      <c r="Z1184" t="e" cm="1" vm="1">
        <f t="array" aca="1" ref="Z1184" ca="1">IFERROR(IF(_xlfn._xlws.FILTER(game_rosters!$J:$J,(game_rosters!$G:$G=events!$AN1184)*(game_rosters!$J:$J=events!$X1184))&gt;0,1,""),"")</f>
        <v>#VALUE!</v>
      </c>
      <c r="AA1184">
        <f t="shared" si="155"/>
        <v>1000</v>
      </c>
      <c r="AB1184" t="str">
        <f t="shared" si="156"/>
        <v/>
      </c>
      <c r="AC1184">
        <f t="shared" si="153"/>
        <v>1000</v>
      </c>
      <c r="AD1184" s="6"/>
    </row>
    <row r="1185" spans="1:30" x14ac:dyDescent="0.2">
      <c r="A1185" t="str">
        <f t="shared" si="154"/>
        <v/>
      </c>
      <c r="X1185" t="str" cm="1">
        <f t="array" ref="X1185">IF(S1185="","",IF($I1185&lt;&gt;"",$I1185,INDEX($I$2:$I1184,ROW()-COUNTIFS($T$2:$T1184,"="&amp;$T1185,$S$2:$S1184,"&lt;&gt;"&amp;$S1185)-1)))</f>
        <v/>
      </c>
      <c r="Y1185" t="b">
        <f>IF(X1185&lt;&gt;"",VLOOKUP(X1185,game_rosters!$C$43:$E$64,3,FALSE))</f>
        <v>0</v>
      </c>
      <c r="Z1185" t="e" cm="1" vm="1">
        <f t="array" aca="1" ref="Z1185" ca="1">IFERROR(IF(_xlfn._xlws.FILTER(game_rosters!$J:$J,(game_rosters!$G:$G=events!$AN1185)*(game_rosters!$J:$J=events!$X1185))&gt;0,1,""),"")</f>
        <v>#VALUE!</v>
      </c>
      <c r="AA1185">
        <f t="shared" si="155"/>
        <v>1000</v>
      </c>
      <c r="AB1185" t="str">
        <f t="shared" si="156"/>
        <v/>
      </c>
      <c r="AC1185">
        <f t="shared" si="153"/>
        <v>1000</v>
      </c>
      <c r="AD1185" s="6"/>
    </row>
    <row r="1186" spans="1:30" x14ac:dyDescent="0.2">
      <c r="A1186" t="str">
        <f t="shared" si="154"/>
        <v/>
      </c>
      <c r="X1186" t="str" cm="1">
        <f t="array" ref="X1186">IF(S1186="","",IF($I1186&lt;&gt;"",$I1186,INDEX($I$2:$I1185,ROW()-COUNTIFS($T$2:$T1185,"="&amp;$T1186,$S$2:$S1185,"&lt;&gt;"&amp;$S1186)-1)))</f>
        <v/>
      </c>
      <c r="Y1186" t="b">
        <f>IF(X1186&lt;&gt;"",VLOOKUP(X1186,game_rosters!$C$43:$E$64,3,FALSE))</f>
        <v>0</v>
      </c>
      <c r="Z1186" t="e" cm="1" vm="1">
        <f t="array" aca="1" ref="Z1186" ca="1">IFERROR(IF(_xlfn._xlws.FILTER(game_rosters!$J:$J,(game_rosters!$G:$G=events!$AN1186)*(game_rosters!$J:$J=events!$X1186))&gt;0,1,""),"")</f>
        <v>#VALUE!</v>
      </c>
      <c r="AA1186">
        <f t="shared" si="155"/>
        <v>1000</v>
      </c>
      <c r="AB1186" t="str">
        <f t="shared" si="156"/>
        <v/>
      </c>
      <c r="AC1186">
        <f t="shared" si="153"/>
        <v>1000</v>
      </c>
      <c r="AD1186" s="6"/>
    </row>
    <row r="1187" spans="1:30" x14ac:dyDescent="0.2">
      <c r="A1187" t="str">
        <f t="shared" si="154"/>
        <v/>
      </c>
      <c r="X1187" t="str" cm="1">
        <f t="array" ref="X1187">IF(S1187="","",IF($I1187&lt;&gt;"",$I1187,INDEX($I$2:$I1186,ROW()-COUNTIFS($T$2:$T1186,"="&amp;$T1187,$S$2:$S1186,"&lt;&gt;"&amp;$S1187)-1)))</f>
        <v/>
      </c>
      <c r="Y1187" t="b">
        <f>IF(X1187&lt;&gt;"",VLOOKUP(X1187,game_rosters!$C$43:$E$64,3,FALSE))</f>
        <v>0</v>
      </c>
      <c r="Z1187" t="e" cm="1" vm="1">
        <f t="array" aca="1" ref="Z1187" ca="1">IFERROR(IF(_xlfn._xlws.FILTER(game_rosters!$J:$J,(game_rosters!$G:$G=events!$AN1187)*(game_rosters!$J:$J=events!$X1187))&gt;0,1,""),"")</f>
        <v>#VALUE!</v>
      </c>
      <c r="AA1187">
        <f t="shared" si="155"/>
        <v>1000</v>
      </c>
      <c r="AB1187" t="str">
        <f t="shared" si="156"/>
        <v/>
      </c>
      <c r="AC1187">
        <f t="shared" si="153"/>
        <v>1000</v>
      </c>
      <c r="AD1187" s="6"/>
    </row>
    <row r="1188" spans="1:30" x14ac:dyDescent="0.2">
      <c r="A1188" t="str">
        <f t="shared" si="154"/>
        <v/>
      </c>
      <c r="X1188" t="str" cm="1">
        <f t="array" ref="X1188">IF(S1188="","",IF($I1188&lt;&gt;"",$I1188,INDEX($I$2:$I1187,ROW()-COUNTIFS($T$2:$T1187,"="&amp;$T1188,$S$2:$S1187,"&lt;&gt;"&amp;$S1188)-1)))</f>
        <v/>
      </c>
      <c r="Y1188" t="b">
        <f>IF(X1188&lt;&gt;"",VLOOKUP(X1188,game_rosters!$C$43:$E$64,3,FALSE))</f>
        <v>0</v>
      </c>
      <c r="Z1188" t="e" cm="1" vm="1">
        <f t="array" aca="1" ref="Z1188" ca="1">IFERROR(IF(_xlfn._xlws.FILTER(game_rosters!$J:$J,(game_rosters!$G:$G=events!$AN1188)*(game_rosters!$J:$J=events!$X1188))&gt;0,1,""),"")</f>
        <v>#VALUE!</v>
      </c>
      <c r="AA1188">
        <f t="shared" si="155"/>
        <v>1000</v>
      </c>
      <c r="AB1188" t="str">
        <f t="shared" si="156"/>
        <v/>
      </c>
      <c r="AC1188">
        <f t="shared" si="153"/>
        <v>1000</v>
      </c>
      <c r="AD1188" s="6"/>
    </row>
    <row r="1189" spans="1:30" x14ac:dyDescent="0.2">
      <c r="A1189" t="str">
        <f t="shared" si="154"/>
        <v/>
      </c>
      <c r="X1189" t="str" cm="1">
        <f t="array" ref="X1189">IF(S1189="","",IF($I1189&lt;&gt;"",$I1189,INDEX($I$2:$I1188,ROW()-COUNTIFS($T$2:$T1188,"="&amp;$T1189,$S$2:$S1188,"&lt;&gt;"&amp;$S1189)-1)))</f>
        <v/>
      </c>
      <c r="Y1189" t="b">
        <f>IF(X1189&lt;&gt;"",VLOOKUP(X1189,game_rosters!$C$43:$E$64,3,FALSE))</f>
        <v>0</v>
      </c>
      <c r="Z1189" t="e" cm="1" vm="1">
        <f t="array" aca="1" ref="Z1189" ca="1">IFERROR(IF(_xlfn._xlws.FILTER(game_rosters!$J:$J,(game_rosters!$G:$G=events!$AN1189)*(game_rosters!$J:$J=events!$X1189))&gt;0,1,""),"")</f>
        <v>#VALUE!</v>
      </c>
      <c r="AA1189">
        <f t="shared" si="155"/>
        <v>1000</v>
      </c>
      <c r="AB1189" t="str">
        <f t="shared" si="156"/>
        <v/>
      </c>
      <c r="AC1189">
        <f t="shared" si="153"/>
        <v>1000</v>
      </c>
      <c r="AD1189" s="6"/>
    </row>
    <row r="1190" spans="1:30" x14ac:dyDescent="0.2">
      <c r="A1190" t="str">
        <f t="shared" si="154"/>
        <v/>
      </c>
      <c r="X1190" t="str" cm="1">
        <f t="array" ref="X1190">IF(S1190="","",IF($I1190&lt;&gt;"",$I1190,INDEX($I$2:$I1189,ROW()-COUNTIFS($T$2:$T1189,"="&amp;$T1190,$S$2:$S1189,"&lt;&gt;"&amp;$S1190)-1)))</f>
        <v/>
      </c>
      <c r="Y1190" t="b">
        <f>IF(X1190&lt;&gt;"",VLOOKUP(X1190,game_rosters!$C$43:$E$64,3,FALSE))</f>
        <v>0</v>
      </c>
      <c r="Z1190" t="e" cm="1" vm="1">
        <f t="array" aca="1" ref="Z1190" ca="1">IFERROR(IF(_xlfn._xlws.FILTER(game_rosters!$J:$J,(game_rosters!$G:$G=events!$AN1190)*(game_rosters!$J:$J=events!$X1190))&gt;0,1,""),"")</f>
        <v>#VALUE!</v>
      </c>
      <c r="AA1190">
        <f t="shared" si="155"/>
        <v>1000</v>
      </c>
      <c r="AB1190" t="str">
        <f t="shared" si="156"/>
        <v/>
      </c>
      <c r="AC1190">
        <f t="shared" si="153"/>
        <v>1000</v>
      </c>
      <c r="AD1190" s="6"/>
    </row>
    <row r="1191" spans="1:30" x14ac:dyDescent="0.2">
      <c r="A1191" t="str">
        <f t="shared" si="154"/>
        <v/>
      </c>
      <c r="X1191" t="str" cm="1">
        <f t="array" ref="X1191">IF(S1191="","",IF($I1191&lt;&gt;"",$I1191,INDEX($I$2:$I1190,ROW()-COUNTIFS($T$2:$T1190,"="&amp;$T1191,$S$2:$S1190,"&lt;&gt;"&amp;$S1191)-1)))</f>
        <v/>
      </c>
      <c r="Y1191" t="b">
        <f>IF(X1191&lt;&gt;"",VLOOKUP(X1191,game_rosters!$C$43:$E$64,3,FALSE))</f>
        <v>0</v>
      </c>
      <c r="Z1191" t="e" cm="1" vm="1">
        <f t="array" aca="1" ref="Z1191" ca="1">IFERROR(IF(_xlfn._xlws.FILTER(game_rosters!$J:$J,(game_rosters!$G:$G=events!$AN1191)*(game_rosters!$J:$J=events!$X1191))&gt;0,1,""),"")</f>
        <v>#VALUE!</v>
      </c>
      <c r="AA1191">
        <f t="shared" si="155"/>
        <v>1000</v>
      </c>
      <c r="AB1191" t="str">
        <f t="shared" si="156"/>
        <v/>
      </c>
      <c r="AC1191">
        <f t="shared" si="153"/>
        <v>1000</v>
      </c>
      <c r="AD1191" s="6"/>
    </row>
    <row r="1192" spans="1:30" x14ac:dyDescent="0.2">
      <c r="A1192" t="str">
        <f t="shared" si="154"/>
        <v/>
      </c>
      <c r="X1192" t="str" cm="1">
        <f t="array" ref="X1192">IF(S1192="","",IF($I1192&lt;&gt;"",$I1192,INDEX($I$2:$I1191,ROW()-COUNTIFS($T$2:$T1191,"="&amp;$T1192,$S$2:$S1191,"&lt;&gt;"&amp;$S1192)-1)))</f>
        <v/>
      </c>
      <c r="Y1192" t="b">
        <f>IF(X1192&lt;&gt;"",VLOOKUP(X1192,game_rosters!$C$43:$E$64,3,FALSE))</f>
        <v>0</v>
      </c>
      <c r="Z1192" t="e" cm="1" vm="1">
        <f t="array" aca="1" ref="Z1192" ca="1">IFERROR(IF(_xlfn._xlws.FILTER(game_rosters!$J:$J,(game_rosters!$G:$G=events!$AN1192)*(game_rosters!$J:$J=events!$X1192))&gt;0,1,""),"")</f>
        <v>#VALUE!</v>
      </c>
      <c r="AA1192">
        <f t="shared" si="155"/>
        <v>1000</v>
      </c>
      <c r="AB1192" t="str">
        <f t="shared" si="156"/>
        <v/>
      </c>
      <c r="AC1192">
        <f t="shared" si="153"/>
        <v>1000</v>
      </c>
      <c r="AD1192" s="6"/>
    </row>
    <row r="1193" spans="1:30" x14ac:dyDescent="0.2">
      <c r="A1193" t="str">
        <f t="shared" si="154"/>
        <v/>
      </c>
      <c r="X1193" t="str" cm="1">
        <f t="array" ref="X1193">IF(S1193="","",IF($I1193&lt;&gt;"",$I1193,INDEX($I$2:$I1192,ROW()-COUNTIFS($T$2:$T1192,"="&amp;$T1193,$S$2:$S1192,"&lt;&gt;"&amp;$S1193)-1)))</f>
        <v/>
      </c>
      <c r="Y1193" t="b">
        <f>IF(X1193&lt;&gt;"",VLOOKUP(X1193,game_rosters!$C$43:$E$64,3,FALSE))</f>
        <v>0</v>
      </c>
      <c r="Z1193" t="e" cm="1" vm="1">
        <f t="array" aca="1" ref="Z1193" ca="1">IFERROR(IF(_xlfn._xlws.FILTER(game_rosters!$J:$J,(game_rosters!$G:$G=events!$AN1193)*(game_rosters!$J:$J=events!$X1193))&gt;0,1,""),"")</f>
        <v>#VALUE!</v>
      </c>
      <c r="AA1193">
        <f t="shared" si="155"/>
        <v>1000</v>
      </c>
      <c r="AB1193" t="str">
        <f t="shared" si="156"/>
        <v/>
      </c>
      <c r="AC1193">
        <f t="shared" si="153"/>
        <v>1000</v>
      </c>
      <c r="AD1193" s="6"/>
    </row>
    <row r="1194" spans="1:30" x14ac:dyDescent="0.2">
      <c r="A1194" t="str">
        <f t="shared" si="154"/>
        <v/>
      </c>
      <c r="X1194" t="str" cm="1">
        <f t="array" ref="X1194">IF(S1194="","",IF($I1194&lt;&gt;"",$I1194,INDEX($I$2:$I1193,ROW()-COUNTIFS($T$2:$T1193,"="&amp;$T1194,$S$2:$S1193,"&lt;&gt;"&amp;$S1194)-1)))</f>
        <v/>
      </c>
      <c r="Y1194" t="b">
        <f>IF(X1194&lt;&gt;"",VLOOKUP(X1194,game_rosters!$C$43:$E$64,3,FALSE))</f>
        <v>0</v>
      </c>
      <c r="Z1194" t="e" cm="1" vm="1">
        <f t="array" aca="1" ref="Z1194" ca="1">IFERROR(IF(_xlfn._xlws.FILTER(game_rosters!$J:$J,(game_rosters!$G:$G=events!$AN1194)*(game_rosters!$J:$J=events!$X1194))&gt;0,1,""),"")</f>
        <v>#VALUE!</v>
      </c>
      <c r="AA1194">
        <f t="shared" si="155"/>
        <v>1000</v>
      </c>
      <c r="AB1194" t="str">
        <f t="shared" si="156"/>
        <v/>
      </c>
      <c r="AC1194">
        <f t="shared" si="153"/>
        <v>1000</v>
      </c>
      <c r="AD1194" s="6"/>
    </row>
    <row r="1195" spans="1:30" x14ac:dyDescent="0.2">
      <c r="A1195" t="str">
        <f t="shared" si="154"/>
        <v/>
      </c>
      <c r="X1195" t="str" cm="1">
        <f t="array" ref="X1195">IF(S1195="","",IF($I1195&lt;&gt;"",$I1195,INDEX($I$2:$I1194,ROW()-COUNTIFS($T$2:$T1194,"="&amp;$T1195,$S$2:$S1194,"&lt;&gt;"&amp;$S1195)-1)))</f>
        <v/>
      </c>
      <c r="Y1195" t="b">
        <f>IF(X1195&lt;&gt;"",VLOOKUP(X1195,game_rosters!$C$43:$E$64,3,FALSE))</f>
        <v>0</v>
      </c>
      <c r="Z1195" t="e" cm="1" vm="1">
        <f t="array" aca="1" ref="Z1195" ca="1">IFERROR(IF(_xlfn._xlws.FILTER(game_rosters!$J:$J,(game_rosters!$G:$G=events!$AN1195)*(game_rosters!$J:$J=events!$X1195))&gt;0,1,""),"")</f>
        <v>#VALUE!</v>
      </c>
      <c r="AA1195">
        <f t="shared" si="155"/>
        <v>1000</v>
      </c>
      <c r="AB1195" t="str">
        <f t="shared" si="156"/>
        <v/>
      </c>
      <c r="AC1195">
        <f t="shared" si="153"/>
        <v>1000</v>
      </c>
      <c r="AD1195" s="6"/>
    </row>
    <row r="1196" spans="1:30" x14ac:dyDescent="0.2">
      <c r="A1196" t="str">
        <f t="shared" si="154"/>
        <v/>
      </c>
      <c r="X1196" t="str" cm="1">
        <f t="array" ref="X1196">IF(S1196="","",IF($I1196&lt;&gt;"",$I1196,INDEX($I$2:$I1195,ROW()-COUNTIFS($T$2:$T1195,"="&amp;$T1196,$S$2:$S1195,"&lt;&gt;"&amp;$S1196)-1)))</f>
        <v/>
      </c>
      <c r="Y1196" t="b">
        <f>IF(X1196&lt;&gt;"",VLOOKUP(X1196,game_rosters!$C$43:$E$64,3,FALSE))</f>
        <v>0</v>
      </c>
      <c r="Z1196" t="e" cm="1" vm="1">
        <f t="array" aca="1" ref="Z1196" ca="1">IFERROR(IF(_xlfn._xlws.FILTER(game_rosters!$J:$J,(game_rosters!$G:$G=events!$AN1196)*(game_rosters!$J:$J=events!$X1196))&gt;0,1,""),"")</f>
        <v>#VALUE!</v>
      </c>
      <c r="AA1196">
        <f t="shared" si="155"/>
        <v>1000</v>
      </c>
      <c r="AB1196" t="str">
        <f t="shared" si="156"/>
        <v/>
      </c>
      <c r="AC1196">
        <f t="shared" si="153"/>
        <v>1000</v>
      </c>
      <c r="AD1196" s="6"/>
    </row>
    <row r="1197" spans="1:30" x14ac:dyDescent="0.2">
      <c r="A1197" t="str">
        <f t="shared" si="154"/>
        <v/>
      </c>
      <c r="X1197" t="str" cm="1">
        <f t="array" ref="X1197">IF(S1197="","",IF($I1197&lt;&gt;"",$I1197,INDEX($I$2:$I1196,ROW()-COUNTIFS($T$2:$T1196,"="&amp;$T1197,$S$2:$S1196,"&lt;&gt;"&amp;$S1197)-1)))</f>
        <v/>
      </c>
      <c r="Y1197" t="b">
        <f>IF(X1197&lt;&gt;"",VLOOKUP(X1197,game_rosters!$C$43:$E$64,3,FALSE))</f>
        <v>0</v>
      </c>
      <c r="Z1197" t="e" cm="1" vm="1">
        <f t="array" aca="1" ref="Z1197" ca="1">IFERROR(IF(_xlfn._xlws.FILTER(game_rosters!$J:$J,(game_rosters!$G:$G=events!$AN1197)*(game_rosters!$J:$J=events!$X1197))&gt;0,1,""),"")</f>
        <v>#VALUE!</v>
      </c>
      <c r="AA1197">
        <f t="shared" si="155"/>
        <v>1000</v>
      </c>
      <c r="AB1197" t="str">
        <f t="shared" si="156"/>
        <v/>
      </c>
      <c r="AC1197">
        <f t="shared" si="153"/>
        <v>1000</v>
      </c>
      <c r="AD1197" s="6"/>
    </row>
    <row r="1198" spans="1:30" x14ac:dyDescent="0.2">
      <c r="A1198" t="str">
        <f t="shared" si="154"/>
        <v/>
      </c>
      <c r="X1198" t="str" cm="1">
        <f t="array" ref="X1198">IF(S1198="","",IF($I1198&lt;&gt;"",$I1198,INDEX($I$2:$I1197,ROW()-COUNTIFS($T$2:$T1197,"="&amp;$T1198,$S$2:$S1197,"&lt;&gt;"&amp;$S1198)-1)))</f>
        <v/>
      </c>
      <c r="Y1198" t="b">
        <f>IF(X1198&lt;&gt;"",VLOOKUP(X1198,game_rosters!$C$43:$E$64,3,FALSE))</f>
        <v>0</v>
      </c>
      <c r="Z1198" t="e" cm="1" vm="1">
        <f t="array" aca="1" ref="Z1198" ca="1">IFERROR(IF(_xlfn._xlws.FILTER(game_rosters!$J:$J,(game_rosters!$G:$G=events!$AN1198)*(game_rosters!$J:$J=events!$X1198))&gt;0,1,""),"")</f>
        <v>#VALUE!</v>
      </c>
      <c r="AA1198">
        <f t="shared" si="155"/>
        <v>1000</v>
      </c>
      <c r="AB1198" t="str">
        <f t="shared" si="156"/>
        <v/>
      </c>
      <c r="AC1198">
        <f t="shared" si="153"/>
        <v>1000</v>
      </c>
      <c r="AD1198" s="6"/>
    </row>
    <row r="1199" spans="1:30" x14ac:dyDescent="0.2">
      <c r="A1199" t="str">
        <f t="shared" si="154"/>
        <v/>
      </c>
      <c r="X1199" t="str" cm="1">
        <f t="array" ref="X1199">IF(S1199="","",IF($I1199&lt;&gt;"",$I1199,INDEX($I$2:$I1198,ROW()-COUNTIFS($T$2:$T1198,"="&amp;$T1199,$S$2:$S1198,"&lt;&gt;"&amp;$S1199)-1)))</f>
        <v/>
      </c>
      <c r="Y1199" t="b">
        <f>IF(X1199&lt;&gt;"",VLOOKUP(X1199,game_rosters!$C$43:$E$64,3,FALSE))</f>
        <v>0</v>
      </c>
      <c r="Z1199" t="e" cm="1" vm="1">
        <f t="array" aca="1" ref="Z1199" ca="1">IFERROR(IF(_xlfn._xlws.FILTER(game_rosters!$J:$J,(game_rosters!$G:$G=events!$AN1199)*(game_rosters!$J:$J=events!$X1199))&gt;0,1,""),"")</f>
        <v>#VALUE!</v>
      </c>
      <c r="AA1199">
        <f t="shared" si="155"/>
        <v>1000</v>
      </c>
      <c r="AB1199" t="str">
        <f t="shared" si="156"/>
        <v/>
      </c>
      <c r="AC1199">
        <f t="shared" si="153"/>
        <v>1000</v>
      </c>
      <c r="AD1199" s="6"/>
    </row>
    <row r="1200" spans="1:30" x14ac:dyDescent="0.2">
      <c r="A1200" t="str">
        <f t="shared" si="154"/>
        <v/>
      </c>
      <c r="X1200" t="str" cm="1">
        <f t="array" ref="X1200">IF(S1200="","",IF($I1200&lt;&gt;"",$I1200,INDEX($I$2:$I1199,ROW()-COUNTIFS($T$2:$T1199,"="&amp;$T1200,$S$2:$S1199,"&lt;&gt;"&amp;$S1200)-1)))</f>
        <v/>
      </c>
      <c r="Y1200" t="b">
        <f>IF(X1200&lt;&gt;"",VLOOKUP(X1200,game_rosters!$C$43:$E$64,3,FALSE))</f>
        <v>0</v>
      </c>
      <c r="Z1200" t="e" cm="1" vm="1">
        <f t="array" aca="1" ref="Z1200" ca="1">IFERROR(IF(_xlfn._xlws.FILTER(game_rosters!$J:$J,(game_rosters!$G:$G=events!$AN1200)*(game_rosters!$J:$J=events!$X1200))&gt;0,1,""),"")</f>
        <v>#VALUE!</v>
      </c>
      <c r="AA1200">
        <f t="shared" si="155"/>
        <v>1000</v>
      </c>
      <c r="AB1200" t="str">
        <f t="shared" si="156"/>
        <v/>
      </c>
      <c r="AC1200">
        <f t="shared" si="153"/>
        <v>1000</v>
      </c>
      <c r="AD1200" s="6"/>
    </row>
    <row r="1201" spans="1:30" x14ac:dyDescent="0.2">
      <c r="A1201" t="str">
        <f t="shared" si="154"/>
        <v/>
      </c>
      <c r="X1201" t="str" cm="1">
        <f t="array" ref="X1201">IF(S1201="","",IF($I1201&lt;&gt;"",$I1201,INDEX($I$2:$I1200,ROW()-COUNTIFS($T$2:$T1200,"="&amp;$T1201,$S$2:$S1200,"&lt;&gt;"&amp;$S1201)-1)))</f>
        <v/>
      </c>
      <c r="Y1201" t="b">
        <f>IF(X1201&lt;&gt;"",VLOOKUP(X1201,game_rosters!$C$43:$E$64,3,FALSE))</f>
        <v>0</v>
      </c>
      <c r="Z1201" t="e" cm="1" vm="1">
        <f t="array" aca="1" ref="Z1201" ca="1">IFERROR(IF(_xlfn._xlws.FILTER(game_rosters!$J:$J,(game_rosters!$G:$G=events!$AN1201)*(game_rosters!$J:$J=events!$X1201))&gt;0,1,""),"")</f>
        <v>#VALUE!</v>
      </c>
      <c r="AA1201">
        <f t="shared" si="155"/>
        <v>1000</v>
      </c>
      <c r="AB1201" t="str">
        <f t="shared" si="156"/>
        <v/>
      </c>
      <c r="AC1201">
        <f t="shared" si="153"/>
        <v>1000</v>
      </c>
      <c r="AD1201" s="6"/>
    </row>
    <row r="1202" spans="1:30" x14ac:dyDescent="0.2">
      <c r="A1202" t="str">
        <f t="shared" si="154"/>
        <v/>
      </c>
      <c r="X1202" t="str" cm="1">
        <f t="array" ref="X1202">IF(S1202="","",IF($I1202&lt;&gt;"",$I1202,INDEX($I$2:$I1201,ROW()-COUNTIFS($T$2:$T1201,"="&amp;$T1202,$S$2:$S1201,"&lt;&gt;"&amp;$S1202)-1)))</f>
        <v/>
      </c>
      <c r="Y1202" t="b">
        <f>IF(X1202&lt;&gt;"",VLOOKUP(X1202,game_rosters!$C$43:$E$64,3,FALSE))</f>
        <v>0</v>
      </c>
      <c r="Z1202" t="e" cm="1" vm="1">
        <f t="array" aca="1" ref="Z1202" ca="1">IFERROR(IF(_xlfn._xlws.FILTER(game_rosters!$J:$J,(game_rosters!$G:$G=events!$AN1202)*(game_rosters!$J:$J=events!$X1202))&gt;0,1,""),"")</f>
        <v>#VALUE!</v>
      </c>
      <c r="AA1202">
        <f t="shared" si="155"/>
        <v>1000</v>
      </c>
      <c r="AB1202" t="str">
        <f t="shared" si="156"/>
        <v/>
      </c>
      <c r="AC1202">
        <f t="shared" si="153"/>
        <v>1000</v>
      </c>
      <c r="AD1202" s="6"/>
    </row>
    <row r="1203" spans="1:30" x14ac:dyDescent="0.2">
      <c r="A1203" t="str">
        <f t="shared" si="154"/>
        <v/>
      </c>
      <c r="X1203" t="str" cm="1">
        <f t="array" ref="X1203">IF(S1203="","",IF($I1203&lt;&gt;"",$I1203,INDEX($I$2:$I1202,ROW()-COUNTIFS($T$2:$T1202,"="&amp;$T1203,$S$2:$S1202,"&lt;&gt;"&amp;$S1203)-1)))</f>
        <v/>
      </c>
      <c r="Y1203" t="b">
        <f>IF(X1203&lt;&gt;"",VLOOKUP(X1203,game_rosters!$C$43:$E$64,3,FALSE))</f>
        <v>0</v>
      </c>
      <c r="Z1203" t="e" cm="1" vm="1">
        <f t="array" aca="1" ref="Z1203" ca="1">IFERROR(IF(_xlfn._xlws.FILTER(game_rosters!$J:$J,(game_rosters!$G:$G=events!$AN1203)*(game_rosters!$J:$J=events!$X1203))&gt;0,1,""),"")</f>
        <v>#VALUE!</v>
      </c>
      <c r="AA1203">
        <f t="shared" si="155"/>
        <v>1000</v>
      </c>
      <c r="AB1203" t="str">
        <f t="shared" si="156"/>
        <v/>
      </c>
      <c r="AC1203">
        <f t="shared" si="153"/>
        <v>1000</v>
      </c>
      <c r="AD1203" s="6"/>
    </row>
    <row r="1204" spans="1:30" x14ac:dyDescent="0.2">
      <c r="A1204" t="str">
        <f t="shared" si="154"/>
        <v/>
      </c>
      <c r="X1204" t="str" cm="1">
        <f t="array" ref="X1204">IF(S1204="","",IF($I1204&lt;&gt;"",$I1204,INDEX($I$2:$I1203,ROW()-COUNTIFS($T$2:$T1203,"="&amp;$T1204,$S$2:$S1203,"&lt;&gt;"&amp;$S1204)-1)))</f>
        <v/>
      </c>
      <c r="Y1204" t="b">
        <f>IF(X1204&lt;&gt;"",VLOOKUP(X1204,game_rosters!$C$43:$E$64,3,FALSE))</f>
        <v>0</v>
      </c>
      <c r="Z1204" t="e" cm="1" vm="1">
        <f t="array" aca="1" ref="Z1204" ca="1">IFERROR(IF(_xlfn._xlws.FILTER(game_rosters!$J:$J,(game_rosters!$G:$G=events!$AN1204)*(game_rosters!$J:$J=events!$X1204))&gt;0,1,""),"")</f>
        <v>#VALUE!</v>
      </c>
      <c r="AA1204">
        <f t="shared" si="155"/>
        <v>1000</v>
      </c>
      <c r="AB1204" t="str">
        <f t="shared" si="156"/>
        <v/>
      </c>
      <c r="AC1204">
        <f t="shared" si="153"/>
        <v>1000</v>
      </c>
      <c r="AD1204" s="6"/>
    </row>
    <row r="1205" spans="1:30" x14ac:dyDescent="0.2">
      <c r="A1205" t="str">
        <f t="shared" si="154"/>
        <v/>
      </c>
      <c r="X1205" t="str" cm="1">
        <f t="array" ref="X1205">IF(S1205="","",IF($I1205&lt;&gt;"",$I1205,INDEX($I$2:$I1204,ROW()-COUNTIFS($T$2:$T1204,"="&amp;$T1205,$S$2:$S1204,"&lt;&gt;"&amp;$S1205)-1)))</f>
        <v/>
      </c>
      <c r="Y1205" t="b">
        <f>IF(X1205&lt;&gt;"",VLOOKUP(X1205,game_rosters!$C$43:$E$64,3,FALSE))</f>
        <v>0</v>
      </c>
      <c r="Z1205" t="e" cm="1" vm="1">
        <f t="array" aca="1" ref="Z1205" ca="1">IFERROR(IF(_xlfn._xlws.FILTER(game_rosters!$J:$J,(game_rosters!$G:$G=events!$AN1205)*(game_rosters!$J:$J=events!$X1205))&gt;0,1,""),"")</f>
        <v>#VALUE!</v>
      </c>
      <c r="AA1205">
        <f t="shared" si="155"/>
        <v>1000</v>
      </c>
      <c r="AB1205" t="str">
        <f t="shared" si="156"/>
        <v/>
      </c>
      <c r="AC1205">
        <f t="shared" si="153"/>
        <v>1000</v>
      </c>
      <c r="AD1205" s="6"/>
    </row>
    <row r="1206" spans="1:30" x14ac:dyDescent="0.2">
      <c r="A1206" t="str">
        <f t="shared" si="154"/>
        <v/>
      </c>
      <c r="X1206" t="str" cm="1">
        <f t="array" ref="X1206">IF(S1206="","",IF($I1206&lt;&gt;"",$I1206,INDEX($I$2:$I1205,ROW()-COUNTIFS($T$2:$T1205,"="&amp;$T1206,$S$2:$S1205,"&lt;&gt;"&amp;$S1206)-1)))</f>
        <v/>
      </c>
      <c r="Y1206" t="b">
        <f>IF(X1206&lt;&gt;"",VLOOKUP(X1206,game_rosters!$C$43:$E$64,3,FALSE))</f>
        <v>0</v>
      </c>
      <c r="Z1206" t="e" cm="1" vm="1">
        <f t="array" aca="1" ref="Z1206" ca="1">IFERROR(IF(_xlfn._xlws.FILTER(game_rosters!$J:$J,(game_rosters!$G:$G=events!$AN1206)*(game_rosters!$J:$J=events!$X1206))&gt;0,1,""),"")</f>
        <v>#VALUE!</v>
      </c>
      <c r="AA1206">
        <f t="shared" si="155"/>
        <v>1000</v>
      </c>
      <c r="AB1206" t="str">
        <f t="shared" si="156"/>
        <v/>
      </c>
      <c r="AC1206">
        <f t="shared" si="153"/>
        <v>1000</v>
      </c>
      <c r="AD1206" s="6"/>
    </row>
    <row r="1207" spans="1:30" x14ac:dyDescent="0.2">
      <c r="A1207" t="str">
        <f t="shared" si="154"/>
        <v/>
      </c>
      <c r="X1207" t="str" cm="1">
        <f t="array" ref="X1207">IF(S1207="","",IF($I1207&lt;&gt;"",$I1207,INDEX($I$2:$I1206,ROW()-COUNTIFS($T$2:$T1206,"="&amp;$T1207,$S$2:$S1206,"&lt;&gt;"&amp;$S1207)-1)))</f>
        <v/>
      </c>
      <c r="Y1207" t="b">
        <f>IF(X1207&lt;&gt;"",VLOOKUP(X1207,game_rosters!$C$43:$E$64,3,FALSE))</f>
        <v>0</v>
      </c>
      <c r="Z1207" t="e" cm="1" vm="1">
        <f t="array" aca="1" ref="Z1207" ca="1">IFERROR(IF(_xlfn._xlws.FILTER(game_rosters!$J:$J,(game_rosters!$G:$G=events!$AN1207)*(game_rosters!$J:$J=events!$X1207))&gt;0,1,""),"")</f>
        <v>#VALUE!</v>
      </c>
      <c r="AA1207">
        <f t="shared" si="155"/>
        <v>1000</v>
      </c>
      <c r="AB1207" t="str">
        <f t="shared" si="156"/>
        <v/>
      </c>
      <c r="AC1207">
        <f t="shared" si="153"/>
        <v>1000</v>
      </c>
      <c r="AD1207" s="6"/>
    </row>
    <row r="1208" spans="1:30" x14ac:dyDescent="0.2">
      <c r="A1208" t="str">
        <f t="shared" si="154"/>
        <v/>
      </c>
      <c r="X1208" t="str" cm="1">
        <f t="array" ref="X1208">IF(S1208="","",IF($I1208&lt;&gt;"",$I1208,INDEX($I$2:$I1207,ROW()-COUNTIFS($T$2:$T1207,"="&amp;$T1208,$S$2:$S1207,"&lt;&gt;"&amp;$S1208)-1)))</f>
        <v/>
      </c>
      <c r="Y1208" t="b">
        <f>IF(X1208&lt;&gt;"",VLOOKUP(X1208,game_rosters!$C$43:$E$64,3,FALSE))</f>
        <v>0</v>
      </c>
      <c r="Z1208" t="e" cm="1" vm="1">
        <f t="array" aca="1" ref="Z1208" ca="1">IFERROR(IF(_xlfn._xlws.FILTER(game_rosters!$J:$J,(game_rosters!$G:$G=events!$AN1208)*(game_rosters!$J:$J=events!$X1208))&gt;0,1,""),"")</f>
        <v>#VALUE!</v>
      </c>
      <c r="AA1208">
        <f t="shared" si="155"/>
        <v>1000</v>
      </c>
      <c r="AB1208" t="str">
        <f t="shared" si="156"/>
        <v/>
      </c>
      <c r="AC1208">
        <f t="shared" si="153"/>
        <v>1000</v>
      </c>
      <c r="AD1208" s="6"/>
    </row>
    <row r="1209" spans="1:30" x14ac:dyDescent="0.2">
      <c r="A1209" t="str">
        <f t="shared" si="154"/>
        <v/>
      </c>
      <c r="X1209" t="str" cm="1">
        <f t="array" ref="X1209">IF(S1209="","",IF($I1209&lt;&gt;"",$I1209,INDEX($I$2:$I1208,ROW()-COUNTIFS($T$2:$T1208,"="&amp;$T1209,$S$2:$S1208,"&lt;&gt;"&amp;$S1209)-1)))</f>
        <v/>
      </c>
      <c r="Y1209" t="b">
        <f>IF(X1209&lt;&gt;"",VLOOKUP(X1209,game_rosters!$C$43:$E$64,3,FALSE))</f>
        <v>0</v>
      </c>
      <c r="Z1209" t="e" cm="1" vm="1">
        <f t="array" aca="1" ref="Z1209" ca="1">IFERROR(IF(_xlfn._xlws.FILTER(game_rosters!$J:$J,(game_rosters!$G:$G=events!$AN1209)*(game_rosters!$J:$J=events!$X1209))&gt;0,1,""),"")</f>
        <v>#VALUE!</v>
      </c>
      <c r="AA1209">
        <f t="shared" si="155"/>
        <v>1000</v>
      </c>
      <c r="AB1209" t="str">
        <f t="shared" si="156"/>
        <v/>
      </c>
      <c r="AC1209">
        <f t="shared" si="153"/>
        <v>1000</v>
      </c>
      <c r="AD1209" s="6"/>
    </row>
    <row r="1210" spans="1:30" x14ac:dyDescent="0.2">
      <c r="A1210" t="str">
        <f t="shared" si="154"/>
        <v/>
      </c>
      <c r="X1210" t="str" cm="1">
        <f t="array" ref="X1210">IF(S1210="","",IF($I1210&lt;&gt;"",$I1210,INDEX($I$2:$I1209,ROW()-COUNTIFS($T$2:$T1209,"="&amp;$T1210,$S$2:$S1209,"&lt;&gt;"&amp;$S1210)-1)))</f>
        <v/>
      </c>
      <c r="Y1210" t="b">
        <f>IF(X1210&lt;&gt;"",VLOOKUP(X1210,game_rosters!$C$43:$E$64,3,FALSE))</f>
        <v>0</v>
      </c>
      <c r="Z1210" t="e" cm="1" vm="1">
        <f t="array" aca="1" ref="Z1210" ca="1">IFERROR(IF(_xlfn._xlws.FILTER(game_rosters!$J:$J,(game_rosters!$G:$G=events!$AN1210)*(game_rosters!$J:$J=events!$X1210))&gt;0,1,""),"")</f>
        <v>#VALUE!</v>
      </c>
      <c r="AA1210">
        <f t="shared" si="155"/>
        <v>1000</v>
      </c>
      <c r="AB1210" t="str">
        <f t="shared" si="156"/>
        <v/>
      </c>
      <c r="AC1210">
        <f t="shared" si="153"/>
        <v>1000</v>
      </c>
      <c r="AD1210" s="6"/>
    </row>
    <row r="1211" spans="1:30" x14ac:dyDescent="0.2">
      <c r="A1211" t="str">
        <f t="shared" si="154"/>
        <v/>
      </c>
      <c r="X1211" t="str" cm="1">
        <f t="array" ref="X1211">IF(S1211="","",IF($I1211&lt;&gt;"",$I1211,INDEX($I$2:$I1210,ROW()-COUNTIFS($T$2:$T1210,"="&amp;$T1211,$S$2:$S1210,"&lt;&gt;"&amp;$S1211)-1)))</f>
        <v/>
      </c>
      <c r="Y1211" t="b">
        <f>IF(X1211&lt;&gt;"",VLOOKUP(X1211,game_rosters!$C$43:$E$64,3,FALSE))</f>
        <v>0</v>
      </c>
      <c r="Z1211" t="e" cm="1" vm="1">
        <f t="array" aca="1" ref="Z1211" ca="1">IFERROR(IF(_xlfn._xlws.FILTER(game_rosters!$J:$J,(game_rosters!$G:$G=events!$AN1211)*(game_rosters!$J:$J=events!$X1211))&gt;0,1,""),"")</f>
        <v>#VALUE!</v>
      </c>
      <c r="AA1211">
        <f t="shared" si="155"/>
        <v>1000</v>
      </c>
      <c r="AB1211" t="str">
        <f t="shared" si="156"/>
        <v/>
      </c>
      <c r="AC1211">
        <f t="shared" si="153"/>
        <v>1000</v>
      </c>
      <c r="AD1211" s="6"/>
    </row>
    <row r="1212" spans="1:30" x14ac:dyDescent="0.2">
      <c r="A1212" t="str">
        <f t="shared" si="154"/>
        <v/>
      </c>
      <c r="X1212" t="str" cm="1">
        <f t="array" ref="X1212">IF(S1212="","",IF($I1212&lt;&gt;"",$I1212,INDEX($I$2:$I1211,ROW()-COUNTIFS($T$2:$T1211,"="&amp;$T1212,$S$2:$S1211,"&lt;&gt;"&amp;$S1212)-1)))</f>
        <v/>
      </c>
      <c r="Y1212" t="b">
        <f>IF(X1212&lt;&gt;"",VLOOKUP(X1212,game_rosters!$C$43:$E$64,3,FALSE))</f>
        <v>0</v>
      </c>
      <c r="Z1212" t="e" cm="1" vm="1">
        <f t="array" aca="1" ref="Z1212" ca="1">IFERROR(IF(_xlfn._xlws.FILTER(game_rosters!$J:$J,(game_rosters!$G:$G=events!$AN1212)*(game_rosters!$J:$J=events!$X1212))&gt;0,1,""),"")</f>
        <v>#VALUE!</v>
      </c>
      <c r="AA1212">
        <f t="shared" si="155"/>
        <v>1000</v>
      </c>
      <c r="AB1212" t="str">
        <f t="shared" si="156"/>
        <v/>
      </c>
      <c r="AC1212">
        <f t="shared" si="153"/>
        <v>1000</v>
      </c>
      <c r="AD1212" s="6"/>
    </row>
    <row r="1213" spans="1:30" x14ac:dyDescent="0.2">
      <c r="A1213" t="str">
        <f t="shared" si="154"/>
        <v/>
      </c>
      <c r="X1213" t="str" cm="1">
        <f t="array" ref="X1213">IF(S1213="","",IF($I1213&lt;&gt;"",$I1213,INDEX($I$2:$I1212,ROW()-COUNTIFS($T$2:$T1212,"="&amp;$T1213,$S$2:$S1212,"&lt;&gt;"&amp;$S1213)-1)))</f>
        <v/>
      </c>
      <c r="Y1213" t="b">
        <f>IF(X1213&lt;&gt;"",VLOOKUP(X1213,game_rosters!$C$43:$E$64,3,FALSE))</f>
        <v>0</v>
      </c>
      <c r="Z1213" t="e" cm="1" vm="1">
        <f t="array" aca="1" ref="Z1213" ca="1">IFERROR(IF(_xlfn._xlws.FILTER(game_rosters!$J:$J,(game_rosters!$G:$G=events!$AN1213)*(game_rosters!$J:$J=events!$X1213))&gt;0,1,""),"")</f>
        <v>#VALUE!</v>
      </c>
      <c r="AA1213">
        <f t="shared" si="155"/>
        <v>1000</v>
      </c>
      <c r="AB1213" t="str">
        <f t="shared" si="156"/>
        <v/>
      </c>
      <c r="AC1213">
        <f t="shared" si="153"/>
        <v>1000</v>
      </c>
      <c r="AD1213" s="6"/>
    </row>
    <row r="1214" spans="1:30" x14ac:dyDescent="0.2">
      <c r="A1214" t="str">
        <f t="shared" si="154"/>
        <v/>
      </c>
      <c r="X1214" t="str" cm="1">
        <f t="array" ref="X1214">IF(S1214="","",IF($I1214&lt;&gt;"",$I1214,INDEX($I$2:$I1213,ROW()-COUNTIFS($T$2:$T1213,"="&amp;$T1214,$S$2:$S1213,"&lt;&gt;"&amp;$S1214)-1)))</f>
        <v/>
      </c>
      <c r="Y1214" t="b">
        <f>IF(X1214&lt;&gt;"",VLOOKUP(X1214,game_rosters!$C$43:$E$64,3,FALSE))</f>
        <v>0</v>
      </c>
      <c r="Z1214" t="e" cm="1" vm="1">
        <f t="array" aca="1" ref="Z1214" ca="1">IFERROR(IF(_xlfn._xlws.FILTER(game_rosters!$J:$J,(game_rosters!$G:$G=events!$AN1214)*(game_rosters!$J:$J=events!$X1214))&gt;0,1,""),"")</f>
        <v>#VALUE!</v>
      </c>
      <c r="AA1214">
        <f t="shared" si="155"/>
        <v>1000</v>
      </c>
      <c r="AB1214" t="str">
        <f t="shared" si="156"/>
        <v/>
      </c>
      <c r="AC1214">
        <f t="shared" si="153"/>
        <v>1000</v>
      </c>
      <c r="AD1214" s="6"/>
    </row>
    <row r="1215" spans="1:30" x14ac:dyDescent="0.2">
      <c r="A1215" t="str">
        <f t="shared" si="154"/>
        <v/>
      </c>
      <c r="X1215" t="str" cm="1">
        <f t="array" ref="X1215">IF(S1215="","",IF($I1215&lt;&gt;"",$I1215,INDEX($I$2:$I1214,ROW()-COUNTIFS($T$2:$T1214,"="&amp;$T1215,$S$2:$S1214,"&lt;&gt;"&amp;$S1215)-1)))</f>
        <v/>
      </c>
      <c r="Y1215" t="b">
        <f>IF(X1215&lt;&gt;"",VLOOKUP(X1215,game_rosters!$C$43:$E$64,3,FALSE))</f>
        <v>0</v>
      </c>
      <c r="Z1215" t="e" cm="1" vm="1">
        <f t="array" aca="1" ref="Z1215" ca="1">IFERROR(IF(_xlfn._xlws.FILTER(game_rosters!$J:$J,(game_rosters!$G:$G=events!$AN1215)*(game_rosters!$J:$J=events!$X1215))&gt;0,1,""),"")</f>
        <v>#VALUE!</v>
      </c>
      <c r="AA1215">
        <f t="shared" si="155"/>
        <v>1000</v>
      </c>
      <c r="AB1215" t="str">
        <f t="shared" si="156"/>
        <v/>
      </c>
      <c r="AC1215">
        <f t="shared" si="153"/>
        <v>1000</v>
      </c>
      <c r="AD1215" s="6"/>
    </row>
    <row r="1216" spans="1:30" x14ac:dyDescent="0.2">
      <c r="A1216" t="str">
        <f t="shared" si="154"/>
        <v/>
      </c>
      <c r="X1216" t="str" cm="1">
        <f t="array" ref="X1216">IF(S1216="","",IF($I1216&lt;&gt;"",$I1216,INDEX($I$2:$I1215,ROW()-COUNTIFS($T$2:$T1215,"="&amp;$T1216,$S$2:$S1215,"&lt;&gt;"&amp;$S1216)-1)))</f>
        <v/>
      </c>
      <c r="Y1216" t="b">
        <f>IF(X1216&lt;&gt;"",VLOOKUP(X1216,game_rosters!$C$43:$E$64,3,FALSE))</f>
        <v>0</v>
      </c>
      <c r="Z1216" t="e" cm="1" vm="1">
        <f t="array" aca="1" ref="Z1216" ca="1">IFERROR(IF(_xlfn._xlws.FILTER(game_rosters!$J:$J,(game_rosters!$G:$G=events!$AN1216)*(game_rosters!$J:$J=events!$X1216))&gt;0,1,""),"")</f>
        <v>#VALUE!</v>
      </c>
      <c r="AA1216">
        <f t="shared" si="155"/>
        <v>1000</v>
      </c>
      <c r="AB1216" t="str">
        <f t="shared" si="156"/>
        <v/>
      </c>
      <c r="AC1216">
        <f t="shared" si="153"/>
        <v>1000</v>
      </c>
      <c r="AD1216" s="6"/>
    </row>
    <row r="1217" spans="1:30" x14ac:dyDescent="0.2">
      <c r="A1217" t="str">
        <f t="shared" si="154"/>
        <v/>
      </c>
      <c r="X1217" t="str" cm="1">
        <f t="array" ref="X1217">IF(S1217="","",IF($I1217&lt;&gt;"",$I1217,INDEX($I$2:$I1216,ROW()-COUNTIFS($T$2:$T1216,"="&amp;$T1217,$S$2:$S1216,"&lt;&gt;"&amp;$S1217)-1)))</f>
        <v/>
      </c>
      <c r="Y1217" t="b">
        <f>IF(X1217&lt;&gt;"",VLOOKUP(X1217,game_rosters!$C$43:$E$64,3,FALSE))</f>
        <v>0</v>
      </c>
      <c r="Z1217" t="e" cm="1" vm="1">
        <f t="array" aca="1" ref="Z1217" ca="1">IFERROR(IF(_xlfn._xlws.FILTER(game_rosters!$J:$J,(game_rosters!$G:$G=events!$AN1217)*(game_rosters!$J:$J=events!$X1217))&gt;0,1,""),"")</f>
        <v>#VALUE!</v>
      </c>
      <c r="AA1217">
        <f t="shared" si="155"/>
        <v>1000</v>
      </c>
      <c r="AB1217" t="str">
        <f t="shared" si="156"/>
        <v/>
      </c>
      <c r="AC1217">
        <f t="shared" si="153"/>
        <v>1000</v>
      </c>
      <c r="AD1217" s="6"/>
    </row>
    <row r="1218" spans="1:30" x14ac:dyDescent="0.2">
      <c r="A1218" t="str">
        <f t="shared" si="154"/>
        <v/>
      </c>
      <c r="X1218" t="str" cm="1">
        <f t="array" ref="X1218">IF(S1218="","",IF($I1218&lt;&gt;"",$I1218,INDEX($I$2:$I1217,ROW()-COUNTIFS($T$2:$T1217,"="&amp;$T1218,$S$2:$S1217,"&lt;&gt;"&amp;$S1218)-1)))</f>
        <v/>
      </c>
      <c r="Y1218" t="b">
        <f>IF(X1218&lt;&gt;"",VLOOKUP(X1218,game_rosters!$C$43:$E$64,3,FALSE))</f>
        <v>0</v>
      </c>
      <c r="Z1218" t="e" cm="1" vm="1">
        <f t="array" aca="1" ref="Z1218" ca="1">IFERROR(IF(_xlfn._xlws.FILTER(game_rosters!$J:$J,(game_rosters!$G:$G=events!$AN1218)*(game_rosters!$J:$J=events!$X1218))&gt;0,1,""),"")</f>
        <v>#VALUE!</v>
      </c>
      <c r="AA1218">
        <f t="shared" si="155"/>
        <v>1000</v>
      </c>
      <c r="AB1218" t="str">
        <f t="shared" si="156"/>
        <v/>
      </c>
      <c r="AC1218">
        <f t="shared" ref="AC1218:AC1281" si="157">IF(AB1218&lt;&gt;"",AB1218,S1218+1000)</f>
        <v>1000</v>
      </c>
      <c r="AD1218" s="6"/>
    </row>
    <row r="1219" spans="1:30" x14ac:dyDescent="0.2">
      <c r="A1219" t="str">
        <f t="shared" si="154"/>
        <v/>
      </c>
      <c r="X1219" t="str" cm="1">
        <f t="array" ref="X1219">IF(S1219="","",IF($I1219&lt;&gt;"",$I1219,INDEX($I$2:$I1218,ROW()-COUNTIFS($T$2:$T1218,"="&amp;$T1219,$S$2:$S1218,"&lt;&gt;"&amp;$S1219)-1)))</f>
        <v/>
      </c>
      <c r="Y1219" t="b">
        <f>IF(X1219&lt;&gt;"",VLOOKUP(X1219,game_rosters!$C$43:$E$64,3,FALSE))</f>
        <v>0</v>
      </c>
      <c r="Z1219" t="e" cm="1" vm="1">
        <f t="array" aca="1" ref="Z1219" ca="1">IFERROR(IF(_xlfn._xlws.FILTER(game_rosters!$J:$J,(game_rosters!$G:$G=events!$AN1219)*(game_rosters!$J:$J=events!$X1219))&gt;0,1,""),"")</f>
        <v>#VALUE!</v>
      </c>
      <c r="AA1219">
        <f t="shared" si="155"/>
        <v>1000</v>
      </c>
      <c r="AB1219" t="str">
        <f t="shared" si="156"/>
        <v/>
      </c>
      <c r="AC1219">
        <f t="shared" si="157"/>
        <v>1000</v>
      </c>
      <c r="AD1219" s="6"/>
    </row>
    <row r="1220" spans="1:30" x14ac:dyDescent="0.2">
      <c r="A1220" t="str">
        <f t="shared" si="154"/>
        <v/>
      </c>
      <c r="X1220" t="str" cm="1">
        <f t="array" ref="X1220">IF(S1220="","",IF($I1220&lt;&gt;"",$I1220,INDEX($I$2:$I1219,ROW()-COUNTIFS($T$2:$T1219,"="&amp;$T1220,$S$2:$S1219,"&lt;&gt;"&amp;$S1220)-1)))</f>
        <v/>
      </c>
      <c r="Y1220" t="b">
        <f>IF(X1220&lt;&gt;"",VLOOKUP(X1220,game_rosters!$C$43:$E$64,3,FALSE))</f>
        <v>0</v>
      </c>
      <c r="Z1220" t="e" cm="1" vm="1">
        <f t="array" aca="1" ref="Z1220" ca="1">IFERROR(IF(_xlfn._xlws.FILTER(game_rosters!$J:$J,(game_rosters!$G:$G=events!$AN1220)*(game_rosters!$J:$J=events!$X1220))&gt;0,1,""),"")</f>
        <v>#VALUE!</v>
      </c>
      <c r="AA1220">
        <f t="shared" si="155"/>
        <v>1000</v>
      </c>
      <c r="AB1220" t="str">
        <f t="shared" si="156"/>
        <v/>
      </c>
      <c r="AC1220">
        <f t="shared" si="157"/>
        <v>1000</v>
      </c>
      <c r="AD1220" s="6"/>
    </row>
    <row r="1221" spans="1:30" x14ac:dyDescent="0.2">
      <c r="A1221" t="str">
        <f t="shared" ref="A1221:A1284" si="158">IF(K1221&lt;&gt;"",1,IF(D1221="x","x",""))</f>
        <v/>
      </c>
      <c r="X1221" t="str" cm="1">
        <f t="array" ref="X1221">IF(S1221="","",IF($I1221&lt;&gt;"",$I1221,INDEX($I$2:$I1220,ROW()-COUNTIFS($T$2:$T1220,"="&amp;$T1221,$S$2:$S1220,"&lt;&gt;"&amp;$S1221)-1)))</f>
        <v/>
      </c>
      <c r="Y1221" t="b">
        <f>IF(X1221&lt;&gt;"",VLOOKUP(X1221,game_rosters!$C$43:$E$64,3,FALSE))</f>
        <v>0</v>
      </c>
      <c r="Z1221" t="e" cm="1" vm="1">
        <f t="array" aca="1" ref="Z1221" ca="1">IFERROR(IF(_xlfn._xlws.FILTER(game_rosters!$J:$J,(game_rosters!$G:$G=events!$AN1221)*(game_rosters!$J:$J=events!$X1221))&gt;0,1,""),"")</f>
        <v>#VALUE!</v>
      </c>
      <c r="AA1221">
        <f t="shared" si="155"/>
        <v>1000</v>
      </c>
      <c r="AB1221" t="str">
        <f t="shared" si="156"/>
        <v/>
      </c>
      <c r="AC1221">
        <f t="shared" si="157"/>
        <v>1000</v>
      </c>
      <c r="AD1221" s="6"/>
    </row>
    <row r="1222" spans="1:30" x14ac:dyDescent="0.2">
      <c r="A1222" t="str">
        <f t="shared" si="158"/>
        <v/>
      </c>
      <c r="X1222" t="str" cm="1">
        <f t="array" ref="X1222">IF(S1222="","",IF($I1222&lt;&gt;"",$I1222,INDEX($I$2:$I1221,ROW()-COUNTIFS($T$2:$T1221,"="&amp;$T1222,$S$2:$S1221,"&lt;&gt;"&amp;$S1222)-1)))</f>
        <v/>
      </c>
      <c r="Y1222" t="b">
        <f>IF(X1222&lt;&gt;"",VLOOKUP(X1222,game_rosters!$C$43:$E$64,3,FALSE))</f>
        <v>0</v>
      </c>
      <c r="Z1222" t="e" cm="1" vm="1">
        <f t="array" aca="1" ref="Z1222" ca="1">IFERROR(IF(_xlfn._xlws.FILTER(game_rosters!$J:$J,(game_rosters!$G:$G=events!$AN1222)*(game_rosters!$J:$J=events!$X1222))&gt;0,1,""),"")</f>
        <v>#VALUE!</v>
      </c>
      <c r="AA1222">
        <f t="shared" si="155"/>
        <v>1000</v>
      </c>
      <c r="AB1222" t="str">
        <f t="shared" si="156"/>
        <v/>
      </c>
      <c r="AC1222">
        <f t="shared" si="157"/>
        <v>1000</v>
      </c>
      <c r="AD1222" s="6"/>
    </row>
    <row r="1223" spans="1:30" x14ac:dyDescent="0.2">
      <c r="A1223" t="str">
        <f t="shared" si="158"/>
        <v/>
      </c>
      <c r="X1223" t="str" cm="1">
        <f t="array" ref="X1223">IF(S1223="","",IF($I1223&lt;&gt;"",$I1223,INDEX($I$2:$I1222,ROW()-COUNTIFS($T$2:$T1222,"="&amp;$T1223,$S$2:$S1222,"&lt;&gt;"&amp;$S1223)-1)))</f>
        <v/>
      </c>
      <c r="Y1223" t="b">
        <f>IF(X1223&lt;&gt;"",VLOOKUP(X1223,game_rosters!$C$43:$E$64,3,FALSE))</f>
        <v>0</v>
      </c>
      <c r="Z1223" t="e" cm="1" vm="1">
        <f t="array" aca="1" ref="Z1223" ca="1">IFERROR(IF(_xlfn._xlws.FILTER(game_rosters!$J:$J,(game_rosters!$G:$G=events!$AN1223)*(game_rosters!$J:$J=events!$X1223))&gt;0,1,""),"")</f>
        <v>#VALUE!</v>
      </c>
      <c r="AA1223">
        <f t="shared" si="155"/>
        <v>1000</v>
      </c>
      <c r="AB1223" t="str">
        <f t="shared" si="156"/>
        <v/>
      </c>
      <c r="AC1223">
        <f t="shared" si="157"/>
        <v>1000</v>
      </c>
      <c r="AD1223" s="6"/>
    </row>
    <row r="1224" spans="1:30" x14ac:dyDescent="0.2">
      <c r="A1224" t="str">
        <f t="shared" si="158"/>
        <v/>
      </c>
      <c r="X1224" t="str" cm="1">
        <f t="array" ref="X1224">IF(S1224="","",IF($I1224&lt;&gt;"",$I1224,INDEX($I$2:$I1223,ROW()-COUNTIFS($T$2:$T1223,"="&amp;$T1224,$S$2:$S1223,"&lt;&gt;"&amp;$S1224)-1)))</f>
        <v/>
      </c>
      <c r="Y1224" t="b">
        <f>IF(X1224&lt;&gt;"",VLOOKUP(X1224,game_rosters!$C$43:$E$64,3,FALSE))</f>
        <v>0</v>
      </c>
      <c r="Z1224" t="e" cm="1" vm="1">
        <f t="array" aca="1" ref="Z1224" ca="1">IFERROR(IF(_xlfn._xlws.FILTER(game_rosters!$J:$J,(game_rosters!$G:$G=events!$AN1224)*(game_rosters!$J:$J=events!$X1224))&gt;0,1,""),"")</f>
        <v>#VALUE!</v>
      </c>
      <c r="AA1224">
        <f t="shared" si="155"/>
        <v>1000</v>
      </c>
      <c r="AB1224" t="str">
        <f t="shared" si="156"/>
        <v/>
      </c>
      <c r="AC1224">
        <f t="shared" si="157"/>
        <v>1000</v>
      </c>
      <c r="AD1224" s="6"/>
    </row>
    <row r="1225" spans="1:30" x14ac:dyDescent="0.2">
      <c r="A1225" t="str">
        <f t="shared" si="158"/>
        <v/>
      </c>
      <c r="X1225" t="str" cm="1">
        <f t="array" ref="X1225">IF(S1225="","",IF($I1225&lt;&gt;"",$I1225,INDEX($I$2:$I1224,ROW()-COUNTIFS($T$2:$T1224,"="&amp;$T1225,$S$2:$S1224,"&lt;&gt;"&amp;$S1225)-1)))</f>
        <v/>
      </c>
      <c r="Y1225" t="b">
        <f>IF(X1225&lt;&gt;"",VLOOKUP(X1225,game_rosters!$C$43:$E$64,3,FALSE))</f>
        <v>0</v>
      </c>
      <c r="Z1225" t="e" cm="1" vm="1">
        <f t="array" aca="1" ref="Z1225" ca="1">IFERROR(IF(_xlfn._xlws.FILTER(game_rosters!$J:$J,(game_rosters!$G:$G=events!$AN1225)*(game_rosters!$J:$J=events!$X1225))&gt;0,1,""),"")</f>
        <v>#VALUE!</v>
      </c>
      <c r="AA1225">
        <f t="shared" si="155"/>
        <v>1000</v>
      </c>
      <c r="AB1225" t="str">
        <f t="shared" si="156"/>
        <v/>
      </c>
      <c r="AC1225">
        <f t="shared" si="157"/>
        <v>1000</v>
      </c>
      <c r="AD1225" s="6"/>
    </row>
    <row r="1226" spans="1:30" x14ac:dyDescent="0.2">
      <c r="A1226" t="str">
        <f t="shared" si="158"/>
        <v/>
      </c>
      <c r="X1226" t="str" cm="1">
        <f t="array" ref="X1226">IF(S1226="","",IF($I1226&lt;&gt;"",$I1226,INDEX($I$2:$I1225,ROW()-COUNTIFS($T$2:$T1225,"="&amp;$T1226,$S$2:$S1225,"&lt;&gt;"&amp;$S1226)-1)))</f>
        <v/>
      </c>
      <c r="Y1226" t="b">
        <f>IF(X1226&lt;&gt;"",VLOOKUP(X1226,game_rosters!$C$43:$E$64,3,FALSE))</f>
        <v>0</v>
      </c>
      <c r="Z1226" t="e" cm="1" vm="1">
        <f t="array" aca="1" ref="Z1226" ca="1">IFERROR(IF(_xlfn._xlws.FILTER(game_rosters!$J:$J,(game_rosters!$G:$G=events!$AN1226)*(game_rosters!$J:$J=events!$X1226))&gt;0,1,""),"")</f>
        <v>#VALUE!</v>
      </c>
      <c r="AA1226">
        <f t="shared" si="155"/>
        <v>1000</v>
      </c>
      <c r="AB1226" t="str">
        <f t="shared" si="156"/>
        <v/>
      </c>
      <c r="AC1226">
        <f t="shared" si="157"/>
        <v>1000</v>
      </c>
      <c r="AD1226" s="6"/>
    </row>
    <row r="1227" spans="1:30" x14ac:dyDescent="0.2">
      <c r="A1227" t="str">
        <f t="shared" si="158"/>
        <v/>
      </c>
      <c r="X1227" t="str" cm="1">
        <f t="array" ref="X1227">IF(S1227="","",IF($I1227&lt;&gt;"",$I1227,INDEX($I$2:$I1226,ROW()-COUNTIFS($T$2:$T1226,"="&amp;$T1227,$S$2:$S1226,"&lt;&gt;"&amp;$S1227)-1)))</f>
        <v/>
      </c>
      <c r="Y1227" t="b">
        <f>IF(X1227&lt;&gt;"",VLOOKUP(X1227,game_rosters!$C$43:$E$64,3,FALSE))</f>
        <v>0</v>
      </c>
      <c r="Z1227" t="e" cm="1" vm="1">
        <f t="array" aca="1" ref="Z1227" ca="1">IFERROR(IF(_xlfn._xlws.FILTER(game_rosters!$J:$J,(game_rosters!$G:$G=events!$AN1227)*(game_rosters!$J:$J=events!$X1227))&gt;0,1,""),"")</f>
        <v>#VALUE!</v>
      </c>
      <c r="AA1227">
        <f t="shared" si="155"/>
        <v>1000</v>
      </c>
      <c r="AB1227" t="str">
        <f t="shared" si="156"/>
        <v/>
      </c>
      <c r="AC1227">
        <f t="shared" si="157"/>
        <v>1000</v>
      </c>
      <c r="AD1227" s="6"/>
    </row>
    <row r="1228" spans="1:30" x14ac:dyDescent="0.2">
      <c r="A1228" t="str">
        <f t="shared" si="158"/>
        <v/>
      </c>
      <c r="X1228" t="str" cm="1">
        <f t="array" ref="X1228">IF(S1228="","",IF($I1228&lt;&gt;"",$I1228,INDEX($I$2:$I1227,ROW()-COUNTIFS($T$2:$T1227,"="&amp;$T1228,$S$2:$S1227,"&lt;&gt;"&amp;$S1228)-1)))</f>
        <v/>
      </c>
      <c r="Y1228" t="b">
        <f>IF(X1228&lt;&gt;"",VLOOKUP(X1228,game_rosters!$C$43:$E$64,3,FALSE))</f>
        <v>0</v>
      </c>
      <c r="Z1228" t="e" cm="1" vm="1">
        <f t="array" aca="1" ref="Z1228" ca="1">IFERROR(IF(_xlfn._xlws.FILTER(game_rosters!$J:$J,(game_rosters!$G:$G=events!$AN1228)*(game_rosters!$J:$J=events!$X1228))&gt;0,1,""),"")</f>
        <v>#VALUE!</v>
      </c>
      <c r="AA1228">
        <f t="shared" si="155"/>
        <v>1000</v>
      </c>
      <c r="AB1228" t="str">
        <f t="shared" si="156"/>
        <v/>
      </c>
      <c r="AC1228">
        <f t="shared" si="157"/>
        <v>1000</v>
      </c>
      <c r="AD1228" s="6"/>
    </row>
    <row r="1229" spans="1:30" x14ac:dyDescent="0.2">
      <c r="A1229" t="str">
        <f t="shared" si="158"/>
        <v/>
      </c>
      <c r="X1229" t="str" cm="1">
        <f t="array" ref="X1229">IF(S1229="","",IF($I1229&lt;&gt;"",$I1229,INDEX($I$2:$I1228,ROW()-COUNTIFS($T$2:$T1228,"="&amp;$T1229,$S$2:$S1228,"&lt;&gt;"&amp;$S1229)-1)))</f>
        <v/>
      </c>
      <c r="Y1229" t="b">
        <f>IF(X1229&lt;&gt;"",VLOOKUP(X1229,game_rosters!$C$43:$E$64,3,FALSE))</f>
        <v>0</v>
      </c>
      <c r="Z1229" t="e" cm="1" vm="1">
        <f t="array" aca="1" ref="Z1229" ca="1">IFERROR(IF(_xlfn._xlws.FILTER(game_rosters!$J:$J,(game_rosters!$G:$G=events!$AN1229)*(game_rosters!$J:$J=events!$X1229))&gt;0,1,""),"")</f>
        <v>#VALUE!</v>
      </c>
      <c r="AA1229">
        <f t="shared" si="155"/>
        <v>1000</v>
      </c>
      <c r="AB1229" t="str">
        <f t="shared" si="156"/>
        <v/>
      </c>
      <c r="AC1229">
        <f t="shared" si="157"/>
        <v>1000</v>
      </c>
      <c r="AD1229" s="6"/>
    </row>
    <row r="1230" spans="1:30" x14ac:dyDescent="0.2">
      <c r="A1230" t="str">
        <f t="shared" si="158"/>
        <v/>
      </c>
      <c r="X1230" t="str" cm="1">
        <f t="array" ref="X1230">IF(S1230="","",IF($I1230&lt;&gt;"",$I1230,INDEX($I$2:$I1229,ROW()-COUNTIFS($T$2:$T1229,"="&amp;$T1230,$S$2:$S1229,"&lt;&gt;"&amp;$S1230)-1)))</f>
        <v/>
      </c>
      <c r="Y1230" t="b">
        <f>IF(X1230&lt;&gt;"",VLOOKUP(X1230,game_rosters!$C$43:$E$64,3,FALSE))</f>
        <v>0</v>
      </c>
      <c r="Z1230" t="e" cm="1" vm="1">
        <f t="array" aca="1" ref="Z1230" ca="1">IFERROR(IF(_xlfn._xlws.FILTER(game_rosters!$J:$J,(game_rosters!$G:$G=events!$AN1230)*(game_rosters!$J:$J=events!$X1230))&gt;0,1,""),"")</f>
        <v>#VALUE!</v>
      </c>
      <c r="AA1230">
        <f t="shared" si="155"/>
        <v>1000</v>
      </c>
      <c r="AB1230" t="str">
        <f t="shared" si="156"/>
        <v/>
      </c>
      <c r="AC1230">
        <f t="shared" si="157"/>
        <v>1000</v>
      </c>
      <c r="AD1230" s="6"/>
    </row>
    <row r="1231" spans="1:30" x14ac:dyDescent="0.2">
      <c r="A1231" t="str">
        <f t="shared" si="158"/>
        <v/>
      </c>
      <c r="X1231" t="str" cm="1">
        <f t="array" ref="X1231">IF(S1231="","",IF($I1231&lt;&gt;"",$I1231,INDEX($I$2:$I1230,ROW()-COUNTIFS($T$2:$T1230,"="&amp;$T1231,$S$2:$S1230,"&lt;&gt;"&amp;$S1231)-1)))</f>
        <v/>
      </c>
      <c r="Y1231" t="b">
        <f>IF(X1231&lt;&gt;"",VLOOKUP(X1231,game_rosters!$C$43:$E$64,3,FALSE))</f>
        <v>0</v>
      </c>
      <c r="Z1231" t="e" cm="1" vm="1">
        <f t="array" aca="1" ref="Z1231" ca="1">IFERROR(IF(_xlfn._xlws.FILTER(game_rosters!$J:$J,(game_rosters!$G:$G=events!$AN1231)*(game_rosters!$J:$J=events!$X1231))&gt;0,1,""),"")</f>
        <v>#VALUE!</v>
      </c>
      <c r="AA1231">
        <f t="shared" si="155"/>
        <v>1000</v>
      </c>
      <c r="AB1231" t="str">
        <f t="shared" si="156"/>
        <v/>
      </c>
      <c r="AC1231">
        <f t="shared" si="157"/>
        <v>1000</v>
      </c>
      <c r="AD1231" s="6"/>
    </row>
    <row r="1232" spans="1:30" x14ac:dyDescent="0.2">
      <c r="A1232" t="str">
        <f t="shared" si="158"/>
        <v/>
      </c>
      <c r="X1232" t="str" cm="1">
        <f t="array" ref="X1232">IF(S1232="","",IF($I1232&lt;&gt;"",$I1232,INDEX($I$2:$I1231,ROW()-COUNTIFS($T$2:$T1231,"="&amp;$T1232,$S$2:$S1231,"&lt;&gt;"&amp;$S1232)-1)))</f>
        <v/>
      </c>
      <c r="Y1232" t="b">
        <f>IF(X1232&lt;&gt;"",VLOOKUP(X1232,game_rosters!$C$43:$E$64,3,FALSE))</f>
        <v>0</v>
      </c>
      <c r="Z1232" t="e" cm="1" vm="1">
        <f t="array" aca="1" ref="Z1232" ca="1">IFERROR(IF(_xlfn._xlws.FILTER(game_rosters!$J:$J,(game_rosters!$G:$G=events!$AN1232)*(game_rosters!$J:$J=events!$X1232))&gt;0,1,""),"")</f>
        <v>#VALUE!</v>
      </c>
      <c r="AA1232">
        <f t="shared" si="155"/>
        <v>1000</v>
      </c>
      <c r="AB1232" t="str">
        <f t="shared" si="156"/>
        <v/>
      </c>
      <c r="AC1232">
        <f t="shared" si="157"/>
        <v>1000</v>
      </c>
      <c r="AD1232" s="6"/>
    </row>
    <row r="1233" spans="1:30" x14ac:dyDescent="0.2">
      <c r="A1233" t="str">
        <f t="shared" si="158"/>
        <v/>
      </c>
      <c r="X1233" t="str" cm="1">
        <f t="array" ref="X1233">IF(S1233="","",IF($I1233&lt;&gt;"",$I1233,INDEX($I$2:$I1232,ROW()-COUNTIFS($T$2:$T1232,"="&amp;$T1233,$S$2:$S1232,"&lt;&gt;"&amp;$S1233)-1)))</f>
        <v/>
      </c>
      <c r="Y1233" t="b">
        <f>IF(X1233&lt;&gt;"",VLOOKUP(X1233,game_rosters!$C$43:$E$64,3,FALSE))</f>
        <v>0</v>
      </c>
      <c r="Z1233" t="e" cm="1" vm="1">
        <f t="array" aca="1" ref="Z1233" ca="1">IFERROR(IF(_xlfn._xlws.FILTER(game_rosters!$J:$J,(game_rosters!$G:$G=events!$AN1233)*(game_rosters!$J:$J=events!$X1233))&gt;0,1,""),"")</f>
        <v>#VALUE!</v>
      </c>
      <c r="AA1233">
        <f t="shared" si="155"/>
        <v>1000</v>
      </c>
      <c r="AB1233" t="str">
        <f t="shared" si="156"/>
        <v/>
      </c>
      <c r="AC1233">
        <f t="shared" si="157"/>
        <v>1000</v>
      </c>
      <c r="AD1233" s="6"/>
    </row>
    <row r="1234" spans="1:30" x14ac:dyDescent="0.2">
      <c r="A1234" t="str">
        <f t="shared" si="158"/>
        <v/>
      </c>
      <c r="X1234" t="str" cm="1">
        <f t="array" ref="X1234">IF(S1234="","",IF($I1234&lt;&gt;"",$I1234,INDEX($I$2:$I1233,ROW()-COUNTIFS($T$2:$T1233,"="&amp;$T1234,$S$2:$S1233,"&lt;&gt;"&amp;$S1234)-1)))</f>
        <v/>
      </c>
      <c r="Y1234" t="b">
        <f>IF(X1234&lt;&gt;"",VLOOKUP(X1234,game_rosters!$C$43:$E$64,3,FALSE))</f>
        <v>0</v>
      </c>
      <c r="Z1234" t="e" cm="1" vm="1">
        <f t="array" aca="1" ref="Z1234" ca="1">IFERROR(IF(_xlfn._xlws.FILTER(game_rosters!$J:$J,(game_rosters!$G:$G=events!$AN1234)*(game_rosters!$J:$J=events!$X1234))&gt;0,1,""),"")</f>
        <v>#VALUE!</v>
      </c>
      <c r="AA1234">
        <f t="shared" si="155"/>
        <v>1000</v>
      </c>
      <c r="AB1234" t="str">
        <f t="shared" si="156"/>
        <v/>
      </c>
      <c r="AC1234">
        <f t="shared" si="157"/>
        <v>1000</v>
      </c>
      <c r="AD1234" s="6"/>
    </row>
    <row r="1235" spans="1:30" x14ac:dyDescent="0.2">
      <c r="A1235" t="str">
        <f t="shared" si="158"/>
        <v/>
      </c>
      <c r="X1235" t="str" cm="1">
        <f t="array" ref="X1235">IF(S1235="","",IF($I1235&lt;&gt;"",$I1235,INDEX($I$2:$I1234,ROW()-COUNTIFS($T$2:$T1234,"="&amp;$T1235,$S$2:$S1234,"&lt;&gt;"&amp;$S1235)-1)))</f>
        <v/>
      </c>
      <c r="Y1235" t="b">
        <f>IF(X1235&lt;&gt;"",VLOOKUP(X1235,game_rosters!$C$43:$E$64,3,FALSE))</f>
        <v>0</v>
      </c>
      <c r="Z1235" t="e" cm="1" vm="1">
        <f t="array" aca="1" ref="Z1235" ca="1">IFERROR(IF(_xlfn._xlws.FILTER(game_rosters!$J:$J,(game_rosters!$G:$G=events!$AN1235)*(game_rosters!$J:$J=events!$X1235))&gt;0,1,""),"")</f>
        <v>#VALUE!</v>
      </c>
      <c r="AA1235">
        <f t="shared" si="155"/>
        <v>1000</v>
      </c>
      <c r="AB1235" t="str">
        <f t="shared" si="156"/>
        <v/>
      </c>
      <c r="AC1235">
        <f t="shared" si="157"/>
        <v>1000</v>
      </c>
      <c r="AD1235" s="6"/>
    </row>
    <row r="1236" spans="1:30" x14ac:dyDescent="0.2">
      <c r="A1236" t="str">
        <f t="shared" si="158"/>
        <v/>
      </c>
      <c r="X1236" t="str" cm="1">
        <f t="array" ref="X1236">IF(S1236="","",IF($I1236&lt;&gt;"",$I1236,INDEX($I$2:$I1235,ROW()-COUNTIFS($T$2:$T1235,"="&amp;$T1236,$S$2:$S1235,"&lt;&gt;"&amp;$S1236)-1)))</f>
        <v/>
      </c>
      <c r="Y1236" t="b">
        <f>IF(X1236&lt;&gt;"",VLOOKUP(X1236,game_rosters!$C$43:$E$64,3,FALSE))</f>
        <v>0</v>
      </c>
      <c r="Z1236" t="e" cm="1" vm="1">
        <f t="array" aca="1" ref="Z1236" ca="1">IFERROR(IF(_xlfn._xlws.FILTER(game_rosters!$J:$J,(game_rosters!$G:$G=events!$AN1236)*(game_rosters!$J:$J=events!$X1236))&gt;0,1,""),"")</f>
        <v>#VALUE!</v>
      </c>
      <c r="AA1236">
        <f t="shared" si="155"/>
        <v>1000</v>
      </c>
      <c r="AB1236" t="str">
        <f t="shared" si="156"/>
        <v/>
      </c>
      <c r="AC1236">
        <f t="shared" si="157"/>
        <v>1000</v>
      </c>
      <c r="AD1236" s="6"/>
    </row>
    <row r="1237" spans="1:30" x14ac:dyDescent="0.2">
      <c r="A1237" t="str">
        <f t="shared" si="158"/>
        <v/>
      </c>
      <c r="X1237" t="str" cm="1">
        <f t="array" ref="X1237">IF(S1237="","",IF($I1237&lt;&gt;"",$I1237,INDEX($I$2:$I1236,ROW()-COUNTIFS($T$2:$T1236,"="&amp;$T1237,$S$2:$S1236,"&lt;&gt;"&amp;$S1237)-1)))</f>
        <v/>
      </c>
      <c r="Y1237" t="b">
        <f>IF(X1237&lt;&gt;"",VLOOKUP(X1237,game_rosters!$C$43:$E$64,3,FALSE))</f>
        <v>0</v>
      </c>
      <c r="Z1237" t="e" cm="1" vm="1">
        <f t="array" aca="1" ref="Z1237" ca="1">IFERROR(IF(_xlfn._xlws.FILTER(game_rosters!$J:$J,(game_rosters!$G:$G=events!$AN1237)*(game_rosters!$J:$J=events!$X1237))&gt;0,1,""),"")</f>
        <v>#VALUE!</v>
      </c>
      <c r="AA1237">
        <f t="shared" si="155"/>
        <v>1000</v>
      </c>
      <c r="AB1237" t="str">
        <f t="shared" si="156"/>
        <v/>
      </c>
      <c r="AC1237">
        <f t="shared" si="157"/>
        <v>1000</v>
      </c>
      <c r="AD1237" s="6"/>
    </row>
    <row r="1238" spans="1:30" x14ac:dyDescent="0.2">
      <c r="A1238" t="str">
        <f t="shared" si="158"/>
        <v/>
      </c>
      <c r="X1238" t="str" cm="1">
        <f t="array" ref="X1238">IF(S1238="","",IF($I1238&lt;&gt;"",$I1238,INDEX($I$2:$I1237,ROW()-COUNTIFS($T$2:$T1237,"="&amp;$T1238,$S$2:$S1237,"&lt;&gt;"&amp;$S1238)-1)))</f>
        <v/>
      </c>
      <c r="Y1238" t="b">
        <f>IF(X1238&lt;&gt;"",VLOOKUP(X1238,game_rosters!$C$43:$E$64,3,FALSE))</f>
        <v>0</v>
      </c>
      <c r="Z1238" t="e" cm="1" vm="1">
        <f t="array" aca="1" ref="Z1238" ca="1">IFERROR(IF(_xlfn._xlws.FILTER(game_rosters!$J:$J,(game_rosters!$G:$G=events!$AN1238)*(game_rosters!$J:$J=events!$X1238))&gt;0,1,""),"")</f>
        <v>#VALUE!</v>
      </c>
      <c r="AA1238">
        <f t="shared" si="155"/>
        <v>1000</v>
      </c>
      <c r="AB1238" t="str">
        <f t="shared" si="156"/>
        <v/>
      </c>
      <c r="AC1238">
        <f t="shared" si="157"/>
        <v>1000</v>
      </c>
      <c r="AD1238" s="6"/>
    </row>
    <row r="1239" spans="1:30" x14ac:dyDescent="0.2">
      <c r="A1239" t="str">
        <f t="shared" si="158"/>
        <v/>
      </c>
      <c r="X1239" t="str" cm="1">
        <f t="array" ref="X1239">IF(S1239="","",IF($I1239&lt;&gt;"",$I1239,INDEX($I$2:$I1238,ROW()-COUNTIFS($T$2:$T1238,"="&amp;$T1239,$S$2:$S1238,"&lt;&gt;"&amp;$S1239)-1)))</f>
        <v/>
      </c>
      <c r="Y1239" t="b">
        <f>IF(X1239&lt;&gt;"",VLOOKUP(X1239,game_rosters!$C$43:$E$64,3,FALSE))</f>
        <v>0</v>
      </c>
      <c r="Z1239" t="e" cm="1" vm="1">
        <f t="array" aca="1" ref="Z1239" ca="1">IFERROR(IF(_xlfn._xlws.FILTER(game_rosters!$J:$J,(game_rosters!$G:$G=events!$AN1239)*(game_rosters!$J:$J=events!$X1239))&gt;0,1,""),"")</f>
        <v>#VALUE!</v>
      </c>
      <c r="AA1239">
        <f t="shared" si="155"/>
        <v>1000</v>
      </c>
      <c r="AB1239" t="str">
        <f t="shared" si="156"/>
        <v/>
      </c>
      <c r="AC1239">
        <f t="shared" si="157"/>
        <v>1000</v>
      </c>
      <c r="AD1239" s="6"/>
    </row>
    <row r="1240" spans="1:30" x14ac:dyDescent="0.2">
      <c r="A1240" t="str">
        <f t="shared" si="158"/>
        <v/>
      </c>
      <c r="X1240" t="str" cm="1">
        <f t="array" ref="X1240">IF(S1240="","",IF($I1240&lt;&gt;"",$I1240,INDEX($I$2:$I1239,ROW()-COUNTIFS($T$2:$T1239,"="&amp;$T1240,$S$2:$S1239,"&lt;&gt;"&amp;$S1240)-1)))</f>
        <v/>
      </c>
      <c r="Y1240" t="b">
        <f>IF(X1240&lt;&gt;"",VLOOKUP(X1240,game_rosters!$C$43:$E$64,3,FALSE))</f>
        <v>0</v>
      </c>
      <c r="Z1240" t="e" cm="1" vm="1">
        <f t="array" aca="1" ref="Z1240" ca="1">IFERROR(IF(_xlfn._xlws.FILTER(game_rosters!$J:$J,(game_rosters!$G:$G=events!$AN1240)*(game_rosters!$J:$J=events!$X1240))&gt;0,1,""),"")</f>
        <v>#VALUE!</v>
      </c>
      <c r="AA1240">
        <f t="shared" si="155"/>
        <v>1000</v>
      </c>
      <c r="AB1240" t="str">
        <f t="shared" si="156"/>
        <v/>
      </c>
      <c r="AC1240">
        <f t="shared" si="157"/>
        <v>1000</v>
      </c>
      <c r="AD1240" s="6"/>
    </row>
    <row r="1241" spans="1:30" x14ac:dyDescent="0.2">
      <c r="A1241" t="str">
        <f t="shared" si="158"/>
        <v/>
      </c>
      <c r="X1241" t="str" cm="1">
        <f t="array" ref="X1241">IF(S1241="","",IF($I1241&lt;&gt;"",$I1241,INDEX($I$2:$I1240,ROW()-COUNTIFS($T$2:$T1240,"="&amp;$T1241,$S$2:$S1240,"&lt;&gt;"&amp;$S1241)-1)))</f>
        <v/>
      </c>
      <c r="Y1241" t="b">
        <f>IF(X1241&lt;&gt;"",VLOOKUP(X1241,game_rosters!$C$43:$E$64,3,FALSE))</f>
        <v>0</v>
      </c>
      <c r="Z1241" t="e" cm="1" vm="1">
        <f t="array" aca="1" ref="Z1241" ca="1">IFERROR(IF(_xlfn._xlws.FILTER(game_rosters!$J:$J,(game_rosters!$G:$G=events!$AN1241)*(game_rosters!$J:$J=events!$X1241))&gt;0,1,""),"")</f>
        <v>#VALUE!</v>
      </c>
      <c r="AA1241">
        <f t="shared" si="155"/>
        <v>1000</v>
      </c>
      <c r="AB1241" t="str">
        <f t="shared" si="156"/>
        <v/>
      </c>
      <c r="AC1241">
        <f t="shared" si="157"/>
        <v>1000</v>
      </c>
      <c r="AD1241" s="6"/>
    </row>
    <row r="1242" spans="1:30" x14ac:dyDescent="0.2">
      <c r="A1242" t="str">
        <f t="shared" si="158"/>
        <v/>
      </c>
      <c r="X1242" t="str" cm="1">
        <f t="array" ref="X1242">IF(S1242="","",IF($I1242&lt;&gt;"",$I1242,INDEX($I$2:$I1241,ROW()-COUNTIFS($T$2:$T1241,"="&amp;$T1242,$S$2:$S1241,"&lt;&gt;"&amp;$S1242)-1)))</f>
        <v/>
      </c>
      <c r="Y1242" t="b">
        <f>IF(X1242&lt;&gt;"",VLOOKUP(X1242,game_rosters!$C$43:$E$64,3,FALSE))</f>
        <v>0</v>
      </c>
      <c r="Z1242" t="e" cm="1" vm="1">
        <f t="array" aca="1" ref="Z1242" ca="1">IFERROR(IF(_xlfn._xlws.FILTER(game_rosters!$J:$J,(game_rosters!$G:$G=events!$AN1242)*(game_rosters!$J:$J=events!$X1242))&gt;0,1,""),"")</f>
        <v>#VALUE!</v>
      </c>
      <c r="AA1242">
        <f t="shared" si="155"/>
        <v>1000</v>
      </c>
      <c r="AB1242" t="str">
        <f t="shared" si="156"/>
        <v/>
      </c>
      <c r="AC1242">
        <f t="shared" si="157"/>
        <v>1000</v>
      </c>
      <c r="AD1242" s="6"/>
    </row>
    <row r="1243" spans="1:30" x14ac:dyDescent="0.2">
      <c r="A1243" t="str">
        <f t="shared" si="158"/>
        <v/>
      </c>
      <c r="X1243" t="str" cm="1">
        <f t="array" ref="X1243">IF(S1243="","",IF($I1243&lt;&gt;"",$I1243,INDEX($I$2:$I1242,ROW()-COUNTIFS($T$2:$T1242,"="&amp;$T1243,$S$2:$S1242,"&lt;&gt;"&amp;$S1243)-1)))</f>
        <v/>
      </c>
      <c r="Y1243" t="b">
        <f>IF(X1243&lt;&gt;"",VLOOKUP(X1243,game_rosters!$C$43:$E$64,3,FALSE))</f>
        <v>0</v>
      </c>
      <c r="Z1243" t="e" cm="1" vm="1">
        <f t="array" aca="1" ref="Z1243" ca="1">IFERROR(IF(_xlfn._xlws.FILTER(game_rosters!$J:$J,(game_rosters!$G:$G=events!$AN1243)*(game_rosters!$J:$J=events!$X1243))&gt;0,1,""),"")</f>
        <v>#VALUE!</v>
      </c>
      <c r="AA1243">
        <f t="shared" si="155"/>
        <v>1000</v>
      </c>
      <c r="AB1243" t="str">
        <f t="shared" si="156"/>
        <v/>
      </c>
      <c r="AC1243">
        <f t="shared" si="157"/>
        <v>1000</v>
      </c>
      <c r="AD1243" s="6"/>
    </row>
    <row r="1244" spans="1:30" x14ac:dyDescent="0.2">
      <c r="A1244" t="str">
        <f t="shared" si="158"/>
        <v/>
      </c>
      <c r="X1244" t="str" cm="1">
        <f t="array" ref="X1244">IF(S1244="","",IF($I1244&lt;&gt;"",$I1244,INDEX($I$2:$I1243,ROW()-COUNTIFS($T$2:$T1243,"="&amp;$T1244,$S$2:$S1243,"&lt;&gt;"&amp;$S1244)-1)))</f>
        <v/>
      </c>
      <c r="Y1244" t="b">
        <f>IF(X1244&lt;&gt;"",VLOOKUP(X1244,game_rosters!$C$43:$E$64,3,FALSE))</f>
        <v>0</v>
      </c>
      <c r="Z1244" t="e" cm="1" vm="1">
        <f t="array" aca="1" ref="Z1244" ca="1">IFERROR(IF(_xlfn._xlws.FILTER(game_rosters!$J:$J,(game_rosters!$G:$G=events!$AN1244)*(game_rosters!$J:$J=events!$X1244))&gt;0,1,""),"")</f>
        <v>#VALUE!</v>
      </c>
      <c r="AA1244">
        <f t="shared" si="155"/>
        <v>1000</v>
      </c>
      <c r="AB1244" t="str">
        <f t="shared" si="156"/>
        <v/>
      </c>
      <c r="AC1244">
        <f t="shared" si="157"/>
        <v>1000</v>
      </c>
      <c r="AD1244" s="6"/>
    </row>
    <row r="1245" spans="1:30" x14ac:dyDescent="0.2">
      <c r="A1245" t="str">
        <f t="shared" si="158"/>
        <v/>
      </c>
      <c r="X1245" t="str" cm="1">
        <f t="array" ref="X1245">IF(S1245="","",IF($I1245&lt;&gt;"",$I1245,INDEX($I$2:$I1244,ROW()-COUNTIFS($T$2:$T1244,"="&amp;$T1245,$S$2:$S1244,"&lt;&gt;"&amp;$S1245)-1)))</f>
        <v/>
      </c>
      <c r="Y1245" t="b">
        <f>IF(X1245&lt;&gt;"",VLOOKUP(X1245,game_rosters!$C$43:$E$64,3,FALSE))</f>
        <v>0</v>
      </c>
      <c r="Z1245" t="e" cm="1" vm="1">
        <f t="array" aca="1" ref="Z1245" ca="1">IFERROR(IF(_xlfn._xlws.FILTER(game_rosters!$J:$J,(game_rosters!$G:$G=events!$AN1245)*(game_rosters!$J:$J=events!$X1245))&gt;0,1,""),"")</f>
        <v>#VALUE!</v>
      </c>
      <c r="AA1245">
        <f t="shared" ref="AA1245:AA1308" si="159">S1245+1000</f>
        <v>1000</v>
      </c>
      <c r="AB1245" t="str">
        <f t="shared" ref="AB1245:AB1308" si="160">IF(T1245&lt;&gt;"",9000+T1245,"")</f>
        <v/>
      </c>
      <c r="AC1245">
        <f t="shared" si="157"/>
        <v>1000</v>
      </c>
      <c r="AD1245" s="6"/>
    </row>
    <row r="1246" spans="1:30" x14ac:dyDescent="0.2">
      <c r="A1246" t="str">
        <f t="shared" si="158"/>
        <v/>
      </c>
      <c r="X1246" t="str" cm="1">
        <f t="array" ref="X1246">IF(S1246="","",IF($I1246&lt;&gt;"",$I1246,INDEX($I$2:$I1245,ROW()-COUNTIFS($T$2:$T1245,"="&amp;$T1246,$S$2:$S1245,"&lt;&gt;"&amp;$S1246)-1)))</f>
        <v/>
      </c>
      <c r="Y1246" t="b">
        <f>IF(X1246&lt;&gt;"",VLOOKUP(X1246,game_rosters!$C$43:$E$64,3,FALSE))</f>
        <v>0</v>
      </c>
      <c r="Z1246" t="e" cm="1" vm="1">
        <f t="array" aca="1" ref="Z1246" ca="1">IFERROR(IF(_xlfn._xlws.FILTER(game_rosters!$J:$J,(game_rosters!$G:$G=events!$AN1246)*(game_rosters!$J:$J=events!$X1246))&gt;0,1,""),"")</f>
        <v>#VALUE!</v>
      </c>
      <c r="AA1246">
        <f t="shared" si="159"/>
        <v>1000</v>
      </c>
      <c r="AB1246" t="str">
        <f t="shared" si="160"/>
        <v/>
      </c>
      <c r="AC1246">
        <f t="shared" si="157"/>
        <v>1000</v>
      </c>
      <c r="AD1246" s="6"/>
    </row>
    <row r="1247" spans="1:30" x14ac:dyDescent="0.2">
      <c r="A1247" t="str">
        <f t="shared" si="158"/>
        <v/>
      </c>
      <c r="X1247" t="str" cm="1">
        <f t="array" ref="X1247">IF(S1247="","",IF($I1247&lt;&gt;"",$I1247,INDEX($I$2:$I1246,ROW()-COUNTIFS($T$2:$T1246,"="&amp;$T1247,$S$2:$S1246,"&lt;&gt;"&amp;$S1247)-1)))</f>
        <v/>
      </c>
      <c r="Y1247" t="b">
        <f>IF(X1247&lt;&gt;"",VLOOKUP(X1247,game_rosters!$C$43:$E$64,3,FALSE))</f>
        <v>0</v>
      </c>
      <c r="Z1247" t="e" cm="1" vm="1">
        <f t="array" aca="1" ref="Z1247" ca="1">IFERROR(IF(_xlfn._xlws.FILTER(game_rosters!$J:$J,(game_rosters!$G:$G=events!$AN1247)*(game_rosters!$J:$J=events!$X1247))&gt;0,1,""),"")</f>
        <v>#VALUE!</v>
      </c>
      <c r="AA1247">
        <f t="shared" si="159"/>
        <v>1000</v>
      </c>
      <c r="AB1247" t="str">
        <f t="shared" si="160"/>
        <v/>
      </c>
      <c r="AC1247">
        <f t="shared" si="157"/>
        <v>1000</v>
      </c>
      <c r="AD1247" s="6"/>
    </row>
    <row r="1248" spans="1:30" x14ac:dyDescent="0.2">
      <c r="A1248" t="str">
        <f t="shared" si="158"/>
        <v/>
      </c>
      <c r="X1248" t="str" cm="1">
        <f t="array" ref="X1248">IF(S1248="","",IF($I1248&lt;&gt;"",$I1248,INDEX($I$2:$I1247,ROW()-COUNTIFS($T$2:$T1247,"="&amp;$T1248,$S$2:$S1247,"&lt;&gt;"&amp;$S1248)-1)))</f>
        <v/>
      </c>
      <c r="Y1248" t="b">
        <f>IF(X1248&lt;&gt;"",VLOOKUP(X1248,game_rosters!$C$43:$E$64,3,FALSE))</f>
        <v>0</v>
      </c>
      <c r="Z1248" t="e" cm="1" vm="1">
        <f t="array" aca="1" ref="Z1248" ca="1">IFERROR(IF(_xlfn._xlws.FILTER(game_rosters!$J:$J,(game_rosters!$G:$G=events!$AN1248)*(game_rosters!$J:$J=events!$X1248))&gt;0,1,""),"")</f>
        <v>#VALUE!</v>
      </c>
      <c r="AA1248">
        <f t="shared" si="159"/>
        <v>1000</v>
      </c>
      <c r="AB1248" t="str">
        <f t="shared" si="160"/>
        <v/>
      </c>
      <c r="AC1248">
        <f t="shared" si="157"/>
        <v>1000</v>
      </c>
      <c r="AD1248" s="6"/>
    </row>
    <row r="1249" spans="1:30" x14ac:dyDescent="0.2">
      <c r="A1249" t="str">
        <f t="shared" si="158"/>
        <v/>
      </c>
      <c r="X1249" t="str" cm="1">
        <f t="array" ref="X1249">IF(S1249="","",IF($I1249&lt;&gt;"",$I1249,INDEX($I$2:$I1248,ROW()-COUNTIFS($T$2:$T1248,"="&amp;$T1249,$S$2:$S1248,"&lt;&gt;"&amp;$S1249)-1)))</f>
        <v/>
      </c>
      <c r="Y1249" t="b">
        <f>IF(X1249&lt;&gt;"",VLOOKUP(X1249,game_rosters!$C$43:$E$64,3,FALSE))</f>
        <v>0</v>
      </c>
      <c r="Z1249" t="e" cm="1" vm="1">
        <f t="array" aca="1" ref="Z1249" ca="1">IFERROR(IF(_xlfn._xlws.FILTER(game_rosters!$J:$J,(game_rosters!$G:$G=events!$AN1249)*(game_rosters!$J:$J=events!$X1249))&gt;0,1,""),"")</f>
        <v>#VALUE!</v>
      </c>
      <c r="AA1249">
        <f t="shared" si="159"/>
        <v>1000</v>
      </c>
      <c r="AB1249" t="str">
        <f t="shared" si="160"/>
        <v/>
      </c>
      <c r="AC1249">
        <f t="shared" si="157"/>
        <v>1000</v>
      </c>
      <c r="AD1249" s="6"/>
    </row>
    <row r="1250" spans="1:30" x14ac:dyDescent="0.2">
      <c r="A1250" t="str">
        <f t="shared" si="158"/>
        <v/>
      </c>
      <c r="X1250" t="str" cm="1">
        <f t="array" ref="X1250">IF(S1250="","",IF($I1250&lt;&gt;"",$I1250,INDEX($I$2:$I1249,ROW()-COUNTIFS($T$2:$T1249,"="&amp;$T1250,$S$2:$S1249,"&lt;&gt;"&amp;$S1250)-1)))</f>
        <v/>
      </c>
      <c r="Y1250" t="b">
        <f>IF(X1250&lt;&gt;"",VLOOKUP(X1250,game_rosters!$C$43:$E$64,3,FALSE))</f>
        <v>0</v>
      </c>
      <c r="Z1250" t="e" cm="1" vm="1">
        <f t="array" aca="1" ref="Z1250" ca="1">IFERROR(IF(_xlfn._xlws.FILTER(game_rosters!$J:$J,(game_rosters!$G:$G=events!$AN1250)*(game_rosters!$J:$J=events!$X1250))&gt;0,1,""),"")</f>
        <v>#VALUE!</v>
      </c>
      <c r="AA1250">
        <f t="shared" si="159"/>
        <v>1000</v>
      </c>
      <c r="AB1250" t="str">
        <f t="shared" si="160"/>
        <v/>
      </c>
      <c r="AC1250">
        <f t="shared" si="157"/>
        <v>1000</v>
      </c>
      <c r="AD1250" s="6"/>
    </row>
    <row r="1251" spans="1:30" x14ac:dyDescent="0.2">
      <c r="A1251" t="str">
        <f t="shared" si="158"/>
        <v/>
      </c>
      <c r="X1251" t="str" cm="1">
        <f t="array" ref="X1251">IF(S1251="","",IF($I1251&lt;&gt;"",$I1251,INDEX($I$2:$I1250,ROW()-COUNTIFS($T$2:$T1250,"="&amp;$T1251,$S$2:$S1250,"&lt;&gt;"&amp;$S1251)-1)))</f>
        <v/>
      </c>
      <c r="Y1251" t="b">
        <f>IF(X1251&lt;&gt;"",VLOOKUP(X1251,game_rosters!$C$43:$E$64,3,FALSE))</f>
        <v>0</v>
      </c>
      <c r="Z1251" t="e" cm="1" vm="1">
        <f t="array" aca="1" ref="Z1251" ca="1">IFERROR(IF(_xlfn._xlws.FILTER(game_rosters!$J:$J,(game_rosters!$G:$G=events!$AN1251)*(game_rosters!$J:$J=events!$X1251))&gt;0,1,""),"")</f>
        <v>#VALUE!</v>
      </c>
      <c r="AA1251">
        <f t="shared" si="159"/>
        <v>1000</v>
      </c>
      <c r="AB1251" t="str">
        <f t="shared" si="160"/>
        <v/>
      </c>
      <c r="AC1251">
        <f t="shared" si="157"/>
        <v>1000</v>
      </c>
      <c r="AD1251" s="6"/>
    </row>
    <row r="1252" spans="1:30" x14ac:dyDescent="0.2">
      <c r="A1252" t="str">
        <f t="shared" si="158"/>
        <v/>
      </c>
      <c r="X1252" t="str" cm="1">
        <f t="array" ref="X1252">IF(S1252="","",IF($I1252&lt;&gt;"",$I1252,INDEX($I$2:$I1251,ROW()-COUNTIFS($T$2:$T1251,"="&amp;$T1252,$S$2:$S1251,"&lt;&gt;"&amp;$S1252)-1)))</f>
        <v/>
      </c>
      <c r="Y1252" t="b">
        <f>IF(X1252&lt;&gt;"",VLOOKUP(X1252,game_rosters!$C$43:$E$64,3,FALSE))</f>
        <v>0</v>
      </c>
      <c r="Z1252" t="e" cm="1" vm="1">
        <f t="array" aca="1" ref="Z1252" ca="1">IFERROR(IF(_xlfn._xlws.FILTER(game_rosters!$J:$J,(game_rosters!$G:$G=events!$AN1252)*(game_rosters!$J:$J=events!$X1252))&gt;0,1,""),"")</f>
        <v>#VALUE!</v>
      </c>
      <c r="AA1252">
        <f t="shared" si="159"/>
        <v>1000</v>
      </c>
      <c r="AB1252" t="str">
        <f t="shared" si="160"/>
        <v/>
      </c>
      <c r="AC1252">
        <f t="shared" si="157"/>
        <v>1000</v>
      </c>
      <c r="AD1252" s="6"/>
    </row>
    <row r="1253" spans="1:30" x14ac:dyDescent="0.2">
      <c r="A1253" t="str">
        <f t="shared" si="158"/>
        <v/>
      </c>
      <c r="X1253" t="str" cm="1">
        <f t="array" ref="X1253">IF(S1253="","",IF($I1253&lt;&gt;"",$I1253,INDEX($I$2:$I1252,ROW()-COUNTIFS($T$2:$T1252,"="&amp;$T1253,$S$2:$S1252,"&lt;&gt;"&amp;$S1253)-1)))</f>
        <v/>
      </c>
      <c r="Y1253" t="b">
        <f>IF(X1253&lt;&gt;"",VLOOKUP(X1253,game_rosters!$C$43:$E$64,3,FALSE))</f>
        <v>0</v>
      </c>
      <c r="Z1253" t="e" cm="1" vm="1">
        <f t="array" aca="1" ref="Z1253" ca="1">IFERROR(IF(_xlfn._xlws.FILTER(game_rosters!$J:$J,(game_rosters!$G:$G=events!$AN1253)*(game_rosters!$J:$J=events!$X1253))&gt;0,1,""),"")</f>
        <v>#VALUE!</v>
      </c>
      <c r="AA1253">
        <f t="shared" si="159"/>
        <v>1000</v>
      </c>
      <c r="AB1253" t="str">
        <f t="shared" si="160"/>
        <v/>
      </c>
      <c r="AC1253">
        <f t="shared" si="157"/>
        <v>1000</v>
      </c>
      <c r="AD1253" s="6"/>
    </row>
    <row r="1254" spans="1:30" x14ac:dyDescent="0.2">
      <c r="A1254" t="str">
        <f t="shared" si="158"/>
        <v/>
      </c>
      <c r="X1254" t="str" cm="1">
        <f t="array" ref="X1254">IF(S1254="","",IF($I1254&lt;&gt;"",$I1254,INDEX($I$2:$I1253,ROW()-COUNTIFS($T$2:$T1253,"="&amp;$T1254,$S$2:$S1253,"&lt;&gt;"&amp;$S1254)-1)))</f>
        <v/>
      </c>
      <c r="Y1254" t="b">
        <f>IF(X1254&lt;&gt;"",VLOOKUP(X1254,game_rosters!$C$43:$E$64,3,FALSE))</f>
        <v>0</v>
      </c>
      <c r="Z1254" t="e" cm="1" vm="1">
        <f t="array" aca="1" ref="Z1254" ca="1">IFERROR(IF(_xlfn._xlws.FILTER(game_rosters!$J:$J,(game_rosters!$G:$G=events!$AN1254)*(game_rosters!$J:$J=events!$X1254))&gt;0,1,""),"")</f>
        <v>#VALUE!</v>
      </c>
      <c r="AA1254">
        <f t="shared" si="159"/>
        <v>1000</v>
      </c>
      <c r="AB1254" t="str">
        <f t="shared" si="160"/>
        <v/>
      </c>
      <c r="AC1254">
        <f t="shared" si="157"/>
        <v>1000</v>
      </c>
      <c r="AD1254" s="6"/>
    </row>
    <row r="1255" spans="1:30" x14ac:dyDescent="0.2">
      <c r="A1255" t="str">
        <f t="shared" si="158"/>
        <v/>
      </c>
      <c r="X1255" t="str" cm="1">
        <f t="array" ref="X1255">IF(S1255="","",IF($I1255&lt;&gt;"",$I1255,INDEX($I$2:$I1254,ROW()-COUNTIFS($T$2:$T1254,"="&amp;$T1255,$S$2:$S1254,"&lt;&gt;"&amp;$S1255)-1)))</f>
        <v/>
      </c>
      <c r="Y1255" t="b">
        <f>IF(X1255&lt;&gt;"",VLOOKUP(X1255,game_rosters!$C$43:$E$64,3,FALSE))</f>
        <v>0</v>
      </c>
      <c r="Z1255" t="e" cm="1" vm="1">
        <f t="array" aca="1" ref="Z1255" ca="1">IFERROR(IF(_xlfn._xlws.FILTER(game_rosters!$J:$J,(game_rosters!$G:$G=events!$AN1255)*(game_rosters!$J:$J=events!$X1255))&gt;0,1,""),"")</f>
        <v>#VALUE!</v>
      </c>
      <c r="AA1255">
        <f t="shared" si="159"/>
        <v>1000</v>
      </c>
      <c r="AB1255" t="str">
        <f t="shared" si="160"/>
        <v/>
      </c>
      <c r="AC1255">
        <f t="shared" si="157"/>
        <v>1000</v>
      </c>
      <c r="AD1255" s="6"/>
    </row>
    <row r="1256" spans="1:30" x14ac:dyDescent="0.2">
      <c r="A1256" t="str">
        <f t="shared" si="158"/>
        <v/>
      </c>
      <c r="X1256" t="str" cm="1">
        <f t="array" ref="X1256">IF(S1256="","",IF($I1256&lt;&gt;"",$I1256,INDEX($I$2:$I1255,ROW()-COUNTIFS($T$2:$T1255,"="&amp;$T1256,$S$2:$S1255,"&lt;&gt;"&amp;$S1256)-1)))</f>
        <v/>
      </c>
      <c r="Y1256" t="b">
        <f>IF(X1256&lt;&gt;"",VLOOKUP(X1256,game_rosters!$C$43:$E$64,3,FALSE))</f>
        <v>0</v>
      </c>
      <c r="Z1256" t="e" cm="1" vm="1">
        <f t="array" aca="1" ref="Z1256" ca="1">IFERROR(IF(_xlfn._xlws.FILTER(game_rosters!$J:$J,(game_rosters!$G:$G=events!$AN1256)*(game_rosters!$J:$J=events!$X1256))&gt;0,1,""),"")</f>
        <v>#VALUE!</v>
      </c>
      <c r="AA1256">
        <f t="shared" si="159"/>
        <v>1000</v>
      </c>
      <c r="AB1256" t="str">
        <f t="shared" si="160"/>
        <v/>
      </c>
      <c r="AC1256">
        <f t="shared" si="157"/>
        <v>1000</v>
      </c>
      <c r="AD1256" s="6"/>
    </row>
    <row r="1257" spans="1:30" x14ac:dyDescent="0.2">
      <c r="A1257" t="str">
        <f t="shared" si="158"/>
        <v/>
      </c>
      <c r="X1257" t="str" cm="1">
        <f t="array" ref="X1257">IF(S1257="","",IF($I1257&lt;&gt;"",$I1257,INDEX($I$2:$I1256,ROW()-COUNTIFS($T$2:$T1256,"="&amp;$T1257,$S$2:$S1256,"&lt;&gt;"&amp;$S1257)-1)))</f>
        <v/>
      </c>
      <c r="Y1257" t="b">
        <f>IF(X1257&lt;&gt;"",VLOOKUP(X1257,game_rosters!$C$43:$E$64,3,FALSE))</f>
        <v>0</v>
      </c>
      <c r="Z1257" t="e" cm="1" vm="1">
        <f t="array" aca="1" ref="Z1257" ca="1">IFERROR(IF(_xlfn._xlws.FILTER(game_rosters!$J:$J,(game_rosters!$G:$G=events!$AN1257)*(game_rosters!$J:$J=events!$X1257))&gt;0,1,""),"")</f>
        <v>#VALUE!</v>
      </c>
      <c r="AA1257">
        <f t="shared" si="159"/>
        <v>1000</v>
      </c>
      <c r="AB1257" t="str">
        <f t="shared" si="160"/>
        <v/>
      </c>
      <c r="AC1257">
        <f t="shared" si="157"/>
        <v>1000</v>
      </c>
      <c r="AD1257" s="6"/>
    </row>
    <row r="1258" spans="1:30" x14ac:dyDescent="0.2">
      <c r="A1258" t="str">
        <f t="shared" si="158"/>
        <v/>
      </c>
      <c r="X1258" t="str" cm="1">
        <f t="array" ref="X1258">IF(S1258="","",IF($I1258&lt;&gt;"",$I1258,INDEX($I$2:$I1257,ROW()-COUNTIFS($T$2:$T1257,"="&amp;$T1258,$S$2:$S1257,"&lt;&gt;"&amp;$S1258)-1)))</f>
        <v/>
      </c>
      <c r="Y1258" t="b">
        <f>IF(X1258&lt;&gt;"",VLOOKUP(X1258,game_rosters!$C$43:$E$64,3,FALSE))</f>
        <v>0</v>
      </c>
      <c r="Z1258" t="e" cm="1" vm="1">
        <f t="array" aca="1" ref="Z1258" ca="1">IFERROR(IF(_xlfn._xlws.FILTER(game_rosters!$J:$J,(game_rosters!$G:$G=events!$AN1258)*(game_rosters!$J:$J=events!$X1258))&gt;0,1,""),"")</f>
        <v>#VALUE!</v>
      </c>
      <c r="AA1258">
        <f t="shared" si="159"/>
        <v>1000</v>
      </c>
      <c r="AB1258" t="str">
        <f t="shared" si="160"/>
        <v/>
      </c>
      <c r="AC1258">
        <f t="shared" si="157"/>
        <v>1000</v>
      </c>
      <c r="AD1258" s="6"/>
    </row>
    <row r="1259" spans="1:30" x14ac:dyDescent="0.2">
      <c r="A1259" t="str">
        <f t="shared" si="158"/>
        <v/>
      </c>
      <c r="X1259" t="str" cm="1">
        <f t="array" ref="X1259">IF(S1259="","",IF($I1259&lt;&gt;"",$I1259,INDEX($I$2:$I1258,ROW()-COUNTIFS($T$2:$T1258,"="&amp;$T1259,$S$2:$S1258,"&lt;&gt;"&amp;$S1259)-1)))</f>
        <v/>
      </c>
      <c r="Y1259" t="b">
        <f>IF(X1259&lt;&gt;"",VLOOKUP(X1259,game_rosters!$C$43:$E$64,3,FALSE))</f>
        <v>0</v>
      </c>
      <c r="Z1259" t="e" cm="1" vm="1">
        <f t="array" aca="1" ref="Z1259" ca="1">IFERROR(IF(_xlfn._xlws.FILTER(game_rosters!$J:$J,(game_rosters!$G:$G=events!$AN1259)*(game_rosters!$J:$J=events!$X1259))&gt;0,1,""),"")</f>
        <v>#VALUE!</v>
      </c>
      <c r="AA1259">
        <f t="shared" si="159"/>
        <v>1000</v>
      </c>
      <c r="AB1259" t="str">
        <f t="shared" si="160"/>
        <v/>
      </c>
      <c r="AC1259">
        <f t="shared" si="157"/>
        <v>1000</v>
      </c>
      <c r="AD1259" s="6"/>
    </row>
    <row r="1260" spans="1:30" x14ac:dyDescent="0.2">
      <c r="A1260" t="str">
        <f t="shared" si="158"/>
        <v/>
      </c>
      <c r="X1260" t="str" cm="1">
        <f t="array" ref="X1260">IF(S1260="","",IF($I1260&lt;&gt;"",$I1260,INDEX($I$2:$I1259,ROW()-COUNTIFS($T$2:$T1259,"="&amp;$T1260,$S$2:$S1259,"&lt;&gt;"&amp;$S1260)-1)))</f>
        <v/>
      </c>
      <c r="Y1260" t="b">
        <f>IF(X1260&lt;&gt;"",VLOOKUP(X1260,game_rosters!$C$43:$E$64,3,FALSE))</f>
        <v>0</v>
      </c>
      <c r="Z1260" t="e" cm="1" vm="1">
        <f t="array" aca="1" ref="Z1260" ca="1">IFERROR(IF(_xlfn._xlws.FILTER(game_rosters!$J:$J,(game_rosters!$G:$G=events!$AN1260)*(game_rosters!$J:$J=events!$X1260))&gt;0,1,""),"")</f>
        <v>#VALUE!</v>
      </c>
      <c r="AA1260">
        <f t="shared" si="159"/>
        <v>1000</v>
      </c>
      <c r="AB1260" t="str">
        <f t="shared" si="160"/>
        <v/>
      </c>
      <c r="AC1260">
        <f t="shared" si="157"/>
        <v>1000</v>
      </c>
      <c r="AD1260" s="6"/>
    </row>
    <row r="1261" spans="1:30" x14ac:dyDescent="0.2">
      <c r="A1261" t="str">
        <f t="shared" si="158"/>
        <v/>
      </c>
      <c r="X1261" t="str" cm="1">
        <f t="array" ref="X1261">IF(S1261="","",IF($I1261&lt;&gt;"",$I1261,INDEX($I$2:$I1260,ROW()-COUNTIFS($T$2:$T1260,"="&amp;$T1261,$S$2:$S1260,"&lt;&gt;"&amp;$S1261)-1)))</f>
        <v/>
      </c>
      <c r="Y1261" t="b">
        <f>IF(X1261&lt;&gt;"",VLOOKUP(X1261,game_rosters!$C$43:$E$64,3,FALSE))</f>
        <v>0</v>
      </c>
      <c r="Z1261" t="e" cm="1" vm="1">
        <f t="array" aca="1" ref="Z1261" ca="1">IFERROR(IF(_xlfn._xlws.FILTER(game_rosters!$J:$J,(game_rosters!$G:$G=events!$AN1261)*(game_rosters!$J:$J=events!$X1261))&gt;0,1,""),"")</f>
        <v>#VALUE!</v>
      </c>
      <c r="AA1261">
        <f t="shared" si="159"/>
        <v>1000</v>
      </c>
      <c r="AB1261" t="str">
        <f t="shared" si="160"/>
        <v/>
      </c>
      <c r="AC1261">
        <f t="shared" si="157"/>
        <v>1000</v>
      </c>
      <c r="AD1261" s="6"/>
    </row>
    <row r="1262" spans="1:30" x14ac:dyDescent="0.2">
      <c r="A1262" t="str">
        <f t="shared" si="158"/>
        <v/>
      </c>
      <c r="X1262" t="str" cm="1">
        <f t="array" ref="X1262">IF(S1262="","",IF($I1262&lt;&gt;"",$I1262,INDEX($I$2:$I1261,ROW()-COUNTIFS($T$2:$T1261,"="&amp;$T1262,$S$2:$S1261,"&lt;&gt;"&amp;$S1262)-1)))</f>
        <v/>
      </c>
      <c r="Y1262" t="b">
        <f>IF(X1262&lt;&gt;"",VLOOKUP(X1262,game_rosters!$C$43:$E$64,3,FALSE))</f>
        <v>0</v>
      </c>
      <c r="Z1262" t="e" cm="1" vm="1">
        <f t="array" aca="1" ref="Z1262" ca="1">IFERROR(IF(_xlfn._xlws.FILTER(game_rosters!$J:$J,(game_rosters!$G:$G=events!$AN1262)*(game_rosters!$J:$J=events!$X1262))&gt;0,1,""),"")</f>
        <v>#VALUE!</v>
      </c>
      <c r="AA1262">
        <f t="shared" si="159"/>
        <v>1000</v>
      </c>
      <c r="AB1262" t="str">
        <f t="shared" si="160"/>
        <v/>
      </c>
      <c r="AC1262">
        <f t="shared" si="157"/>
        <v>1000</v>
      </c>
      <c r="AD1262" s="6"/>
    </row>
    <row r="1263" spans="1:30" x14ac:dyDescent="0.2">
      <c r="A1263" t="str">
        <f t="shared" si="158"/>
        <v/>
      </c>
      <c r="X1263" t="str" cm="1">
        <f t="array" ref="X1263">IF(S1263="","",IF($I1263&lt;&gt;"",$I1263,INDEX($I$2:$I1262,ROW()-COUNTIFS($T$2:$T1262,"="&amp;$T1263,$S$2:$S1262,"&lt;&gt;"&amp;$S1263)-1)))</f>
        <v/>
      </c>
      <c r="Y1263" t="b">
        <f>IF(X1263&lt;&gt;"",VLOOKUP(X1263,game_rosters!$C$43:$E$64,3,FALSE))</f>
        <v>0</v>
      </c>
      <c r="Z1263" t="e" cm="1" vm="1">
        <f t="array" aca="1" ref="Z1263" ca="1">IFERROR(IF(_xlfn._xlws.FILTER(game_rosters!$J:$J,(game_rosters!$G:$G=events!$AN1263)*(game_rosters!$J:$J=events!$X1263))&gt;0,1,""),"")</f>
        <v>#VALUE!</v>
      </c>
      <c r="AA1263">
        <f t="shared" si="159"/>
        <v>1000</v>
      </c>
      <c r="AB1263" t="str">
        <f t="shared" si="160"/>
        <v/>
      </c>
      <c r="AC1263">
        <f t="shared" si="157"/>
        <v>1000</v>
      </c>
      <c r="AD1263" s="6"/>
    </row>
    <row r="1264" spans="1:30" x14ac:dyDescent="0.2">
      <c r="A1264" t="str">
        <f t="shared" si="158"/>
        <v/>
      </c>
      <c r="X1264" t="str" cm="1">
        <f t="array" ref="X1264">IF(S1264="","",IF($I1264&lt;&gt;"",$I1264,INDEX($I$2:$I1263,ROW()-COUNTIFS($T$2:$T1263,"="&amp;$T1264,$S$2:$S1263,"&lt;&gt;"&amp;$S1264)-1)))</f>
        <v/>
      </c>
      <c r="Y1264" t="b">
        <f>IF(X1264&lt;&gt;"",VLOOKUP(X1264,game_rosters!$C$43:$E$64,3,FALSE))</f>
        <v>0</v>
      </c>
      <c r="Z1264" t="e" cm="1" vm="1">
        <f t="array" aca="1" ref="Z1264" ca="1">IFERROR(IF(_xlfn._xlws.FILTER(game_rosters!$J:$J,(game_rosters!$G:$G=events!$AN1264)*(game_rosters!$J:$J=events!$X1264))&gt;0,1,""),"")</f>
        <v>#VALUE!</v>
      </c>
      <c r="AA1264">
        <f t="shared" si="159"/>
        <v>1000</v>
      </c>
      <c r="AB1264" t="str">
        <f t="shared" si="160"/>
        <v/>
      </c>
      <c r="AC1264">
        <f t="shared" si="157"/>
        <v>1000</v>
      </c>
      <c r="AD1264" s="6"/>
    </row>
    <row r="1265" spans="1:30" x14ac:dyDescent="0.2">
      <c r="A1265" t="str">
        <f t="shared" si="158"/>
        <v/>
      </c>
      <c r="X1265" t="str" cm="1">
        <f t="array" ref="X1265">IF(S1265="","",IF($I1265&lt;&gt;"",$I1265,INDEX($I$2:$I1264,ROW()-COUNTIFS($T$2:$T1264,"="&amp;$T1265,$S$2:$S1264,"&lt;&gt;"&amp;$S1265)-1)))</f>
        <v/>
      </c>
      <c r="Y1265" t="b">
        <f>IF(X1265&lt;&gt;"",VLOOKUP(X1265,game_rosters!$C$43:$E$64,3,FALSE))</f>
        <v>0</v>
      </c>
      <c r="Z1265" t="e" cm="1" vm="1">
        <f t="array" aca="1" ref="Z1265" ca="1">IFERROR(IF(_xlfn._xlws.FILTER(game_rosters!$J:$J,(game_rosters!$G:$G=events!$AN1265)*(game_rosters!$J:$J=events!$X1265))&gt;0,1,""),"")</f>
        <v>#VALUE!</v>
      </c>
      <c r="AA1265">
        <f t="shared" si="159"/>
        <v>1000</v>
      </c>
      <c r="AB1265" t="str">
        <f t="shared" si="160"/>
        <v/>
      </c>
      <c r="AC1265">
        <f t="shared" si="157"/>
        <v>1000</v>
      </c>
      <c r="AD1265" s="6"/>
    </row>
    <row r="1266" spans="1:30" x14ac:dyDescent="0.2">
      <c r="A1266" t="str">
        <f t="shared" si="158"/>
        <v/>
      </c>
      <c r="X1266" t="str" cm="1">
        <f t="array" ref="X1266">IF(S1266="","",IF($I1266&lt;&gt;"",$I1266,INDEX($I$2:$I1265,ROW()-COUNTIFS($T$2:$T1265,"="&amp;$T1266,$S$2:$S1265,"&lt;&gt;"&amp;$S1266)-1)))</f>
        <v/>
      </c>
      <c r="Y1266" t="b">
        <f>IF(X1266&lt;&gt;"",VLOOKUP(X1266,game_rosters!$C$43:$E$64,3,FALSE))</f>
        <v>0</v>
      </c>
      <c r="Z1266" t="e" cm="1" vm="1">
        <f t="array" aca="1" ref="Z1266" ca="1">IFERROR(IF(_xlfn._xlws.FILTER(game_rosters!$J:$J,(game_rosters!$G:$G=events!$AN1266)*(game_rosters!$J:$J=events!$X1266))&gt;0,1,""),"")</f>
        <v>#VALUE!</v>
      </c>
      <c r="AA1266">
        <f t="shared" si="159"/>
        <v>1000</v>
      </c>
      <c r="AB1266" t="str">
        <f t="shared" si="160"/>
        <v/>
      </c>
      <c r="AC1266">
        <f t="shared" si="157"/>
        <v>1000</v>
      </c>
      <c r="AD1266" s="6"/>
    </row>
    <row r="1267" spans="1:30" x14ac:dyDescent="0.2">
      <c r="A1267" t="str">
        <f t="shared" si="158"/>
        <v/>
      </c>
      <c r="X1267" t="str" cm="1">
        <f t="array" ref="X1267">IF(S1267="","",IF($I1267&lt;&gt;"",$I1267,INDEX($I$2:$I1266,ROW()-COUNTIFS($T$2:$T1266,"="&amp;$T1267,$S$2:$S1266,"&lt;&gt;"&amp;$S1267)-1)))</f>
        <v/>
      </c>
      <c r="Y1267" t="b">
        <f>IF(X1267&lt;&gt;"",VLOOKUP(X1267,game_rosters!$C$43:$E$64,3,FALSE))</f>
        <v>0</v>
      </c>
      <c r="Z1267" t="e" cm="1" vm="1">
        <f t="array" aca="1" ref="Z1267" ca="1">IFERROR(IF(_xlfn._xlws.FILTER(game_rosters!$J:$J,(game_rosters!$G:$G=events!$AN1267)*(game_rosters!$J:$J=events!$X1267))&gt;0,1,""),"")</f>
        <v>#VALUE!</v>
      </c>
      <c r="AA1267">
        <f t="shared" si="159"/>
        <v>1000</v>
      </c>
      <c r="AB1267" t="str">
        <f t="shared" si="160"/>
        <v/>
      </c>
      <c r="AC1267">
        <f t="shared" si="157"/>
        <v>1000</v>
      </c>
      <c r="AD1267" s="6"/>
    </row>
    <row r="1268" spans="1:30" x14ac:dyDescent="0.2">
      <c r="A1268" t="str">
        <f t="shared" si="158"/>
        <v/>
      </c>
      <c r="X1268" t="str" cm="1">
        <f t="array" ref="X1268">IF(S1268="","",IF($I1268&lt;&gt;"",$I1268,INDEX($I$2:$I1267,ROW()-COUNTIFS($T$2:$T1267,"="&amp;$T1268,$S$2:$S1267,"&lt;&gt;"&amp;$S1268)-1)))</f>
        <v/>
      </c>
      <c r="Y1268" t="b">
        <f>IF(X1268&lt;&gt;"",VLOOKUP(X1268,game_rosters!$C$43:$E$64,3,FALSE))</f>
        <v>0</v>
      </c>
      <c r="Z1268" t="e" cm="1" vm="1">
        <f t="array" aca="1" ref="Z1268" ca="1">IFERROR(IF(_xlfn._xlws.FILTER(game_rosters!$J:$J,(game_rosters!$G:$G=events!$AN1268)*(game_rosters!$J:$J=events!$X1268))&gt;0,1,""),"")</f>
        <v>#VALUE!</v>
      </c>
      <c r="AA1268">
        <f t="shared" si="159"/>
        <v>1000</v>
      </c>
      <c r="AB1268" t="str">
        <f t="shared" si="160"/>
        <v/>
      </c>
      <c r="AC1268">
        <f t="shared" si="157"/>
        <v>1000</v>
      </c>
      <c r="AD1268" s="6"/>
    </row>
    <row r="1269" spans="1:30" x14ac:dyDescent="0.2">
      <c r="A1269" t="str">
        <f t="shared" si="158"/>
        <v/>
      </c>
      <c r="X1269" t="str" cm="1">
        <f t="array" ref="X1269">IF(S1269="","",IF($I1269&lt;&gt;"",$I1269,INDEX($I$2:$I1268,ROW()-COUNTIFS($T$2:$T1268,"="&amp;$T1269,$S$2:$S1268,"&lt;&gt;"&amp;$S1269)-1)))</f>
        <v/>
      </c>
      <c r="Y1269" t="b">
        <f>IF(X1269&lt;&gt;"",VLOOKUP(X1269,game_rosters!$C$43:$E$64,3,FALSE))</f>
        <v>0</v>
      </c>
      <c r="Z1269" t="e" cm="1" vm="1">
        <f t="array" aca="1" ref="Z1269" ca="1">IFERROR(IF(_xlfn._xlws.FILTER(game_rosters!$J:$J,(game_rosters!$G:$G=events!$AN1269)*(game_rosters!$J:$J=events!$X1269))&gt;0,1,""),"")</f>
        <v>#VALUE!</v>
      </c>
      <c r="AA1269">
        <f t="shared" si="159"/>
        <v>1000</v>
      </c>
      <c r="AB1269" t="str">
        <f t="shared" si="160"/>
        <v/>
      </c>
      <c r="AC1269">
        <f t="shared" si="157"/>
        <v>1000</v>
      </c>
      <c r="AD1269" s="6"/>
    </row>
    <row r="1270" spans="1:30" x14ac:dyDescent="0.2">
      <c r="A1270" t="str">
        <f t="shared" si="158"/>
        <v/>
      </c>
      <c r="X1270" t="str" cm="1">
        <f t="array" ref="X1270">IF(S1270="","",IF($I1270&lt;&gt;"",$I1270,INDEX($I$2:$I1269,ROW()-COUNTIFS($T$2:$T1269,"="&amp;$T1270,$S$2:$S1269,"&lt;&gt;"&amp;$S1270)-1)))</f>
        <v/>
      </c>
      <c r="Y1270" t="b">
        <f>IF(X1270&lt;&gt;"",VLOOKUP(X1270,game_rosters!$C$43:$E$64,3,FALSE))</f>
        <v>0</v>
      </c>
      <c r="Z1270" t="e" cm="1" vm="1">
        <f t="array" aca="1" ref="Z1270" ca="1">IFERROR(IF(_xlfn._xlws.FILTER(game_rosters!$J:$J,(game_rosters!$G:$G=events!$AN1270)*(game_rosters!$J:$J=events!$X1270))&gt;0,1,""),"")</f>
        <v>#VALUE!</v>
      </c>
      <c r="AA1270">
        <f t="shared" si="159"/>
        <v>1000</v>
      </c>
      <c r="AB1270" t="str">
        <f t="shared" si="160"/>
        <v/>
      </c>
      <c r="AC1270">
        <f t="shared" si="157"/>
        <v>1000</v>
      </c>
      <c r="AD1270" s="6"/>
    </row>
    <row r="1271" spans="1:30" x14ac:dyDescent="0.2">
      <c r="A1271" t="str">
        <f t="shared" si="158"/>
        <v/>
      </c>
      <c r="X1271" t="str" cm="1">
        <f t="array" ref="X1271">IF(S1271="","",IF($I1271&lt;&gt;"",$I1271,INDEX($I$2:$I1270,ROW()-COUNTIFS($T$2:$T1270,"="&amp;$T1271,$S$2:$S1270,"&lt;&gt;"&amp;$S1271)-1)))</f>
        <v/>
      </c>
      <c r="Y1271" t="b">
        <f>IF(X1271&lt;&gt;"",VLOOKUP(X1271,game_rosters!$C$43:$E$64,3,FALSE))</f>
        <v>0</v>
      </c>
      <c r="Z1271" t="e" cm="1" vm="1">
        <f t="array" aca="1" ref="Z1271" ca="1">IFERROR(IF(_xlfn._xlws.FILTER(game_rosters!$J:$J,(game_rosters!$G:$G=events!$AN1271)*(game_rosters!$J:$J=events!$X1271))&gt;0,1,""),"")</f>
        <v>#VALUE!</v>
      </c>
      <c r="AA1271">
        <f t="shared" si="159"/>
        <v>1000</v>
      </c>
      <c r="AB1271" t="str">
        <f t="shared" si="160"/>
        <v/>
      </c>
      <c r="AC1271">
        <f t="shared" si="157"/>
        <v>1000</v>
      </c>
      <c r="AD1271" s="6"/>
    </row>
    <row r="1272" spans="1:30" x14ac:dyDescent="0.2">
      <c r="A1272" t="str">
        <f t="shared" si="158"/>
        <v/>
      </c>
      <c r="X1272" t="str" cm="1">
        <f t="array" ref="X1272">IF(S1272="","",IF($I1272&lt;&gt;"",$I1272,INDEX($I$2:$I1271,ROW()-COUNTIFS($T$2:$T1271,"="&amp;$T1272,$S$2:$S1271,"&lt;&gt;"&amp;$S1272)-1)))</f>
        <v/>
      </c>
      <c r="Y1272" t="b">
        <f>IF(X1272&lt;&gt;"",VLOOKUP(X1272,game_rosters!$C$43:$E$64,3,FALSE))</f>
        <v>0</v>
      </c>
      <c r="Z1272" t="e" cm="1" vm="1">
        <f t="array" aca="1" ref="Z1272" ca="1">IFERROR(IF(_xlfn._xlws.FILTER(game_rosters!$J:$J,(game_rosters!$G:$G=events!$AN1272)*(game_rosters!$J:$J=events!$X1272))&gt;0,1,""),"")</f>
        <v>#VALUE!</v>
      </c>
      <c r="AA1272">
        <f t="shared" si="159"/>
        <v>1000</v>
      </c>
      <c r="AB1272" t="str">
        <f t="shared" si="160"/>
        <v/>
      </c>
      <c r="AC1272">
        <f t="shared" si="157"/>
        <v>1000</v>
      </c>
      <c r="AD1272" s="6"/>
    </row>
    <row r="1273" spans="1:30" x14ac:dyDescent="0.2">
      <c r="A1273" t="str">
        <f t="shared" si="158"/>
        <v/>
      </c>
      <c r="X1273" t="str" cm="1">
        <f t="array" ref="X1273">IF(S1273="","",IF($I1273&lt;&gt;"",$I1273,INDEX($I$2:$I1272,ROW()-COUNTIFS($T$2:$T1272,"="&amp;$T1273,$S$2:$S1272,"&lt;&gt;"&amp;$S1273)-1)))</f>
        <v/>
      </c>
      <c r="Y1273" t="b">
        <f>IF(X1273&lt;&gt;"",VLOOKUP(X1273,game_rosters!$C$43:$E$64,3,FALSE))</f>
        <v>0</v>
      </c>
      <c r="Z1273" t="e" cm="1" vm="1">
        <f t="array" aca="1" ref="Z1273" ca="1">IFERROR(IF(_xlfn._xlws.FILTER(game_rosters!$J:$J,(game_rosters!$G:$G=events!$AN1273)*(game_rosters!$J:$J=events!$X1273))&gt;0,1,""),"")</f>
        <v>#VALUE!</v>
      </c>
      <c r="AA1273">
        <f t="shared" si="159"/>
        <v>1000</v>
      </c>
      <c r="AB1273" t="str">
        <f t="shared" si="160"/>
        <v/>
      </c>
      <c r="AC1273">
        <f t="shared" si="157"/>
        <v>1000</v>
      </c>
      <c r="AD1273" s="6"/>
    </row>
    <row r="1274" spans="1:30" x14ac:dyDescent="0.2">
      <c r="A1274" t="str">
        <f t="shared" si="158"/>
        <v/>
      </c>
      <c r="X1274" t="str" cm="1">
        <f t="array" ref="X1274">IF(S1274="","",IF($I1274&lt;&gt;"",$I1274,INDEX($I$2:$I1273,ROW()-COUNTIFS($T$2:$T1273,"="&amp;$T1274,$S$2:$S1273,"&lt;&gt;"&amp;$S1274)-1)))</f>
        <v/>
      </c>
      <c r="Y1274" t="b">
        <f>IF(X1274&lt;&gt;"",VLOOKUP(X1274,game_rosters!$C$43:$E$64,3,FALSE))</f>
        <v>0</v>
      </c>
      <c r="Z1274" t="e" cm="1" vm="1">
        <f t="array" aca="1" ref="Z1274" ca="1">IFERROR(IF(_xlfn._xlws.FILTER(game_rosters!$J:$J,(game_rosters!$G:$G=events!$AN1274)*(game_rosters!$J:$J=events!$X1274))&gt;0,1,""),"")</f>
        <v>#VALUE!</v>
      </c>
      <c r="AA1274">
        <f t="shared" si="159"/>
        <v>1000</v>
      </c>
      <c r="AB1274" t="str">
        <f t="shared" si="160"/>
        <v/>
      </c>
      <c r="AC1274">
        <f t="shared" si="157"/>
        <v>1000</v>
      </c>
      <c r="AD1274" s="6"/>
    </row>
    <row r="1275" spans="1:30" x14ac:dyDescent="0.2">
      <c r="A1275" t="str">
        <f t="shared" si="158"/>
        <v/>
      </c>
      <c r="X1275" t="str" cm="1">
        <f t="array" ref="X1275">IF(S1275="","",IF($I1275&lt;&gt;"",$I1275,INDEX($I$2:$I1274,ROW()-COUNTIFS($T$2:$T1274,"="&amp;$T1275,$S$2:$S1274,"&lt;&gt;"&amp;$S1275)-1)))</f>
        <v/>
      </c>
      <c r="Y1275" t="b">
        <f>IF(X1275&lt;&gt;"",VLOOKUP(X1275,game_rosters!$C$43:$E$64,3,FALSE))</f>
        <v>0</v>
      </c>
      <c r="Z1275" t="e" cm="1" vm="1">
        <f t="array" aca="1" ref="Z1275" ca="1">IFERROR(IF(_xlfn._xlws.FILTER(game_rosters!$J:$J,(game_rosters!$G:$G=events!$AN1275)*(game_rosters!$J:$J=events!$X1275))&gt;0,1,""),"")</f>
        <v>#VALUE!</v>
      </c>
      <c r="AA1275">
        <f t="shared" si="159"/>
        <v>1000</v>
      </c>
      <c r="AB1275" t="str">
        <f t="shared" si="160"/>
        <v/>
      </c>
      <c r="AC1275">
        <f t="shared" si="157"/>
        <v>1000</v>
      </c>
      <c r="AD1275" s="6"/>
    </row>
    <row r="1276" spans="1:30" x14ac:dyDescent="0.2">
      <c r="A1276" t="str">
        <f t="shared" si="158"/>
        <v/>
      </c>
      <c r="X1276" t="str" cm="1">
        <f t="array" ref="X1276">IF(S1276="","",IF($I1276&lt;&gt;"",$I1276,INDEX($I$2:$I1275,ROW()-COUNTIFS($T$2:$T1275,"="&amp;$T1276,$S$2:$S1275,"&lt;&gt;"&amp;$S1276)-1)))</f>
        <v/>
      </c>
      <c r="Y1276" t="b">
        <f>IF(X1276&lt;&gt;"",VLOOKUP(X1276,game_rosters!$C$43:$E$64,3,FALSE))</f>
        <v>0</v>
      </c>
      <c r="Z1276" t="e" cm="1" vm="1">
        <f t="array" aca="1" ref="Z1276" ca="1">IFERROR(IF(_xlfn._xlws.FILTER(game_rosters!$J:$J,(game_rosters!$G:$G=events!$AN1276)*(game_rosters!$J:$J=events!$X1276))&gt;0,1,""),"")</f>
        <v>#VALUE!</v>
      </c>
      <c r="AA1276">
        <f t="shared" si="159"/>
        <v>1000</v>
      </c>
      <c r="AB1276" t="str">
        <f t="shared" si="160"/>
        <v/>
      </c>
      <c r="AC1276">
        <f t="shared" si="157"/>
        <v>1000</v>
      </c>
      <c r="AD1276" s="6"/>
    </row>
    <row r="1277" spans="1:30" x14ac:dyDescent="0.2">
      <c r="A1277" t="str">
        <f t="shared" si="158"/>
        <v/>
      </c>
      <c r="X1277" t="str" cm="1">
        <f t="array" ref="X1277">IF(S1277="","",IF($I1277&lt;&gt;"",$I1277,INDEX($I$2:$I1276,ROW()-COUNTIFS($T$2:$T1276,"="&amp;$T1277,$S$2:$S1276,"&lt;&gt;"&amp;$S1277)-1)))</f>
        <v/>
      </c>
      <c r="Y1277" t="b">
        <f>IF(X1277&lt;&gt;"",VLOOKUP(X1277,game_rosters!$C$43:$E$64,3,FALSE))</f>
        <v>0</v>
      </c>
      <c r="Z1277" t="e" cm="1" vm="1">
        <f t="array" aca="1" ref="Z1277" ca="1">IFERROR(IF(_xlfn._xlws.FILTER(game_rosters!$J:$J,(game_rosters!$G:$G=events!$AN1277)*(game_rosters!$J:$J=events!$X1277))&gt;0,1,""),"")</f>
        <v>#VALUE!</v>
      </c>
      <c r="AA1277">
        <f t="shared" si="159"/>
        <v>1000</v>
      </c>
      <c r="AB1277" t="str">
        <f t="shared" si="160"/>
        <v/>
      </c>
      <c r="AC1277">
        <f t="shared" si="157"/>
        <v>1000</v>
      </c>
      <c r="AD1277" s="6"/>
    </row>
    <row r="1278" spans="1:30" x14ac:dyDescent="0.2">
      <c r="A1278" t="str">
        <f t="shared" si="158"/>
        <v/>
      </c>
      <c r="X1278" t="str" cm="1">
        <f t="array" ref="X1278">IF(S1278="","",IF($I1278&lt;&gt;"",$I1278,INDEX($I$2:$I1277,ROW()-COUNTIFS($T$2:$T1277,"="&amp;$T1278,$S$2:$S1277,"&lt;&gt;"&amp;$S1278)-1)))</f>
        <v/>
      </c>
      <c r="Y1278" t="b">
        <f>IF(X1278&lt;&gt;"",VLOOKUP(X1278,game_rosters!$C$43:$E$64,3,FALSE))</f>
        <v>0</v>
      </c>
      <c r="Z1278" t="e" cm="1" vm="1">
        <f t="array" aca="1" ref="Z1278" ca="1">IFERROR(IF(_xlfn._xlws.FILTER(game_rosters!$J:$J,(game_rosters!$G:$G=events!$AN1278)*(game_rosters!$J:$J=events!$X1278))&gt;0,1,""),"")</f>
        <v>#VALUE!</v>
      </c>
      <c r="AA1278">
        <f t="shared" si="159"/>
        <v>1000</v>
      </c>
      <c r="AB1278" t="str">
        <f t="shared" si="160"/>
        <v/>
      </c>
      <c r="AC1278">
        <f t="shared" si="157"/>
        <v>1000</v>
      </c>
      <c r="AD1278" s="6"/>
    </row>
    <row r="1279" spans="1:30" x14ac:dyDescent="0.2">
      <c r="A1279" t="str">
        <f t="shared" si="158"/>
        <v/>
      </c>
      <c r="X1279" t="str" cm="1">
        <f t="array" ref="X1279">IF(S1279="","",IF($I1279&lt;&gt;"",$I1279,INDEX($I$2:$I1278,ROW()-COUNTIFS($T$2:$T1278,"="&amp;$T1279,$S$2:$S1278,"&lt;&gt;"&amp;$S1279)-1)))</f>
        <v/>
      </c>
      <c r="Y1279" t="b">
        <f>IF(X1279&lt;&gt;"",VLOOKUP(X1279,game_rosters!$C$43:$E$64,3,FALSE))</f>
        <v>0</v>
      </c>
      <c r="Z1279" t="e" cm="1" vm="1">
        <f t="array" aca="1" ref="Z1279" ca="1">IFERROR(IF(_xlfn._xlws.FILTER(game_rosters!$J:$J,(game_rosters!$G:$G=events!$AN1279)*(game_rosters!$J:$J=events!$X1279))&gt;0,1,""),"")</f>
        <v>#VALUE!</v>
      </c>
      <c r="AA1279">
        <f t="shared" si="159"/>
        <v>1000</v>
      </c>
      <c r="AB1279" t="str">
        <f t="shared" si="160"/>
        <v/>
      </c>
      <c r="AC1279">
        <f t="shared" si="157"/>
        <v>1000</v>
      </c>
      <c r="AD1279" s="6"/>
    </row>
    <row r="1280" spans="1:30" x14ac:dyDescent="0.2">
      <c r="A1280" t="str">
        <f t="shared" si="158"/>
        <v/>
      </c>
      <c r="X1280" t="str" cm="1">
        <f t="array" ref="X1280">IF(S1280="","",IF($I1280&lt;&gt;"",$I1280,INDEX($I$2:$I1279,ROW()-COUNTIFS($T$2:$T1279,"="&amp;$T1280,$S$2:$S1279,"&lt;&gt;"&amp;$S1280)-1)))</f>
        <v/>
      </c>
      <c r="Y1280" t="b">
        <f>IF(X1280&lt;&gt;"",VLOOKUP(X1280,game_rosters!$C$43:$E$64,3,FALSE))</f>
        <v>0</v>
      </c>
      <c r="Z1280" t="e" cm="1" vm="1">
        <f t="array" aca="1" ref="Z1280" ca="1">IFERROR(IF(_xlfn._xlws.FILTER(game_rosters!$J:$J,(game_rosters!$G:$G=events!$AN1280)*(game_rosters!$J:$J=events!$X1280))&gt;0,1,""),"")</f>
        <v>#VALUE!</v>
      </c>
      <c r="AA1280">
        <f t="shared" si="159"/>
        <v>1000</v>
      </c>
      <c r="AB1280" t="str">
        <f t="shared" si="160"/>
        <v/>
      </c>
      <c r="AC1280">
        <f t="shared" si="157"/>
        <v>1000</v>
      </c>
      <c r="AD1280" s="6"/>
    </row>
    <row r="1281" spans="1:30" x14ac:dyDescent="0.2">
      <c r="A1281" t="str">
        <f t="shared" si="158"/>
        <v/>
      </c>
      <c r="X1281" t="str" cm="1">
        <f t="array" ref="X1281">IF(S1281="","",IF($I1281&lt;&gt;"",$I1281,INDEX($I$2:$I1280,ROW()-COUNTIFS($T$2:$T1280,"="&amp;$T1281,$S$2:$S1280,"&lt;&gt;"&amp;$S1281)-1)))</f>
        <v/>
      </c>
      <c r="Y1281" t="b">
        <f>IF(X1281&lt;&gt;"",VLOOKUP(X1281,game_rosters!$C$43:$E$64,3,FALSE))</f>
        <v>0</v>
      </c>
      <c r="Z1281" t="e" cm="1" vm="1">
        <f t="array" aca="1" ref="Z1281" ca="1">IFERROR(IF(_xlfn._xlws.FILTER(game_rosters!$J:$J,(game_rosters!$G:$G=events!$AN1281)*(game_rosters!$J:$J=events!$X1281))&gt;0,1,""),"")</f>
        <v>#VALUE!</v>
      </c>
      <c r="AA1281">
        <f t="shared" si="159"/>
        <v>1000</v>
      </c>
      <c r="AB1281" t="str">
        <f t="shared" si="160"/>
        <v/>
      </c>
      <c r="AC1281">
        <f t="shared" si="157"/>
        <v>1000</v>
      </c>
      <c r="AD1281" s="6"/>
    </row>
    <row r="1282" spans="1:30" x14ac:dyDescent="0.2">
      <c r="A1282" t="str">
        <f t="shared" si="158"/>
        <v/>
      </c>
      <c r="X1282" t="str" cm="1">
        <f t="array" ref="X1282">IF(S1282="","",IF($I1282&lt;&gt;"",$I1282,INDEX($I$2:$I1281,ROW()-COUNTIFS($T$2:$T1281,"="&amp;$T1282,$S$2:$S1281,"&lt;&gt;"&amp;$S1282)-1)))</f>
        <v/>
      </c>
      <c r="Y1282" t="b">
        <f>IF(X1282&lt;&gt;"",VLOOKUP(X1282,game_rosters!$C$43:$E$64,3,FALSE))</f>
        <v>0</v>
      </c>
      <c r="Z1282" t="e" cm="1" vm="1">
        <f t="array" aca="1" ref="Z1282" ca="1">IFERROR(IF(_xlfn._xlws.FILTER(game_rosters!$J:$J,(game_rosters!$G:$G=events!$AN1282)*(game_rosters!$J:$J=events!$X1282))&gt;0,1,""),"")</f>
        <v>#VALUE!</v>
      </c>
      <c r="AA1282">
        <f t="shared" si="159"/>
        <v>1000</v>
      </c>
      <c r="AB1282" t="str">
        <f t="shared" si="160"/>
        <v/>
      </c>
      <c r="AC1282">
        <f t="shared" ref="AC1282:AC1345" si="161">IF(AB1282&lt;&gt;"",AB1282,S1282+1000)</f>
        <v>1000</v>
      </c>
      <c r="AD1282" s="6"/>
    </row>
    <row r="1283" spans="1:30" x14ac:dyDescent="0.2">
      <c r="A1283" t="str">
        <f t="shared" si="158"/>
        <v/>
      </c>
      <c r="X1283" t="str" cm="1">
        <f t="array" ref="X1283">IF(S1283="","",IF($I1283&lt;&gt;"",$I1283,INDEX($I$2:$I1282,ROW()-COUNTIFS($T$2:$T1282,"="&amp;$T1283,$S$2:$S1282,"&lt;&gt;"&amp;$S1283)-1)))</f>
        <v/>
      </c>
      <c r="Y1283" t="b">
        <f>IF(X1283&lt;&gt;"",VLOOKUP(X1283,game_rosters!$C$43:$E$64,3,FALSE))</f>
        <v>0</v>
      </c>
      <c r="Z1283" t="e" cm="1" vm="1">
        <f t="array" aca="1" ref="Z1283" ca="1">IFERROR(IF(_xlfn._xlws.FILTER(game_rosters!$J:$J,(game_rosters!$G:$G=events!$AN1283)*(game_rosters!$J:$J=events!$X1283))&gt;0,1,""),"")</f>
        <v>#VALUE!</v>
      </c>
      <c r="AA1283">
        <f t="shared" si="159"/>
        <v>1000</v>
      </c>
      <c r="AB1283" t="str">
        <f t="shared" si="160"/>
        <v/>
      </c>
      <c r="AC1283">
        <f t="shared" si="161"/>
        <v>1000</v>
      </c>
      <c r="AD1283" s="6"/>
    </row>
    <row r="1284" spans="1:30" x14ac:dyDescent="0.2">
      <c r="A1284" t="str">
        <f t="shared" si="158"/>
        <v/>
      </c>
      <c r="X1284" t="str" cm="1">
        <f t="array" ref="X1284">IF(S1284="","",IF($I1284&lt;&gt;"",$I1284,INDEX($I$2:$I1283,ROW()-COUNTIFS($T$2:$T1283,"="&amp;$T1284,$S$2:$S1283,"&lt;&gt;"&amp;$S1284)-1)))</f>
        <v/>
      </c>
      <c r="Y1284" t="b">
        <f>IF(X1284&lt;&gt;"",VLOOKUP(X1284,game_rosters!$C$43:$E$64,3,FALSE))</f>
        <v>0</v>
      </c>
      <c r="Z1284" t="e" cm="1" vm="1">
        <f t="array" aca="1" ref="Z1284" ca="1">IFERROR(IF(_xlfn._xlws.FILTER(game_rosters!$J:$J,(game_rosters!$G:$G=events!$AN1284)*(game_rosters!$J:$J=events!$X1284))&gt;0,1,""),"")</f>
        <v>#VALUE!</v>
      </c>
      <c r="AA1284">
        <f t="shared" si="159"/>
        <v>1000</v>
      </c>
      <c r="AB1284" t="str">
        <f t="shared" si="160"/>
        <v/>
      </c>
      <c r="AC1284">
        <f t="shared" si="161"/>
        <v>1000</v>
      </c>
      <c r="AD1284" s="6"/>
    </row>
    <row r="1285" spans="1:30" x14ac:dyDescent="0.2">
      <c r="A1285" t="str">
        <f t="shared" ref="A1285:A1348" si="162">IF(K1285&lt;&gt;"",1,IF(D1285="x","x",""))</f>
        <v/>
      </c>
      <c r="X1285" t="str" cm="1">
        <f t="array" ref="X1285">IF(S1285="","",IF($I1285&lt;&gt;"",$I1285,INDEX($I$2:$I1284,ROW()-COUNTIFS($T$2:$T1284,"="&amp;$T1285,$S$2:$S1284,"&lt;&gt;"&amp;$S1285)-1)))</f>
        <v/>
      </c>
      <c r="Y1285" t="b">
        <f>IF(X1285&lt;&gt;"",VLOOKUP(X1285,game_rosters!$C$43:$E$64,3,FALSE))</f>
        <v>0</v>
      </c>
      <c r="Z1285" t="e" cm="1" vm="1">
        <f t="array" aca="1" ref="Z1285" ca="1">IFERROR(IF(_xlfn._xlws.FILTER(game_rosters!$J:$J,(game_rosters!$G:$G=events!$AN1285)*(game_rosters!$J:$J=events!$X1285))&gt;0,1,""),"")</f>
        <v>#VALUE!</v>
      </c>
      <c r="AA1285">
        <f t="shared" si="159"/>
        <v>1000</v>
      </c>
      <c r="AB1285" t="str">
        <f t="shared" si="160"/>
        <v/>
      </c>
      <c r="AC1285">
        <f t="shared" si="161"/>
        <v>1000</v>
      </c>
      <c r="AD1285" s="6"/>
    </row>
    <row r="1286" spans="1:30" x14ac:dyDescent="0.2">
      <c r="A1286" t="str">
        <f t="shared" si="162"/>
        <v/>
      </c>
      <c r="X1286" t="str" cm="1">
        <f t="array" ref="X1286">IF(S1286="","",IF($I1286&lt;&gt;"",$I1286,INDEX($I$2:$I1285,ROW()-COUNTIFS($T$2:$T1285,"="&amp;$T1286,$S$2:$S1285,"&lt;&gt;"&amp;$S1286)-1)))</f>
        <v/>
      </c>
      <c r="Y1286" t="b">
        <f>IF(X1286&lt;&gt;"",VLOOKUP(X1286,game_rosters!$C$43:$E$64,3,FALSE))</f>
        <v>0</v>
      </c>
      <c r="Z1286" t="e" cm="1" vm="1">
        <f t="array" aca="1" ref="Z1286" ca="1">IFERROR(IF(_xlfn._xlws.FILTER(game_rosters!$J:$J,(game_rosters!$G:$G=events!$AN1286)*(game_rosters!$J:$J=events!$X1286))&gt;0,1,""),"")</f>
        <v>#VALUE!</v>
      </c>
      <c r="AA1286">
        <f t="shared" si="159"/>
        <v>1000</v>
      </c>
      <c r="AB1286" t="str">
        <f t="shared" si="160"/>
        <v/>
      </c>
      <c r="AC1286">
        <f t="shared" si="161"/>
        <v>1000</v>
      </c>
      <c r="AD1286" s="6"/>
    </row>
    <row r="1287" spans="1:30" x14ac:dyDescent="0.2">
      <c r="A1287" t="str">
        <f t="shared" si="162"/>
        <v/>
      </c>
      <c r="X1287" t="str" cm="1">
        <f t="array" ref="X1287">IF(S1287="","",IF($I1287&lt;&gt;"",$I1287,INDEX($I$2:$I1286,ROW()-COUNTIFS($T$2:$T1286,"="&amp;$T1287,$S$2:$S1286,"&lt;&gt;"&amp;$S1287)-1)))</f>
        <v/>
      </c>
      <c r="Y1287" t="b">
        <f>IF(X1287&lt;&gt;"",VLOOKUP(X1287,game_rosters!$C$43:$E$64,3,FALSE))</f>
        <v>0</v>
      </c>
      <c r="Z1287" t="e" cm="1" vm="1">
        <f t="array" aca="1" ref="Z1287" ca="1">IFERROR(IF(_xlfn._xlws.FILTER(game_rosters!$J:$J,(game_rosters!$G:$G=events!$AN1287)*(game_rosters!$J:$J=events!$X1287))&gt;0,1,""),"")</f>
        <v>#VALUE!</v>
      </c>
      <c r="AA1287">
        <f t="shared" si="159"/>
        <v>1000</v>
      </c>
      <c r="AB1287" t="str">
        <f t="shared" si="160"/>
        <v/>
      </c>
      <c r="AC1287">
        <f t="shared" si="161"/>
        <v>1000</v>
      </c>
      <c r="AD1287" s="6"/>
    </row>
    <row r="1288" spans="1:30" x14ac:dyDescent="0.2">
      <c r="A1288" t="str">
        <f t="shared" si="162"/>
        <v/>
      </c>
      <c r="X1288" t="str" cm="1">
        <f t="array" ref="X1288">IF(S1288="","",IF($I1288&lt;&gt;"",$I1288,INDEX($I$2:$I1287,ROW()-COUNTIFS($T$2:$T1287,"="&amp;$T1288,$S$2:$S1287,"&lt;&gt;"&amp;$S1288)-1)))</f>
        <v/>
      </c>
      <c r="Y1288" t="b">
        <f>IF(X1288&lt;&gt;"",VLOOKUP(X1288,game_rosters!$C$43:$E$64,3,FALSE))</f>
        <v>0</v>
      </c>
      <c r="Z1288" t="e" cm="1" vm="1">
        <f t="array" aca="1" ref="Z1288" ca="1">IFERROR(IF(_xlfn._xlws.FILTER(game_rosters!$J:$J,(game_rosters!$G:$G=events!$AN1288)*(game_rosters!$J:$J=events!$X1288))&gt;0,1,""),"")</f>
        <v>#VALUE!</v>
      </c>
      <c r="AA1288">
        <f t="shared" si="159"/>
        <v>1000</v>
      </c>
      <c r="AB1288" t="str">
        <f t="shared" si="160"/>
        <v/>
      </c>
      <c r="AC1288">
        <f t="shared" si="161"/>
        <v>1000</v>
      </c>
      <c r="AD1288" s="6"/>
    </row>
    <row r="1289" spans="1:30" x14ac:dyDescent="0.2">
      <c r="A1289" t="str">
        <f t="shared" si="162"/>
        <v/>
      </c>
      <c r="X1289" t="str" cm="1">
        <f t="array" ref="X1289">IF(S1289="","",IF($I1289&lt;&gt;"",$I1289,INDEX($I$2:$I1288,ROW()-COUNTIFS($T$2:$T1288,"="&amp;$T1289,$S$2:$S1288,"&lt;&gt;"&amp;$S1289)-1)))</f>
        <v/>
      </c>
      <c r="Y1289" t="b">
        <f>IF(X1289&lt;&gt;"",VLOOKUP(X1289,game_rosters!$C$43:$E$64,3,FALSE))</f>
        <v>0</v>
      </c>
      <c r="Z1289" t="e" cm="1" vm="1">
        <f t="array" aca="1" ref="Z1289" ca="1">IFERROR(IF(_xlfn._xlws.FILTER(game_rosters!$J:$J,(game_rosters!$G:$G=events!$AN1289)*(game_rosters!$J:$J=events!$X1289))&gt;0,1,""),"")</f>
        <v>#VALUE!</v>
      </c>
      <c r="AA1289">
        <f t="shared" si="159"/>
        <v>1000</v>
      </c>
      <c r="AB1289" t="str">
        <f t="shared" si="160"/>
        <v/>
      </c>
      <c r="AC1289">
        <f t="shared" si="161"/>
        <v>1000</v>
      </c>
      <c r="AD1289" s="6"/>
    </row>
    <row r="1290" spans="1:30" x14ac:dyDescent="0.2">
      <c r="A1290" t="str">
        <f t="shared" si="162"/>
        <v/>
      </c>
      <c r="X1290" t="str" cm="1">
        <f t="array" ref="X1290">IF(S1290="","",IF($I1290&lt;&gt;"",$I1290,INDEX($I$2:$I1289,ROW()-COUNTIFS($T$2:$T1289,"="&amp;$T1290,$S$2:$S1289,"&lt;&gt;"&amp;$S1290)-1)))</f>
        <v/>
      </c>
      <c r="Y1290" t="b">
        <f>IF(X1290&lt;&gt;"",VLOOKUP(X1290,game_rosters!$C$43:$E$64,3,FALSE))</f>
        <v>0</v>
      </c>
      <c r="Z1290" t="e" cm="1" vm="1">
        <f t="array" aca="1" ref="Z1290" ca="1">IFERROR(IF(_xlfn._xlws.FILTER(game_rosters!$J:$J,(game_rosters!$G:$G=events!$AN1290)*(game_rosters!$J:$J=events!$X1290))&gt;0,1,""),"")</f>
        <v>#VALUE!</v>
      </c>
      <c r="AA1290">
        <f t="shared" si="159"/>
        <v>1000</v>
      </c>
      <c r="AB1290" t="str">
        <f t="shared" si="160"/>
        <v/>
      </c>
      <c r="AC1290">
        <f t="shared" si="161"/>
        <v>1000</v>
      </c>
      <c r="AD1290" s="6"/>
    </row>
    <row r="1291" spans="1:30" x14ac:dyDescent="0.2">
      <c r="A1291" t="str">
        <f t="shared" si="162"/>
        <v/>
      </c>
      <c r="X1291" t="str" cm="1">
        <f t="array" ref="X1291">IF(S1291="","",IF($I1291&lt;&gt;"",$I1291,INDEX($I$2:$I1290,ROW()-COUNTIFS($T$2:$T1290,"="&amp;$T1291,$S$2:$S1290,"&lt;&gt;"&amp;$S1291)-1)))</f>
        <v/>
      </c>
      <c r="Y1291" t="b">
        <f>IF(X1291&lt;&gt;"",VLOOKUP(X1291,game_rosters!$C$43:$E$64,3,FALSE))</f>
        <v>0</v>
      </c>
      <c r="Z1291" t="e" cm="1" vm="1">
        <f t="array" aca="1" ref="Z1291" ca="1">IFERROR(IF(_xlfn._xlws.FILTER(game_rosters!$J:$J,(game_rosters!$G:$G=events!$AN1291)*(game_rosters!$J:$J=events!$X1291))&gt;0,1,""),"")</f>
        <v>#VALUE!</v>
      </c>
      <c r="AA1291">
        <f t="shared" si="159"/>
        <v>1000</v>
      </c>
      <c r="AB1291" t="str">
        <f t="shared" si="160"/>
        <v/>
      </c>
      <c r="AC1291">
        <f t="shared" si="161"/>
        <v>1000</v>
      </c>
      <c r="AD1291" s="6"/>
    </row>
    <row r="1292" spans="1:30" x14ac:dyDescent="0.2">
      <c r="A1292" t="str">
        <f t="shared" si="162"/>
        <v/>
      </c>
      <c r="X1292" t="str" cm="1">
        <f t="array" ref="X1292">IF(S1292="","",IF($I1292&lt;&gt;"",$I1292,INDEX($I$2:$I1291,ROW()-COUNTIFS($T$2:$T1291,"="&amp;$T1292,$S$2:$S1291,"&lt;&gt;"&amp;$S1292)-1)))</f>
        <v/>
      </c>
      <c r="Y1292" t="b">
        <f>IF(X1292&lt;&gt;"",VLOOKUP(X1292,game_rosters!$C$43:$E$64,3,FALSE))</f>
        <v>0</v>
      </c>
      <c r="Z1292" t="e" cm="1" vm="1">
        <f t="array" aca="1" ref="Z1292" ca="1">IFERROR(IF(_xlfn._xlws.FILTER(game_rosters!$J:$J,(game_rosters!$G:$G=events!$AN1292)*(game_rosters!$J:$J=events!$X1292))&gt;0,1,""),"")</f>
        <v>#VALUE!</v>
      </c>
      <c r="AA1292">
        <f t="shared" si="159"/>
        <v>1000</v>
      </c>
      <c r="AB1292" t="str">
        <f t="shared" si="160"/>
        <v/>
      </c>
      <c r="AC1292">
        <f t="shared" si="161"/>
        <v>1000</v>
      </c>
      <c r="AD1292" s="6"/>
    </row>
    <row r="1293" spans="1:30" x14ac:dyDescent="0.2">
      <c r="A1293" t="str">
        <f t="shared" si="162"/>
        <v/>
      </c>
      <c r="X1293" t="str" cm="1">
        <f t="array" ref="X1293">IF(S1293="","",IF($I1293&lt;&gt;"",$I1293,INDEX($I$2:$I1292,ROW()-COUNTIFS($T$2:$T1292,"="&amp;$T1293,$S$2:$S1292,"&lt;&gt;"&amp;$S1293)-1)))</f>
        <v/>
      </c>
      <c r="Y1293" t="b">
        <f>IF(X1293&lt;&gt;"",VLOOKUP(X1293,game_rosters!$C$43:$E$64,3,FALSE))</f>
        <v>0</v>
      </c>
      <c r="Z1293" t="e" cm="1" vm="1">
        <f t="array" aca="1" ref="Z1293" ca="1">IFERROR(IF(_xlfn._xlws.FILTER(game_rosters!$J:$J,(game_rosters!$G:$G=events!$AN1293)*(game_rosters!$J:$J=events!$X1293))&gt;0,1,""),"")</f>
        <v>#VALUE!</v>
      </c>
      <c r="AA1293">
        <f t="shared" si="159"/>
        <v>1000</v>
      </c>
      <c r="AB1293" t="str">
        <f t="shared" si="160"/>
        <v/>
      </c>
      <c r="AC1293">
        <f t="shared" si="161"/>
        <v>1000</v>
      </c>
      <c r="AD1293" s="6"/>
    </row>
    <row r="1294" spans="1:30" x14ac:dyDescent="0.2">
      <c r="A1294" t="str">
        <f t="shared" si="162"/>
        <v/>
      </c>
      <c r="X1294" t="str" cm="1">
        <f t="array" ref="X1294">IF(S1294="","",IF($I1294&lt;&gt;"",$I1294,INDEX($I$2:$I1293,ROW()-COUNTIFS($T$2:$T1293,"="&amp;$T1294,$S$2:$S1293,"&lt;&gt;"&amp;$S1294)-1)))</f>
        <v/>
      </c>
      <c r="Y1294" t="b">
        <f>IF(X1294&lt;&gt;"",VLOOKUP(X1294,game_rosters!$C$43:$E$64,3,FALSE))</f>
        <v>0</v>
      </c>
      <c r="Z1294" t="e" cm="1" vm="1">
        <f t="array" aca="1" ref="Z1294" ca="1">IFERROR(IF(_xlfn._xlws.FILTER(game_rosters!$J:$J,(game_rosters!$G:$G=events!$AN1294)*(game_rosters!$J:$J=events!$X1294))&gt;0,1,""),"")</f>
        <v>#VALUE!</v>
      </c>
      <c r="AA1294">
        <f t="shared" si="159"/>
        <v>1000</v>
      </c>
      <c r="AB1294" t="str">
        <f t="shared" si="160"/>
        <v/>
      </c>
      <c r="AC1294">
        <f t="shared" si="161"/>
        <v>1000</v>
      </c>
      <c r="AD1294" s="6"/>
    </row>
    <row r="1295" spans="1:30" x14ac:dyDescent="0.2">
      <c r="A1295" t="str">
        <f t="shared" si="162"/>
        <v/>
      </c>
      <c r="X1295" t="str" cm="1">
        <f t="array" ref="X1295">IF(S1295="","",IF($I1295&lt;&gt;"",$I1295,INDEX($I$2:$I1294,ROW()-COUNTIFS($T$2:$T1294,"="&amp;$T1295,$S$2:$S1294,"&lt;&gt;"&amp;$S1295)-1)))</f>
        <v/>
      </c>
      <c r="Y1295" t="b">
        <f>IF(X1295&lt;&gt;"",VLOOKUP(X1295,game_rosters!$C$43:$E$64,3,FALSE))</f>
        <v>0</v>
      </c>
      <c r="Z1295" t="e" cm="1" vm="1">
        <f t="array" aca="1" ref="Z1295" ca="1">IFERROR(IF(_xlfn._xlws.FILTER(game_rosters!$J:$J,(game_rosters!$G:$G=events!$AN1295)*(game_rosters!$J:$J=events!$X1295))&gt;0,1,""),"")</f>
        <v>#VALUE!</v>
      </c>
      <c r="AA1295">
        <f t="shared" si="159"/>
        <v>1000</v>
      </c>
      <c r="AB1295" t="str">
        <f t="shared" si="160"/>
        <v/>
      </c>
      <c r="AC1295">
        <f t="shared" si="161"/>
        <v>1000</v>
      </c>
      <c r="AD1295" s="6"/>
    </row>
    <row r="1296" spans="1:30" x14ac:dyDescent="0.2">
      <c r="A1296" t="str">
        <f t="shared" si="162"/>
        <v/>
      </c>
      <c r="X1296" t="str" cm="1">
        <f t="array" ref="X1296">IF(S1296="","",IF($I1296&lt;&gt;"",$I1296,INDEX($I$2:$I1295,ROW()-COUNTIFS($T$2:$T1295,"="&amp;$T1296,$S$2:$S1295,"&lt;&gt;"&amp;$S1296)-1)))</f>
        <v/>
      </c>
      <c r="Y1296" t="b">
        <f>IF(X1296&lt;&gt;"",VLOOKUP(X1296,game_rosters!$C$43:$E$64,3,FALSE))</f>
        <v>0</v>
      </c>
      <c r="Z1296" t="e" cm="1" vm="1">
        <f t="array" aca="1" ref="Z1296" ca="1">IFERROR(IF(_xlfn._xlws.FILTER(game_rosters!$J:$J,(game_rosters!$G:$G=events!$AN1296)*(game_rosters!$J:$J=events!$X1296))&gt;0,1,""),"")</f>
        <v>#VALUE!</v>
      </c>
      <c r="AA1296">
        <f t="shared" si="159"/>
        <v>1000</v>
      </c>
      <c r="AB1296" t="str">
        <f t="shared" si="160"/>
        <v/>
      </c>
      <c r="AC1296">
        <f t="shared" si="161"/>
        <v>1000</v>
      </c>
      <c r="AD1296" s="6"/>
    </row>
    <row r="1297" spans="1:30" x14ac:dyDescent="0.2">
      <c r="A1297" t="str">
        <f t="shared" si="162"/>
        <v/>
      </c>
      <c r="X1297" t="str" cm="1">
        <f t="array" ref="X1297">IF(S1297="","",IF($I1297&lt;&gt;"",$I1297,INDEX($I$2:$I1296,ROW()-COUNTIFS($T$2:$T1296,"="&amp;$T1297,$S$2:$S1296,"&lt;&gt;"&amp;$S1297)-1)))</f>
        <v/>
      </c>
      <c r="Y1297" t="b">
        <f>IF(X1297&lt;&gt;"",VLOOKUP(X1297,game_rosters!$C$43:$E$64,3,FALSE))</f>
        <v>0</v>
      </c>
      <c r="Z1297" t="e" cm="1" vm="1">
        <f t="array" aca="1" ref="Z1297" ca="1">IFERROR(IF(_xlfn._xlws.FILTER(game_rosters!$J:$J,(game_rosters!$G:$G=events!$AN1297)*(game_rosters!$J:$J=events!$X1297))&gt;0,1,""),"")</f>
        <v>#VALUE!</v>
      </c>
      <c r="AA1297">
        <f t="shared" si="159"/>
        <v>1000</v>
      </c>
      <c r="AB1297" t="str">
        <f t="shared" si="160"/>
        <v/>
      </c>
      <c r="AC1297">
        <f t="shared" si="161"/>
        <v>1000</v>
      </c>
      <c r="AD1297" s="6"/>
    </row>
    <row r="1298" spans="1:30" x14ac:dyDescent="0.2">
      <c r="A1298" t="str">
        <f t="shared" si="162"/>
        <v/>
      </c>
      <c r="X1298" t="str" cm="1">
        <f t="array" ref="X1298">IF(S1298="","",IF($I1298&lt;&gt;"",$I1298,INDEX($I$2:$I1297,ROW()-COUNTIFS($T$2:$T1297,"="&amp;$T1298,$S$2:$S1297,"&lt;&gt;"&amp;$S1298)-1)))</f>
        <v/>
      </c>
      <c r="Y1298" t="b">
        <f>IF(X1298&lt;&gt;"",VLOOKUP(X1298,game_rosters!$C$43:$E$64,3,FALSE))</f>
        <v>0</v>
      </c>
      <c r="Z1298" t="e" cm="1" vm="1">
        <f t="array" aca="1" ref="Z1298" ca="1">IFERROR(IF(_xlfn._xlws.FILTER(game_rosters!$J:$J,(game_rosters!$G:$G=events!$AN1298)*(game_rosters!$J:$J=events!$X1298))&gt;0,1,""),"")</f>
        <v>#VALUE!</v>
      </c>
      <c r="AA1298">
        <f t="shared" si="159"/>
        <v>1000</v>
      </c>
      <c r="AB1298" t="str">
        <f t="shared" si="160"/>
        <v/>
      </c>
      <c r="AC1298">
        <f t="shared" si="161"/>
        <v>1000</v>
      </c>
      <c r="AD1298" s="6"/>
    </row>
    <row r="1299" spans="1:30" x14ac:dyDescent="0.2">
      <c r="A1299" t="str">
        <f t="shared" si="162"/>
        <v/>
      </c>
      <c r="X1299" t="str" cm="1">
        <f t="array" ref="X1299">IF(S1299="","",IF($I1299&lt;&gt;"",$I1299,INDEX($I$2:$I1298,ROW()-COUNTIFS($T$2:$T1298,"="&amp;$T1299,$S$2:$S1298,"&lt;&gt;"&amp;$S1299)-1)))</f>
        <v/>
      </c>
      <c r="Y1299" t="b">
        <f>IF(X1299&lt;&gt;"",VLOOKUP(X1299,game_rosters!$C$43:$E$64,3,FALSE))</f>
        <v>0</v>
      </c>
      <c r="Z1299" t="e" cm="1" vm="1">
        <f t="array" aca="1" ref="Z1299" ca="1">IFERROR(IF(_xlfn._xlws.FILTER(game_rosters!$J:$J,(game_rosters!$G:$G=events!$AN1299)*(game_rosters!$J:$J=events!$X1299))&gt;0,1,""),"")</f>
        <v>#VALUE!</v>
      </c>
      <c r="AA1299">
        <f t="shared" si="159"/>
        <v>1000</v>
      </c>
      <c r="AB1299" t="str">
        <f t="shared" si="160"/>
        <v/>
      </c>
      <c r="AC1299">
        <f t="shared" si="161"/>
        <v>1000</v>
      </c>
      <c r="AD1299" s="6"/>
    </row>
    <row r="1300" spans="1:30" x14ac:dyDescent="0.2">
      <c r="A1300" t="str">
        <f t="shared" si="162"/>
        <v/>
      </c>
      <c r="X1300" t="str" cm="1">
        <f t="array" ref="X1300">IF(S1300="","",IF($I1300&lt;&gt;"",$I1300,INDEX($I$2:$I1299,ROW()-COUNTIFS($T$2:$T1299,"="&amp;$T1300,$S$2:$S1299,"&lt;&gt;"&amp;$S1300)-1)))</f>
        <v/>
      </c>
      <c r="Y1300" t="b">
        <f>IF(X1300&lt;&gt;"",VLOOKUP(X1300,game_rosters!$C$43:$E$64,3,FALSE))</f>
        <v>0</v>
      </c>
      <c r="Z1300" t="e" cm="1" vm="1">
        <f t="array" aca="1" ref="Z1300" ca="1">IFERROR(IF(_xlfn._xlws.FILTER(game_rosters!$J:$J,(game_rosters!$G:$G=events!$AN1300)*(game_rosters!$J:$J=events!$X1300))&gt;0,1,""),"")</f>
        <v>#VALUE!</v>
      </c>
      <c r="AA1300">
        <f t="shared" si="159"/>
        <v>1000</v>
      </c>
      <c r="AB1300" t="str">
        <f t="shared" si="160"/>
        <v/>
      </c>
      <c r="AC1300">
        <f t="shared" si="161"/>
        <v>1000</v>
      </c>
      <c r="AD1300" s="6"/>
    </row>
    <row r="1301" spans="1:30" x14ac:dyDescent="0.2">
      <c r="A1301" t="str">
        <f t="shared" si="162"/>
        <v/>
      </c>
      <c r="X1301" t="str" cm="1">
        <f t="array" ref="X1301">IF(S1301="","",IF($I1301&lt;&gt;"",$I1301,INDEX($I$2:$I1300,ROW()-COUNTIFS($T$2:$T1300,"="&amp;$T1301,$S$2:$S1300,"&lt;&gt;"&amp;$S1301)-1)))</f>
        <v/>
      </c>
      <c r="Y1301" t="b">
        <f>IF(X1301&lt;&gt;"",VLOOKUP(X1301,game_rosters!$C$43:$E$64,3,FALSE))</f>
        <v>0</v>
      </c>
      <c r="Z1301" t="e" cm="1" vm="1">
        <f t="array" aca="1" ref="Z1301" ca="1">IFERROR(IF(_xlfn._xlws.FILTER(game_rosters!$J:$J,(game_rosters!$G:$G=events!$AN1301)*(game_rosters!$J:$J=events!$X1301))&gt;0,1,""),"")</f>
        <v>#VALUE!</v>
      </c>
      <c r="AA1301">
        <f t="shared" si="159"/>
        <v>1000</v>
      </c>
      <c r="AB1301" t="str">
        <f t="shared" si="160"/>
        <v/>
      </c>
      <c r="AC1301">
        <f t="shared" si="161"/>
        <v>1000</v>
      </c>
      <c r="AD1301" s="6"/>
    </row>
    <row r="1302" spans="1:30" x14ac:dyDescent="0.2">
      <c r="A1302" t="str">
        <f t="shared" si="162"/>
        <v/>
      </c>
      <c r="X1302" t="str" cm="1">
        <f t="array" ref="X1302">IF(S1302="","",IF($I1302&lt;&gt;"",$I1302,INDEX($I$2:$I1301,ROW()-COUNTIFS($T$2:$T1301,"="&amp;$T1302,$S$2:$S1301,"&lt;&gt;"&amp;$S1302)-1)))</f>
        <v/>
      </c>
      <c r="Y1302" t="b">
        <f>IF(X1302&lt;&gt;"",VLOOKUP(X1302,game_rosters!$C$43:$E$64,3,FALSE))</f>
        <v>0</v>
      </c>
      <c r="Z1302" t="e" cm="1" vm="1">
        <f t="array" aca="1" ref="Z1302" ca="1">IFERROR(IF(_xlfn._xlws.FILTER(game_rosters!$J:$J,(game_rosters!$G:$G=events!$AN1302)*(game_rosters!$J:$J=events!$X1302))&gt;0,1,""),"")</f>
        <v>#VALUE!</v>
      </c>
      <c r="AA1302">
        <f t="shared" si="159"/>
        <v>1000</v>
      </c>
      <c r="AB1302" t="str">
        <f t="shared" si="160"/>
        <v/>
      </c>
      <c r="AC1302">
        <f t="shared" si="161"/>
        <v>1000</v>
      </c>
      <c r="AD1302" s="6"/>
    </row>
    <row r="1303" spans="1:30" x14ac:dyDescent="0.2">
      <c r="A1303" t="str">
        <f t="shared" si="162"/>
        <v/>
      </c>
      <c r="X1303" t="str" cm="1">
        <f t="array" ref="X1303">IF(S1303="","",IF($I1303&lt;&gt;"",$I1303,INDEX($I$2:$I1302,ROW()-COUNTIFS($T$2:$T1302,"="&amp;$T1303,$S$2:$S1302,"&lt;&gt;"&amp;$S1303)-1)))</f>
        <v/>
      </c>
      <c r="Y1303" t="b">
        <f>IF(X1303&lt;&gt;"",VLOOKUP(X1303,game_rosters!$C$43:$E$64,3,FALSE))</f>
        <v>0</v>
      </c>
      <c r="Z1303" t="e" cm="1" vm="1">
        <f t="array" aca="1" ref="Z1303" ca="1">IFERROR(IF(_xlfn._xlws.FILTER(game_rosters!$J:$J,(game_rosters!$G:$G=events!$AN1303)*(game_rosters!$J:$J=events!$X1303))&gt;0,1,""),"")</f>
        <v>#VALUE!</v>
      </c>
      <c r="AA1303">
        <f t="shared" si="159"/>
        <v>1000</v>
      </c>
      <c r="AB1303" t="str">
        <f t="shared" si="160"/>
        <v/>
      </c>
      <c r="AC1303">
        <f t="shared" si="161"/>
        <v>1000</v>
      </c>
      <c r="AD1303" s="6"/>
    </row>
    <row r="1304" spans="1:30" x14ac:dyDescent="0.2">
      <c r="A1304" t="str">
        <f t="shared" si="162"/>
        <v/>
      </c>
      <c r="X1304" t="str" cm="1">
        <f t="array" ref="X1304">IF(S1304="","",IF($I1304&lt;&gt;"",$I1304,INDEX($I$2:$I1303,ROW()-COUNTIFS($T$2:$T1303,"="&amp;$T1304,$S$2:$S1303,"&lt;&gt;"&amp;$S1304)-1)))</f>
        <v/>
      </c>
      <c r="Y1304" t="b">
        <f>IF(X1304&lt;&gt;"",VLOOKUP(X1304,game_rosters!$C$43:$E$64,3,FALSE))</f>
        <v>0</v>
      </c>
      <c r="Z1304" t="e" cm="1" vm="1">
        <f t="array" aca="1" ref="Z1304" ca="1">IFERROR(IF(_xlfn._xlws.FILTER(game_rosters!$J:$J,(game_rosters!$G:$G=events!$AN1304)*(game_rosters!$J:$J=events!$X1304))&gt;0,1,""),"")</f>
        <v>#VALUE!</v>
      </c>
      <c r="AA1304">
        <f t="shared" si="159"/>
        <v>1000</v>
      </c>
      <c r="AB1304" t="str">
        <f t="shared" si="160"/>
        <v/>
      </c>
      <c r="AC1304">
        <f t="shared" si="161"/>
        <v>1000</v>
      </c>
      <c r="AD1304" s="6"/>
    </row>
    <row r="1305" spans="1:30" x14ac:dyDescent="0.2">
      <c r="A1305" t="str">
        <f t="shared" si="162"/>
        <v/>
      </c>
      <c r="X1305" t="str" cm="1">
        <f t="array" ref="X1305">IF(S1305="","",IF($I1305&lt;&gt;"",$I1305,INDEX($I$2:$I1304,ROW()-COUNTIFS($T$2:$T1304,"="&amp;$T1305,$S$2:$S1304,"&lt;&gt;"&amp;$S1305)-1)))</f>
        <v/>
      </c>
      <c r="Y1305" t="b">
        <f>IF(X1305&lt;&gt;"",VLOOKUP(X1305,game_rosters!$C$43:$E$64,3,FALSE))</f>
        <v>0</v>
      </c>
      <c r="Z1305" t="e" cm="1" vm="1">
        <f t="array" aca="1" ref="Z1305" ca="1">IFERROR(IF(_xlfn._xlws.FILTER(game_rosters!$J:$J,(game_rosters!$G:$G=events!$AN1305)*(game_rosters!$J:$J=events!$X1305))&gt;0,1,""),"")</f>
        <v>#VALUE!</v>
      </c>
      <c r="AA1305">
        <f t="shared" si="159"/>
        <v>1000</v>
      </c>
      <c r="AB1305" t="str">
        <f t="shared" si="160"/>
        <v/>
      </c>
      <c r="AC1305">
        <f t="shared" si="161"/>
        <v>1000</v>
      </c>
      <c r="AD1305" s="6"/>
    </row>
    <row r="1306" spans="1:30" x14ac:dyDescent="0.2">
      <c r="A1306" t="str">
        <f t="shared" si="162"/>
        <v/>
      </c>
      <c r="X1306" t="str" cm="1">
        <f t="array" ref="X1306">IF(S1306="","",IF($I1306&lt;&gt;"",$I1306,INDEX($I$2:$I1305,ROW()-COUNTIFS($T$2:$T1305,"="&amp;$T1306,$S$2:$S1305,"&lt;&gt;"&amp;$S1306)-1)))</f>
        <v/>
      </c>
      <c r="Y1306" t="b">
        <f>IF(X1306&lt;&gt;"",VLOOKUP(X1306,game_rosters!$C$43:$E$64,3,FALSE))</f>
        <v>0</v>
      </c>
      <c r="Z1306" t="e" cm="1" vm="1">
        <f t="array" aca="1" ref="Z1306" ca="1">IFERROR(IF(_xlfn._xlws.FILTER(game_rosters!$J:$J,(game_rosters!$G:$G=events!$AN1306)*(game_rosters!$J:$J=events!$X1306))&gt;0,1,""),"")</f>
        <v>#VALUE!</v>
      </c>
      <c r="AA1306">
        <f t="shared" si="159"/>
        <v>1000</v>
      </c>
      <c r="AB1306" t="str">
        <f t="shared" si="160"/>
        <v/>
      </c>
      <c r="AC1306">
        <f t="shared" si="161"/>
        <v>1000</v>
      </c>
      <c r="AD1306" s="6"/>
    </row>
    <row r="1307" spans="1:30" x14ac:dyDescent="0.2">
      <c r="A1307" t="str">
        <f t="shared" si="162"/>
        <v/>
      </c>
      <c r="X1307" t="str" cm="1">
        <f t="array" ref="X1307">IF(S1307="","",IF($I1307&lt;&gt;"",$I1307,INDEX($I$2:$I1306,ROW()-COUNTIFS($T$2:$T1306,"="&amp;$T1307,$S$2:$S1306,"&lt;&gt;"&amp;$S1307)-1)))</f>
        <v/>
      </c>
      <c r="Y1307" t="b">
        <f>IF(X1307&lt;&gt;"",VLOOKUP(X1307,game_rosters!$C$43:$E$64,3,FALSE))</f>
        <v>0</v>
      </c>
      <c r="Z1307" t="e" cm="1" vm="1">
        <f t="array" aca="1" ref="Z1307" ca="1">IFERROR(IF(_xlfn._xlws.FILTER(game_rosters!$J:$J,(game_rosters!$G:$G=events!$AN1307)*(game_rosters!$J:$J=events!$X1307))&gt;0,1,""),"")</f>
        <v>#VALUE!</v>
      </c>
      <c r="AA1307">
        <f t="shared" si="159"/>
        <v>1000</v>
      </c>
      <c r="AB1307" t="str">
        <f t="shared" si="160"/>
        <v/>
      </c>
      <c r="AC1307">
        <f t="shared" si="161"/>
        <v>1000</v>
      </c>
      <c r="AD1307" s="6"/>
    </row>
    <row r="1308" spans="1:30" x14ac:dyDescent="0.2">
      <c r="A1308" t="str">
        <f t="shared" si="162"/>
        <v/>
      </c>
      <c r="X1308" t="str" cm="1">
        <f t="array" ref="X1308">IF(S1308="","",IF($I1308&lt;&gt;"",$I1308,INDEX($I$2:$I1307,ROW()-COUNTIFS($T$2:$T1307,"="&amp;$T1308,$S$2:$S1307,"&lt;&gt;"&amp;$S1308)-1)))</f>
        <v/>
      </c>
      <c r="Y1308" t="b">
        <f>IF(X1308&lt;&gt;"",VLOOKUP(X1308,game_rosters!$C$43:$E$64,3,FALSE))</f>
        <v>0</v>
      </c>
      <c r="Z1308" t="e" cm="1" vm="1">
        <f t="array" aca="1" ref="Z1308" ca="1">IFERROR(IF(_xlfn._xlws.FILTER(game_rosters!$J:$J,(game_rosters!$G:$G=events!$AN1308)*(game_rosters!$J:$J=events!$X1308))&gt;0,1,""),"")</f>
        <v>#VALUE!</v>
      </c>
      <c r="AA1308">
        <f t="shared" si="159"/>
        <v>1000</v>
      </c>
      <c r="AB1308" t="str">
        <f t="shared" si="160"/>
        <v/>
      </c>
      <c r="AC1308">
        <f t="shared" si="161"/>
        <v>1000</v>
      </c>
      <c r="AD1308" s="6"/>
    </row>
    <row r="1309" spans="1:30" x14ac:dyDescent="0.2">
      <c r="A1309" t="str">
        <f t="shared" si="162"/>
        <v/>
      </c>
      <c r="X1309" t="str" cm="1">
        <f t="array" ref="X1309">IF(S1309="","",IF($I1309&lt;&gt;"",$I1309,INDEX($I$2:$I1308,ROW()-COUNTIFS($T$2:$T1308,"="&amp;$T1309,$S$2:$S1308,"&lt;&gt;"&amp;$S1309)-1)))</f>
        <v/>
      </c>
      <c r="Y1309" t="b">
        <f>IF(X1309&lt;&gt;"",VLOOKUP(X1309,game_rosters!$C$43:$E$64,3,FALSE))</f>
        <v>0</v>
      </c>
      <c r="Z1309" t="e" cm="1" vm="1">
        <f t="array" aca="1" ref="Z1309" ca="1">IFERROR(IF(_xlfn._xlws.FILTER(game_rosters!$J:$J,(game_rosters!$G:$G=events!$AN1309)*(game_rosters!$J:$J=events!$X1309))&gt;0,1,""),"")</f>
        <v>#VALUE!</v>
      </c>
      <c r="AA1309">
        <f t="shared" ref="AA1309:AA1372" si="163">S1309+1000</f>
        <v>1000</v>
      </c>
      <c r="AB1309" t="str">
        <f t="shared" ref="AB1309:AB1372" si="164">IF(T1309&lt;&gt;"",9000+T1309,"")</f>
        <v/>
      </c>
      <c r="AC1309">
        <f t="shared" si="161"/>
        <v>1000</v>
      </c>
      <c r="AD1309" s="6"/>
    </row>
    <row r="1310" spans="1:30" x14ac:dyDescent="0.2">
      <c r="A1310" t="str">
        <f t="shared" si="162"/>
        <v/>
      </c>
      <c r="X1310" t="str" cm="1">
        <f t="array" ref="X1310">IF(S1310="","",IF($I1310&lt;&gt;"",$I1310,INDEX($I$2:$I1309,ROW()-COUNTIFS($T$2:$T1309,"="&amp;$T1310,$S$2:$S1309,"&lt;&gt;"&amp;$S1310)-1)))</f>
        <v/>
      </c>
      <c r="Y1310" t="b">
        <f>IF(X1310&lt;&gt;"",VLOOKUP(X1310,game_rosters!$C$43:$E$64,3,FALSE))</f>
        <v>0</v>
      </c>
      <c r="Z1310" t="e" cm="1" vm="1">
        <f t="array" aca="1" ref="Z1310" ca="1">IFERROR(IF(_xlfn._xlws.FILTER(game_rosters!$J:$J,(game_rosters!$G:$G=events!$AN1310)*(game_rosters!$J:$J=events!$X1310))&gt;0,1,""),"")</f>
        <v>#VALUE!</v>
      </c>
      <c r="AA1310">
        <f t="shared" si="163"/>
        <v>1000</v>
      </c>
      <c r="AB1310" t="str">
        <f t="shared" si="164"/>
        <v/>
      </c>
      <c r="AC1310">
        <f t="shared" si="161"/>
        <v>1000</v>
      </c>
      <c r="AD1310" s="6"/>
    </row>
    <row r="1311" spans="1:30" x14ac:dyDescent="0.2">
      <c r="A1311" t="str">
        <f t="shared" si="162"/>
        <v/>
      </c>
      <c r="X1311" t="str" cm="1">
        <f t="array" ref="X1311">IF(S1311="","",IF($I1311&lt;&gt;"",$I1311,INDEX($I$2:$I1310,ROW()-COUNTIFS($T$2:$T1310,"="&amp;$T1311,$S$2:$S1310,"&lt;&gt;"&amp;$S1311)-1)))</f>
        <v/>
      </c>
      <c r="Y1311" t="b">
        <f>IF(X1311&lt;&gt;"",VLOOKUP(X1311,game_rosters!$C$43:$E$64,3,FALSE))</f>
        <v>0</v>
      </c>
      <c r="Z1311" t="e" cm="1" vm="1">
        <f t="array" aca="1" ref="Z1311" ca="1">IFERROR(IF(_xlfn._xlws.FILTER(game_rosters!$J:$J,(game_rosters!$G:$G=events!$AN1311)*(game_rosters!$J:$J=events!$X1311))&gt;0,1,""),"")</f>
        <v>#VALUE!</v>
      </c>
      <c r="AA1311">
        <f t="shared" si="163"/>
        <v>1000</v>
      </c>
      <c r="AB1311" t="str">
        <f t="shared" si="164"/>
        <v/>
      </c>
      <c r="AC1311">
        <f t="shared" si="161"/>
        <v>1000</v>
      </c>
      <c r="AD1311" s="6"/>
    </row>
    <row r="1312" spans="1:30" x14ac:dyDescent="0.2">
      <c r="A1312" t="str">
        <f t="shared" si="162"/>
        <v/>
      </c>
      <c r="X1312" t="str" cm="1">
        <f t="array" ref="X1312">IF(S1312="","",IF($I1312&lt;&gt;"",$I1312,INDEX($I$2:$I1311,ROW()-COUNTIFS($T$2:$T1311,"="&amp;$T1312,$S$2:$S1311,"&lt;&gt;"&amp;$S1312)-1)))</f>
        <v/>
      </c>
      <c r="Y1312" t="b">
        <f>IF(X1312&lt;&gt;"",VLOOKUP(X1312,game_rosters!$C$43:$E$64,3,FALSE))</f>
        <v>0</v>
      </c>
      <c r="Z1312" t="e" cm="1" vm="1">
        <f t="array" aca="1" ref="Z1312" ca="1">IFERROR(IF(_xlfn._xlws.FILTER(game_rosters!$J:$J,(game_rosters!$G:$G=events!$AN1312)*(game_rosters!$J:$J=events!$X1312))&gt;0,1,""),"")</f>
        <v>#VALUE!</v>
      </c>
      <c r="AA1312">
        <f t="shared" si="163"/>
        <v>1000</v>
      </c>
      <c r="AB1312" t="str">
        <f t="shared" si="164"/>
        <v/>
      </c>
      <c r="AC1312">
        <f t="shared" si="161"/>
        <v>1000</v>
      </c>
      <c r="AD1312" s="6"/>
    </row>
    <row r="1313" spans="1:30" x14ac:dyDescent="0.2">
      <c r="A1313" t="str">
        <f t="shared" si="162"/>
        <v/>
      </c>
      <c r="X1313" t="str" cm="1">
        <f t="array" ref="X1313">IF(S1313="","",IF($I1313&lt;&gt;"",$I1313,INDEX($I$2:$I1312,ROW()-COUNTIFS($T$2:$T1312,"="&amp;$T1313,$S$2:$S1312,"&lt;&gt;"&amp;$S1313)-1)))</f>
        <v/>
      </c>
      <c r="Y1313" t="b">
        <f>IF(X1313&lt;&gt;"",VLOOKUP(X1313,game_rosters!$C$43:$E$64,3,FALSE))</f>
        <v>0</v>
      </c>
      <c r="Z1313" t="e" cm="1" vm="1">
        <f t="array" aca="1" ref="Z1313" ca="1">IFERROR(IF(_xlfn._xlws.FILTER(game_rosters!$J:$J,(game_rosters!$G:$G=events!$AN1313)*(game_rosters!$J:$J=events!$X1313))&gt;0,1,""),"")</f>
        <v>#VALUE!</v>
      </c>
      <c r="AA1313">
        <f t="shared" si="163"/>
        <v>1000</v>
      </c>
      <c r="AB1313" t="str">
        <f t="shared" si="164"/>
        <v/>
      </c>
      <c r="AC1313">
        <f t="shared" si="161"/>
        <v>1000</v>
      </c>
      <c r="AD1313" s="6"/>
    </row>
    <row r="1314" spans="1:30" x14ac:dyDescent="0.2">
      <c r="A1314" t="str">
        <f t="shared" si="162"/>
        <v/>
      </c>
      <c r="X1314" t="str" cm="1">
        <f t="array" ref="X1314">IF(S1314="","",IF($I1314&lt;&gt;"",$I1314,INDEX($I$2:$I1313,ROW()-COUNTIFS($T$2:$T1313,"="&amp;$T1314,$S$2:$S1313,"&lt;&gt;"&amp;$S1314)-1)))</f>
        <v/>
      </c>
      <c r="Y1314" t="b">
        <f>IF(X1314&lt;&gt;"",VLOOKUP(X1314,game_rosters!$C$43:$E$64,3,FALSE))</f>
        <v>0</v>
      </c>
      <c r="Z1314" t="e" cm="1" vm="1">
        <f t="array" aca="1" ref="Z1314" ca="1">IFERROR(IF(_xlfn._xlws.FILTER(game_rosters!$J:$J,(game_rosters!$G:$G=events!$AN1314)*(game_rosters!$J:$J=events!$X1314))&gt;0,1,""),"")</f>
        <v>#VALUE!</v>
      </c>
      <c r="AA1314">
        <f t="shared" si="163"/>
        <v>1000</v>
      </c>
      <c r="AB1314" t="str">
        <f t="shared" si="164"/>
        <v/>
      </c>
      <c r="AC1314">
        <f t="shared" si="161"/>
        <v>1000</v>
      </c>
      <c r="AD1314" s="6"/>
    </row>
    <row r="1315" spans="1:30" x14ac:dyDescent="0.2">
      <c r="A1315" t="str">
        <f t="shared" si="162"/>
        <v/>
      </c>
      <c r="X1315" t="str" cm="1">
        <f t="array" ref="X1315">IF(S1315="","",IF($I1315&lt;&gt;"",$I1315,INDEX($I$2:$I1314,ROW()-COUNTIFS($T$2:$T1314,"="&amp;$T1315,$S$2:$S1314,"&lt;&gt;"&amp;$S1315)-1)))</f>
        <v/>
      </c>
      <c r="Y1315" t="b">
        <f>IF(X1315&lt;&gt;"",VLOOKUP(X1315,game_rosters!$C$43:$E$64,3,FALSE))</f>
        <v>0</v>
      </c>
      <c r="Z1315" t="e" cm="1" vm="1">
        <f t="array" aca="1" ref="Z1315" ca="1">IFERROR(IF(_xlfn._xlws.FILTER(game_rosters!$J:$J,(game_rosters!$G:$G=events!$AN1315)*(game_rosters!$J:$J=events!$X1315))&gt;0,1,""),"")</f>
        <v>#VALUE!</v>
      </c>
      <c r="AA1315">
        <f t="shared" si="163"/>
        <v>1000</v>
      </c>
      <c r="AB1315" t="str">
        <f t="shared" si="164"/>
        <v/>
      </c>
      <c r="AC1315">
        <f t="shared" si="161"/>
        <v>1000</v>
      </c>
      <c r="AD1315" s="6"/>
    </row>
    <row r="1316" spans="1:30" x14ac:dyDescent="0.2">
      <c r="A1316" t="str">
        <f t="shared" si="162"/>
        <v/>
      </c>
      <c r="X1316" t="str" cm="1">
        <f t="array" ref="X1316">IF(S1316="","",IF($I1316&lt;&gt;"",$I1316,INDEX($I$2:$I1315,ROW()-COUNTIFS($T$2:$T1315,"="&amp;$T1316,$S$2:$S1315,"&lt;&gt;"&amp;$S1316)-1)))</f>
        <v/>
      </c>
      <c r="Y1316" t="b">
        <f>IF(X1316&lt;&gt;"",VLOOKUP(X1316,game_rosters!$C$43:$E$64,3,FALSE))</f>
        <v>0</v>
      </c>
      <c r="Z1316" t="e" cm="1" vm="1">
        <f t="array" aca="1" ref="Z1316" ca="1">IFERROR(IF(_xlfn._xlws.FILTER(game_rosters!$J:$J,(game_rosters!$G:$G=events!$AN1316)*(game_rosters!$J:$J=events!$X1316))&gt;0,1,""),"")</f>
        <v>#VALUE!</v>
      </c>
      <c r="AA1316">
        <f t="shared" si="163"/>
        <v>1000</v>
      </c>
      <c r="AB1316" t="str">
        <f t="shared" si="164"/>
        <v/>
      </c>
      <c r="AC1316">
        <f t="shared" si="161"/>
        <v>1000</v>
      </c>
      <c r="AD1316" s="6"/>
    </row>
    <row r="1317" spans="1:30" x14ac:dyDescent="0.2">
      <c r="A1317" t="str">
        <f t="shared" si="162"/>
        <v/>
      </c>
      <c r="X1317" t="str" cm="1">
        <f t="array" ref="X1317">IF(S1317="","",IF($I1317&lt;&gt;"",$I1317,INDEX($I$2:$I1316,ROW()-COUNTIFS($T$2:$T1316,"="&amp;$T1317,$S$2:$S1316,"&lt;&gt;"&amp;$S1317)-1)))</f>
        <v/>
      </c>
      <c r="Y1317" t="b">
        <f>IF(X1317&lt;&gt;"",VLOOKUP(X1317,game_rosters!$C$43:$E$64,3,FALSE))</f>
        <v>0</v>
      </c>
      <c r="Z1317" t="e" cm="1" vm="1">
        <f t="array" aca="1" ref="Z1317" ca="1">IFERROR(IF(_xlfn._xlws.FILTER(game_rosters!$J:$J,(game_rosters!$G:$G=events!$AN1317)*(game_rosters!$J:$J=events!$X1317))&gt;0,1,""),"")</f>
        <v>#VALUE!</v>
      </c>
      <c r="AA1317">
        <f t="shared" si="163"/>
        <v>1000</v>
      </c>
      <c r="AB1317" t="str">
        <f t="shared" si="164"/>
        <v/>
      </c>
      <c r="AC1317">
        <f t="shared" si="161"/>
        <v>1000</v>
      </c>
      <c r="AD1317" s="6"/>
    </row>
    <row r="1318" spans="1:30" x14ac:dyDescent="0.2">
      <c r="A1318" t="str">
        <f t="shared" si="162"/>
        <v/>
      </c>
      <c r="X1318" t="str" cm="1">
        <f t="array" ref="X1318">IF(S1318="","",IF($I1318&lt;&gt;"",$I1318,INDEX($I$2:$I1317,ROW()-COUNTIFS($T$2:$T1317,"="&amp;$T1318,$S$2:$S1317,"&lt;&gt;"&amp;$S1318)-1)))</f>
        <v/>
      </c>
      <c r="Y1318" t="b">
        <f>IF(X1318&lt;&gt;"",VLOOKUP(X1318,game_rosters!$C$43:$E$64,3,FALSE))</f>
        <v>0</v>
      </c>
      <c r="Z1318" t="e" cm="1" vm="1">
        <f t="array" aca="1" ref="Z1318" ca="1">IFERROR(IF(_xlfn._xlws.FILTER(game_rosters!$J:$J,(game_rosters!$G:$G=events!$AN1318)*(game_rosters!$J:$J=events!$X1318))&gt;0,1,""),"")</f>
        <v>#VALUE!</v>
      </c>
      <c r="AA1318">
        <f t="shared" si="163"/>
        <v>1000</v>
      </c>
      <c r="AB1318" t="str">
        <f t="shared" si="164"/>
        <v/>
      </c>
      <c r="AC1318">
        <f t="shared" si="161"/>
        <v>1000</v>
      </c>
      <c r="AD1318" s="6"/>
    </row>
    <row r="1319" spans="1:30" x14ac:dyDescent="0.2">
      <c r="A1319" t="str">
        <f t="shared" si="162"/>
        <v/>
      </c>
      <c r="X1319" t="str" cm="1">
        <f t="array" ref="X1319">IF(S1319="","",IF($I1319&lt;&gt;"",$I1319,INDEX($I$2:$I1318,ROW()-COUNTIFS($T$2:$T1318,"="&amp;$T1319,$S$2:$S1318,"&lt;&gt;"&amp;$S1319)-1)))</f>
        <v/>
      </c>
      <c r="Y1319" t="b">
        <f>IF(X1319&lt;&gt;"",VLOOKUP(X1319,game_rosters!$C$43:$E$64,3,FALSE))</f>
        <v>0</v>
      </c>
      <c r="Z1319" t="e" cm="1" vm="1">
        <f t="array" aca="1" ref="Z1319" ca="1">IFERROR(IF(_xlfn._xlws.FILTER(game_rosters!$J:$J,(game_rosters!$G:$G=events!$AN1319)*(game_rosters!$J:$J=events!$X1319))&gt;0,1,""),"")</f>
        <v>#VALUE!</v>
      </c>
      <c r="AA1319">
        <f t="shared" si="163"/>
        <v>1000</v>
      </c>
      <c r="AB1319" t="str">
        <f t="shared" si="164"/>
        <v/>
      </c>
      <c r="AC1319">
        <f t="shared" si="161"/>
        <v>1000</v>
      </c>
      <c r="AD1319" s="6"/>
    </row>
    <row r="1320" spans="1:30" x14ac:dyDescent="0.2">
      <c r="A1320" t="str">
        <f t="shared" si="162"/>
        <v/>
      </c>
      <c r="X1320" t="str" cm="1">
        <f t="array" ref="X1320">IF(S1320="","",IF($I1320&lt;&gt;"",$I1320,INDEX($I$2:$I1319,ROW()-COUNTIFS($T$2:$T1319,"="&amp;$T1320,$S$2:$S1319,"&lt;&gt;"&amp;$S1320)-1)))</f>
        <v/>
      </c>
      <c r="Y1320" t="b">
        <f>IF(X1320&lt;&gt;"",VLOOKUP(X1320,game_rosters!$C$43:$E$64,3,FALSE))</f>
        <v>0</v>
      </c>
      <c r="Z1320" t="e" cm="1" vm="1">
        <f t="array" aca="1" ref="Z1320" ca="1">IFERROR(IF(_xlfn._xlws.FILTER(game_rosters!$J:$J,(game_rosters!$G:$G=events!$AN1320)*(game_rosters!$J:$J=events!$X1320))&gt;0,1,""),"")</f>
        <v>#VALUE!</v>
      </c>
      <c r="AA1320">
        <f t="shared" si="163"/>
        <v>1000</v>
      </c>
      <c r="AB1320" t="str">
        <f t="shared" si="164"/>
        <v/>
      </c>
      <c r="AC1320">
        <f t="shared" si="161"/>
        <v>1000</v>
      </c>
      <c r="AD1320" s="6"/>
    </row>
    <row r="1321" spans="1:30" x14ac:dyDescent="0.2">
      <c r="A1321" t="str">
        <f t="shared" si="162"/>
        <v/>
      </c>
      <c r="X1321" t="str" cm="1">
        <f t="array" ref="X1321">IF(S1321="","",IF($I1321&lt;&gt;"",$I1321,INDEX($I$2:$I1320,ROW()-COUNTIFS($T$2:$T1320,"="&amp;$T1321,$S$2:$S1320,"&lt;&gt;"&amp;$S1321)-1)))</f>
        <v/>
      </c>
      <c r="Y1321" t="b">
        <f>IF(X1321&lt;&gt;"",VLOOKUP(X1321,game_rosters!$C$43:$E$64,3,FALSE))</f>
        <v>0</v>
      </c>
      <c r="Z1321" t="e" cm="1" vm="1">
        <f t="array" aca="1" ref="Z1321" ca="1">IFERROR(IF(_xlfn._xlws.FILTER(game_rosters!$J:$J,(game_rosters!$G:$G=events!$AN1321)*(game_rosters!$J:$J=events!$X1321))&gt;0,1,""),"")</f>
        <v>#VALUE!</v>
      </c>
      <c r="AA1321">
        <f t="shared" si="163"/>
        <v>1000</v>
      </c>
      <c r="AB1321" t="str">
        <f t="shared" si="164"/>
        <v/>
      </c>
      <c r="AC1321">
        <f t="shared" si="161"/>
        <v>1000</v>
      </c>
      <c r="AD1321" s="6"/>
    </row>
    <row r="1322" spans="1:30" x14ac:dyDescent="0.2">
      <c r="A1322" t="str">
        <f t="shared" si="162"/>
        <v/>
      </c>
      <c r="X1322" t="str" cm="1">
        <f t="array" ref="X1322">IF(S1322="","",IF($I1322&lt;&gt;"",$I1322,INDEX($I$2:$I1321,ROW()-COUNTIFS($T$2:$T1321,"="&amp;$T1322,$S$2:$S1321,"&lt;&gt;"&amp;$S1322)-1)))</f>
        <v/>
      </c>
      <c r="Y1322" t="b">
        <f>IF(X1322&lt;&gt;"",VLOOKUP(X1322,game_rosters!$C$43:$E$64,3,FALSE))</f>
        <v>0</v>
      </c>
      <c r="Z1322" t="e" cm="1" vm="1">
        <f t="array" aca="1" ref="Z1322" ca="1">IFERROR(IF(_xlfn._xlws.FILTER(game_rosters!$J:$J,(game_rosters!$G:$G=events!$AN1322)*(game_rosters!$J:$J=events!$X1322))&gt;0,1,""),"")</f>
        <v>#VALUE!</v>
      </c>
      <c r="AA1322">
        <f t="shared" si="163"/>
        <v>1000</v>
      </c>
      <c r="AB1322" t="str">
        <f t="shared" si="164"/>
        <v/>
      </c>
      <c r="AC1322">
        <f t="shared" si="161"/>
        <v>1000</v>
      </c>
      <c r="AD1322" s="6"/>
    </row>
    <row r="1323" spans="1:30" x14ac:dyDescent="0.2">
      <c r="A1323" t="str">
        <f t="shared" si="162"/>
        <v/>
      </c>
      <c r="X1323" t="str" cm="1">
        <f t="array" ref="X1323">IF(S1323="","",IF($I1323&lt;&gt;"",$I1323,INDEX($I$2:$I1322,ROW()-COUNTIFS($T$2:$T1322,"="&amp;$T1323,$S$2:$S1322,"&lt;&gt;"&amp;$S1323)-1)))</f>
        <v/>
      </c>
      <c r="Y1323" t="b">
        <f>IF(X1323&lt;&gt;"",VLOOKUP(X1323,game_rosters!$C$43:$E$64,3,FALSE))</f>
        <v>0</v>
      </c>
      <c r="Z1323" t="e" cm="1" vm="1">
        <f t="array" aca="1" ref="Z1323" ca="1">IFERROR(IF(_xlfn._xlws.FILTER(game_rosters!$J:$J,(game_rosters!$G:$G=events!$AN1323)*(game_rosters!$J:$J=events!$X1323))&gt;0,1,""),"")</f>
        <v>#VALUE!</v>
      </c>
      <c r="AA1323">
        <f t="shared" si="163"/>
        <v>1000</v>
      </c>
      <c r="AB1323" t="str">
        <f t="shared" si="164"/>
        <v/>
      </c>
      <c r="AC1323">
        <f t="shared" si="161"/>
        <v>1000</v>
      </c>
      <c r="AD1323" s="6"/>
    </row>
    <row r="1324" spans="1:30" x14ac:dyDescent="0.2">
      <c r="A1324" t="str">
        <f t="shared" si="162"/>
        <v/>
      </c>
      <c r="X1324" t="str" cm="1">
        <f t="array" ref="X1324">IF(S1324="","",IF($I1324&lt;&gt;"",$I1324,INDEX($I$2:$I1323,ROW()-COUNTIFS($T$2:$T1323,"="&amp;$T1324,$S$2:$S1323,"&lt;&gt;"&amp;$S1324)-1)))</f>
        <v/>
      </c>
      <c r="Y1324" t="b">
        <f>IF(X1324&lt;&gt;"",VLOOKUP(X1324,game_rosters!$C$43:$E$64,3,FALSE))</f>
        <v>0</v>
      </c>
      <c r="Z1324" t="e" cm="1" vm="1">
        <f t="array" aca="1" ref="Z1324" ca="1">IFERROR(IF(_xlfn._xlws.FILTER(game_rosters!$J:$J,(game_rosters!$G:$G=events!$AN1324)*(game_rosters!$J:$J=events!$X1324))&gt;0,1,""),"")</f>
        <v>#VALUE!</v>
      </c>
      <c r="AA1324">
        <f t="shared" si="163"/>
        <v>1000</v>
      </c>
      <c r="AB1324" t="str">
        <f t="shared" si="164"/>
        <v/>
      </c>
      <c r="AC1324">
        <f t="shared" si="161"/>
        <v>1000</v>
      </c>
      <c r="AD1324" s="6"/>
    </row>
    <row r="1325" spans="1:30" x14ac:dyDescent="0.2">
      <c r="A1325" t="str">
        <f t="shared" si="162"/>
        <v/>
      </c>
      <c r="X1325" t="str" cm="1">
        <f t="array" ref="X1325">IF(S1325="","",IF($I1325&lt;&gt;"",$I1325,INDEX($I$2:$I1324,ROW()-COUNTIFS($T$2:$T1324,"="&amp;$T1325,$S$2:$S1324,"&lt;&gt;"&amp;$S1325)-1)))</f>
        <v/>
      </c>
      <c r="Y1325" t="b">
        <f>IF(X1325&lt;&gt;"",VLOOKUP(X1325,game_rosters!$C$43:$E$64,3,FALSE))</f>
        <v>0</v>
      </c>
      <c r="Z1325" t="e" cm="1" vm="1">
        <f t="array" aca="1" ref="Z1325" ca="1">IFERROR(IF(_xlfn._xlws.FILTER(game_rosters!$J:$J,(game_rosters!$G:$G=events!$AN1325)*(game_rosters!$J:$J=events!$X1325))&gt;0,1,""),"")</f>
        <v>#VALUE!</v>
      </c>
      <c r="AA1325">
        <f t="shared" si="163"/>
        <v>1000</v>
      </c>
      <c r="AB1325" t="str">
        <f t="shared" si="164"/>
        <v/>
      </c>
      <c r="AC1325">
        <f t="shared" si="161"/>
        <v>1000</v>
      </c>
      <c r="AD1325" s="6"/>
    </row>
    <row r="1326" spans="1:30" x14ac:dyDescent="0.2">
      <c r="A1326" t="str">
        <f t="shared" si="162"/>
        <v/>
      </c>
      <c r="X1326" t="str" cm="1">
        <f t="array" ref="X1326">IF(S1326="","",IF($I1326&lt;&gt;"",$I1326,INDEX($I$2:$I1325,ROW()-COUNTIFS($T$2:$T1325,"="&amp;$T1326,$S$2:$S1325,"&lt;&gt;"&amp;$S1326)-1)))</f>
        <v/>
      </c>
      <c r="Y1326" t="b">
        <f>IF(X1326&lt;&gt;"",VLOOKUP(X1326,game_rosters!$C$43:$E$64,3,FALSE))</f>
        <v>0</v>
      </c>
      <c r="Z1326" t="e" cm="1" vm="1">
        <f t="array" aca="1" ref="Z1326" ca="1">IFERROR(IF(_xlfn._xlws.FILTER(game_rosters!$J:$J,(game_rosters!$G:$G=events!$AN1326)*(game_rosters!$J:$J=events!$X1326))&gt;0,1,""),"")</f>
        <v>#VALUE!</v>
      </c>
      <c r="AA1326">
        <f t="shared" si="163"/>
        <v>1000</v>
      </c>
      <c r="AB1326" t="str">
        <f t="shared" si="164"/>
        <v/>
      </c>
      <c r="AC1326">
        <f t="shared" si="161"/>
        <v>1000</v>
      </c>
      <c r="AD1326" s="6"/>
    </row>
    <row r="1327" spans="1:30" x14ac:dyDescent="0.2">
      <c r="A1327" t="str">
        <f t="shared" si="162"/>
        <v/>
      </c>
      <c r="X1327" t="str" cm="1">
        <f t="array" ref="X1327">IF(S1327="","",IF($I1327&lt;&gt;"",$I1327,INDEX($I$2:$I1326,ROW()-COUNTIFS($T$2:$T1326,"="&amp;$T1327,$S$2:$S1326,"&lt;&gt;"&amp;$S1327)-1)))</f>
        <v/>
      </c>
      <c r="Y1327" t="b">
        <f>IF(X1327&lt;&gt;"",VLOOKUP(X1327,game_rosters!$C$43:$E$64,3,FALSE))</f>
        <v>0</v>
      </c>
      <c r="Z1327" t="e" cm="1" vm="1">
        <f t="array" aca="1" ref="Z1327" ca="1">IFERROR(IF(_xlfn._xlws.FILTER(game_rosters!$J:$J,(game_rosters!$G:$G=events!$AN1327)*(game_rosters!$J:$J=events!$X1327))&gt;0,1,""),"")</f>
        <v>#VALUE!</v>
      </c>
      <c r="AA1327">
        <f t="shared" si="163"/>
        <v>1000</v>
      </c>
      <c r="AB1327" t="str">
        <f t="shared" si="164"/>
        <v/>
      </c>
      <c r="AC1327">
        <f t="shared" si="161"/>
        <v>1000</v>
      </c>
      <c r="AD1327" s="6"/>
    </row>
    <row r="1328" spans="1:30" x14ac:dyDescent="0.2">
      <c r="A1328" t="str">
        <f t="shared" si="162"/>
        <v/>
      </c>
      <c r="X1328" t="str" cm="1">
        <f t="array" ref="X1328">IF(S1328="","",IF($I1328&lt;&gt;"",$I1328,INDEX($I$2:$I1327,ROW()-COUNTIFS($T$2:$T1327,"="&amp;$T1328,$S$2:$S1327,"&lt;&gt;"&amp;$S1328)-1)))</f>
        <v/>
      </c>
      <c r="Y1328" t="b">
        <f>IF(X1328&lt;&gt;"",VLOOKUP(X1328,game_rosters!$C$43:$E$64,3,FALSE))</f>
        <v>0</v>
      </c>
      <c r="Z1328" t="e" cm="1" vm="1">
        <f t="array" aca="1" ref="Z1328" ca="1">IFERROR(IF(_xlfn._xlws.FILTER(game_rosters!$J:$J,(game_rosters!$G:$G=events!$AN1328)*(game_rosters!$J:$J=events!$X1328))&gt;0,1,""),"")</f>
        <v>#VALUE!</v>
      </c>
      <c r="AA1328">
        <f t="shared" si="163"/>
        <v>1000</v>
      </c>
      <c r="AB1328" t="str">
        <f t="shared" si="164"/>
        <v/>
      </c>
      <c r="AC1328">
        <f t="shared" si="161"/>
        <v>1000</v>
      </c>
      <c r="AD1328" s="6"/>
    </row>
    <row r="1329" spans="1:30" x14ac:dyDescent="0.2">
      <c r="A1329" t="str">
        <f t="shared" si="162"/>
        <v/>
      </c>
      <c r="X1329" t="str" cm="1">
        <f t="array" ref="X1329">IF(S1329="","",IF($I1329&lt;&gt;"",$I1329,INDEX($I$2:$I1328,ROW()-COUNTIFS($T$2:$T1328,"="&amp;$T1329,$S$2:$S1328,"&lt;&gt;"&amp;$S1329)-1)))</f>
        <v/>
      </c>
      <c r="Y1329" t="b">
        <f>IF(X1329&lt;&gt;"",VLOOKUP(X1329,game_rosters!$C$43:$E$64,3,FALSE))</f>
        <v>0</v>
      </c>
      <c r="Z1329" t="e" cm="1" vm="1">
        <f t="array" aca="1" ref="Z1329" ca="1">IFERROR(IF(_xlfn._xlws.FILTER(game_rosters!$J:$J,(game_rosters!$G:$G=events!$AN1329)*(game_rosters!$J:$J=events!$X1329))&gt;0,1,""),"")</f>
        <v>#VALUE!</v>
      </c>
      <c r="AA1329">
        <f t="shared" si="163"/>
        <v>1000</v>
      </c>
      <c r="AB1329" t="str">
        <f t="shared" si="164"/>
        <v/>
      </c>
      <c r="AC1329">
        <f t="shared" si="161"/>
        <v>1000</v>
      </c>
      <c r="AD1329" s="6"/>
    </row>
    <row r="1330" spans="1:30" x14ac:dyDescent="0.2">
      <c r="A1330" t="str">
        <f t="shared" si="162"/>
        <v/>
      </c>
      <c r="X1330" t="str" cm="1">
        <f t="array" ref="X1330">IF(S1330="","",IF($I1330&lt;&gt;"",$I1330,INDEX($I$2:$I1329,ROW()-COUNTIFS($T$2:$T1329,"="&amp;$T1330,$S$2:$S1329,"&lt;&gt;"&amp;$S1330)-1)))</f>
        <v/>
      </c>
      <c r="Y1330" t="b">
        <f>IF(X1330&lt;&gt;"",VLOOKUP(X1330,game_rosters!$C$43:$E$64,3,FALSE))</f>
        <v>0</v>
      </c>
      <c r="Z1330" t="e" cm="1" vm="1">
        <f t="array" aca="1" ref="Z1330" ca="1">IFERROR(IF(_xlfn._xlws.FILTER(game_rosters!$J:$J,(game_rosters!$G:$G=events!$AN1330)*(game_rosters!$J:$J=events!$X1330))&gt;0,1,""),"")</f>
        <v>#VALUE!</v>
      </c>
      <c r="AA1330">
        <f t="shared" si="163"/>
        <v>1000</v>
      </c>
      <c r="AB1330" t="str">
        <f t="shared" si="164"/>
        <v/>
      </c>
      <c r="AC1330">
        <f t="shared" si="161"/>
        <v>1000</v>
      </c>
      <c r="AD1330" s="6"/>
    </row>
    <row r="1331" spans="1:30" x14ac:dyDescent="0.2">
      <c r="A1331" t="str">
        <f t="shared" si="162"/>
        <v/>
      </c>
      <c r="X1331" t="str" cm="1">
        <f t="array" ref="X1331">IF(S1331="","",IF($I1331&lt;&gt;"",$I1331,INDEX($I$2:$I1330,ROW()-COUNTIFS($T$2:$T1330,"="&amp;$T1331,$S$2:$S1330,"&lt;&gt;"&amp;$S1331)-1)))</f>
        <v/>
      </c>
      <c r="Y1331" t="b">
        <f>IF(X1331&lt;&gt;"",VLOOKUP(X1331,game_rosters!$C$43:$E$64,3,FALSE))</f>
        <v>0</v>
      </c>
      <c r="Z1331" t="e" cm="1" vm="1">
        <f t="array" aca="1" ref="Z1331" ca="1">IFERROR(IF(_xlfn._xlws.FILTER(game_rosters!$J:$J,(game_rosters!$G:$G=events!$AN1331)*(game_rosters!$J:$J=events!$X1331))&gt;0,1,""),"")</f>
        <v>#VALUE!</v>
      </c>
      <c r="AA1331">
        <f t="shared" si="163"/>
        <v>1000</v>
      </c>
      <c r="AB1331" t="str">
        <f t="shared" si="164"/>
        <v/>
      </c>
      <c r="AC1331">
        <f t="shared" si="161"/>
        <v>1000</v>
      </c>
      <c r="AD1331" s="6"/>
    </row>
    <row r="1332" spans="1:30" x14ac:dyDescent="0.2">
      <c r="A1332" t="str">
        <f t="shared" si="162"/>
        <v/>
      </c>
      <c r="X1332" t="str" cm="1">
        <f t="array" ref="X1332">IF(S1332="","",IF($I1332&lt;&gt;"",$I1332,INDEX($I$2:$I1331,ROW()-COUNTIFS($T$2:$T1331,"="&amp;$T1332,$S$2:$S1331,"&lt;&gt;"&amp;$S1332)-1)))</f>
        <v/>
      </c>
      <c r="Y1332" t="b">
        <f>IF(X1332&lt;&gt;"",VLOOKUP(X1332,game_rosters!$C$43:$E$64,3,FALSE))</f>
        <v>0</v>
      </c>
      <c r="Z1332" t="e" cm="1" vm="1">
        <f t="array" aca="1" ref="Z1332" ca="1">IFERROR(IF(_xlfn._xlws.FILTER(game_rosters!$J:$J,(game_rosters!$G:$G=events!$AN1332)*(game_rosters!$J:$J=events!$X1332))&gt;0,1,""),"")</f>
        <v>#VALUE!</v>
      </c>
      <c r="AA1332">
        <f t="shared" si="163"/>
        <v>1000</v>
      </c>
      <c r="AB1332" t="str">
        <f t="shared" si="164"/>
        <v/>
      </c>
      <c r="AC1332">
        <f t="shared" si="161"/>
        <v>1000</v>
      </c>
      <c r="AD1332" s="6"/>
    </row>
    <row r="1333" spans="1:30" x14ac:dyDescent="0.2">
      <c r="A1333" t="str">
        <f t="shared" si="162"/>
        <v/>
      </c>
      <c r="X1333" t="str" cm="1">
        <f t="array" ref="X1333">IF(S1333="","",IF($I1333&lt;&gt;"",$I1333,INDEX($I$2:$I1332,ROW()-COUNTIFS($T$2:$T1332,"="&amp;$T1333,$S$2:$S1332,"&lt;&gt;"&amp;$S1333)-1)))</f>
        <v/>
      </c>
      <c r="Y1333" t="b">
        <f>IF(X1333&lt;&gt;"",VLOOKUP(X1333,game_rosters!$C$43:$E$64,3,FALSE))</f>
        <v>0</v>
      </c>
      <c r="Z1333" t="e" cm="1" vm="1">
        <f t="array" aca="1" ref="Z1333" ca="1">IFERROR(IF(_xlfn._xlws.FILTER(game_rosters!$J:$J,(game_rosters!$G:$G=events!$AN1333)*(game_rosters!$J:$J=events!$X1333))&gt;0,1,""),"")</f>
        <v>#VALUE!</v>
      </c>
      <c r="AA1333">
        <f t="shared" si="163"/>
        <v>1000</v>
      </c>
      <c r="AB1333" t="str">
        <f t="shared" si="164"/>
        <v/>
      </c>
      <c r="AC1333">
        <f t="shared" si="161"/>
        <v>1000</v>
      </c>
      <c r="AD1333" s="6"/>
    </row>
    <row r="1334" spans="1:30" x14ac:dyDescent="0.2">
      <c r="A1334" t="str">
        <f t="shared" si="162"/>
        <v/>
      </c>
      <c r="X1334" t="str" cm="1">
        <f t="array" ref="X1334">IF(S1334="","",IF($I1334&lt;&gt;"",$I1334,INDEX($I$2:$I1333,ROW()-COUNTIFS($T$2:$T1333,"="&amp;$T1334,$S$2:$S1333,"&lt;&gt;"&amp;$S1334)-1)))</f>
        <v/>
      </c>
      <c r="Y1334" t="b">
        <f>IF(X1334&lt;&gt;"",VLOOKUP(X1334,game_rosters!$C$43:$E$64,3,FALSE))</f>
        <v>0</v>
      </c>
      <c r="Z1334" t="e" cm="1" vm="1">
        <f t="array" aca="1" ref="Z1334" ca="1">IFERROR(IF(_xlfn._xlws.FILTER(game_rosters!$J:$J,(game_rosters!$G:$G=events!$AN1334)*(game_rosters!$J:$J=events!$X1334))&gt;0,1,""),"")</f>
        <v>#VALUE!</v>
      </c>
      <c r="AA1334">
        <f t="shared" si="163"/>
        <v>1000</v>
      </c>
      <c r="AB1334" t="str">
        <f t="shared" si="164"/>
        <v/>
      </c>
      <c r="AC1334">
        <f t="shared" si="161"/>
        <v>1000</v>
      </c>
      <c r="AD1334" s="6"/>
    </row>
    <row r="1335" spans="1:30" x14ac:dyDescent="0.2">
      <c r="A1335" t="str">
        <f t="shared" si="162"/>
        <v/>
      </c>
      <c r="X1335" t="str" cm="1">
        <f t="array" ref="X1335">IF(S1335="","",IF($I1335&lt;&gt;"",$I1335,INDEX($I$2:$I1334,ROW()-COUNTIFS($T$2:$T1334,"="&amp;$T1335,$S$2:$S1334,"&lt;&gt;"&amp;$S1335)-1)))</f>
        <v/>
      </c>
      <c r="Y1335" t="b">
        <f>IF(X1335&lt;&gt;"",VLOOKUP(X1335,game_rosters!$C$43:$E$64,3,FALSE))</f>
        <v>0</v>
      </c>
      <c r="Z1335" t="e" cm="1" vm="1">
        <f t="array" aca="1" ref="Z1335" ca="1">IFERROR(IF(_xlfn._xlws.FILTER(game_rosters!$J:$J,(game_rosters!$G:$G=events!$AN1335)*(game_rosters!$J:$J=events!$X1335))&gt;0,1,""),"")</f>
        <v>#VALUE!</v>
      </c>
      <c r="AA1335">
        <f t="shared" si="163"/>
        <v>1000</v>
      </c>
      <c r="AB1335" t="str">
        <f t="shared" si="164"/>
        <v/>
      </c>
      <c r="AC1335">
        <f t="shared" si="161"/>
        <v>1000</v>
      </c>
      <c r="AD1335" s="6"/>
    </row>
    <row r="1336" spans="1:30" x14ac:dyDescent="0.2">
      <c r="A1336" t="str">
        <f t="shared" si="162"/>
        <v/>
      </c>
      <c r="X1336" t="str" cm="1">
        <f t="array" ref="X1336">IF(S1336="","",IF($I1336&lt;&gt;"",$I1336,INDEX($I$2:$I1335,ROW()-COUNTIFS($T$2:$T1335,"="&amp;$T1336,$S$2:$S1335,"&lt;&gt;"&amp;$S1336)-1)))</f>
        <v/>
      </c>
      <c r="Y1336" t="b">
        <f>IF(X1336&lt;&gt;"",VLOOKUP(X1336,game_rosters!$C$43:$E$64,3,FALSE))</f>
        <v>0</v>
      </c>
      <c r="Z1336" t="e" cm="1" vm="1">
        <f t="array" aca="1" ref="Z1336" ca="1">IFERROR(IF(_xlfn._xlws.FILTER(game_rosters!$J:$J,(game_rosters!$G:$G=events!$AN1336)*(game_rosters!$J:$J=events!$X1336))&gt;0,1,""),"")</f>
        <v>#VALUE!</v>
      </c>
      <c r="AA1336">
        <f t="shared" si="163"/>
        <v>1000</v>
      </c>
      <c r="AB1336" t="str">
        <f t="shared" si="164"/>
        <v/>
      </c>
      <c r="AC1336">
        <f t="shared" si="161"/>
        <v>1000</v>
      </c>
      <c r="AD1336" s="6"/>
    </row>
    <row r="1337" spans="1:30" x14ac:dyDescent="0.2">
      <c r="A1337" t="str">
        <f t="shared" si="162"/>
        <v/>
      </c>
      <c r="X1337" t="str" cm="1">
        <f t="array" ref="X1337">IF(S1337="","",IF($I1337&lt;&gt;"",$I1337,INDEX($I$2:$I1336,ROW()-COUNTIFS($T$2:$T1336,"="&amp;$T1337,$S$2:$S1336,"&lt;&gt;"&amp;$S1337)-1)))</f>
        <v/>
      </c>
      <c r="Y1337" t="b">
        <f>IF(X1337&lt;&gt;"",VLOOKUP(X1337,game_rosters!$C$43:$E$64,3,FALSE))</f>
        <v>0</v>
      </c>
      <c r="Z1337" t="e" cm="1" vm="1">
        <f t="array" aca="1" ref="Z1337" ca="1">IFERROR(IF(_xlfn._xlws.FILTER(game_rosters!$J:$J,(game_rosters!$G:$G=events!$AN1337)*(game_rosters!$J:$J=events!$X1337))&gt;0,1,""),"")</f>
        <v>#VALUE!</v>
      </c>
      <c r="AA1337">
        <f t="shared" si="163"/>
        <v>1000</v>
      </c>
      <c r="AB1337" t="str">
        <f t="shared" si="164"/>
        <v/>
      </c>
      <c r="AC1337">
        <f t="shared" si="161"/>
        <v>1000</v>
      </c>
      <c r="AD1337" s="6"/>
    </row>
    <row r="1338" spans="1:30" x14ac:dyDescent="0.2">
      <c r="A1338" t="str">
        <f t="shared" si="162"/>
        <v/>
      </c>
      <c r="X1338" t="str" cm="1">
        <f t="array" ref="X1338">IF(S1338="","",IF($I1338&lt;&gt;"",$I1338,INDEX($I$2:$I1337,ROW()-COUNTIFS($T$2:$T1337,"="&amp;$T1338,$S$2:$S1337,"&lt;&gt;"&amp;$S1338)-1)))</f>
        <v/>
      </c>
      <c r="Y1338" t="b">
        <f>IF(X1338&lt;&gt;"",VLOOKUP(X1338,game_rosters!$C$43:$E$64,3,FALSE))</f>
        <v>0</v>
      </c>
      <c r="Z1338" t="e" cm="1" vm="1">
        <f t="array" aca="1" ref="Z1338" ca="1">IFERROR(IF(_xlfn._xlws.FILTER(game_rosters!$J:$J,(game_rosters!$G:$G=events!$AN1338)*(game_rosters!$J:$J=events!$X1338))&gt;0,1,""),"")</f>
        <v>#VALUE!</v>
      </c>
      <c r="AA1338">
        <f t="shared" si="163"/>
        <v>1000</v>
      </c>
      <c r="AB1338" t="str">
        <f t="shared" si="164"/>
        <v/>
      </c>
      <c r="AC1338">
        <f t="shared" si="161"/>
        <v>1000</v>
      </c>
      <c r="AD1338" s="6"/>
    </row>
    <row r="1339" spans="1:30" x14ac:dyDescent="0.2">
      <c r="A1339" t="str">
        <f t="shared" si="162"/>
        <v/>
      </c>
      <c r="X1339" t="str" cm="1">
        <f t="array" ref="X1339">IF(S1339="","",IF($I1339&lt;&gt;"",$I1339,INDEX($I$2:$I1338,ROW()-COUNTIFS($T$2:$T1338,"="&amp;$T1339,$S$2:$S1338,"&lt;&gt;"&amp;$S1339)-1)))</f>
        <v/>
      </c>
      <c r="Y1339" t="b">
        <f>IF(X1339&lt;&gt;"",VLOOKUP(X1339,game_rosters!$C$43:$E$64,3,FALSE))</f>
        <v>0</v>
      </c>
      <c r="Z1339" t="e" cm="1" vm="1">
        <f t="array" aca="1" ref="Z1339" ca="1">IFERROR(IF(_xlfn._xlws.FILTER(game_rosters!$J:$J,(game_rosters!$G:$G=events!$AN1339)*(game_rosters!$J:$J=events!$X1339))&gt;0,1,""),"")</f>
        <v>#VALUE!</v>
      </c>
      <c r="AA1339">
        <f t="shared" si="163"/>
        <v>1000</v>
      </c>
      <c r="AB1339" t="str">
        <f t="shared" si="164"/>
        <v/>
      </c>
      <c r="AC1339">
        <f t="shared" si="161"/>
        <v>1000</v>
      </c>
      <c r="AD1339" s="6"/>
    </row>
    <row r="1340" spans="1:30" x14ac:dyDescent="0.2">
      <c r="A1340" t="str">
        <f t="shared" si="162"/>
        <v/>
      </c>
      <c r="X1340" t="str" cm="1">
        <f t="array" ref="X1340">IF(S1340="","",IF($I1340&lt;&gt;"",$I1340,INDEX($I$2:$I1339,ROW()-COUNTIFS($T$2:$T1339,"="&amp;$T1340,$S$2:$S1339,"&lt;&gt;"&amp;$S1340)-1)))</f>
        <v/>
      </c>
      <c r="Y1340" t="b">
        <f>IF(X1340&lt;&gt;"",VLOOKUP(X1340,game_rosters!$C$43:$E$64,3,FALSE))</f>
        <v>0</v>
      </c>
      <c r="Z1340" t="e" cm="1" vm="1">
        <f t="array" aca="1" ref="Z1340" ca="1">IFERROR(IF(_xlfn._xlws.FILTER(game_rosters!$J:$J,(game_rosters!$G:$G=events!$AN1340)*(game_rosters!$J:$J=events!$X1340))&gt;0,1,""),"")</f>
        <v>#VALUE!</v>
      </c>
      <c r="AA1340">
        <f t="shared" si="163"/>
        <v>1000</v>
      </c>
      <c r="AB1340" t="str">
        <f t="shared" si="164"/>
        <v/>
      </c>
      <c r="AC1340">
        <f t="shared" si="161"/>
        <v>1000</v>
      </c>
      <c r="AD1340" s="6"/>
    </row>
    <row r="1341" spans="1:30" x14ac:dyDescent="0.2">
      <c r="A1341" t="str">
        <f t="shared" si="162"/>
        <v/>
      </c>
      <c r="X1341" t="str" cm="1">
        <f t="array" ref="X1341">IF(S1341="","",IF($I1341&lt;&gt;"",$I1341,INDEX($I$2:$I1340,ROW()-COUNTIFS($T$2:$T1340,"="&amp;$T1341,$S$2:$S1340,"&lt;&gt;"&amp;$S1341)-1)))</f>
        <v/>
      </c>
      <c r="Y1341" t="b">
        <f>IF(X1341&lt;&gt;"",VLOOKUP(X1341,game_rosters!$C$43:$E$64,3,FALSE))</f>
        <v>0</v>
      </c>
      <c r="Z1341" t="e" cm="1" vm="1">
        <f t="array" aca="1" ref="Z1341" ca="1">IFERROR(IF(_xlfn._xlws.FILTER(game_rosters!$J:$J,(game_rosters!$G:$G=events!$AN1341)*(game_rosters!$J:$J=events!$X1341))&gt;0,1,""),"")</f>
        <v>#VALUE!</v>
      </c>
      <c r="AA1341">
        <f t="shared" si="163"/>
        <v>1000</v>
      </c>
      <c r="AB1341" t="str">
        <f t="shared" si="164"/>
        <v/>
      </c>
      <c r="AC1341">
        <f t="shared" si="161"/>
        <v>1000</v>
      </c>
      <c r="AD1341" s="6"/>
    </row>
    <row r="1342" spans="1:30" x14ac:dyDescent="0.2">
      <c r="A1342" t="str">
        <f t="shared" si="162"/>
        <v/>
      </c>
      <c r="X1342" t="str" cm="1">
        <f t="array" ref="X1342">IF(S1342="","",IF($I1342&lt;&gt;"",$I1342,INDEX($I$2:$I1341,ROW()-COUNTIFS($T$2:$T1341,"="&amp;$T1342,$S$2:$S1341,"&lt;&gt;"&amp;$S1342)-1)))</f>
        <v/>
      </c>
      <c r="Y1342" t="b">
        <f>IF(X1342&lt;&gt;"",VLOOKUP(X1342,game_rosters!$C$43:$E$64,3,FALSE))</f>
        <v>0</v>
      </c>
      <c r="Z1342" t="e" cm="1" vm="1">
        <f t="array" aca="1" ref="Z1342" ca="1">IFERROR(IF(_xlfn._xlws.FILTER(game_rosters!$J:$J,(game_rosters!$G:$G=events!$AN1342)*(game_rosters!$J:$J=events!$X1342))&gt;0,1,""),"")</f>
        <v>#VALUE!</v>
      </c>
      <c r="AA1342">
        <f t="shared" si="163"/>
        <v>1000</v>
      </c>
      <c r="AB1342" t="str">
        <f t="shared" si="164"/>
        <v/>
      </c>
      <c r="AC1342">
        <f t="shared" si="161"/>
        <v>1000</v>
      </c>
      <c r="AD1342" s="6"/>
    </row>
    <row r="1343" spans="1:30" x14ac:dyDescent="0.2">
      <c r="A1343" t="str">
        <f t="shared" si="162"/>
        <v/>
      </c>
      <c r="X1343" t="str" cm="1">
        <f t="array" ref="X1343">IF(S1343="","",IF($I1343&lt;&gt;"",$I1343,INDEX($I$2:$I1342,ROW()-COUNTIFS($T$2:$T1342,"="&amp;$T1343,$S$2:$S1342,"&lt;&gt;"&amp;$S1343)-1)))</f>
        <v/>
      </c>
      <c r="Y1343" t="b">
        <f>IF(X1343&lt;&gt;"",VLOOKUP(X1343,game_rosters!$C$43:$E$64,3,FALSE))</f>
        <v>0</v>
      </c>
      <c r="Z1343" t="e" cm="1" vm="1">
        <f t="array" aca="1" ref="Z1343" ca="1">IFERROR(IF(_xlfn._xlws.FILTER(game_rosters!$J:$J,(game_rosters!$G:$G=events!$AN1343)*(game_rosters!$J:$J=events!$X1343))&gt;0,1,""),"")</f>
        <v>#VALUE!</v>
      </c>
      <c r="AA1343">
        <f t="shared" si="163"/>
        <v>1000</v>
      </c>
      <c r="AB1343" t="str">
        <f t="shared" si="164"/>
        <v/>
      </c>
      <c r="AC1343">
        <f t="shared" si="161"/>
        <v>1000</v>
      </c>
      <c r="AD1343" s="6"/>
    </row>
    <row r="1344" spans="1:30" x14ac:dyDescent="0.2">
      <c r="A1344" t="str">
        <f t="shared" si="162"/>
        <v/>
      </c>
      <c r="X1344" t="str" cm="1">
        <f t="array" ref="X1344">IF(S1344="","",IF($I1344&lt;&gt;"",$I1344,INDEX($I$2:$I1343,ROW()-COUNTIFS($T$2:$T1343,"="&amp;$T1344,$S$2:$S1343,"&lt;&gt;"&amp;$S1344)-1)))</f>
        <v/>
      </c>
      <c r="Y1344" t="b">
        <f>IF(X1344&lt;&gt;"",VLOOKUP(X1344,game_rosters!$C$43:$E$64,3,FALSE))</f>
        <v>0</v>
      </c>
      <c r="Z1344" t="e" cm="1" vm="1">
        <f t="array" aca="1" ref="Z1344" ca="1">IFERROR(IF(_xlfn._xlws.FILTER(game_rosters!$J:$J,(game_rosters!$G:$G=events!$AN1344)*(game_rosters!$J:$J=events!$X1344))&gt;0,1,""),"")</f>
        <v>#VALUE!</v>
      </c>
      <c r="AA1344">
        <f t="shared" si="163"/>
        <v>1000</v>
      </c>
      <c r="AB1344" t="str">
        <f t="shared" si="164"/>
        <v/>
      </c>
      <c r="AC1344">
        <f t="shared" si="161"/>
        <v>1000</v>
      </c>
      <c r="AD1344" s="6"/>
    </row>
    <row r="1345" spans="1:30" x14ac:dyDescent="0.2">
      <c r="A1345" t="str">
        <f t="shared" si="162"/>
        <v/>
      </c>
      <c r="X1345" t="str" cm="1">
        <f t="array" ref="X1345">IF(S1345="","",IF($I1345&lt;&gt;"",$I1345,INDEX($I$2:$I1344,ROW()-COUNTIFS($T$2:$T1344,"="&amp;$T1345,$S$2:$S1344,"&lt;&gt;"&amp;$S1345)-1)))</f>
        <v/>
      </c>
      <c r="Y1345" t="b">
        <f>IF(X1345&lt;&gt;"",VLOOKUP(X1345,game_rosters!$C$43:$E$64,3,FALSE))</f>
        <v>0</v>
      </c>
      <c r="Z1345" t="e" cm="1" vm="1">
        <f t="array" aca="1" ref="Z1345" ca="1">IFERROR(IF(_xlfn._xlws.FILTER(game_rosters!$J:$J,(game_rosters!$G:$G=events!$AN1345)*(game_rosters!$J:$J=events!$X1345))&gt;0,1,""),"")</f>
        <v>#VALUE!</v>
      </c>
      <c r="AA1345">
        <f t="shared" si="163"/>
        <v>1000</v>
      </c>
      <c r="AB1345" t="str">
        <f t="shared" si="164"/>
        <v/>
      </c>
      <c r="AC1345">
        <f t="shared" si="161"/>
        <v>1000</v>
      </c>
      <c r="AD1345" s="6"/>
    </row>
    <row r="1346" spans="1:30" x14ac:dyDescent="0.2">
      <c r="A1346" t="str">
        <f t="shared" si="162"/>
        <v/>
      </c>
      <c r="X1346" t="str" cm="1">
        <f t="array" ref="X1346">IF(S1346="","",IF($I1346&lt;&gt;"",$I1346,INDEX($I$2:$I1345,ROW()-COUNTIFS($T$2:$T1345,"="&amp;$T1346,$S$2:$S1345,"&lt;&gt;"&amp;$S1346)-1)))</f>
        <v/>
      </c>
      <c r="Y1346" t="b">
        <f>IF(X1346&lt;&gt;"",VLOOKUP(X1346,game_rosters!$C$43:$E$64,3,FALSE))</f>
        <v>0</v>
      </c>
      <c r="Z1346" t="e" cm="1" vm="1">
        <f t="array" aca="1" ref="Z1346" ca="1">IFERROR(IF(_xlfn._xlws.FILTER(game_rosters!$J:$J,(game_rosters!$G:$G=events!$AN1346)*(game_rosters!$J:$J=events!$X1346))&gt;0,1,""),"")</f>
        <v>#VALUE!</v>
      </c>
      <c r="AA1346">
        <f t="shared" si="163"/>
        <v>1000</v>
      </c>
      <c r="AB1346" t="str">
        <f t="shared" si="164"/>
        <v/>
      </c>
      <c r="AC1346">
        <f t="shared" ref="AC1346:AC1409" si="165">IF(AB1346&lt;&gt;"",AB1346,S1346+1000)</f>
        <v>1000</v>
      </c>
      <c r="AD1346" s="6"/>
    </row>
    <row r="1347" spans="1:30" x14ac:dyDescent="0.2">
      <c r="A1347" t="str">
        <f t="shared" si="162"/>
        <v/>
      </c>
      <c r="X1347" t="str" cm="1">
        <f t="array" ref="X1347">IF(S1347="","",IF($I1347&lt;&gt;"",$I1347,INDEX($I$2:$I1346,ROW()-COUNTIFS($T$2:$T1346,"="&amp;$T1347,$S$2:$S1346,"&lt;&gt;"&amp;$S1347)-1)))</f>
        <v/>
      </c>
      <c r="Y1347" t="b">
        <f>IF(X1347&lt;&gt;"",VLOOKUP(X1347,game_rosters!$C$43:$E$64,3,FALSE))</f>
        <v>0</v>
      </c>
      <c r="Z1347" t="e" cm="1" vm="1">
        <f t="array" aca="1" ref="Z1347" ca="1">IFERROR(IF(_xlfn._xlws.FILTER(game_rosters!$J:$J,(game_rosters!$G:$G=events!$AN1347)*(game_rosters!$J:$J=events!$X1347))&gt;0,1,""),"")</f>
        <v>#VALUE!</v>
      </c>
      <c r="AA1347">
        <f t="shared" si="163"/>
        <v>1000</v>
      </c>
      <c r="AB1347" t="str">
        <f t="shared" si="164"/>
        <v/>
      </c>
      <c r="AC1347">
        <f t="shared" si="165"/>
        <v>1000</v>
      </c>
      <c r="AD1347" s="6"/>
    </row>
    <row r="1348" spans="1:30" x14ac:dyDescent="0.2">
      <c r="A1348" t="str">
        <f t="shared" si="162"/>
        <v/>
      </c>
      <c r="X1348" t="str" cm="1">
        <f t="array" ref="X1348">IF(S1348="","",IF($I1348&lt;&gt;"",$I1348,INDEX($I$2:$I1347,ROW()-COUNTIFS($T$2:$T1347,"="&amp;$T1348,$S$2:$S1347,"&lt;&gt;"&amp;$S1348)-1)))</f>
        <v/>
      </c>
      <c r="Y1348" t="b">
        <f>IF(X1348&lt;&gt;"",VLOOKUP(X1348,game_rosters!$C$43:$E$64,3,FALSE))</f>
        <v>0</v>
      </c>
      <c r="Z1348" t="e" cm="1" vm="1">
        <f t="array" aca="1" ref="Z1348" ca="1">IFERROR(IF(_xlfn._xlws.FILTER(game_rosters!$J:$J,(game_rosters!$G:$G=events!$AN1348)*(game_rosters!$J:$J=events!$X1348))&gt;0,1,""),"")</f>
        <v>#VALUE!</v>
      </c>
      <c r="AA1348">
        <f t="shared" si="163"/>
        <v>1000</v>
      </c>
      <c r="AB1348" t="str">
        <f t="shared" si="164"/>
        <v/>
      </c>
      <c r="AC1348">
        <f t="shared" si="165"/>
        <v>1000</v>
      </c>
      <c r="AD1348" s="6"/>
    </row>
    <row r="1349" spans="1:30" x14ac:dyDescent="0.2">
      <c r="A1349" t="str">
        <f t="shared" ref="A1349:A1412" si="166">IF(K1349&lt;&gt;"",1,IF(D1349="x","x",""))</f>
        <v/>
      </c>
      <c r="X1349" t="str" cm="1">
        <f t="array" ref="X1349">IF(S1349="","",IF($I1349&lt;&gt;"",$I1349,INDEX($I$2:$I1348,ROW()-COUNTIFS($T$2:$T1348,"="&amp;$T1349,$S$2:$S1348,"&lt;&gt;"&amp;$S1349)-1)))</f>
        <v/>
      </c>
      <c r="Y1349" t="b">
        <f>IF(X1349&lt;&gt;"",VLOOKUP(X1349,game_rosters!$C$43:$E$64,3,FALSE))</f>
        <v>0</v>
      </c>
      <c r="Z1349" t="e" cm="1" vm="1">
        <f t="array" aca="1" ref="Z1349" ca="1">IFERROR(IF(_xlfn._xlws.FILTER(game_rosters!$J:$J,(game_rosters!$G:$G=events!$AN1349)*(game_rosters!$J:$J=events!$X1349))&gt;0,1,""),"")</f>
        <v>#VALUE!</v>
      </c>
      <c r="AA1349">
        <f t="shared" si="163"/>
        <v>1000</v>
      </c>
      <c r="AB1349" t="str">
        <f t="shared" si="164"/>
        <v/>
      </c>
      <c r="AC1349">
        <f t="shared" si="165"/>
        <v>1000</v>
      </c>
      <c r="AD1349" s="6"/>
    </row>
    <row r="1350" spans="1:30" x14ac:dyDescent="0.2">
      <c r="A1350" t="str">
        <f t="shared" si="166"/>
        <v/>
      </c>
      <c r="X1350" t="str" cm="1">
        <f t="array" ref="X1350">IF(S1350="","",IF($I1350&lt;&gt;"",$I1350,INDEX($I$2:$I1349,ROW()-COUNTIFS($T$2:$T1349,"="&amp;$T1350,$S$2:$S1349,"&lt;&gt;"&amp;$S1350)-1)))</f>
        <v/>
      </c>
      <c r="Y1350" t="b">
        <f>IF(X1350&lt;&gt;"",VLOOKUP(X1350,game_rosters!$C$43:$E$64,3,FALSE))</f>
        <v>0</v>
      </c>
      <c r="Z1350" t="e" cm="1" vm="1">
        <f t="array" aca="1" ref="Z1350" ca="1">IFERROR(IF(_xlfn._xlws.FILTER(game_rosters!$J:$J,(game_rosters!$G:$G=events!$AN1350)*(game_rosters!$J:$J=events!$X1350))&gt;0,1,""),"")</f>
        <v>#VALUE!</v>
      </c>
      <c r="AA1350">
        <f t="shared" si="163"/>
        <v>1000</v>
      </c>
      <c r="AB1350" t="str">
        <f t="shared" si="164"/>
        <v/>
      </c>
      <c r="AC1350">
        <f t="shared" si="165"/>
        <v>1000</v>
      </c>
      <c r="AD1350" s="6"/>
    </row>
    <row r="1351" spans="1:30" x14ac:dyDescent="0.2">
      <c r="A1351" t="str">
        <f t="shared" si="166"/>
        <v/>
      </c>
      <c r="X1351" t="str" cm="1">
        <f t="array" ref="X1351">IF(S1351="","",IF($I1351&lt;&gt;"",$I1351,INDEX($I$2:$I1350,ROW()-COUNTIFS($T$2:$T1350,"="&amp;$T1351,$S$2:$S1350,"&lt;&gt;"&amp;$S1351)-1)))</f>
        <v/>
      </c>
      <c r="Y1351" t="b">
        <f>IF(X1351&lt;&gt;"",VLOOKUP(X1351,game_rosters!$C$43:$E$64,3,FALSE))</f>
        <v>0</v>
      </c>
      <c r="Z1351" t="e" cm="1" vm="1">
        <f t="array" aca="1" ref="Z1351" ca="1">IFERROR(IF(_xlfn._xlws.FILTER(game_rosters!$J:$J,(game_rosters!$G:$G=events!$AN1351)*(game_rosters!$J:$J=events!$X1351))&gt;0,1,""),"")</f>
        <v>#VALUE!</v>
      </c>
      <c r="AA1351">
        <f t="shared" si="163"/>
        <v>1000</v>
      </c>
      <c r="AB1351" t="str">
        <f t="shared" si="164"/>
        <v/>
      </c>
      <c r="AC1351">
        <f t="shared" si="165"/>
        <v>1000</v>
      </c>
      <c r="AD1351" s="6"/>
    </row>
    <row r="1352" spans="1:30" x14ac:dyDescent="0.2">
      <c r="A1352" t="str">
        <f t="shared" si="166"/>
        <v/>
      </c>
      <c r="X1352" t="str" cm="1">
        <f t="array" ref="X1352">IF(S1352="","",IF($I1352&lt;&gt;"",$I1352,INDEX($I$2:$I1351,ROW()-COUNTIFS($T$2:$T1351,"="&amp;$T1352,$S$2:$S1351,"&lt;&gt;"&amp;$S1352)-1)))</f>
        <v/>
      </c>
      <c r="Y1352" t="b">
        <f>IF(X1352&lt;&gt;"",VLOOKUP(X1352,game_rosters!$C$43:$E$64,3,FALSE))</f>
        <v>0</v>
      </c>
      <c r="Z1352" t="e" cm="1" vm="1">
        <f t="array" aca="1" ref="Z1352" ca="1">IFERROR(IF(_xlfn._xlws.FILTER(game_rosters!$J:$J,(game_rosters!$G:$G=events!$AN1352)*(game_rosters!$J:$J=events!$X1352))&gt;0,1,""),"")</f>
        <v>#VALUE!</v>
      </c>
      <c r="AA1352">
        <f t="shared" si="163"/>
        <v>1000</v>
      </c>
      <c r="AB1352" t="str">
        <f t="shared" si="164"/>
        <v/>
      </c>
      <c r="AC1352">
        <f t="shared" si="165"/>
        <v>1000</v>
      </c>
      <c r="AD1352" s="6"/>
    </row>
    <row r="1353" spans="1:30" x14ac:dyDescent="0.2">
      <c r="A1353" t="str">
        <f t="shared" si="166"/>
        <v/>
      </c>
      <c r="X1353" t="str" cm="1">
        <f t="array" ref="X1353">IF(S1353="","",IF($I1353&lt;&gt;"",$I1353,INDEX($I$2:$I1352,ROW()-COUNTIFS($T$2:$T1352,"="&amp;$T1353,$S$2:$S1352,"&lt;&gt;"&amp;$S1353)-1)))</f>
        <v/>
      </c>
      <c r="Y1353" t="b">
        <f>IF(X1353&lt;&gt;"",VLOOKUP(X1353,game_rosters!$C$43:$E$64,3,FALSE))</f>
        <v>0</v>
      </c>
      <c r="Z1353" t="e" cm="1" vm="1">
        <f t="array" aca="1" ref="Z1353" ca="1">IFERROR(IF(_xlfn._xlws.FILTER(game_rosters!$J:$J,(game_rosters!$G:$G=events!$AN1353)*(game_rosters!$J:$J=events!$X1353))&gt;0,1,""),"")</f>
        <v>#VALUE!</v>
      </c>
      <c r="AA1353">
        <f t="shared" si="163"/>
        <v>1000</v>
      </c>
      <c r="AB1353" t="str">
        <f t="shared" si="164"/>
        <v/>
      </c>
      <c r="AC1353">
        <f t="shared" si="165"/>
        <v>1000</v>
      </c>
      <c r="AD1353" s="6"/>
    </row>
    <row r="1354" spans="1:30" x14ac:dyDescent="0.2">
      <c r="A1354" t="str">
        <f t="shared" si="166"/>
        <v/>
      </c>
      <c r="X1354" t="str" cm="1">
        <f t="array" ref="X1354">IF(S1354="","",IF($I1354&lt;&gt;"",$I1354,INDEX($I$2:$I1353,ROW()-COUNTIFS($T$2:$T1353,"="&amp;$T1354,$S$2:$S1353,"&lt;&gt;"&amp;$S1354)-1)))</f>
        <v/>
      </c>
      <c r="Y1354" t="b">
        <f>IF(X1354&lt;&gt;"",VLOOKUP(X1354,game_rosters!$C$43:$E$64,3,FALSE))</f>
        <v>0</v>
      </c>
      <c r="Z1354" t="e" cm="1" vm="1">
        <f t="array" aca="1" ref="Z1354" ca="1">IFERROR(IF(_xlfn._xlws.FILTER(game_rosters!$J:$J,(game_rosters!$G:$G=events!$AN1354)*(game_rosters!$J:$J=events!$X1354))&gt;0,1,""),"")</f>
        <v>#VALUE!</v>
      </c>
      <c r="AA1354">
        <f t="shared" si="163"/>
        <v>1000</v>
      </c>
      <c r="AB1354" t="str">
        <f t="shared" si="164"/>
        <v/>
      </c>
      <c r="AC1354">
        <f t="shared" si="165"/>
        <v>1000</v>
      </c>
      <c r="AD1354" s="6"/>
    </row>
    <row r="1355" spans="1:30" x14ac:dyDescent="0.2">
      <c r="A1355" t="str">
        <f t="shared" si="166"/>
        <v/>
      </c>
      <c r="X1355" t="str" cm="1">
        <f t="array" ref="X1355">IF(S1355="","",IF($I1355&lt;&gt;"",$I1355,INDEX($I$2:$I1354,ROW()-COUNTIFS($T$2:$T1354,"="&amp;$T1355,$S$2:$S1354,"&lt;&gt;"&amp;$S1355)-1)))</f>
        <v/>
      </c>
      <c r="Y1355" t="b">
        <f>IF(X1355&lt;&gt;"",VLOOKUP(X1355,game_rosters!$C$43:$E$64,3,FALSE))</f>
        <v>0</v>
      </c>
      <c r="Z1355" t="e" cm="1" vm="1">
        <f t="array" aca="1" ref="Z1355" ca="1">IFERROR(IF(_xlfn._xlws.FILTER(game_rosters!$J:$J,(game_rosters!$G:$G=events!$AN1355)*(game_rosters!$J:$J=events!$X1355))&gt;0,1,""),"")</f>
        <v>#VALUE!</v>
      </c>
      <c r="AA1355">
        <f t="shared" si="163"/>
        <v>1000</v>
      </c>
      <c r="AB1355" t="str">
        <f t="shared" si="164"/>
        <v/>
      </c>
      <c r="AC1355">
        <f t="shared" si="165"/>
        <v>1000</v>
      </c>
      <c r="AD1355" s="6"/>
    </row>
    <row r="1356" spans="1:30" x14ac:dyDescent="0.2">
      <c r="A1356" t="str">
        <f t="shared" si="166"/>
        <v/>
      </c>
      <c r="X1356" t="str" cm="1">
        <f t="array" ref="X1356">IF(S1356="","",IF($I1356&lt;&gt;"",$I1356,INDEX($I$2:$I1355,ROW()-COUNTIFS($T$2:$T1355,"="&amp;$T1356,$S$2:$S1355,"&lt;&gt;"&amp;$S1356)-1)))</f>
        <v/>
      </c>
      <c r="Y1356" t="b">
        <f>IF(X1356&lt;&gt;"",VLOOKUP(X1356,game_rosters!$C$43:$E$64,3,FALSE))</f>
        <v>0</v>
      </c>
      <c r="Z1356" t="e" cm="1" vm="1">
        <f t="array" aca="1" ref="Z1356" ca="1">IFERROR(IF(_xlfn._xlws.FILTER(game_rosters!$J:$J,(game_rosters!$G:$G=events!$AN1356)*(game_rosters!$J:$J=events!$X1356))&gt;0,1,""),"")</f>
        <v>#VALUE!</v>
      </c>
      <c r="AA1356">
        <f t="shared" si="163"/>
        <v>1000</v>
      </c>
      <c r="AB1356" t="str">
        <f t="shared" si="164"/>
        <v/>
      </c>
      <c r="AC1356">
        <f t="shared" si="165"/>
        <v>1000</v>
      </c>
      <c r="AD1356" s="6"/>
    </row>
    <row r="1357" spans="1:30" x14ac:dyDescent="0.2">
      <c r="A1357" t="str">
        <f t="shared" si="166"/>
        <v/>
      </c>
      <c r="X1357" t="str" cm="1">
        <f t="array" ref="X1357">IF(S1357="","",IF($I1357&lt;&gt;"",$I1357,INDEX($I$2:$I1356,ROW()-COUNTIFS($T$2:$T1356,"="&amp;$T1357,$S$2:$S1356,"&lt;&gt;"&amp;$S1357)-1)))</f>
        <v/>
      </c>
      <c r="Y1357" t="b">
        <f>IF(X1357&lt;&gt;"",VLOOKUP(X1357,game_rosters!$C$43:$E$64,3,FALSE))</f>
        <v>0</v>
      </c>
      <c r="Z1357" t="e" cm="1" vm="1">
        <f t="array" aca="1" ref="Z1357" ca="1">IFERROR(IF(_xlfn._xlws.FILTER(game_rosters!$J:$J,(game_rosters!$G:$G=events!$AN1357)*(game_rosters!$J:$J=events!$X1357))&gt;0,1,""),"")</f>
        <v>#VALUE!</v>
      </c>
      <c r="AA1357">
        <f t="shared" si="163"/>
        <v>1000</v>
      </c>
      <c r="AB1357" t="str">
        <f t="shared" si="164"/>
        <v/>
      </c>
      <c r="AC1357">
        <f t="shared" si="165"/>
        <v>1000</v>
      </c>
      <c r="AD1357" s="6"/>
    </row>
    <row r="1358" spans="1:30" x14ac:dyDescent="0.2">
      <c r="A1358" t="str">
        <f t="shared" si="166"/>
        <v/>
      </c>
      <c r="X1358" t="str" cm="1">
        <f t="array" ref="X1358">IF(S1358="","",IF($I1358&lt;&gt;"",$I1358,INDEX($I$2:$I1357,ROW()-COUNTIFS($T$2:$T1357,"="&amp;$T1358,$S$2:$S1357,"&lt;&gt;"&amp;$S1358)-1)))</f>
        <v/>
      </c>
      <c r="Y1358" t="b">
        <f>IF(X1358&lt;&gt;"",VLOOKUP(X1358,game_rosters!$C$43:$E$64,3,FALSE))</f>
        <v>0</v>
      </c>
      <c r="Z1358" t="e" cm="1" vm="1">
        <f t="array" aca="1" ref="Z1358" ca="1">IFERROR(IF(_xlfn._xlws.FILTER(game_rosters!$J:$J,(game_rosters!$G:$G=events!$AN1358)*(game_rosters!$J:$J=events!$X1358))&gt;0,1,""),"")</f>
        <v>#VALUE!</v>
      </c>
      <c r="AA1358">
        <f t="shared" si="163"/>
        <v>1000</v>
      </c>
      <c r="AB1358" t="str">
        <f t="shared" si="164"/>
        <v/>
      </c>
      <c r="AC1358">
        <f t="shared" si="165"/>
        <v>1000</v>
      </c>
      <c r="AD1358" s="6"/>
    </row>
    <row r="1359" spans="1:30" x14ac:dyDescent="0.2">
      <c r="A1359" t="str">
        <f t="shared" si="166"/>
        <v/>
      </c>
      <c r="X1359" t="str" cm="1">
        <f t="array" ref="X1359">IF(S1359="","",IF($I1359&lt;&gt;"",$I1359,INDEX($I$2:$I1358,ROW()-COUNTIFS($T$2:$T1358,"="&amp;$T1359,$S$2:$S1358,"&lt;&gt;"&amp;$S1359)-1)))</f>
        <v/>
      </c>
      <c r="Y1359" t="b">
        <f>IF(X1359&lt;&gt;"",VLOOKUP(X1359,game_rosters!$C$43:$E$64,3,FALSE))</f>
        <v>0</v>
      </c>
      <c r="Z1359" t="e" cm="1" vm="1">
        <f t="array" aca="1" ref="Z1359" ca="1">IFERROR(IF(_xlfn._xlws.FILTER(game_rosters!$J:$J,(game_rosters!$G:$G=events!$AN1359)*(game_rosters!$J:$J=events!$X1359))&gt;0,1,""),"")</f>
        <v>#VALUE!</v>
      </c>
      <c r="AA1359">
        <f t="shared" si="163"/>
        <v>1000</v>
      </c>
      <c r="AB1359" t="str">
        <f t="shared" si="164"/>
        <v/>
      </c>
      <c r="AC1359">
        <f t="shared" si="165"/>
        <v>1000</v>
      </c>
      <c r="AD1359" s="6"/>
    </row>
    <row r="1360" spans="1:30" x14ac:dyDescent="0.2">
      <c r="A1360" t="str">
        <f t="shared" si="166"/>
        <v/>
      </c>
      <c r="X1360" t="str" cm="1">
        <f t="array" ref="X1360">IF(S1360="","",IF($I1360&lt;&gt;"",$I1360,INDEX($I$2:$I1359,ROW()-COUNTIFS($T$2:$T1359,"="&amp;$T1360,$S$2:$S1359,"&lt;&gt;"&amp;$S1360)-1)))</f>
        <v/>
      </c>
      <c r="Y1360" t="b">
        <f>IF(X1360&lt;&gt;"",VLOOKUP(X1360,game_rosters!$C$43:$E$64,3,FALSE))</f>
        <v>0</v>
      </c>
      <c r="Z1360" t="e" cm="1" vm="1">
        <f t="array" aca="1" ref="Z1360" ca="1">IFERROR(IF(_xlfn._xlws.FILTER(game_rosters!$J:$J,(game_rosters!$G:$G=events!$AN1360)*(game_rosters!$J:$J=events!$X1360))&gt;0,1,""),"")</f>
        <v>#VALUE!</v>
      </c>
      <c r="AA1360">
        <f t="shared" si="163"/>
        <v>1000</v>
      </c>
      <c r="AB1360" t="str">
        <f t="shared" si="164"/>
        <v/>
      </c>
      <c r="AC1360">
        <f t="shared" si="165"/>
        <v>1000</v>
      </c>
      <c r="AD1360" s="6"/>
    </row>
    <row r="1361" spans="1:30" x14ac:dyDescent="0.2">
      <c r="A1361" t="str">
        <f t="shared" si="166"/>
        <v/>
      </c>
      <c r="X1361" t="str" cm="1">
        <f t="array" ref="X1361">IF(S1361="","",IF($I1361&lt;&gt;"",$I1361,INDEX($I$2:$I1360,ROW()-COUNTIFS($T$2:$T1360,"="&amp;$T1361,$S$2:$S1360,"&lt;&gt;"&amp;$S1361)-1)))</f>
        <v/>
      </c>
      <c r="Y1361" t="b">
        <f>IF(X1361&lt;&gt;"",VLOOKUP(X1361,game_rosters!$C$43:$E$64,3,FALSE))</f>
        <v>0</v>
      </c>
      <c r="Z1361" t="e" cm="1" vm="1">
        <f t="array" aca="1" ref="Z1361" ca="1">IFERROR(IF(_xlfn._xlws.FILTER(game_rosters!$J:$J,(game_rosters!$G:$G=events!$AN1361)*(game_rosters!$J:$J=events!$X1361))&gt;0,1,""),"")</f>
        <v>#VALUE!</v>
      </c>
      <c r="AA1361">
        <f t="shared" si="163"/>
        <v>1000</v>
      </c>
      <c r="AB1361" t="str">
        <f t="shared" si="164"/>
        <v/>
      </c>
      <c r="AC1361">
        <f t="shared" si="165"/>
        <v>1000</v>
      </c>
      <c r="AD1361" s="6"/>
    </row>
    <row r="1362" spans="1:30" x14ac:dyDescent="0.2">
      <c r="A1362" t="str">
        <f t="shared" si="166"/>
        <v/>
      </c>
      <c r="X1362" t="str" cm="1">
        <f t="array" ref="X1362">IF(S1362="","",IF($I1362&lt;&gt;"",$I1362,INDEX($I$2:$I1361,ROW()-COUNTIFS($T$2:$T1361,"="&amp;$T1362,$S$2:$S1361,"&lt;&gt;"&amp;$S1362)-1)))</f>
        <v/>
      </c>
      <c r="Y1362" t="b">
        <f>IF(X1362&lt;&gt;"",VLOOKUP(X1362,game_rosters!$C$43:$E$64,3,FALSE))</f>
        <v>0</v>
      </c>
      <c r="Z1362" t="e" cm="1" vm="1">
        <f t="array" aca="1" ref="Z1362" ca="1">IFERROR(IF(_xlfn._xlws.FILTER(game_rosters!$J:$J,(game_rosters!$G:$G=events!$AN1362)*(game_rosters!$J:$J=events!$X1362))&gt;0,1,""),"")</f>
        <v>#VALUE!</v>
      </c>
      <c r="AA1362">
        <f t="shared" si="163"/>
        <v>1000</v>
      </c>
      <c r="AB1362" t="str">
        <f t="shared" si="164"/>
        <v/>
      </c>
      <c r="AC1362">
        <f t="shared" si="165"/>
        <v>1000</v>
      </c>
      <c r="AD1362" s="6"/>
    </row>
    <row r="1363" spans="1:30" x14ac:dyDescent="0.2">
      <c r="A1363" t="str">
        <f t="shared" si="166"/>
        <v/>
      </c>
      <c r="X1363" t="str" cm="1">
        <f t="array" ref="X1363">IF(S1363="","",IF($I1363&lt;&gt;"",$I1363,INDEX($I$2:$I1362,ROW()-COUNTIFS($T$2:$T1362,"="&amp;$T1363,$S$2:$S1362,"&lt;&gt;"&amp;$S1363)-1)))</f>
        <v/>
      </c>
      <c r="Y1363" t="b">
        <f>IF(X1363&lt;&gt;"",VLOOKUP(X1363,game_rosters!$C$43:$E$64,3,FALSE))</f>
        <v>0</v>
      </c>
      <c r="Z1363" t="e" cm="1" vm="1">
        <f t="array" aca="1" ref="Z1363" ca="1">IFERROR(IF(_xlfn._xlws.FILTER(game_rosters!$J:$J,(game_rosters!$G:$G=events!$AN1363)*(game_rosters!$J:$J=events!$X1363))&gt;0,1,""),"")</f>
        <v>#VALUE!</v>
      </c>
      <c r="AA1363">
        <f t="shared" si="163"/>
        <v>1000</v>
      </c>
      <c r="AB1363" t="str">
        <f t="shared" si="164"/>
        <v/>
      </c>
      <c r="AC1363">
        <f t="shared" si="165"/>
        <v>1000</v>
      </c>
      <c r="AD1363" s="6"/>
    </row>
    <row r="1364" spans="1:30" x14ac:dyDescent="0.2">
      <c r="A1364" t="str">
        <f t="shared" si="166"/>
        <v/>
      </c>
      <c r="X1364" t="str" cm="1">
        <f t="array" ref="X1364">IF(S1364="","",IF($I1364&lt;&gt;"",$I1364,INDEX($I$2:$I1363,ROW()-COUNTIFS($T$2:$T1363,"="&amp;$T1364,$S$2:$S1363,"&lt;&gt;"&amp;$S1364)-1)))</f>
        <v/>
      </c>
      <c r="Y1364" t="b">
        <f>IF(X1364&lt;&gt;"",VLOOKUP(X1364,game_rosters!$C$43:$E$64,3,FALSE))</f>
        <v>0</v>
      </c>
      <c r="Z1364" t="e" cm="1" vm="1">
        <f t="array" aca="1" ref="Z1364" ca="1">IFERROR(IF(_xlfn._xlws.FILTER(game_rosters!$J:$J,(game_rosters!$G:$G=events!$AN1364)*(game_rosters!$J:$J=events!$X1364))&gt;0,1,""),"")</f>
        <v>#VALUE!</v>
      </c>
      <c r="AA1364">
        <f t="shared" si="163"/>
        <v>1000</v>
      </c>
      <c r="AB1364" t="str">
        <f t="shared" si="164"/>
        <v/>
      </c>
      <c r="AC1364">
        <f t="shared" si="165"/>
        <v>1000</v>
      </c>
      <c r="AD1364" s="6"/>
    </row>
    <row r="1365" spans="1:30" x14ac:dyDescent="0.2">
      <c r="A1365" t="str">
        <f t="shared" si="166"/>
        <v/>
      </c>
      <c r="X1365" t="str" cm="1">
        <f t="array" ref="X1365">IF(S1365="","",IF($I1365&lt;&gt;"",$I1365,INDEX($I$2:$I1364,ROW()-COUNTIFS($T$2:$T1364,"="&amp;$T1365,$S$2:$S1364,"&lt;&gt;"&amp;$S1365)-1)))</f>
        <v/>
      </c>
      <c r="Y1365" t="b">
        <f>IF(X1365&lt;&gt;"",VLOOKUP(X1365,game_rosters!$C$43:$E$64,3,FALSE))</f>
        <v>0</v>
      </c>
      <c r="Z1365" t="e" cm="1" vm="1">
        <f t="array" aca="1" ref="Z1365" ca="1">IFERROR(IF(_xlfn._xlws.FILTER(game_rosters!$J:$J,(game_rosters!$G:$G=events!$AN1365)*(game_rosters!$J:$J=events!$X1365))&gt;0,1,""),"")</f>
        <v>#VALUE!</v>
      </c>
      <c r="AA1365">
        <f t="shared" si="163"/>
        <v>1000</v>
      </c>
      <c r="AB1365" t="str">
        <f t="shared" si="164"/>
        <v/>
      </c>
      <c r="AC1365">
        <f t="shared" si="165"/>
        <v>1000</v>
      </c>
      <c r="AD1365" s="6"/>
    </row>
    <row r="1366" spans="1:30" x14ac:dyDescent="0.2">
      <c r="A1366" t="str">
        <f t="shared" si="166"/>
        <v/>
      </c>
      <c r="X1366" t="str" cm="1">
        <f t="array" ref="X1366">IF(S1366="","",IF($I1366&lt;&gt;"",$I1366,INDEX($I$2:$I1365,ROW()-COUNTIFS($T$2:$T1365,"="&amp;$T1366,$S$2:$S1365,"&lt;&gt;"&amp;$S1366)-1)))</f>
        <v/>
      </c>
      <c r="Y1366" t="b">
        <f>IF(X1366&lt;&gt;"",VLOOKUP(X1366,game_rosters!$C$43:$E$64,3,FALSE))</f>
        <v>0</v>
      </c>
      <c r="Z1366" t="e" cm="1" vm="1">
        <f t="array" aca="1" ref="Z1366" ca="1">IFERROR(IF(_xlfn._xlws.FILTER(game_rosters!$J:$J,(game_rosters!$G:$G=events!$AN1366)*(game_rosters!$J:$J=events!$X1366))&gt;0,1,""),"")</f>
        <v>#VALUE!</v>
      </c>
      <c r="AA1366">
        <f t="shared" si="163"/>
        <v>1000</v>
      </c>
      <c r="AB1366" t="str">
        <f t="shared" si="164"/>
        <v/>
      </c>
      <c r="AC1366">
        <f t="shared" si="165"/>
        <v>1000</v>
      </c>
      <c r="AD1366" s="6"/>
    </row>
    <row r="1367" spans="1:30" x14ac:dyDescent="0.2">
      <c r="A1367" t="str">
        <f t="shared" si="166"/>
        <v/>
      </c>
      <c r="X1367" t="str" cm="1">
        <f t="array" ref="X1367">IF(S1367="","",IF($I1367&lt;&gt;"",$I1367,INDEX($I$2:$I1366,ROW()-COUNTIFS($T$2:$T1366,"="&amp;$T1367,$S$2:$S1366,"&lt;&gt;"&amp;$S1367)-1)))</f>
        <v/>
      </c>
      <c r="Y1367" t="b">
        <f>IF(X1367&lt;&gt;"",VLOOKUP(X1367,game_rosters!$C$43:$E$64,3,FALSE))</f>
        <v>0</v>
      </c>
      <c r="Z1367" t="e" cm="1" vm="1">
        <f t="array" aca="1" ref="Z1367" ca="1">IFERROR(IF(_xlfn._xlws.FILTER(game_rosters!$J:$J,(game_rosters!$G:$G=events!$AN1367)*(game_rosters!$J:$J=events!$X1367))&gt;0,1,""),"")</f>
        <v>#VALUE!</v>
      </c>
      <c r="AA1367">
        <f t="shared" si="163"/>
        <v>1000</v>
      </c>
      <c r="AB1367" t="str">
        <f t="shared" si="164"/>
        <v/>
      </c>
      <c r="AC1367">
        <f t="shared" si="165"/>
        <v>1000</v>
      </c>
      <c r="AD1367" s="6"/>
    </row>
    <row r="1368" spans="1:30" x14ac:dyDescent="0.2">
      <c r="A1368" t="str">
        <f t="shared" si="166"/>
        <v/>
      </c>
      <c r="X1368" t="str" cm="1">
        <f t="array" ref="X1368">IF(S1368="","",IF($I1368&lt;&gt;"",$I1368,INDEX($I$2:$I1367,ROW()-COUNTIFS($T$2:$T1367,"="&amp;$T1368,$S$2:$S1367,"&lt;&gt;"&amp;$S1368)-1)))</f>
        <v/>
      </c>
      <c r="Y1368" t="b">
        <f>IF(X1368&lt;&gt;"",VLOOKUP(X1368,game_rosters!$C$43:$E$64,3,FALSE))</f>
        <v>0</v>
      </c>
      <c r="Z1368" t="e" cm="1" vm="1">
        <f t="array" aca="1" ref="Z1368" ca="1">IFERROR(IF(_xlfn._xlws.FILTER(game_rosters!$J:$J,(game_rosters!$G:$G=events!$AN1368)*(game_rosters!$J:$J=events!$X1368))&gt;0,1,""),"")</f>
        <v>#VALUE!</v>
      </c>
      <c r="AA1368">
        <f t="shared" si="163"/>
        <v>1000</v>
      </c>
      <c r="AB1368" t="str">
        <f t="shared" si="164"/>
        <v/>
      </c>
      <c r="AC1368">
        <f t="shared" si="165"/>
        <v>1000</v>
      </c>
      <c r="AD1368" s="6"/>
    </row>
    <row r="1369" spans="1:30" x14ac:dyDescent="0.2">
      <c r="A1369" t="str">
        <f t="shared" si="166"/>
        <v/>
      </c>
      <c r="X1369" t="str" cm="1">
        <f t="array" ref="X1369">IF(S1369="","",IF($I1369&lt;&gt;"",$I1369,INDEX($I$2:$I1368,ROW()-COUNTIFS($T$2:$T1368,"="&amp;$T1369,$S$2:$S1368,"&lt;&gt;"&amp;$S1369)-1)))</f>
        <v/>
      </c>
      <c r="Y1369" t="b">
        <f>IF(X1369&lt;&gt;"",VLOOKUP(X1369,game_rosters!$C$43:$E$64,3,FALSE))</f>
        <v>0</v>
      </c>
      <c r="Z1369" t="e" cm="1" vm="1">
        <f t="array" aca="1" ref="Z1369" ca="1">IFERROR(IF(_xlfn._xlws.FILTER(game_rosters!$J:$J,(game_rosters!$G:$G=events!$AN1369)*(game_rosters!$J:$J=events!$X1369))&gt;0,1,""),"")</f>
        <v>#VALUE!</v>
      </c>
      <c r="AA1369">
        <f t="shared" si="163"/>
        <v>1000</v>
      </c>
      <c r="AB1369" t="str">
        <f t="shared" si="164"/>
        <v/>
      </c>
      <c r="AC1369">
        <f t="shared" si="165"/>
        <v>1000</v>
      </c>
      <c r="AD1369" s="6"/>
    </row>
    <row r="1370" spans="1:30" x14ac:dyDescent="0.2">
      <c r="A1370" t="str">
        <f t="shared" si="166"/>
        <v/>
      </c>
      <c r="X1370" t="str" cm="1">
        <f t="array" ref="X1370">IF(S1370="","",IF($I1370&lt;&gt;"",$I1370,INDEX($I$2:$I1369,ROW()-COUNTIFS($T$2:$T1369,"="&amp;$T1370,$S$2:$S1369,"&lt;&gt;"&amp;$S1370)-1)))</f>
        <v/>
      </c>
      <c r="Y1370" t="b">
        <f>IF(X1370&lt;&gt;"",VLOOKUP(X1370,game_rosters!$C$43:$E$64,3,FALSE))</f>
        <v>0</v>
      </c>
      <c r="Z1370" t="e" cm="1" vm="1">
        <f t="array" aca="1" ref="Z1370" ca="1">IFERROR(IF(_xlfn._xlws.FILTER(game_rosters!$J:$J,(game_rosters!$G:$G=events!$AN1370)*(game_rosters!$J:$J=events!$X1370))&gt;0,1,""),"")</f>
        <v>#VALUE!</v>
      </c>
      <c r="AA1370">
        <f t="shared" si="163"/>
        <v>1000</v>
      </c>
      <c r="AB1370" t="str">
        <f t="shared" si="164"/>
        <v/>
      </c>
      <c r="AC1370">
        <f t="shared" si="165"/>
        <v>1000</v>
      </c>
      <c r="AD1370" s="6"/>
    </row>
    <row r="1371" spans="1:30" x14ac:dyDescent="0.2">
      <c r="A1371" t="str">
        <f t="shared" si="166"/>
        <v/>
      </c>
      <c r="X1371" t="str" cm="1">
        <f t="array" ref="X1371">IF(S1371="","",IF($I1371&lt;&gt;"",$I1371,INDEX($I$2:$I1370,ROW()-COUNTIFS($T$2:$T1370,"="&amp;$T1371,$S$2:$S1370,"&lt;&gt;"&amp;$S1371)-1)))</f>
        <v/>
      </c>
      <c r="Y1371" t="b">
        <f>IF(X1371&lt;&gt;"",VLOOKUP(X1371,game_rosters!$C$43:$E$64,3,FALSE))</f>
        <v>0</v>
      </c>
      <c r="Z1371" t="e" cm="1" vm="1">
        <f t="array" aca="1" ref="Z1371" ca="1">IFERROR(IF(_xlfn._xlws.FILTER(game_rosters!$J:$J,(game_rosters!$G:$G=events!$AN1371)*(game_rosters!$J:$J=events!$X1371))&gt;0,1,""),"")</f>
        <v>#VALUE!</v>
      </c>
      <c r="AA1371">
        <f t="shared" si="163"/>
        <v>1000</v>
      </c>
      <c r="AB1371" t="str">
        <f t="shared" si="164"/>
        <v/>
      </c>
      <c r="AC1371">
        <f t="shared" si="165"/>
        <v>1000</v>
      </c>
      <c r="AD1371" s="6"/>
    </row>
    <row r="1372" spans="1:30" x14ac:dyDescent="0.2">
      <c r="A1372" t="str">
        <f t="shared" si="166"/>
        <v/>
      </c>
      <c r="X1372" t="str" cm="1">
        <f t="array" ref="X1372">IF(S1372="","",IF($I1372&lt;&gt;"",$I1372,INDEX($I$2:$I1371,ROW()-COUNTIFS($T$2:$T1371,"="&amp;$T1372,$S$2:$S1371,"&lt;&gt;"&amp;$S1372)-1)))</f>
        <v/>
      </c>
      <c r="Y1372" t="b">
        <f>IF(X1372&lt;&gt;"",VLOOKUP(X1372,game_rosters!$C$43:$E$64,3,FALSE))</f>
        <v>0</v>
      </c>
      <c r="Z1372" t="e" cm="1" vm="1">
        <f t="array" aca="1" ref="Z1372" ca="1">IFERROR(IF(_xlfn._xlws.FILTER(game_rosters!$J:$J,(game_rosters!$G:$G=events!$AN1372)*(game_rosters!$J:$J=events!$X1372))&gt;0,1,""),"")</f>
        <v>#VALUE!</v>
      </c>
      <c r="AA1372">
        <f t="shared" si="163"/>
        <v>1000</v>
      </c>
      <c r="AB1372" t="str">
        <f t="shared" si="164"/>
        <v/>
      </c>
      <c r="AC1372">
        <f t="shared" si="165"/>
        <v>1000</v>
      </c>
      <c r="AD1372" s="6"/>
    </row>
    <row r="1373" spans="1:30" x14ac:dyDescent="0.2">
      <c r="A1373" t="str">
        <f t="shared" si="166"/>
        <v/>
      </c>
      <c r="X1373" t="str" cm="1">
        <f t="array" ref="X1373">IF(S1373="","",IF($I1373&lt;&gt;"",$I1373,INDEX($I$2:$I1372,ROW()-COUNTIFS($T$2:$T1372,"="&amp;$T1373,$S$2:$S1372,"&lt;&gt;"&amp;$S1373)-1)))</f>
        <v/>
      </c>
      <c r="Y1373" t="b">
        <f>IF(X1373&lt;&gt;"",VLOOKUP(X1373,game_rosters!$C$43:$E$64,3,FALSE))</f>
        <v>0</v>
      </c>
      <c r="Z1373" t="e" cm="1" vm="1">
        <f t="array" aca="1" ref="Z1373" ca="1">IFERROR(IF(_xlfn._xlws.FILTER(game_rosters!$J:$J,(game_rosters!$G:$G=events!$AN1373)*(game_rosters!$J:$J=events!$X1373))&gt;0,1,""),"")</f>
        <v>#VALUE!</v>
      </c>
      <c r="AA1373">
        <f t="shared" ref="AA1373:AA1436" si="167">S1373+1000</f>
        <v>1000</v>
      </c>
      <c r="AB1373" t="str">
        <f t="shared" ref="AB1373:AB1436" si="168">IF(T1373&lt;&gt;"",9000+T1373,"")</f>
        <v/>
      </c>
      <c r="AC1373">
        <f t="shared" si="165"/>
        <v>1000</v>
      </c>
      <c r="AD1373" s="6"/>
    </row>
    <row r="1374" spans="1:30" x14ac:dyDescent="0.2">
      <c r="A1374" t="str">
        <f t="shared" si="166"/>
        <v/>
      </c>
      <c r="X1374" t="str" cm="1">
        <f t="array" ref="X1374">IF(S1374="","",IF($I1374&lt;&gt;"",$I1374,INDEX($I$2:$I1373,ROW()-COUNTIFS($T$2:$T1373,"="&amp;$T1374,$S$2:$S1373,"&lt;&gt;"&amp;$S1374)-1)))</f>
        <v/>
      </c>
      <c r="Y1374" t="b">
        <f>IF(X1374&lt;&gt;"",VLOOKUP(X1374,game_rosters!$C$43:$E$64,3,FALSE))</f>
        <v>0</v>
      </c>
      <c r="Z1374" t="e" cm="1" vm="1">
        <f t="array" aca="1" ref="Z1374" ca="1">IFERROR(IF(_xlfn._xlws.FILTER(game_rosters!$J:$J,(game_rosters!$G:$G=events!$AN1374)*(game_rosters!$J:$J=events!$X1374))&gt;0,1,""),"")</f>
        <v>#VALUE!</v>
      </c>
      <c r="AA1374">
        <f t="shared" si="167"/>
        <v>1000</v>
      </c>
      <c r="AB1374" t="str">
        <f t="shared" si="168"/>
        <v/>
      </c>
      <c r="AC1374">
        <f t="shared" si="165"/>
        <v>1000</v>
      </c>
      <c r="AD1374" s="6"/>
    </row>
    <row r="1375" spans="1:30" x14ac:dyDescent="0.2">
      <c r="A1375" t="str">
        <f t="shared" si="166"/>
        <v/>
      </c>
      <c r="X1375" t="str" cm="1">
        <f t="array" ref="X1375">IF(S1375="","",IF($I1375&lt;&gt;"",$I1375,INDEX($I$2:$I1374,ROW()-COUNTIFS($T$2:$T1374,"="&amp;$T1375,$S$2:$S1374,"&lt;&gt;"&amp;$S1375)-1)))</f>
        <v/>
      </c>
      <c r="Y1375" t="b">
        <f>IF(X1375&lt;&gt;"",VLOOKUP(X1375,game_rosters!$C$43:$E$64,3,FALSE))</f>
        <v>0</v>
      </c>
      <c r="Z1375" t="e" cm="1" vm="1">
        <f t="array" aca="1" ref="Z1375" ca="1">IFERROR(IF(_xlfn._xlws.FILTER(game_rosters!$J:$J,(game_rosters!$G:$G=events!$AN1375)*(game_rosters!$J:$J=events!$X1375))&gt;0,1,""),"")</f>
        <v>#VALUE!</v>
      </c>
      <c r="AA1375">
        <f t="shared" si="167"/>
        <v>1000</v>
      </c>
      <c r="AB1375" t="str">
        <f t="shared" si="168"/>
        <v/>
      </c>
      <c r="AC1375">
        <f t="shared" si="165"/>
        <v>1000</v>
      </c>
      <c r="AD1375" s="6"/>
    </row>
    <row r="1376" spans="1:30" x14ac:dyDescent="0.2">
      <c r="A1376" t="str">
        <f t="shared" si="166"/>
        <v/>
      </c>
      <c r="X1376" t="str" cm="1">
        <f t="array" ref="X1376">IF(S1376="","",IF($I1376&lt;&gt;"",$I1376,INDEX($I$2:$I1375,ROW()-COUNTIFS($T$2:$T1375,"="&amp;$T1376,$S$2:$S1375,"&lt;&gt;"&amp;$S1376)-1)))</f>
        <v/>
      </c>
      <c r="Y1376" t="b">
        <f>IF(X1376&lt;&gt;"",VLOOKUP(X1376,game_rosters!$C$43:$E$64,3,FALSE))</f>
        <v>0</v>
      </c>
      <c r="Z1376" t="e" cm="1" vm="1">
        <f t="array" aca="1" ref="Z1376" ca="1">IFERROR(IF(_xlfn._xlws.FILTER(game_rosters!$J:$J,(game_rosters!$G:$G=events!$AN1376)*(game_rosters!$J:$J=events!$X1376))&gt;0,1,""),"")</f>
        <v>#VALUE!</v>
      </c>
      <c r="AA1376">
        <f t="shared" si="167"/>
        <v>1000</v>
      </c>
      <c r="AB1376" t="str">
        <f t="shared" si="168"/>
        <v/>
      </c>
      <c r="AC1376">
        <f t="shared" si="165"/>
        <v>1000</v>
      </c>
      <c r="AD1376" s="6"/>
    </row>
    <row r="1377" spans="1:30" x14ac:dyDescent="0.2">
      <c r="A1377" t="str">
        <f t="shared" si="166"/>
        <v/>
      </c>
      <c r="X1377" t="str" cm="1">
        <f t="array" ref="X1377">IF(S1377="","",IF($I1377&lt;&gt;"",$I1377,INDEX($I$2:$I1376,ROW()-COUNTIFS($T$2:$T1376,"="&amp;$T1377,$S$2:$S1376,"&lt;&gt;"&amp;$S1377)-1)))</f>
        <v/>
      </c>
      <c r="Y1377" t="b">
        <f>IF(X1377&lt;&gt;"",VLOOKUP(X1377,game_rosters!$C$43:$E$64,3,FALSE))</f>
        <v>0</v>
      </c>
      <c r="Z1377" t="e" cm="1" vm="1">
        <f t="array" aca="1" ref="Z1377" ca="1">IFERROR(IF(_xlfn._xlws.FILTER(game_rosters!$J:$J,(game_rosters!$G:$G=events!$AN1377)*(game_rosters!$J:$J=events!$X1377))&gt;0,1,""),"")</f>
        <v>#VALUE!</v>
      </c>
      <c r="AA1377">
        <f t="shared" si="167"/>
        <v>1000</v>
      </c>
      <c r="AB1377" t="str">
        <f t="shared" si="168"/>
        <v/>
      </c>
      <c r="AC1377">
        <f t="shared" si="165"/>
        <v>1000</v>
      </c>
      <c r="AD1377" s="6"/>
    </row>
    <row r="1378" spans="1:30" x14ac:dyDescent="0.2">
      <c r="A1378" t="str">
        <f t="shared" si="166"/>
        <v/>
      </c>
      <c r="X1378" t="str" cm="1">
        <f t="array" ref="X1378">IF(S1378="","",IF($I1378&lt;&gt;"",$I1378,INDEX($I$2:$I1377,ROW()-COUNTIFS($T$2:$T1377,"="&amp;$T1378,$S$2:$S1377,"&lt;&gt;"&amp;$S1378)-1)))</f>
        <v/>
      </c>
      <c r="Y1378" t="b">
        <f>IF(X1378&lt;&gt;"",VLOOKUP(X1378,game_rosters!$C$43:$E$64,3,FALSE))</f>
        <v>0</v>
      </c>
      <c r="Z1378" t="e" cm="1" vm="1">
        <f t="array" aca="1" ref="Z1378" ca="1">IFERROR(IF(_xlfn._xlws.FILTER(game_rosters!$J:$J,(game_rosters!$G:$G=events!$AN1378)*(game_rosters!$J:$J=events!$X1378))&gt;0,1,""),"")</f>
        <v>#VALUE!</v>
      </c>
      <c r="AA1378">
        <f t="shared" si="167"/>
        <v>1000</v>
      </c>
      <c r="AB1378" t="str">
        <f t="shared" si="168"/>
        <v/>
      </c>
      <c r="AC1378">
        <f t="shared" si="165"/>
        <v>1000</v>
      </c>
      <c r="AD1378" s="6"/>
    </row>
    <row r="1379" spans="1:30" x14ac:dyDescent="0.2">
      <c r="A1379" t="str">
        <f t="shared" si="166"/>
        <v/>
      </c>
      <c r="X1379" t="str" cm="1">
        <f t="array" ref="X1379">IF(S1379="","",IF($I1379&lt;&gt;"",$I1379,INDEX($I$2:$I1378,ROW()-COUNTIFS($T$2:$T1378,"="&amp;$T1379,$S$2:$S1378,"&lt;&gt;"&amp;$S1379)-1)))</f>
        <v/>
      </c>
      <c r="Y1379" t="b">
        <f>IF(X1379&lt;&gt;"",VLOOKUP(X1379,game_rosters!$C$43:$E$64,3,FALSE))</f>
        <v>0</v>
      </c>
      <c r="Z1379" t="e" cm="1" vm="1">
        <f t="array" aca="1" ref="Z1379" ca="1">IFERROR(IF(_xlfn._xlws.FILTER(game_rosters!$J:$J,(game_rosters!$G:$G=events!$AN1379)*(game_rosters!$J:$J=events!$X1379))&gt;0,1,""),"")</f>
        <v>#VALUE!</v>
      </c>
      <c r="AA1379">
        <f t="shared" si="167"/>
        <v>1000</v>
      </c>
      <c r="AB1379" t="str">
        <f t="shared" si="168"/>
        <v/>
      </c>
      <c r="AC1379">
        <f t="shared" si="165"/>
        <v>1000</v>
      </c>
      <c r="AD1379" s="6"/>
    </row>
    <row r="1380" spans="1:30" x14ac:dyDescent="0.2">
      <c r="A1380" t="str">
        <f t="shared" si="166"/>
        <v/>
      </c>
      <c r="X1380" t="str" cm="1">
        <f t="array" ref="X1380">IF(S1380="","",IF($I1380&lt;&gt;"",$I1380,INDEX($I$2:$I1379,ROW()-COUNTIFS($T$2:$T1379,"="&amp;$T1380,$S$2:$S1379,"&lt;&gt;"&amp;$S1380)-1)))</f>
        <v/>
      </c>
      <c r="Y1380" t="b">
        <f>IF(X1380&lt;&gt;"",VLOOKUP(X1380,game_rosters!$C$43:$E$64,3,FALSE))</f>
        <v>0</v>
      </c>
      <c r="Z1380" t="e" cm="1" vm="1">
        <f t="array" aca="1" ref="Z1380" ca="1">IFERROR(IF(_xlfn._xlws.FILTER(game_rosters!$J:$J,(game_rosters!$G:$G=events!$AN1380)*(game_rosters!$J:$J=events!$X1380))&gt;0,1,""),"")</f>
        <v>#VALUE!</v>
      </c>
      <c r="AA1380">
        <f t="shared" si="167"/>
        <v>1000</v>
      </c>
      <c r="AB1380" t="str">
        <f t="shared" si="168"/>
        <v/>
      </c>
      <c r="AC1380">
        <f t="shared" si="165"/>
        <v>1000</v>
      </c>
      <c r="AD1380" s="6"/>
    </row>
    <row r="1381" spans="1:30" x14ac:dyDescent="0.2">
      <c r="A1381" t="str">
        <f t="shared" si="166"/>
        <v/>
      </c>
      <c r="X1381" t="str" cm="1">
        <f t="array" ref="X1381">IF(S1381="","",IF($I1381&lt;&gt;"",$I1381,INDEX($I$2:$I1380,ROW()-COUNTIFS($T$2:$T1380,"="&amp;$T1381,$S$2:$S1380,"&lt;&gt;"&amp;$S1381)-1)))</f>
        <v/>
      </c>
      <c r="Y1381" t="b">
        <f>IF(X1381&lt;&gt;"",VLOOKUP(X1381,game_rosters!$C$43:$E$64,3,FALSE))</f>
        <v>0</v>
      </c>
      <c r="Z1381" t="e" cm="1" vm="1">
        <f t="array" aca="1" ref="Z1381" ca="1">IFERROR(IF(_xlfn._xlws.FILTER(game_rosters!$J:$J,(game_rosters!$G:$G=events!$AN1381)*(game_rosters!$J:$J=events!$X1381))&gt;0,1,""),"")</f>
        <v>#VALUE!</v>
      </c>
      <c r="AA1381">
        <f t="shared" si="167"/>
        <v>1000</v>
      </c>
      <c r="AB1381" t="str">
        <f t="shared" si="168"/>
        <v/>
      </c>
      <c r="AC1381">
        <f t="shared" si="165"/>
        <v>1000</v>
      </c>
      <c r="AD1381" s="6"/>
    </row>
    <row r="1382" spans="1:30" x14ac:dyDescent="0.2">
      <c r="A1382" t="str">
        <f t="shared" si="166"/>
        <v/>
      </c>
      <c r="X1382" t="str" cm="1">
        <f t="array" ref="X1382">IF(S1382="","",IF($I1382&lt;&gt;"",$I1382,INDEX($I$2:$I1381,ROW()-COUNTIFS($T$2:$T1381,"="&amp;$T1382,$S$2:$S1381,"&lt;&gt;"&amp;$S1382)-1)))</f>
        <v/>
      </c>
      <c r="Y1382" t="b">
        <f>IF(X1382&lt;&gt;"",VLOOKUP(X1382,game_rosters!$C$43:$E$64,3,FALSE))</f>
        <v>0</v>
      </c>
      <c r="Z1382" t="e" cm="1" vm="1">
        <f t="array" aca="1" ref="Z1382" ca="1">IFERROR(IF(_xlfn._xlws.FILTER(game_rosters!$J:$J,(game_rosters!$G:$G=events!$AN1382)*(game_rosters!$J:$J=events!$X1382))&gt;0,1,""),"")</f>
        <v>#VALUE!</v>
      </c>
      <c r="AA1382">
        <f t="shared" si="167"/>
        <v>1000</v>
      </c>
      <c r="AB1382" t="str">
        <f t="shared" si="168"/>
        <v/>
      </c>
      <c r="AC1382">
        <f t="shared" si="165"/>
        <v>1000</v>
      </c>
      <c r="AD1382" s="6"/>
    </row>
    <row r="1383" spans="1:30" x14ac:dyDescent="0.2">
      <c r="A1383" t="str">
        <f t="shared" si="166"/>
        <v/>
      </c>
      <c r="X1383" t="str" cm="1">
        <f t="array" ref="X1383">IF(S1383="","",IF($I1383&lt;&gt;"",$I1383,INDEX($I$2:$I1382,ROW()-COUNTIFS($T$2:$T1382,"="&amp;$T1383,$S$2:$S1382,"&lt;&gt;"&amp;$S1383)-1)))</f>
        <v/>
      </c>
      <c r="Y1383" t="b">
        <f>IF(X1383&lt;&gt;"",VLOOKUP(X1383,game_rosters!$C$43:$E$64,3,FALSE))</f>
        <v>0</v>
      </c>
      <c r="Z1383" t="e" cm="1" vm="1">
        <f t="array" aca="1" ref="Z1383" ca="1">IFERROR(IF(_xlfn._xlws.FILTER(game_rosters!$J:$J,(game_rosters!$G:$G=events!$AN1383)*(game_rosters!$J:$J=events!$X1383))&gt;0,1,""),"")</f>
        <v>#VALUE!</v>
      </c>
      <c r="AA1383">
        <f t="shared" si="167"/>
        <v>1000</v>
      </c>
      <c r="AB1383" t="str">
        <f t="shared" si="168"/>
        <v/>
      </c>
      <c r="AC1383">
        <f t="shared" si="165"/>
        <v>1000</v>
      </c>
      <c r="AD1383" s="6"/>
    </row>
    <row r="1384" spans="1:30" x14ac:dyDescent="0.2">
      <c r="A1384" t="str">
        <f t="shared" si="166"/>
        <v/>
      </c>
      <c r="X1384" t="str" cm="1">
        <f t="array" ref="X1384">IF(S1384="","",IF($I1384&lt;&gt;"",$I1384,INDEX($I$2:$I1383,ROW()-COUNTIFS($T$2:$T1383,"="&amp;$T1384,$S$2:$S1383,"&lt;&gt;"&amp;$S1384)-1)))</f>
        <v/>
      </c>
      <c r="Y1384" t="b">
        <f>IF(X1384&lt;&gt;"",VLOOKUP(X1384,game_rosters!$C$43:$E$64,3,FALSE))</f>
        <v>0</v>
      </c>
      <c r="Z1384" t="e" cm="1" vm="1">
        <f t="array" aca="1" ref="Z1384" ca="1">IFERROR(IF(_xlfn._xlws.FILTER(game_rosters!$J:$J,(game_rosters!$G:$G=events!$AN1384)*(game_rosters!$J:$J=events!$X1384))&gt;0,1,""),"")</f>
        <v>#VALUE!</v>
      </c>
      <c r="AA1384">
        <f t="shared" si="167"/>
        <v>1000</v>
      </c>
      <c r="AB1384" t="str">
        <f t="shared" si="168"/>
        <v/>
      </c>
      <c r="AC1384">
        <f t="shared" si="165"/>
        <v>1000</v>
      </c>
      <c r="AD1384" s="6"/>
    </row>
    <row r="1385" spans="1:30" x14ac:dyDescent="0.2">
      <c r="A1385" t="str">
        <f t="shared" si="166"/>
        <v/>
      </c>
      <c r="X1385" t="str" cm="1">
        <f t="array" ref="X1385">IF(S1385="","",IF($I1385&lt;&gt;"",$I1385,INDEX($I$2:$I1384,ROW()-COUNTIFS($T$2:$T1384,"="&amp;$T1385,$S$2:$S1384,"&lt;&gt;"&amp;$S1385)-1)))</f>
        <v/>
      </c>
      <c r="Y1385" t="b">
        <f>IF(X1385&lt;&gt;"",VLOOKUP(X1385,game_rosters!$C$43:$E$64,3,FALSE))</f>
        <v>0</v>
      </c>
      <c r="Z1385" t="e" cm="1" vm="1">
        <f t="array" aca="1" ref="Z1385" ca="1">IFERROR(IF(_xlfn._xlws.FILTER(game_rosters!$J:$J,(game_rosters!$G:$G=events!$AN1385)*(game_rosters!$J:$J=events!$X1385))&gt;0,1,""),"")</f>
        <v>#VALUE!</v>
      </c>
      <c r="AA1385">
        <f t="shared" si="167"/>
        <v>1000</v>
      </c>
      <c r="AB1385" t="str">
        <f t="shared" si="168"/>
        <v/>
      </c>
      <c r="AC1385">
        <f t="shared" si="165"/>
        <v>1000</v>
      </c>
      <c r="AD1385" s="6"/>
    </row>
    <row r="1386" spans="1:30" x14ac:dyDescent="0.2">
      <c r="A1386" t="str">
        <f t="shared" si="166"/>
        <v/>
      </c>
      <c r="X1386" t="str" cm="1">
        <f t="array" ref="X1386">IF(S1386="","",IF($I1386&lt;&gt;"",$I1386,INDEX($I$2:$I1385,ROW()-COUNTIFS($T$2:$T1385,"="&amp;$T1386,$S$2:$S1385,"&lt;&gt;"&amp;$S1386)-1)))</f>
        <v/>
      </c>
      <c r="Y1386" t="b">
        <f>IF(X1386&lt;&gt;"",VLOOKUP(X1386,game_rosters!$C$43:$E$64,3,FALSE))</f>
        <v>0</v>
      </c>
      <c r="Z1386" t="e" cm="1" vm="1">
        <f t="array" aca="1" ref="Z1386" ca="1">IFERROR(IF(_xlfn._xlws.FILTER(game_rosters!$J:$J,(game_rosters!$G:$G=events!$AN1386)*(game_rosters!$J:$J=events!$X1386))&gt;0,1,""),"")</f>
        <v>#VALUE!</v>
      </c>
      <c r="AA1386">
        <f t="shared" si="167"/>
        <v>1000</v>
      </c>
      <c r="AB1386" t="str">
        <f t="shared" si="168"/>
        <v/>
      </c>
      <c r="AC1386">
        <f t="shared" si="165"/>
        <v>1000</v>
      </c>
      <c r="AD1386" s="6"/>
    </row>
    <row r="1387" spans="1:30" x14ac:dyDescent="0.2">
      <c r="A1387" t="str">
        <f t="shared" si="166"/>
        <v/>
      </c>
      <c r="X1387" t="str" cm="1">
        <f t="array" ref="X1387">IF(S1387="","",IF($I1387&lt;&gt;"",$I1387,INDEX($I$2:$I1386,ROW()-COUNTIFS($T$2:$T1386,"="&amp;$T1387,$S$2:$S1386,"&lt;&gt;"&amp;$S1387)-1)))</f>
        <v/>
      </c>
      <c r="Y1387" t="b">
        <f>IF(X1387&lt;&gt;"",VLOOKUP(X1387,game_rosters!$C$43:$E$64,3,FALSE))</f>
        <v>0</v>
      </c>
      <c r="Z1387" t="e" cm="1" vm="1">
        <f t="array" aca="1" ref="Z1387" ca="1">IFERROR(IF(_xlfn._xlws.FILTER(game_rosters!$J:$J,(game_rosters!$G:$G=events!$AN1387)*(game_rosters!$J:$J=events!$X1387))&gt;0,1,""),"")</f>
        <v>#VALUE!</v>
      </c>
      <c r="AA1387">
        <f t="shared" si="167"/>
        <v>1000</v>
      </c>
      <c r="AB1387" t="str">
        <f t="shared" si="168"/>
        <v/>
      </c>
      <c r="AC1387">
        <f t="shared" si="165"/>
        <v>1000</v>
      </c>
      <c r="AD1387" s="6"/>
    </row>
    <row r="1388" spans="1:30" x14ac:dyDescent="0.2">
      <c r="A1388" t="str">
        <f t="shared" si="166"/>
        <v/>
      </c>
      <c r="X1388" t="str" cm="1">
        <f t="array" ref="X1388">IF(S1388="","",IF($I1388&lt;&gt;"",$I1388,INDEX($I$2:$I1387,ROW()-COUNTIFS($T$2:$T1387,"="&amp;$T1388,$S$2:$S1387,"&lt;&gt;"&amp;$S1388)-1)))</f>
        <v/>
      </c>
      <c r="Y1388" t="b">
        <f>IF(X1388&lt;&gt;"",VLOOKUP(X1388,game_rosters!$C$43:$E$64,3,FALSE))</f>
        <v>0</v>
      </c>
      <c r="Z1388" t="e" cm="1" vm="1">
        <f t="array" aca="1" ref="Z1388" ca="1">IFERROR(IF(_xlfn._xlws.FILTER(game_rosters!$J:$J,(game_rosters!$G:$G=events!$AN1388)*(game_rosters!$J:$J=events!$X1388))&gt;0,1,""),"")</f>
        <v>#VALUE!</v>
      </c>
      <c r="AA1388">
        <f t="shared" si="167"/>
        <v>1000</v>
      </c>
      <c r="AB1388" t="str">
        <f t="shared" si="168"/>
        <v/>
      </c>
      <c r="AC1388">
        <f t="shared" si="165"/>
        <v>1000</v>
      </c>
      <c r="AD1388" s="6"/>
    </row>
    <row r="1389" spans="1:30" x14ac:dyDescent="0.2">
      <c r="A1389" t="str">
        <f t="shared" si="166"/>
        <v/>
      </c>
      <c r="X1389" t="str" cm="1">
        <f t="array" ref="X1389">IF(S1389="","",IF($I1389&lt;&gt;"",$I1389,INDEX($I$2:$I1388,ROW()-COUNTIFS($T$2:$T1388,"="&amp;$T1389,$S$2:$S1388,"&lt;&gt;"&amp;$S1389)-1)))</f>
        <v/>
      </c>
      <c r="Y1389" t="b">
        <f>IF(X1389&lt;&gt;"",VLOOKUP(X1389,game_rosters!$C$43:$E$64,3,FALSE))</f>
        <v>0</v>
      </c>
      <c r="Z1389" t="e" cm="1" vm="1">
        <f t="array" aca="1" ref="Z1389" ca="1">IFERROR(IF(_xlfn._xlws.FILTER(game_rosters!$J:$J,(game_rosters!$G:$G=events!$AN1389)*(game_rosters!$J:$J=events!$X1389))&gt;0,1,""),"")</f>
        <v>#VALUE!</v>
      </c>
      <c r="AA1389">
        <f t="shared" si="167"/>
        <v>1000</v>
      </c>
      <c r="AB1389" t="str">
        <f t="shared" si="168"/>
        <v/>
      </c>
      <c r="AC1389">
        <f t="shared" si="165"/>
        <v>1000</v>
      </c>
      <c r="AD1389" s="6"/>
    </row>
    <row r="1390" spans="1:30" x14ac:dyDescent="0.2">
      <c r="A1390" t="str">
        <f t="shared" si="166"/>
        <v/>
      </c>
      <c r="X1390" t="str" cm="1">
        <f t="array" ref="X1390">IF(S1390="","",IF($I1390&lt;&gt;"",$I1390,INDEX($I$2:$I1389,ROW()-COUNTIFS($T$2:$T1389,"="&amp;$T1390,$S$2:$S1389,"&lt;&gt;"&amp;$S1390)-1)))</f>
        <v/>
      </c>
      <c r="Y1390" t="b">
        <f>IF(X1390&lt;&gt;"",VLOOKUP(X1390,game_rosters!$C$43:$E$64,3,FALSE))</f>
        <v>0</v>
      </c>
      <c r="Z1390" t="e" cm="1" vm="1">
        <f t="array" aca="1" ref="Z1390" ca="1">IFERROR(IF(_xlfn._xlws.FILTER(game_rosters!$J:$J,(game_rosters!$G:$G=events!$AN1390)*(game_rosters!$J:$J=events!$X1390))&gt;0,1,""),"")</f>
        <v>#VALUE!</v>
      </c>
      <c r="AA1390">
        <f t="shared" si="167"/>
        <v>1000</v>
      </c>
      <c r="AB1390" t="str">
        <f t="shared" si="168"/>
        <v/>
      </c>
      <c r="AC1390">
        <f t="shared" si="165"/>
        <v>1000</v>
      </c>
      <c r="AD1390" s="6"/>
    </row>
    <row r="1391" spans="1:30" x14ac:dyDescent="0.2">
      <c r="A1391" t="str">
        <f t="shared" si="166"/>
        <v/>
      </c>
      <c r="X1391" t="str" cm="1">
        <f t="array" ref="X1391">IF(S1391="","",IF($I1391&lt;&gt;"",$I1391,INDEX($I$2:$I1390,ROW()-COUNTIFS($T$2:$T1390,"="&amp;$T1391,$S$2:$S1390,"&lt;&gt;"&amp;$S1391)-1)))</f>
        <v/>
      </c>
      <c r="Y1391" t="b">
        <f>IF(X1391&lt;&gt;"",VLOOKUP(X1391,game_rosters!$C$43:$E$64,3,FALSE))</f>
        <v>0</v>
      </c>
      <c r="Z1391" t="e" cm="1" vm="1">
        <f t="array" aca="1" ref="Z1391" ca="1">IFERROR(IF(_xlfn._xlws.FILTER(game_rosters!$J:$J,(game_rosters!$G:$G=events!$AN1391)*(game_rosters!$J:$J=events!$X1391))&gt;0,1,""),"")</f>
        <v>#VALUE!</v>
      </c>
      <c r="AA1391">
        <f t="shared" si="167"/>
        <v>1000</v>
      </c>
      <c r="AB1391" t="str">
        <f t="shared" si="168"/>
        <v/>
      </c>
      <c r="AC1391">
        <f t="shared" si="165"/>
        <v>1000</v>
      </c>
      <c r="AD1391" s="6"/>
    </row>
    <row r="1392" spans="1:30" x14ac:dyDescent="0.2">
      <c r="A1392" t="str">
        <f t="shared" si="166"/>
        <v/>
      </c>
      <c r="X1392" t="str" cm="1">
        <f t="array" ref="X1392">IF(S1392="","",IF($I1392&lt;&gt;"",$I1392,INDEX($I$2:$I1391,ROW()-COUNTIFS($T$2:$T1391,"="&amp;$T1392,$S$2:$S1391,"&lt;&gt;"&amp;$S1392)-1)))</f>
        <v/>
      </c>
      <c r="Y1392" t="b">
        <f>IF(X1392&lt;&gt;"",VLOOKUP(X1392,game_rosters!$C$43:$E$64,3,FALSE))</f>
        <v>0</v>
      </c>
      <c r="Z1392" t="e" cm="1" vm="1">
        <f t="array" aca="1" ref="Z1392" ca="1">IFERROR(IF(_xlfn._xlws.FILTER(game_rosters!$J:$J,(game_rosters!$G:$G=events!$AN1392)*(game_rosters!$J:$J=events!$X1392))&gt;0,1,""),"")</f>
        <v>#VALUE!</v>
      </c>
      <c r="AA1392">
        <f t="shared" si="167"/>
        <v>1000</v>
      </c>
      <c r="AB1392" t="str">
        <f t="shared" si="168"/>
        <v/>
      </c>
      <c r="AC1392">
        <f t="shared" si="165"/>
        <v>1000</v>
      </c>
      <c r="AD1392" s="6"/>
    </row>
    <row r="1393" spans="1:30" x14ac:dyDescent="0.2">
      <c r="A1393" t="str">
        <f t="shared" si="166"/>
        <v/>
      </c>
      <c r="X1393" t="str" cm="1">
        <f t="array" ref="X1393">IF(S1393="","",IF($I1393&lt;&gt;"",$I1393,INDEX($I$2:$I1392,ROW()-COUNTIFS($T$2:$T1392,"="&amp;$T1393,$S$2:$S1392,"&lt;&gt;"&amp;$S1393)-1)))</f>
        <v/>
      </c>
      <c r="Y1393" t="b">
        <f>IF(X1393&lt;&gt;"",VLOOKUP(X1393,game_rosters!$C$43:$E$64,3,FALSE))</f>
        <v>0</v>
      </c>
      <c r="Z1393" t="e" cm="1" vm="1">
        <f t="array" aca="1" ref="Z1393" ca="1">IFERROR(IF(_xlfn._xlws.FILTER(game_rosters!$J:$J,(game_rosters!$G:$G=events!$AN1393)*(game_rosters!$J:$J=events!$X1393))&gt;0,1,""),"")</f>
        <v>#VALUE!</v>
      </c>
      <c r="AA1393">
        <f t="shared" si="167"/>
        <v>1000</v>
      </c>
      <c r="AB1393" t="str">
        <f t="shared" si="168"/>
        <v/>
      </c>
      <c r="AC1393">
        <f t="shared" si="165"/>
        <v>1000</v>
      </c>
      <c r="AD1393" s="6"/>
    </row>
    <row r="1394" spans="1:30" x14ac:dyDescent="0.2">
      <c r="A1394" t="str">
        <f t="shared" si="166"/>
        <v/>
      </c>
      <c r="X1394" t="str" cm="1">
        <f t="array" ref="X1394">IF(S1394="","",IF($I1394&lt;&gt;"",$I1394,INDEX($I$2:$I1393,ROW()-COUNTIFS($T$2:$T1393,"="&amp;$T1394,$S$2:$S1393,"&lt;&gt;"&amp;$S1394)-1)))</f>
        <v/>
      </c>
      <c r="Y1394" t="b">
        <f>IF(X1394&lt;&gt;"",VLOOKUP(X1394,game_rosters!$C$43:$E$64,3,FALSE))</f>
        <v>0</v>
      </c>
      <c r="Z1394" t="e" cm="1" vm="1">
        <f t="array" aca="1" ref="Z1394" ca="1">IFERROR(IF(_xlfn._xlws.FILTER(game_rosters!$J:$J,(game_rosters!$G:$G=events!$AN1394)*(game_rosters!$J:$J=events!$X1394))&gt;0,1,""),"")</f>
        <v>#VALUE!</v>
      </c>
      <c r="AA1394">
        <f t="shared" si="167"/>
        <v>1000</v>
      </c>
      <c r="AB1394" t="str">
        <f t="shared" si="168"/>
        <v/>
      </c>
      <c r="AC1394">
        <f t="shared" si="165"/>
        <v>1000</v>
      </c>
      <c r="AD1394" s="6"/>
    </row>
    <row r="1395" spans="1:30" x14ac:dyDescent="0.2">
      <c r="A1395" t="str">
        <f t="shared" si="166"/>
        <v/>
      </c>
      <c r="X1395" t="str" cm="1">
        <f t="array" ref="X1395">IF(S1395="","",IF($I1395&lt;&gt;"",$I1395,INDEX($I$2:$I1394,ROW()-COUNTIFS($T$2:$T1394,"="&amp;$T1395,$S$2:$S1394,"&lt;&gt;"&amp;$S1395)-1)))</f>
        <v/>
      </c>
      <c r="Y1395" t="b">
        <f>IF(X1395&lt;&gt;"",VLOOKUP(X1395,game_rosters!$C$43:$E$64,3,FALSE))</f>
        <v>0</v>
      </c>
      <c r="Z1395" t="e" cm="1" vm="1">
        <f t="array" aca="1" ref="Z1395" ca="1">IFERROR(IF(_xlfn._xlws.FILTER(game_rosters!$J:$J,(game_rosters!$G:$G=events!$AN1395)*(game_rosters!$J:$J=events!$X1395))&gt;0,1,""),"")</f>
        <v>#VALUE!</v>
      </c>
      <c r="AA1395">
        <f t="shared" si="167"/>
        <v>1000</v>
      </c>
      <c r="AB1395" t="str">
        <f t="shared" si="168"/>
        <v/>
      </c>
      <c r="AC1395">
        <f t="shared" si="165"/>
        <v>1000</v>
      </c>
      <c r="AD1395" s="6"/>
    </row>
    <row r="1396" spans="1:30" x14ac:dyDescent="0.2">
      <c r="A1396" t="str">
        <f t="shared" si="166"/>
        <v/>
      </c>
      <c r="X1396" t="str" cm="1">
        <f t="array" ref="X1396">IF(S1396="","",IF($I1396&lt;&gt;"",$I1396,INDEX($I$2:$I1395,ROW()-COUNTIFS($T$2:$T1395,"="&amp;$T1396,$S$2:$S1395,"&lt;&gt;"&amp;$S1396)-1)))</f>
        <v/>
      </c>
      <c r="Y1396" t="b">
        <f>IF(X1396&lt;&gt;"",VLOOKUP(X1396,game_rosters!$C$43:$E$64,3,FALSE))</f>
        <v>0</v>
      </c>
      <c r="Z1396" t="e" cm="1" vm="1">
        <f t="array" aca="1" ref="Z1396" ca="1">IFERROR(IF(_xlfn._xlws.FILTER(game_rosters!$J:$J,(game_rosters!$G:$G=events!$AN1396)*(game_rosters!$J:$J=events!$X1396))&gt;0,1,""),"")</f>
        <v>#VALUE!</v>
      </c>
      <c r="AA1396">
        <f t="shared" si="167"/>
        <v>1000</v>
      </c>
      <c r="AB1396" t="str">
        <f t="shared" si="168"/>
        <v/>
      </c>
      <c r="AC1396">
        <f t="shared" si="165"/>
        <v>1000</v>
      </c>
      <c r="AD1396" s="6"/>
    </row>
    <row r="1397" spans="1:30" x14ac:dyDescent="0.2">
      <c r="A1397" t="str">
        <f t="shared" si="166"/>
        <v/>
      </c>
      <c r="X1397" t="str" cm="1">
        <f t="array" ref="X1397">IF(S1397="","",IF($I1397&lt;&gt;"",$I1397,INDEX($I$2:$I1396,ROW()-COUNTIFS($T$2:$T1396,"="&amp;$T1397,$S$2:$S1396,"&lt;&gt;"&amp;$S1397)-1)))</f>
        <v/>
      </c>
      <c r="Y1397" t="b">
        <f>IF(X1397&lt;&gt;"",VLOOKUP(X1397,game_rosters!$C$43:$E$64,3,FALSE))</f>
        <v>0</v>
      </c>
      <c r="Z1397" t="e" cm="1" vm="1">
        <f t="array" aca="1" ref="Z1397" ca="1">IFERROR(IF(_xlfn._xlws.FILTER(game_rosters!$J:$J,(game_rosters!$G:$G=events!$AN1397)*(game_rosters!$J:$J=events!$X1397))&gt;0,1,""),"")</f>
        <v>#VALUE!</v>
      </c>
      <c r="AA1397">
        <f t="shared" si="167"/>
        <v>1000</v>
      </c>
      <c r="AB1397" t="str">
        <f t="shared" si="168"/>
        <v/>
      </c>
      <c r="AC1397">
        <f t="shared" si="165"/>
        <v>1000</v>
      </c>
      <c r="AD1397" s="6"/>
    </row>
    <row r="1398" spans="1:30" x14ac:dyDescent="0.2">
      <c r="A1398" t="str">
        <f t="shared" si="166"/>
        <v/>
      </c>
      <c r="X1398" t="str" cm="1">
        <f t="array" ref="X1398">IF(S1398="","",IF($I1398&lt;&gt;"",$I1398,INDEX($I$2:$I1397,ROW()-COUNTIFS($T$2:$T1397,"="&amp;$T1398,$S$2:$S1397,"&lt;&gt;"&amp;$S1398)-1)))</f>
        <v/>
      </c>
      <c r="Y1398" t="b">
        <f>IF(X1398&lt;&gt;"",VLOOKUP(X1398,game_rosters!$C$43:$E$64,3,FALSE))</f>
        <v>0</v>
      </c>
      <c r="Z1398" t="e" cm="1" vm="1">
        <f t="array" aca="1" ref="Z1398" ca="1">IFERROR(IF(_xlfn._xlws.FILTER(game_rosters!$J:$J,(game_rosters!$G:$G=events!$AN1398)*(game_rosters!$J:$J=events!$X1398))&gt;0,1,""),"")</f>
        <v>#VALUE!</v>
      </c>
      <c r="AA1398">
        <f t="shared" si="167"/>
        <v>1000</v>
      </c>
      <c r="AB1398" t="str">
        <f t="shared" si="168"/>
        <v/>
      </c>
      <c r="AC1398">
        <f t="shared" si="165"/>
        <v>1000</v>
      </c>
      <c r="AD1398" s="6"/>
    </row>
    <row r="1399" spans="1:30" x14ac:dyDescent="0.2">
      <c r="A1399" t="str">
        <f t="shared" si="166"/>
        <v/>
      </c>
      <c r="X1399" t="str" cm="1">
        <f t="array" ref="X1399">IF(S1399="","",IF($I1399&lt;&gt;"",$I1399,INDEX($I$2:$I1398,ROW()-COUNTIFS($T$2:$T1398,"="&amp;$T1399,$S$2:$S1398,"&lt;&gt;"&amp;$S1399)-1)))</f>
        <v/>
      </c>
      <c r="Y1399" t="b">
        <f>IF(X1399&lt;&gt;"",VLOOKUP(X1399,game_rosters!$C$43:$E$64,3,FALSE))</f>
        <v>0</v>
      </c>
      <c r="Z1399" t="e" cm="1" vm="1">
        <f t="array" aca="1" ref="Z1399" ca="1">IFERROR(IF(_xlfn._xlws.FILTER(game_rosters!$J:$J,(game_rosters!$G:$G=events!$AN1399)*(game_rosters!$J:$J=events!$X1399))&gt;0,1,""),"")</f>
        <v>#VALUE!</v>
      </c>
      <c r="AA1399">
        <f t="shared" si="167"/>
        <v>1000</v>
      </c>
      <c r="AB1399" t="str">
        <f t="shared" si="168"/>
        <v/>
      </c>
      <c r="AC1399">
        <f t="shared" si="165"/>
        <v>1000</v>
      </c>
      <c r="AD1399" s="6"/>
    </row>
    <row r="1400" spans="1:30" x14ac:dyDescent="0.2">
      <c r="A1400" t="str">
        <f t="shared" si="166"/>
        <v/>
      </c>
      <c r="X1400" t="str" cm="1">
        <f t="array" ref="X1400">IF(S1400="","",IF($I1400&lt;&gt;"",$I1400,INDEX($I$2:$I1399,ROW()-COUNTIFS($T$2:$T1399,"="&amp;$T1400,$S$2:$S1399,"&lt;&gt;"&amp;$S1400)-1)))</f>
        <v/>
      </c>
      <c r="Y1400" t="b">
        <f>IF(X1400&lt;&gt;"",VLOOKUP(X1400,game_rosters!$C$43:$E$64,3,FALSE))</f>
        <v>0</v>
      </c>
      <c r="Z1400" t="e" cm="1" vm="1">
        <f t="array" aca="1" ref="Z1400" ca="1">IFERROR(IF(_xlfn._xlws.FILTER(game_rosters!$J:$J,(game_rosters!$G:$G=events!$AN1400)*(game_rosters!$J:$J=events!$X1400))&gt;0,1,""),"")</f>
        <v>#VALUE!</v>
      </c>
      <c r="AA1400">
        <f t="shared" si="167"/>
        <v>1000</v>
      </c>
      <c r="AB1400" t="str">
        <f t="shared" si="168"/>
        <v/>
      </c>
      <c r="AC1400">
        <f t="shared" si="165"/>
        <v>1000</v>
      </c>
      <c r="AD1400" s="6"/>
    </row>
    <row r="1401" spans="1:30" x14ac:dyDescent="0.2">
      <c r="A1401" t="str">
        <f t="shared" si="166"/>
        <v/>
      </c>
      <c r="X1401" t="str" cm="1">
        <f t="array" ref="X1401">IF(S1401="","",IF($I1401&lt;&gt;"",$I1401,INDEX($I$2:$I1400,ROW()-COUNTIFS($T$2:$T1400,"="&amp;$T1401,$S$2:$S1400,"&lt;&gt;"&amp;$S1401)-1)))</f>
        <v/>
      </c>
      <c r="Y1401" t="b">
        <f>IF(X1401&lt;&gt;"",VLOOKUP(X1401,game_rosters!$C$43:$E$64,3,FALSE))</f>
        <v>0</v>
      </c>
      <c r="Z1401" t="e" cm="1" vm="1">
        <f t="array" aca="1" ref="Z1401" ca="1">IFERROR(IF(_xlfn._xlws.FILTER(game_rosters!$J:$J,(game_rosters!$G:$G=events!$AN1401)*(game_rosters!$J:$J=events!$X1401))&gt;0,1,""),"")</f>
        <v>#VALUE!</v>
      </c>
      <c r="AA1401">
        <f t="shared" si="167"/>
        <v>1000</v>
      </c>
      <c r="AB1401" t="str">
        <f t="shared" si="168"/>
        <v/>
      </c>
      <c r="AC1401">
        <f t="shared" si="165"/>
        <v>1000</v>
      </c>
      <c r="AD1401" s="6"/>
    </row>
    <row r="1402" spans="1:30" x14ac:dyDescent="0.2">
      <c r="A1402" t="str">
        <f t="shared" si="166"/>
        <v/>
      </c>
      <c r="X1402" t="str" cm="1">
        <f t="array" ref="X1402">IF(S1402="","",IF($I1402&lt;&gt;"",$I1402,INDEX($I$2:$I1401,ROW()-COUNTIFS($T$2:$T1401,"="&amp;$T1402,$S$2:$S1401,"&lt;&gt;"&amp;$S1402)-1)))</f>
        <v/>
      </c>
      <c r="Y1402" t="b">
        <f>IF(X1402&lt;&gt;"",VLOOKUP(X1402,game_rosters!$C$43:$E$64,3,FALSE))</f>
        <v>0</v>
      </c>
      <c r="Z1402" t="e" cm="1" vm="1">
        <f t="array" aca="1" ref="Z1402" ca="1">IFERROR(IF(_xlfn._xlws.FILTER(game_rosters!$J:$J,(game_rosters!$G:$G=events!$AN1402)*(game_rosters!$J:$J=events!$X1402))&gt;0,1,""),"")</f>
        <v>#VALUE!</v>
      </c>
      <c r="AA1402">
        <f t="shared" si="167"/>
        <v>1000</v>
      </c>
      <c r="AB1402" t="str">
        <f t="shared" si="168"/>
        <v/>
      </c>
      <c r="AC1402">
        <f t="shared" si="165"/>
        <v>1000</v>
      </c>
      <c r="AD1402" s="6"/>
    </row>
    <row r="1403" spans="1:30" x14ac:dyDescent="0.2">
      <c r="A1403" t="str">
        <f t="shared" si="166"/>
        <v/>
      </c>
      <c r="X1403" t="str" cm="1">
        <f t="array" ref="X1403">IF(S1403="","",IF($I1403&lt;&gt;"",$I1403,INDEX($I$2:$I1402,ROW()-COUNTIFS($T$2:$T1402,"="&amp;$T1403,$S$2:$S1402,"&lt;&gt;"&amp;$S1403)-1)))</f>
        <v/>
      </c>
      <c r="Y1403" t="b">
        <f>IF(X1403&lt;&gt;"",VLOOKUP(X1403,game_rosters!$C$43:$E$64,3,FALSE))</f>
        <v>0</v>
      </c>
      <c r="Z1403" t="e" cm="1" vm="1">
        <f t="array" aca="1" ref="Z1403" ca="1">IFERROR(IF(_xlfn._xlws.FILTER(game_rosters!$J:$J,(game_rosters!$G:$G=events!$AN1403)*(game_rosters!$J:$J=events!$X1403))&gt;0,1,""),"")</f>
        <v>#VALUE!</v>
      </c>
      <c r="AA1403">
        <f t="shared" si="167"/>
        <v>1000</v>
      </c>
      <c r="AB1403" t="str">
        <f t="shared" si="168"/>
        <v/>
      </c>
      <c r="AC1403">
        <f t="shared" si="165"/>
        <v>1000</v>
      </c>
      <c r="AD1403" s="6"/>
    </row>
    <row r="1404" spans="1:30" x14ac:dyDescent="0.2">
      <c r="A1404" t="str">
        <f t="shared" si="166"/>
        <v/>
      </c>
      <c r="X1404" t="str" cm="1">
        <f t="array" ref="X1404">IF(S1404="","",IF($I1404&lt;&gt;"",$I1404,INDEX($I$2:$I1403,ROW()-COUNTIFS($T$2:$T1403,"="&amp;$T1404,$S$2:$S1403,"&lt;&gt;"&amp;$S1404)-1)))</f>
        <v/>
      </c>
      <c r="Y1404" t="b">
        <f>IF(X1404&lt;&gt;"",VLOOKUP(X1404,game_rosters!$C$43:$E$64,3,FALSE))</f>
        <v>0</v>
      </c>
      <c r="Z1404" t="e" cm="1" vm="1">
        <f t="array" aca="1" ref="Z1404" ca="1">IFERROR(IF(_xlfn._xlws.FILTER(game_rosters!$J:$J,(game_rosters!$G:$G=events!$AN1404)*(game_rosters!$J:$J=events!$X1404))&gt;0,1,""),"")</f>
        <v>#VALUE!</v>
      </c>
      <c r="AA1404">
        <f t="shared" si="167"/>
        <v>1000</v>
      </c>
      <c r="AB1404" t="str">
        <f t="shared" si="168"/>
        <v/>
      </c>
      <c r="AC1404">
        <f t="shared" si="165"/>
        <v>1000</v>
      </c>
      <c r="AD1404" s="6"/>
    </row>
    <row r="1405" spans="1:30" x14ac:dyDescent="0.2">
      <c r="A1405" t="str">
        <f t="shared" si="166"/>
        <v/>
      </c>
      <c r="X1405" t="str" cm="1">
        <f t="array" ref="X1405">IF(S1405="","",IF($I1405&lt;&gt;"",$I1405,INDEX($I$2:$I1404,ROW()-COUNTIFS($T$2:$T1404,"="&amp;$T1405,$S$2:$S1404,"&lt;&gt;"&amp;$S1405)-1)))</f>
        <v/>
      </c>
      <c r="Y1405" t="b">
        <f>IF(X1405&lt;&gt;"",VLOOKUP(X1405,game_rosters!$C$43:$E$64,3,FALSE))</f>
        <v>0</v>
      </c>
      <c r="Z1405" t="e" cm="1" vm="1">
        <f t="array" aca="1" ref="Z1405" ca="1">IFERROR(IF(_xlfn._xlws.FILTER(game_rosters!$J:$J,(game_rosters!$G:$G=events!$AN1405)*(game_rosters!$J:$J=events!$X1405))&gt;0,1,""),"")</f>
        <v>#VALUE!</v>
      </c>
      <c r="AA1405">
        <f t="shared" si="167"/>
        <v>1000</v>
      </c>
      <c r="AB1405" t="str">
        <f t="shared" si="168"/>
        <v/>
      </c>
      <c r="AC1405">
        <f t="shared" si="165"/>
        <v>1000</v>
      </c>
      <c r="AD1405" s="6"/>
    </row>
    <row r="1406" spans="1:30" x14ac:dyDescent="0.2">
      <c r="A1406" t="str">
        <f t="shared" si="166"/>
        <v/>
      </c>
      <c r="X1406" t="str" cm="1">
        <f t="array" ref="X1406">IF(S1406="","",IF($I1406&lt;&gt;"",$I1406,INDEX($I$2:$I1405,ROW()-COUNTIFS($T$2:$T1405,"="&amp;$T1406,$S$2:$S1405,"&lt;&gt;"&amp;$S1406)-1)))</f>
        <v/>
      </c>
      <c r="Y1406" t="b">
        <f>IF(X1406&lt;&gt;"",VLOOKUP(X1406,game_rosters!$C$43:$E$64,3,FALSE))</f>
        <v>0</v>
      </c>
      <c r="Z1406" t="e" cm="1" vm="1">
        <f t="array" aca="1" ref="Z1406" ca="1">IFERROR(IF(_xlfn._xlws.FILTER(game_rosters!$J:$J,(game_rosters!$G:$G=events!$AN1406)*(game_rosters!$J:$J=events!$X1406))&gt;0,1,""),"")</f>
        <v>#VALUE!</v>
      </c>
      <c r="AA1406">
        <f t="shared" si="167"/>
        <v>1000</v>
      </c>
      <c r="AB1406" t="str">
        <f t="shared" si="168"/>
        <v/>
      </c>
      <c r="AC1406">
        <f t="shared" si="165"/>
        <v>1000</v>
      </c>
      <c r="AD1406" s="6"/>
    </row>
    <row r="1407" spans="1:30" x14ac:dyDescent="0.2">
      <c r="A1407" t="str">
        <f t="shared" si="166"/>
        <v/>
      </c>
      <c r="X1407" t="str" cm="1">
        <f t="array" ref="X1407">IF(S1407="","",IF($I1407&lt;&gt;"",$I1407,INDEX($I$2:$I1406,ROW()-COUNTIFS($T$2:$T1406,"="&amp;$T1407,$S$2:$S1406,"&lt;&gt;"&amp;$S1407)-1)))</f>
        <v/>
      </c>
      <c r="Y1407" t="b">
        <f>IF(X1407&lt;&gt;"",VLOOKUP(X1407,game_rosters!$C$43:$E$64,3,FALSE))</f>
        <v>0</v>
      </c>
      <c r="Z1407" t="e" cm="1" vm="1">
        <f t="array" aca="1" ref="Z1407" ca="1">IFERROR(IF(_xlfn._xlws.FILTER(game_rosters!$J:$J,(game_rosters!$G:$G=events!$AN1407)*(game_rosters!$J:$J=events!$X1407))&gt;0,1,""),"")</f>
        <v>#VALUE!</v>
      </c>
      <c r="AA1407">
        <f t="shared" si="167"/>
        <v>1000</v>
      </c>
      <c r="AB1407" t="str">
        <f t="shared" si="168"/>
        <v/>
      </c>
      <c r="AC1407">
        <f t="shared" si="165"/>
        <v>1000</v>
      </c>
      <c r="AD1407" s="6"/>
    </row>
    <row r="1408" spans="1:30" x14ac:dyDescent="0.2">
      <c r="A1408" t="str">
        <f t="shared" si="166"/>
        <v/>
      </c>
      <c r="X1408" t="str" cm="1">
        <f t="array" ref="X1408">IF(S1408="","",IF($I1408&lt;&gt;"",$I1408,INDEX($I$2:$I1407,ROW()-COUNTIFS($T$2:$T1407,"="&amp;$T1408,$S$2:$S1407,"&lt;&gt;"&amp;$S1408)-1)))</f>
        <v/>
      </c>
      <c r="Y1408" t="b">
        <f>IF(X1408&lt;&gt;"",VLOOKUP(X1408,game_rosters!$C$43:$E$64,3,FALSE))</f>
        <v>0</v>
      </c>
      <c r="Z1408" t="e" cm="1" vm="1">
        <f t="array" aca="1" ref="Z1408" ca="1">IFERROR(IF(_xlfn._xlws.FILTER(game_rosters!$J:$J,(game_rosters!$G:$G=events!$AN1408)*(game_rosters!$J:$J=events!$X1408))&gt;0,1,""),"")</f>
        <v>#VALUE!</v>
      </c>
      <c r="AA1408">
        <f t="shared" si="167"/>
        <v>1000</v>
      </c>
      <c r="AB1408" t="str">
        <f t="shared" si="168"/>
        <v/>
      </c>
      <c r="AC1408">
        <f t="shared" si="165"/>
        <v>1000</v>
      </c>
      <c r="AD1408" s="6"/>
    </row>
    <row r="1409" spans="1:30" x14ac:dyDescent="0.2">
      <c r="A1409" t="str">
        <f t="shared" si="166"/>
        <v/>
      </c>
      <c r="X1409" t="str" cm="1">
        <f t="array" ref="X1409">IF(S1409="","",IF($I1409&lt;&gt;"",$I1409,INDEX($I$2:$I1408,ROW()-COUNTIFS($T$2:$T1408,"="&amp;$T1409,$S$2:$S1408,"&lt;&gt;"&amp;$S1409)-1)))</f>
        <v/>
      </c>
      <c r="Y1409" t="b">
        <f>IF(X1409&lt;&gt;"",VLOOKUP(X1409,game_rosters!$C$43:$E$64,3,FALSE))</f>
        <v>0</v>
      </c>
      <c r="Z1409" t="e" cm="1" vm="1">
        <f t="array" aca="1" ref="Z1409" ca="1">IFERROR(IF(_xlfn._xlws.FILTER(game_rosters!$J:$J,(game_rosters!$G:$G=events!$AN1409)*(game_rosters!$J:$J=events!$X1409))&gt;0,1,""),"")</f>
        <v>#VALUE!</v>
      </c>
      <c r="AA1409">
        <f t="shared" si="167"/>
        <v>1000</v>
      </c>
      <c r="AB1409" t="str">
        <f t="shared" si="168"/>
        <v/>
      </c>
      <c r="AC1409">
        <f t="shared" si="165"/>
        <v>1000</v>
      </c>
      <c r="AD1409" s="6"/>
    </row>
    <row r="1410" spans="1:30" x14ac:dyDescent="0.2">
      <c r="A1410" t="str">
        <f t="shared" si="166"/>
        <v/>
      </c>
      <c r="X1410" t="str" cm="1">
        <f t="array" ref="X1410">IF(S1410="","",IF($I1410&lt;&gt;"",$I1410,INDEX($I$2:$I1409,ROW()-COUNTIFS($T$2:$T1409,"="&amp;$T1410,$S$2:$S1409,"&lt;&gt;"&amp;$S1410)-1)))</f>
        <v/>
      </c>
      <c r="Y1410" t="b">
        <f>IF(X1410&lt;&gt;"",VLOOKUP(X1410,game_rosters!$C$43:$E$64,3,FALSE))</f>
        <v>0</v>
      </c>
      <c r="Z1410" t="e" cm="1" vm="1">
        <f t="array" aca="1" ref="Z1410" ca="1">IFERROR(IF(_xlfn._xlws.FILTER(game_rosters!$J:$J,(game_rosters!$G:$G=events!$AN1410)*(game_rosters!$J:$J=events!$X1410))&gt;0,1,""),"")</f>
        <v>#VALUE!</v>
      </c>
      <c r="AA1410">
        <f t="shared" si="167"/>
        <v>1000</v>
      </c>
      <c r="AB1410" t="str">
        <f t="shared" si="168"/>
        <v/>
      </c>
      <c r="AC1410">
        <f t="shared" ref="AC1410:AC1473" si="169">IF(AB1410&lt;&gt;"",AB1410,S1410+1000)</f>
        <v>1000</v>
      </c>
      <c r="AD1410" s="6"/>
    </row>
    <row r="1411" spans="1:30" x14ac:dyDescent="0.2">
      <c r="A1411" t="str">
        <f t="shared" si="166"/>
        <v/>
      </c>
      <c r="X1411" t="str" cm="1">
        <f t="array" ref="X1411">IF(S1411="","",IF($I1411&lt;&gt;"",$I1411,INDEX($I$2:$I1410,ROW()-COUNTIFS($T$2:$T1410,"="&amp;$T1411,$S$2:$S1410,"&lt;&gt;"&amp;$S1411)-1)))</f>
        <v/>
      </c>
      <c r="Y1411" t="b">
        <f>IF(X1411&lt;&gt;"",VLOOKUP(X1411,game_rosters!$C$43:$E$64,3,FALSE))</f>
        <v>0</v>
      </c>
      <c r="Z1411" t="e" cm="1" vm="1">
        <f t="array" aca="1" ref="Z1411" ca="1">IFERROR(IF(_xlfn._xlws.FILTER(game_rosters!$J:$J,(game_rosters!$G:$G=events!$AN1411)*(game_rosters!$J:$J=events!$X1411))&gt;0,1,""),"")</f>
        <v>#VALUE!</v>
      </c>
      <c r="AA1411">
        <f t="shared" si="167"/>
        <v>1000</v>
      </c>
      <c r="AB1411" t="str">
        <f t="shared" si="168"/>
        <v/>
      </c>
      <c r="AC1411">
        <f t="shared" si="169"/>
        <v>1000</v>
      </c>
      <c r="AD1411" s="6"/>
    </row>
    <row r="1412" spans="1:30" x14ac:dyDescent="0.2">
      <c r="A1412" t="str">
        <f t="shared" si="166"/>
        <v/>
      </c>
      <c r="X1412" t="str" cm="1">
        <f t="array" ref="X1412">IF(S1412="","",IF($I1412&lt;&gt;"",$I1412,INDEX($I$2:$I1411,ROW()-COUNTIFS($T$2:$T1411,"="&amp;$T1412,$S$2:$S1411,"&lt;&gt;"&amp;$S1412)-1)))</f>
        <v/>
      </c>
      <c r="Y1412" t="b">
        <f>IF(X1412&lt;&gt;"",VLOOKUP(X1412,game_rosters!$C$43:$E$64,3,FALSE))</f>
        <v>0</v>
      </c>
      <c r="Z1412" t="e" cm="1" vm="1">
        <f t="array" aca="1" ref="Z1412" ca="1">IFERROR(IF(_xlfn._xlws.FILTER(game_rosters!$J:$J,(game_rosters!$G:$G=events!$AN1412)*(game_rosters!$J:$J=events!$X1412))&gt;0,1,""),"")</f>
        <v>#VALUE!</v>
      </c>
      <c r="AA1412">
        <f t="shared" si="167"/>
        <v>1000</v>
      </c>
      <c r="AB1412" t="str">
        <f t="shared" si="168"/>
        <v/>
      </c>
      <c r="AC1412">
        <f t="shared" si="169"/>
        <v>1000</v>
      </c>
      <c r="AD1412" s="6"/>
    </row>
    <row r="1413" spans="1:30" x14ac:dyDescent="0.2">
      <c r="A1413" t="str">
        <f t="shared" ref="A1413:A1476" si="170">IF(K1413&lt;&gt;"",1,IF(D1413="x","x",""))</f>
        <v/>
      </c>
      <c r="X1413" t="str" cm="1">
        <f t="array" ref="X1413">IF(S1413="","",IF($I1413&lt;&gt;"",$I1413,INDEX($I$2:$I1412,ROW()-COUNTIFS($T$2:$T1412,"="&amp;$T1413,$S$2:$S1412,"&lt;&gt;"&amp;$S1413)-1)))</f>
        <v/>
      </c>
      <c r="Y1413" t="b">
        <f>IF(X1413&lt;&gt;"",VLOOKUP(X1413,game_rosters!$C$43:$E$64,3,FALSE))</f>
        <v>0</v>
      </c>
      <c r="Z1413" t="e" cm="1" vm="1">
        <f t="array" aca="1" ref="Z1413" ca="1">IFERROR(IF(_xlfn._xlws.FILTER(game_rosters!$J:$J,(game_rosters!$G:$G=events!$AN1413)*(game_rosters!$J:$J=events!$X1413))&gt;0,1,""),"")</f>
        <v>#VALUE!</v>
      </c>
      <c r="AA1413">
        <f t="shared" si="167"/>
        <v>1000</v>
      </c>
      <c r="AB1413" t="str">
        <f t="shared" si="168"/>
        <v/>
      </c>
      <c r="AC1413">
        <f t="shared" si="169"/>
        <v>1000</v>
      </c>
      <c r="AD1413" s="6"/>
    </row>
    <row r="1414" spans="1:30" x14ac:dyDescent="0.2">
      <c r="A1414" t="str">
        <f t="shared" si="170"/>
        <v/>
      </c>
      <c r="X1414" t="str" cm="1">
        <f t="array" ref="X1414">IF(S1414="","",IF($I1414&lt;&gt;"",$I1414,INDEX($I$2:$I1413,ROW()-COUNTIFS($T$2:$T1413,"="&amp;$T1414,$S$2:$S1413,"&lt;&gt;"&amp;$S1414)-1)))</f>
        <v/>
      </c>
      <c r="Y1414" t="b">
        <f>IF(X1414&lt;&gt;"",VLOOKUP(X1414,game_rosters!$C$43:$E$64,3,FALSE))</f>
        <v>0</v>
      </c>
      <c r="Z1414" t="e" cm="1" vm="1">
        <f t="array" aca="1" ref="Z1414" ca="1">IFERROR(IF(_xlfn._xlws.FILTER(game_rosters!$J:$J,(game_rosters!$G:$G=events!$AN1414)*(game_rosters!$J:$J=events!$X1414))&gt;0,1,""),"")</f>
        <v>#VALUE!</v>
      </c>
      <c r="AA1414">
        <f t="shared" si="167"/>
        <v>1000</v>
      </c>
      <c r="AB1414" t="str">
        <f t="shared" si="168"/>
        <v/>
      </c>
      <c r="AC1414">
        <f t="shared" si="169"/>
        <v>1000</v>
      </c>
      <c r="AD1414" s="6"/>
    </row>
    <row r="1415" spans="1:30" x14ac:dyDescent="0.2">
      <c r="A1415" t="str">
        <f t="shared" si="170"/>
        <v/>
      </c>
      <c r="X1415" t="str" cm="1">
        <f t="array" ref="X1415">IF(S1415="","",IF($I1415&lt;&gt;"",$I1415,INDEX($I$2:$I1414,ROW()-COUNTIFS($T$2:$T1414,"="&amp;$T1415,$S$2:$S1414,"&lt;&gt;"&amp;$S1415)-1)))</f>
        <v/>
      </c>
      <c r="Y1415" t="b">
        <f>IF(X1415&lt;&gt;"",VLOOKUP(X1415,game_rosters!$C$43:$E$64,3,FALSE))</f>
        <v>0</v>
      </c>
      <c r="Z1415" t="e" cm="1" vm="1">
        <f t="array" aca="1" ref="Z1415" ca="1">IFERROR(IF(_xlfn._xlws.FILTER(game_rosters!$J:$J,(game_rosters!$G:$G=events!$AN1415)*(game_rosters!$J:$J=events!$X1415))&gt;0,1,""),"")</f>
        <v>#VALUE!</v>
      </c>
      <c r="AA1415">
        <f t="shared" si="167"/>
        <v>1000</v>
      </c>
      <c r="AB1415" t="str">
        <f t="shared" si="168"/>
        <v/>
      </c>
      <c r="AC1415">
        <f t="shared" si="169"/>
        <v>1000</v>
      </c>
      <c r="AD1415" s="6"/>
    </row>
    <row r="1416" spans="1:30" x14ac:dyDescent="0.2">
      <c r="A1416" t="str">
        <f t="shared" si="170"/>
        <v/>
      </c>
      <c r="X1416" t="str" cm="1">
        <f t="array" ref="X1416">IF(S1416="","",IF($I1416&lt;&gt;"",$I1416,INDEX($I$2:$I1415,ROW()-COUNTIFS($T$2:$T1415,"="&amp;$T1416,$S$2:$S1415,"&lt;&gt;"&amp;$S1416)-1)))</f>
        <v/>
      </c>
      <c r="Y1416" t="b">
        <f>IF(X1416&lt;&gt;"",VLOOKUP(X1416,game_rosters!$C$43:$E$64,3,FALSE))</f>
        <v>0</v>
      </c>
      <c r="Z1416" t="e" cm="1" vm="1">
        <f t="array" aca="1" ref="Z1416" ca="1">IFERROR(IF(_xlfn._xlws.FILTER(game_rosters!$J:$J,(game_rosters!$G:$G=events!$AN1416)*(game_rosters!$J:$J=events!$X1416))&gt;0,1,""),"")</f>
        <v>#VALUE!</v>
      </c>
      <c r="AA1416">
        <f t="shared" si="167"/>
        <v>1000</v>
      </c>
      <c r="AB1416" t="str">
        <f t="shared" si="168"/>
        <v/>
      </c>
      <c r="AC1416">
        <f t="shared" si="169"/>
        <v>1000</v>
      </c>
      <c r="AD1416" s="6"/>
    </row>
    <row r="1417" spans="1:30" x14ac:dyDescent="0.2">
      <c r="A1417" t="str">
        <f t="shared" si="170"/>
        <v/>
      </c>
      <c r="X1417" t="str" cm="1">
        <f t="array" ref="X1417">IF(S1417="","",IF($I1417&lt;&gt;"",$I1417,INDEX($I$2:$I1416,ROW()-COUNTIFS($T$2:$T1416,"="&amp;$T1417,$S$2:$S1416,"&lt;&gt;"&amp;$S1417)-1)))</f>
        <v/>
      </c>
      <c r="Y1417" t="b">
        <f>IF(X1417&lt;&gt;"",VLOOKUP(X1417,game_rosters!$C$43:$E$64,3,FALSE))</f>
        <v>0</v>
      </c>
      <c r="Z1417" t="e" cm="1" vm="1">
        <f t="array" aca="1" ref="Z1417" ca="1">IFERROR(IF(_xlfn._xlws.FILTER(game_rosters!$J:$J,(game_rosters!$G:$G=events!$AN1417)*(game_rosters!$J:$J=events!$X1417))&gt;0,1,""),"")</f>
        <v>#VALUE!</v>
      </c>
      <c r="AA1417">
        <f t="shared" si="167"/>
        <v>1000</v>
      </c>
      <c r="AB1417" t="str">
        <f t="shared" si="168"/>
        <v/>
      </c>
      <c r="AC1417">
        <f t="shared" si="169"/>
        <v>1000</v>
      </c>
      <c r="AD1417" s="6"/>
    </row>
    <row r="1418" spans="1:30" x14ac:dyDescent="0.2">
      <c r="A1418" t="str">
        <f t="shared" si="170"/>
        <v/>
      </c>
      <c r="X1418" t="str" cm="1">
        <f t="array" ref="X1418">IF(S1418="","",IF($I1418&lt;&gt;"",$I1418,INDEX($I$2:$I1417,ROW()-COUNTIFS($T$2:$T1417,"="&amp;$T1418,$S$2:$S1417,"&lt;&gt;"&amp;$S1418)-1)))</f>
        <v/>
      </c>
      <c r="Y1418" t="b">
        <f>IF(X1418&lt;&gt;"",VLOOKUP(X1418,game_rosters!$C$43:$E$64,3,FALSE))</f>
        <v>0</v>
      </c>
      <c r="Z1418" t="e" cm="1" vm="1">
        <f t="array" aca="1" ref="Z1418" ca="1">IFERROR(IF(_xlfn._xlws.FILTER(game_rosters!$J:$J,(game_rosters!$G:$G=events!$AN1418)*(game_rosters!$J:$J=events!$X1418))&gt;0,1,""),"")</f>
        <v>#VALUE!</v>
      </c>
      <c r="AA1418">
        <f t="shared" si="167"/>
        <v>1000</v>
      </c>
      <c r="AB1418" t="str">
        <f t="shared" si="168"/>
        <v/>
      </c>
      <c r="AC1418">
        <f t="shared" si="169"/>
        <v>1000</v>
      </c>
      <c r="AD1418" s="6"/>
    </row>
    <row r="1419" spans="1:30" x14ac:dyDescent="0.2">
      <c r="A1419" t="str">
        <f t="shared" si="170"/>
        <v/>
      </c>
      <c r="X1419" t="str" cm="1">
        <f t="array" ref="X1419">IF(S1419="","",IF($I1419&lt;&gt;"",$I1419,INDEX($I$2:$I1418,ROW()-COUNTIFS($T$2:$T1418,"="&amp;$T1419,$S$2:$S1418,"&lt;&gt;"&amp;$S1419)-1)))</f>
        <v/>
      </c>
      <c r="Y1419" t="b">
        <f>IF(X1419&lt;&gt;"",VLOOKUP(X1419,game_rosters!$C$43:$E$64,3,FALSE))</f>
        <v>0</v>
      </c>
      <c r="Z1419" t="e" cm="1" vm="1">
        <f t="array" aca="1" ref="Z1419" ca="1">IFERROR(IF(_xlfn._xlws.FILTER(game_rosters!$J:$J,(game_rosters!$G:$G=events!$AN1419)*(game_rosters!$J:$J=events!$X1419))&gt;0,1,""),"")</f>
        <v>#VALUE!</v>
      </c>
      <c r="AA1419">
        <f t="shared" si="167"/>
        <v>1000</v>
      </c>
      <c r="AB1419" t="str">
        <f t="shared" si="168"/>
        <v/>
      </c>
      <c r="AC1419">
        <f t="shared" si="169"/>
        <v>1000</v>
      </c>
      <c r="AD1419" s="6"/>
    </row>
    <row r="1420" spans="1:30" x14ac:dyDescent="0.2">
      <c r="A1420" t="str">
        <f t="shared" si="170"/>
        <v/>
      </c>
      <c r="X1420" t="str" cm="1">
        <f t="array" ref="X1420">IF(S1420="","",IF($I1420&lt;&gt;"",$I1420,INDEX($I$2:$I1419,ROW()-COUNTIFS($T$2:$T1419,"="&amp;$T1420,$S$2:$S1419,"&lt;&gt;"&amp;$S1420)-1)))</f>
        <v/>
      </c>
      <c r="Y1420" t="b">
        <f>IF(X1420&lt;&gt;"",VLOOKUP(X1420,game_rosters!$C$43:$E$64,3,FALSE))</f>
        <v>0</v>
      </c>
      <c r="Z1420" t="e" cm="1" vm="1">
        <f t="array" aca="1" ref="Z1420" ca="1">IFERROR(IF(_xlfn._xlws.FILTER(game_rosters!$J:$J,(game_rosters!$G:$G=events!$AN1420)*(game_rosters!$J:$J=events!$X1420))&gt;0,1,""),"")</f>
        <v>#VALUE!</v>
      </c>
      <c r="AA1420">
        <f t="shared" si="167"/>
        <v>1000</v>
      </c>
      <c r="AB1420" t="str">
        <f t="shared" si="168"/>
        <v/>
      </c>
      <c r="AC1420">
        <f t="shared" si="169"/>
        <v>1000</v>
      </c>
      <c r="AD1420" s="6"/>
    </row>
    <row r="1421" spans="1:30" x14ac:dyDescent="0.2">
      <c r="A1421" t="str">
        <f t="shared" si="170"/>
        <v/>
      </c>
      <c r="X1421" t="str" cm="1">
        <f t="array" ref="X1421">IF(S1421="","",IF($I1421&lt;&gt;"",$I1421,INDEX($I$2:$I1420,ROW()-COUNTIFS($T$2:$T1420,"="&amp;$T1421,$S$2:$S1420,"&lt;&gt;"&amp;$S1421)-1)))</f>
        <v/>
      </c>
      <c r="Y1421" t="b">
        <f>IF(X1421&lt;&gt;"",VLOOKUP(X1421,game_rosters!$C$43:$E$64,3,FALSE))</f>
        <v>0</v>
      </c>
      <c r="Z1421" t="e" cm="1" vm="1">
        <f t="array" aca="1" ref="Z1421" ca="1">IFERROR(IF(_xlfn._xlws.FILTER(game_rosters!$J:$J,(game_rosters!$G:$G=events!$AN1421)*(game_rosters!$J:$J=events!$X1421))&gt;0,1,""),"")</f>
        <v>#VALUE!</v>
      </c>
      <c r="AA1421">
        <f t="shared" si="167"/>
        <v>1000</v>
      </c>
      <c r="AB1421" t="str">
        <f t="shared" si="168"/>
        <v/>
      </c>
      <c r="AC1421">
        <f t="shared" si="169"/>
        <v>1000</v>
      </c>
      <c r="AD1421" s="6"/>
    </row>
    <row r="1422" spans="1:30" x14ac:dyDescent="0.2">
      <c r="A1422" t="str">
        <f t="shared" si="170"/>
        <v/>
      </c>
      <c r="X1422" t="str" cm="1">
        <f t="array" ref="X1422">IF(S1422="","",IF($I1422&lt;&gt;"",$I1422,INDEX($I$2:$I1421,ROW()-COUNTIFS($T$2:$T1421,"="&amp;$T1422,$S$2:$S1421,"&lt;&gt;"&amp;$S1422)-1)))</f>
        <v/>
      </c>
      <c r="Y1422" t="b">
        <f>IF(X1422&lt;&gt;"",VLOOKUP(X1422,game_rosters!$C$43:$E$64,3,FALSE))</f>
        <v>0</v>
      </c>
      <c r="Z1422" t="e" cm="1" vm="1">
        <f t="array" aca="1" ref="Z1422" ca="1">IFERROR(IF(_xlfn._xlws.FILTER(game_rosters!$J:$J,(game_rosters!$G:$G=events!$AN1422)*(game_rosters!$J:$J=events!$X1422))&gt;0,1,""),"")</f>
        <v>#VALUE!</v>
      </c>
      <c r="AA1422">
        <f t="shared" si="167"/>
        <v>1000</v>
      </c>
      <c r="AB1422" t="str">
        <f t="shared" si="168"/>
        <v/>
      </c>
      <c r="AC1422">
        <f t="shared" si="169"/>
        <v>1000</v>
      </c>
      <c r="AD1422" s="6"/>
    </row>
    <row r="1423" spans="1:30" x14ac:dyDescent="0.2">
      <c r="A1423" t="str">
        <f t="shared" si="170"/>
        <v/>
      </c>
      <c r="X1423" t="str" cm="1">
        <f t="array" ref="X1423">IF(S1423="","",IF($I1423&lt;&gt;"",$I1423,INDEX($I$2:$I1422,ROW()-COUNTIFS($T$2:$T1422,"="&amp;$T1423,$S$2:$S1422,"&lt;&gt;"&amp;$S1423)-1)))</f>
        <v/>
      </c>
      <c r="Y1423" t="b">
        <f>IF(X1423&lt;&gt;"",VLOOKUP(X1423,game_rosters!$C$43:$E$64,3,FALSE))</f>
        <v>0</v>
      </c>
      <c r="Z1423" t="e" cm="1" vm="1">
        <f t="array" aca="1" ref="Z1423" ca="1">IFERROR(IF(_xlfn._xlws.FILTER(game_rosters!$J:$J,(game_rosters!$G:$G=events!$AN1423)*(game_rosters!$J:$J=events!$X1423))&gt;0,1,""),"")</f>
        <v>#VALUE!</v>
      </c>
      <c r="AA1423">
        <f t="shared" si="167"/>
        <v>1000</v>
      </c>
      <c r="AB1423" t="str">
        <f t="shared" si="168"/>
        <v/>
      </c>
      <c r="AC1423">
        <f t="shared" si="169"/>
        <v>1000</v>
      </c>
      <c r="AD1423" s="6"/>
    </row>
    <row r="1424" spans="1:30" x14ac:dyDescent="0.2">
      <c r="A1424" t="str">
        <f t="shared" si="170"/>
        <v/>
      </c>
      <c r="X1424" t="str" cm="1">
        <f t="array" ref="X1424">IF(S1424="","",IF($I1424&lt;&gt;"",$I1424,INDEX($I$2:$I1423,ROW()-COUNTIFS($T$2:$T1423,"="&amp;$T1424,$S$2:$S1423,"&lt;&gt;"&amp;$S1424)-1)))</f>
        <v/>
      </c>
      <c r="Y1424" t="b">
        <f>IF(X1424&lt;&gt;"",VLOOKUP(X1424,game_rosters!$C$43:$E$64,3,FALSE))</f>
        <v>0</v>
      </c>
      <c r="Z1424" t="e" cm="1" vm="1">
        <f t="array" aca="1" ref="Z1424" ca="1">IFERROR(IF(_xlfn._xlws.FILTER(game_rosters!$J:$J,(game_rosters!$G:$G=events!$AN1424)*(game_rosters!$J:$J=events!$X1424))&gt;0,1,""),"")</f>
        <v>#VALUE!</v>
      </c>
      <c r="AA1424">
        <f t="shared" si="167"/>
        <v>1000</v>
      </c>
      <c r="AB1424" t="str">
        <f t="shared" si="168"/>
        <v/>
      </c>
      <c r="AC1424">
        <f t="shared" si="169"/>
        <v>1000</v>
      </c>
      <c r="AD1424" s="6"/>
    </row>
    <row r="1425" spans="1:30" x14ac:dyDescent="0.2">
      <c r="A1425" t="str">
        <f t="shared" si="170"/>
        <v/>
      </c>
      <c r="X1425" t="str" cm="1">
        <f t="array" ref="X1425">IF(S1425="","",IF($I1425&lt;&gt;"",$I1425,INDEX($I$2:$I1424,ROW()-COUNTIFS($T$2:$T1424,"="&amp;$T1425,$S$2:$S1424,"&lt;&gt;"&amp;$S1425)-1)))</f>
        <v/>
      </c>
      <c r="Y1425" t="b">
        <f>IF(X1425&lt;&gt;"",VLOOKUP(X1425,game_rosters!$C$43:$E$64,3,FALSE))</f>
        <v>0</v>
      </c>
      <c r="Z1425" t="e" cm="1" vm="1">
        <f t="array" aca="1" ref="Z1425" ca="1">IFERROR(IF(_xlfn._xlws.FILTER(game_rosters!$J:$J,(game_rosters!$G:$G=events!$AN1425)*(game_rosters!$J:$J=events!$X1425))&gt;0,1,""),"")</f>
        <v>#VALUE!</v>
      </c>
      <c r="AA1425">
        <f t="shared" si="167"/>
        <v>1000</v>
      </c>
      <c r="AB1425" t="str">
        <f t="shared" si="168"/>
        <v/>
      </c>
      <c r="AC1425">
        <f t="shared" si="169"/>
        <v>1000</v>
      </c>
      <c r="AD1425" s="6"/>
    </row>
    <row r="1426" spans="1:30" x14ac:dyDescent="0.2">
      <c r="A1426" t="str">
        <f t="shared" si="170"/>
        <v/>
      </c>
      <c r="X1426" t="str" cm="1">
        <f t="array" ref="X1426">IF(S1426="","",IF($I1426&lt;&gt;"",$I1426,INDEX($I$2:$I1425,ROW()-COUNTIFS($T$2:$T1425,"="&amp;$T1426,$S$2:$S1425,"&lt;&gt;"&amp;$S1426)-1)))</f>
        <v/>
      </c>
      <c r="Y1426" t="b">
        <f>IF(X1426&lt;&gt;"",VLOOKUP(X1426,game_rosters!$C$43:$E$64,3,FALSE))</f>
        <v>0</v>
      </c>
      <c r="Z1426" t="e" cm="1" vm="1">
        <f t="array" aca="1" ref="Z1426" ca="1">IFERROR(IF(_xlfn._xlws.FILTER(game_rosters!$J:$J,(game_rosters!$G:$G=events!$AN1426)*(game_rosters!$J:$J=events!$X1426))&gt;0,1,""),"")</f>
        <v>#VALUE!</v>
      </c>
      <c r="AA1426">
        <f t="shared" si="167"/>
        <v>1000</v>
      </c>
      <c r="AB1426" t="str">
        <f t="shared" si="168"/>
        <v/>
      </c>
      <c r="AC1426">
        <f t="shared" si="169"/>
        <v>1000</v>
      </c>
      <c r="AD1426" s="6"/>
    </row>
    <row r="1427" spans="1:30" x14ac:dyDescent="0.2">
      <c r="A1427" t="str">
        <f t="shared" si="170"/>
        <v/>
      </c>
      <c r="X1427" t="str" cm="1">
        <f t="array" ref="X1427">IF(S1427="","",IF($I1427&lt;&gt;"",$I1427,INDEX($I$2:$I1426,ROW()-COUNTIFS($T$2:$T1426,"="&amp;$T1427,$S$2:$S1426,"&lt;&gt;"&amp;$S1427)-1)))</f>
        <v/>
      </c>
      <c r="Y1427" t="b">
        <f>IF(X1427&lt;&gt;"",VLOOKUP(X1427,game_rosters!$C$43:$E$64,3,FALSE))</f>
        <v>0</v>
      </c>
      <c r="Z1427" t="e" cm="1" vm="1">
        <f t="array" aca="1" ref="Z1427" ca="1">IFERROR(IF(_xlfn._xlws.FILTER(game_rosters!$J:$J,(game_rosters!$G:$G=events!$AN1427)*(game_rosters!$J:$J=events!$X1427))&gt;0,1,""),"")</f>
        <v>#VALUE!</v>
      </c>
      <c r="AA1427">
        <f t="shared" si="167"/>
        <v>1000</v>
      </c>
      <c r="AB1427" t="str">
        <f t="shared" si="168"/>
        <v/>
      </c>
      <c r="AC1427">
        <f t="shared" si="169"/>
        <v>1000</v>
      </c>
      <c r="AD1427" s="6"/>
    </row>
    <row r="1428" spans="1:30" x14ac:dyDescent="0.2">
      <c r="A1428" t="str">
        <f t="shared" si="170"/>
        <v/>
      </c>
      <c r="X1428" t="str" cm="1">
        <f t="array" ref="X1428">IF(S1428="","",IF($I1428&lt;&gt;"",$I1428,INDEX($I$2:$I1427,ROW()-COUNTIFS($T$2:$T1427,"="&amp;$T1428,$S$2:$S1427,"&lt;&gt;"&amp;$S1428)-1)))</f>
        <v/>
      </c>
      <c r="Y1428" t="b">
        <f>IF(X1428&lt;&gt;"",VLOOKUP(X1428,game_rosters!$C$43:$E$64,3,FALSE))</f>
        <v>0</v>
      </c>
      <c r="Z1428" t="e" cm="1" vm="1">
        <f t="array" aca="1" ref="Z1428" ca="1">IFERROR(IF(_xlfn._xlws.FILTER(game_rosters!$J:$J,(game_rosters!$G:$G=events!$AN1428)*(game_rosters!$J:$J=events!$X1428))&gt;0,1,""),"")</f>
        <v>#VALUE!</v>
      </c>
      <c r="AA1428">
        <f t="shared" si="167"/>
        <v>1000</v>
      </c>
      <c r="AB1428" t="str">
        <f t="shared" si="168"/>
        <v/>
      </c>
      <c r="AC1428">
        <f t="shared" si="169"/>
        <v>1000</v>
      </c>
      <c r="AD1428" s="6"/>
    </row>
    <row r="1429" spans="1:30" x14ac:dyDescent="0.2">
      <c r="A1429" t="str">
        <f t="shared" si="170"/>
        <v/>
      </c>
      <c r="X1429" t="str" cm="1">
        <f t="array" ref="X1429">IF(S1429="","",IF($I1429&lt;&gt;"",$I1429,INDEX($I$2:$I1428,ROW()-COUNTIFS($T$2:$T1428,"="&amp;$T1429,$S$2:$S1428,"&lt;&gt;"&amp;$S1429)-1)))</f>
        <v/>
      </c>
      <c r="Y1429" t="b">
        <f>IF(X1429&lt;&gt;"",VLOOKUP(X1429,game_rosters!$C$43:$E$64,3,FALSE))</f>
        <v>0</v>
      </c>
      <c r="Z1429" t="e" cm="1" vm="1">
        <f t="array" aca="1" ref="Z1429" ca="1">IFERROR(IF(_xlfn._xlws.FILTER(game_rosters!$J:$J,(game_rosters!$G:$G=events!$AN1429)*(game_rosters!$J:$J=events!$X1429))&gt;0,1,""),"")</f>
        <v>#VALUE!</v>
      </c>
      <c r="AA1429">
        <f t="shared" si="167"/>
        <v>1000</v>
      </c>
      <c r="AB1429" t="str">
        <f t="shared" si="168"/>
        <v/>
      </c>
      <c r="AC1429">
        <f t="shared" si="169"/>
        <v>1000</v>
      </c>
      <c r="AD1429" s="6"/>
    </row>
    <row r="1430" spans="1:30" x14ac:dyDescent="0.2">
      <c r="A1430" t="str">
        <f t="shared" si="170"/>
        <v/>
      </c>
      <c r="X1430" t="str" cm="1">
        <f t="array" ref="X1430">IF(S1430="","",IF($I1430&lt;&gt;"",$I1430,INDEX($I$2:$I1429,ROW()-COUNTIFS($T$2:$T1429,"="&amp;$T1430,$S$2:$S1429,"&lt;&gt;"&amp;$S1430)-1)))</f>
        <v/>
      </c>
      <c r="Y1430" t="b">
        <f>IF(X1430&lt;&gt;"",VLOOKUP(X1430,game_rosters!$C$43:$E$64,3,FALSE))</f>
        <v>0</v>
      </c>
      <c r="Z1430" t="e" cm="1" vm="1">
        <f t="array" aca="1" ref="Z1430" ca="1">IFERROR(IF(_xlfn._xlws.FILTER(game_rosters!$J:$J,(game_rosters!$G:$G=events!$AN1430)*(game_rosters!$J:$J=events!$X1430))&gt;0,1,""),"")</f>
        <v>#VALUE!</v>
      </c>
      <c r="AA1430">
        <f t="shared" si="167"/>
        <v>1000</v>
      </c>
      <c r="AB1430" t="str">
        <f t="shared" si="168"/>
        <v/>
      </c>
      <c r="AC1430">
        <f t="shared" si="169"/>
        <v>1000</v>
      </c>
      <c r="AD1430" s="6"/>
    </row>
    <row r="1431" spans="1:30" x14ac:dyDescent="0.2">
      <c r="A1431" t="str">
        <f t="shared" si="170"/>
        <v/>
      </c>
      <c r="X1431" t="str" cm="1">
        <f t="array" ref="X1431">IF(S1431="","",IF($I1431&lt;&gt;"",$I1431,INDEX($I$2:$I1430,ROW()-COUNTIFS($T$2:$T1430,"="&amp;$T1431,$S$2:$S1430,"&lt;&gt;"&amp;$S1431)-1)))</f>
        <v/>
      </c>
      <c r="Y1431" t="b">
        <f>IF(X1431&lt;&gt;"",VLOOKUP(X1431,game_rosters!$C$43:$E$64,3,FALSE))</f>
        <v>0</v>
      </c>
      <c r="Z1431" t="e" cm="1" vm="1">
        <f t="array" aca="1" ref="Z1431" ca="1">IFERROR(IF(_xlfn._xlws.FILTER(game_rosters!$J:$J,(game_rosters!$G:$G=events!$AN1431)*(game_rosters!$J:$J=events!$X1431))&gt;0,1,""),"")</f>
        <v>#VALUE!</v>
      </c>
      <c r="AA1431">
        <f t="shared" si="167"/>
        <v>1000</v>
      </c>
      <c r="AB1431" t="str">
        <f t="shared" si="168"/>
        <v/>
      </c>
      <c r="AC1431">
        <f t="shared" si="169"/>
        <v>1000</v>
      </c>
      <c r="AD1431" s="6"/>
    </row>
    <row r="1432" spans="1:30" x14ac:dyDescent="0.2">
      <c r="A1432" t="str">
        <f t="shared" si="170"/>
        <v/>
      </c>
      <c r="X1432" t="str" cm="1">
        <f t="array" ref="X1432">IF(S1432="","",IF($I1432&lt;&gt;"",$I1432,INDEX($I$2:$I1431,ROW()-COUNTIFS($T$2:$T1431,"="&amp;$T1432,$S$2:$S1431,"&lt;&gt;"&amp;$S1432)-1)))</f>
        <v/>
      </c>
      <c r="Y1432" t="b">
        <f>IF(X1432&lt;&gt;"",VLOOKUP(X1432,game_rosters!$C$43:$E$64,3,FALSE))</f>
        <v>0</v>
      </c>
      <c r="Z1432" t="e" cm="1" vm="1">
        <f t="array" aca="1" ref="Z1432" ca="1">IFERROR(IF(_xlfn._xlws.FILTER(game_rosters!$J:$J,(game_rosters!$G:$G=events!$AN1432)*(game_rosters!$J:$J=events!$X1432))&gt;0,1,""),"")</f>
        <v>#VALUE!</v>
      </c>
      <c r="AA1432">
        <f t="shared" si="167"/>
        <v>1000</v>
      </c>
      <c r="AB1432" t="str">
        <f t="shared" si="168"/>
        <v/>
      </c>
      <c r="AC1432">
        <f t="shared" si="169"/>
        <v>1000</v>
      </c>
      <c r="AD1432" s="6"/>
    </row>
    <row r="1433" spans="1:30" x14ac:dyDescent="0.2">
      <c r="A1433" t="str">
        <f t="shared" si="170"/>
        <v/>
      </c>
      <c r="X1433" t="str" cm="1">
        <f t="array" ref="X1433">IF(S1433="","",IF($I1433&lt;&gt;"",$I1433,INDEX($I$2:$I1432,ROW()-COUNTIFS($T$2:$T1432,"="&amp;$T1433,$S$2:$S1432,"&lt;&gt;"&amp;$S1433)-1)))</f>
        <v/>
      </c>
      <c r="Y1433" t="b">
        <f>IF(X1433&lt;&gt;"",VLOOKUP(X1433,game_rosters!$C$43:$E$64,3,FALSE))</f>
        <v>0</v>
      </c>
      <c r="Z1433" t="e" cm="1" vm="1">
        <f t="array" aca="1" ref="Z1433" ca="1">IFERROR(IF(_xlfn._xlws.FILTER(game_rosters!$J:$J,(game_rosters!$G:$G=events!$AN1433)*(game_rosters!$J:$J=events!$X1433))&gt;0,1,""),"")</f>
        <v>#VALUE!</v>
      </c>
      <c r="AA1433">
        <f t="shared" si="167"/>
        <v>1000</v>
      </c>
      <c r="AB1433" t="str">
        <f t="shared" si="168"/>
        <v/>
      </c>
      <c r="AC1433">
        <f t="shared" si="169"/>
        <v>1000</v>
      </c>
      <c r="AD1433" s="6"/>
    </row>
    <row r="1434" spans="1:30" x14ac:dyDescent="0.2">
      <c r="A1434" t="str">
        <f t="shared" si="170"/>
        <v/>
      </c>
      <c r="X1434" t="str" cm="1">
        <f t="array" ref="X1434">IF(S1434="","",IF($I1434&lt;&gt;"",$I1434,INDEX($I$2:$I1433,ROW()-COUNTIFS($T$2:$T1433,"="&amp;$T1434,$S$2:$S1433,"&lt;&gt;"&amp;$S1434)-1)))</f>
        <v/>
      </c>
      <c r="Y1434" t="b">
        <f>IF(X1434&lt;&gt;"",VLOOKUP(X1434,game_rosters!$C$43:$E$64,3,FALSE))</f>
        <v>0</v>
      </c>
      <c r="Z1434" t="e" cm="1" vm="1">
        <f t="array" aca="1" ref="Z1434" ca="1">IFERROR(IF(_xlfn._xlws.FILTER(game_rosters!$J:$J,(game_rosters!$G:$G=events!$AN1434)*(game_rosters!$J:$J=events!$X1434))&gt;0,1,""),"")</f>
        <v>#VALUE!</v>
      </c>
      <c r="AA1434">
        <f t="shared" si="167"/>
        <v>1000</v>
      </c>
      <c r="AB1434" t="str">
        <f t="shared" si="168"/>
        <v/>
      </c>
      <c r="AC1434">
        <f t="shared" si="169"/>
        <v>1000</v>
      </c>
      <c r="AD1434" s="6"/>
    </row>
    <row r="1435" spans="1:30" x14ac:dyDescent="0.2">
      <c r="A1435" t="str">
        <f t="shared" si="170"/>
        <v/>
      </c>
      <c r="X1435" t="str" cm="1">
        <f t="array" ref="X1435">IF(S1435="","",IF($I1435&lt;&gt;"",$I1435,INDEX($I$2:$I1434,ROW()-COUNTIFS($T$2:$T1434,"="&amp;$T1435,$S$2:$S1434,"&lt;&gt;"&amp;$S1435)-1)))</f>
        <v/>
      </c>
      <c r="Y1435" t="b">
        <f>IF(X1435&lt;&gt;"",VLOOKUP(X1435,game_rosters!$C$43:$E$64,3,FALSE))</f>
        <v>0</v>
      </c>
      <c r="Z1435" t="e" cm="1" vm="1">
        <f t="array" aca="1" ref="Z1435" ca="1">IFERROR(IF(_xlfn._xlws.FILTER(game_rosters!$J:$J,(game_rosters!$G:$G=events!$AN1435)*(game_rosters!$J:$J=events!$X1435))&gt;0,1,""),"")</f>
        <v>#VALUE!</v>
      </c>
      <c r="AA1435">
        <f t="shared" si="167"/>
        <v>1000</v>
      </c>
      <c r="AB1435" t="str">
        <f t="shared" si="168"/>
        <v/>
      </c>
      <c r="AC1435">
        <f t="shared" si="169"/>
        <v>1000</v>
      </c>
      <c r="AD1435" s="6"/>
    </row>
    <row r="1436" spans="1:30" x14ac:dyDescent="0.2">
      <c r="A1436" t="str">
        <f t="shared" si="170"/>
        <v/>
      </c>
      <c r="X1436" t="str" cm="1">
        <f t="array" ref="X1436">IF(S1436="","",IF($I1436&lt;&gt;"",$I1436,INDEX($I$2:$I1435,ROW()-COUNTIFS($T$2:$T1435,"="&amp;$T1436,$S$2:$S1435,"&lt;&gt;"&amp;$S1436)-1)))</f>
        <v/>
      </c>
      <c r="Y1436" t="b">
        <f>IF(X1436&lt;&gt;"",VLOOKUP(X1436,game_rosters!$C$43:$E$64,3,FALSE))</f>
        <v>0</v>
      </c>
      <c r="Z1436" t="e" cm="1" vm="1">
        <f t="array" aca="1" ref="Z1436" ca="1">IFERROR(IF(_xlfn._xlws.FILTER(game_rosters!$J:$J,(game_rosters!$G:$G=events!$AN1436)*(game_rosters!$J:$J=events!$X1436))&gt;0,1,""),"")</f>
        <v>#VALUE!</v>
      </c>
      <c r="AA1436">
        <f t="shared" si="167"/>
        <v>1000</v>
      </c>
      <c r="AB1436" t="str">
        <f t="shared" si="168"/>
        <v/>
      </c>
      <c r="AC1436">
        <f t="shared" si="169"/>
        <v>1000</v>
      </c>
      <c r="AD1436" s="6"/>
    </row>
    <row r="1437" spans="1:30" x14ac:dyDescent="0.2">
      <c r="A1437" t="str">
        <f t="shared" si="170"/>
        <v/>
      </c>
      <c r="X1437" t="str" cm="1">
        <f t="array" ref="X1437">IF(S1437="","",IF($I1437&lt;&gt;"",$I1437,INDEX($I$2:$I1436,ROW()-COUNTIFS($T$2:$T1436,"="&amp;$T1437,$S$2:$S1436,"&lt;&gt;"&amp;$S1437)-1)))</f>
        <v/>
      </c>
      <c r="Y1437" t="b">
        <f>IF(X1437&lt;&gt;"",VLOOKUP(X1437,game_rosters!$C$43:$E$64,3,FALSE))</f>
        <v>0</v>
      </c>
      <c r="Z1437" t="e" cm="1" vm="1">
        <f t="array" aca="1" ref="Z1437" ca="1">IFERROR(IF(_xlfn._xlws.FILTER(game_rosters!$J:$J,(game_rosters!$G:$G=events!$AN1437)*(game_rosters!$J:$J=events!$X1437))&gt;0,1,""),"")</f>
        <v>#VALUE!</v>
      </c>
      <c r="AA1437">
        <f t="shared" ref="AA1437:AA1500" si="171">S1437+1000</f>
        <v>1000</v>
      </c>
      <c r="AB1437" t="str">
        <f t="shared" ref="AB1437:AB1500" si="172">IF(T1437&lt;&gt;"",9000+T1437,"")</f>
        <v/>
      </c>
      <c r="AC1437">
        <f t="shared" si="169"/>
        <v>1000</v>
      </c>
      <c r="AD1437" s="6"/>
    </row>
    <row r="1438" spans="1:30" x14ac:dyDescent="0.2">
      <c r="A1438" t="str">
        <f t="shared" si="170"/>
        <v/>
      </c>
      <c r="X1438" t="str" cm="1">
        <f t="array" ref="X1438">IF(S1438="","",IF($I1438&lt;&gt;"",$I1438,INDEX($I$2:$I1437,ROW()-COUNTIFS($T$2:$T1437,"="&amp;$T1438,$S$2:$S1437,"&lt;&gt;"&amp;$S1438)-1)))</f>
        <v/>
      </c>
      <c r="Y1438" t="b">
        <f>IF(X1438&lt;&gt;"",VLOOKUP(X1438,game_rosters!$C$43:$E$64,3,FALSE))</f>
        <v>0</v>
      </c>
      <c r="Z1438" t="e" cm="1" vm="1">
        <f t="array" aca="1" ref="Z1438" ca="1">IFERROR(IF(_xlfn._xlws.FILTER(game_rosters!$J:$J,(game_rosters!$G:$G=events!$AN1438)*(game_rosters!$J:$J=events!$X1438))&gt;0,1,""),"")</f>
        <v>#VALUE!</v>
      </c>
      <c r="AA1438">
        <f t="shared" si="171"/>
        <v>1000</v>
      </c>
      <c r="AB1438" t="str">
        <f t="shared" si="172"/>
        <v/>
      </c>
      <c r="AC1438">
        <f t="shared" si="169"/>
        <v>1000</v>
      </c>
      <c r="AD1438" s="6"/>
    </row>
    <row r="1439" spans="1:30" x14ac:dyDescent="0.2">
      <c r="A1439" t="str">
        <f t="shared" si="170"/>
        <v/>
      </c>
      <c r="X1439" t="str" cm="1">
        <f t="array" ref="X1439">IF(S1439="","",IF($I1439&lt;&gt;"",$I1439,INDEX($I$2:$I1438,ROW()-COUNTIFS($T$2:$T1438,"="&amp;$T1439,$S$2:$S1438,"&lt;&gt;"&amp;$S1439)-1)))</f>
        <v/>
      </c>
      <c r="Y1439" t="b">
        <f>IF(X1439&lt;&gt;"",VLOOKUP(X1439,game_rosters!$C$43:$E$64,3,FALSE))</f>
        <v>0</v>
      </c>
      <c r="Z1439" t="e" cm="1" vm="1">
        <f t="array" aca="1" ref="Z1439" ca="1">IFERROR(IF(_xlfn._xlws.FILTER(game_rosters!$J:$J,(game_rosters!$G:$G=events!$AN1439)*(game_rosters!$J:$J=events!$X1439))&gt;0,1,""),"")</f>
        <v>#VALUE!</v>
      </c>
      <c r="AA1439">
        <f t="shared" si="171"/>
        <v>1000</v>
      </c>
      <c r="AB1439" t="str">
        <f t="shared" si="172"/>
        <v/>
      </c>
      <c r="AC1439">
        <f t="shared" si="169"/>
        <v>1000</v>
      </c>
      <c r="AD1439" s="6"/>
    </row>
    <row r="1440" spans="1:30" x14ac:dyDescent="0.2">
      <c r="A1440" t="str">
        <f t="shared" si="170"/>
        <v/>
      </c>
      <c r="X1440" t="str" cm="1">
        <f t="array" ref="X1440">IF(S1440="","",IF($I1440&lt;&gt;"",$I1440,INDEX($I$2:$I1439,ROW()-COUNTIFS($T$2:$T1439,"="&amp;$T1440,$S$2:$S1439,"&lt;&gt;"&amp;$S1440)-1)))</f>
        <v/>
      </c>
      <c r="Y1440" t="b">
        <f>IF(X1440&lt;&gt;"",VLOOKUP(X1440,game_rosters!$C$43:$E$64,3,FALSE))</f>
        <v>0</v>
      </c>
      <c r="Z1440" t="e" cm="1" vm="1">
        <f t="array" aca="1" ref="Z1440" ca="1">IFERROR(IF(_xlfn._xlws.FILTER(game_rosters!$J:$J,(game_rosters!$G:$G=events!$AN1440)*(game_rosters!$J:$J=events!$X1440))&gt;0,1,""),"")</f>
        <v>#VALUE!</v>
      </c>
      <c r="AA1440">
        <f t="shared" si="171"/>
        <v>1000</v>
      </c>
      <c r="AB1440" t="str">
        <f t="shared" si="172"/>
        <v/>
      </c>
      <c r="AC1440">
        <f t="shared" si="169"/>
        <v>1000</v>
      </c>
      <c r="AD1440" s="6"/>
    </row>
    <row r="1441" spans="1:30" x14ac:dyDescent="0.2">
      <c r="A1441" t="str">
        <f t="shared" si="170"/>
        <v/>
      </c>
      <c r="X1441" t="str" cm="1">
        <f t="array" ref="X1441">IF(S1441="","",IF($I1441&lt;&gt;"",$I1441,INDEX($I$2:$I1440,ROW()-COUNTIFS($T$2:$T1440,"="&amp;$T1441,$S$2:$S1440,"&lt;&gt;"&amp;$S1441)-1)))</f>
        <v/>
      </c>
      <c r="Y1441" t="b">
        <f>IF(X1441&lt;&gt;"",VLOOKUP(X1441,game_rosters!$C$43:$E$64,3,FALSE))</f>
        <v>0</v>
      </c>
      <c r="Z1441" t="e" cm="1" vm="1">
        <f t="array" aca="1" ref="Z1441" ca="1">IFERROR(IF(_xlfn._xlws.FILTER(game_rosters!$J:$J,(game_rosters!$G:$G=events!$AN1441)*(game_rosters!$J:$J=events!$X1441))&gt;0,1,""),"")</f>
        <v>#VALUE!</v>
      </c>
      <c r="AA1441">
        <f t="shared" si="171"/>
        <v>1000</v>
      </c>
      <c r="AB1441" t="str">
        <f t="shared" si="172"/>
        <v/>
      </c>
      <c r="AC1441">
        <f t="shared" si="169"/>
        <v>1000</v>
      </c>
      <c r="AD1441" s="6"/>
    </row>
    <row r="1442" spans="1:30" x14ac:dyDescent="0.2">
      <c r="A1442" t="str">
        <f t="shared" si="170"/>
        <v/>
      </c>
      <c r="X1442" t="str" cm="1">
        <f t="array" ref="X1442">IF(S1442="","",IF($I1442&lt;&gt;"",$I1442,INDEX($I$2:$I1441,ROW()-COUNTIFS($T$2:$T1441,"="&amp;$T1442,$S$2:$S1441,"&lt;&gt;"&amp;$S1442)-1)))</f>
        <v/>
      </c>
      <c r="Y1442" t="b">
        <f>IF(X1442&lt;&gt;"",VLOOKUP(X1442,game_rosters!$C$43:$E$64,3,FALSE))</f>
        <v>0</v>
      </c>
      <c r="Z1442" t="e" cm="1" vm="1">
        <f t="array" aca="1" ref="Z1442" ca="1">IFERROR(IF(_xlfn._xlws.FILTER(game_rosters!$J:$J,(game_rosters!$G:$G=events!$AN1442)*(game_rosters!$J:$J=events!$X1442))&gt;0,1,""),"")</f>
        <v>#VALUE!</v>
      </c>
      <c r="AA1442">
        <f t="shared" si="171"/>
        <v>1000</v>
      </c>
      <c r="AB1442" t="str">
        <f t="shared" si="172"/>
        <v/>
      </c>
      <c r="AC1442">
        <f t="shared" si="169"/>
        <v>1000</v>
      </c>
      <c r="AD1442" s="6"/>
    </row>
    <row r="1443" spans="1:30" x14ac:dyDescent="0.2">
      <c r="A1443" t="str">
        <f t="shared" si="170"/>
        <v/>
      </c>
      <c r="X1443" t="str" cm="1">
        <f t="array" ref="X1443">IF(S1443="","",IF($I1443&lt;&gt;"",$I1443,INDEX($I$2:$I1442,ROW()-COUNTIFS($T$2:$T1442,"="&amp;$T1443,$S$2:$S1442,"&lt;&gt;"&amp;$S1443)-1)))</f>
        <v/>
      </c>
      <c r="Y1443" t="b">
        <f>IF(X1443&lt;&gt;"",VLOOKUP(X1443,game_rosters!$C$43:$E$64,3,FALSE))</f>
        <v>0</v>
      </c>
      <c r="Z1443" t="e" cm="1" vm="1">
        <f t="array" aca="1" ref="Z1443" ca="1">IFERROR(IF(_xlfn._xlws.FILTER(game_rosters!$J:$J,(game_rosters!$G:$G=events!$AN1443)*(game_rosters!$J:$J=events!$X1443))&gt;0,1,""),"")</f>
        <v>#VALUE!</v>
      </c>
      <c r="AA1443">
        <f t="shared" si="171"/>
        <v>1000</v>
      </c>
      <c r="AB1443" t="str">
        <f t="shared" si="172"/>
        <v/>
      </c>
      <c r="AC1443">
        <f t="shared" si="169"/>
        <v>1000</v>
      </c>
      <c r="AD1443" s="6"/>
    </row>
    <row r="1444" spans="1:30" x14ac:dyDescent="0.2">
      <c r="A1444" t="str">
        <f t="shared" si="170"/>
        <v/>
      </c>
      <c r="X1444" t="str" cm="1">
        <f t="array" ref="X1444">IF(S1444="","",IF($I1444&lt;&gt;"",$I1444,INDEX($I$2:$I1443,ROW()-COUNTIFS($T$2:$T1443,"="&amp;$T1444,$S$2:$S1443,"&lt;&gt;"&amp;$S1444)-1)))</f>
        <v/>
      </c>
      <c r="Y1444" t="b">
        <f>IF(X1444&lt;&gt;"",VLOOKUP(X1444,game_rosters!$C$43:$E$64,3,FALSE))</f>
        <v>0</v>
      </c>
      <c r="Z1444" t="e" cm="1" vm="1">
        <f t="array" aca="1" ref="Z1444" ca="1">IFERROR(IF(_xlfn._xlws.FILTER(game_rosters!$J:$J,(game_rosters!$G:$G=events!$AN1444)*(game_rosters!$J:$J=events!$X1444))&gt;0,1,""),"")</f>
        <v>#VALUE!</v>
      </c>
      <c r="AA1444">
        <f t="shared" si="171"/>
        <v>1000</v>
      </c>
      <c r="AB1444" t="str">
        <f t="shared" si="172"/>
        <v/>
      </c>
      <c r="AC1444">
        <f t="shared" si="169"/>
        <v>1000</v>
      </c>
      <c r="AD1444" s="6"/>
    </row>
    <row r="1445" spans="1:30" x14ac:dyDescent="0.2">
      <c r="A1445" t="str">
        <f t="shared" si="170"/>
        <v/>
      </c>
      <c r="X1445" t="str" cm="1">
        <f t="array" ref="X1445">IF(S1445="","",IF($I1445&lt;&gt;"",$I1445,INDEX($I$2:$I1444,ROW()-COUNTIFS($T$2:$T1444,"="&amp;$T1445,$S$2:$S1444,"&lt;&gt;"&amp;$S1445)-1)))</f>
        <v/>
      </c>
      <c r="Y1445" t="b">
        <f>IF(X1445&lt;&gt;"",VLOOKUP(X1445,game_rosters!$C$43:$E$64,3,FALSE))</f>
        <v>0</v>
      </c>
      <c r="Z1445" t="e" cm="1" vm="1">
        <f t="array" aca="1" ref="Z1445" ca="1">IFERROR(IF(_xlfn._xlws.FILTER(game_rosters!$J:$J,(game_rosters!$G:$G=events!$AN1445)*(game_rosters!$J:$J=events!$X1445))&gt;0,1,""),"")</f>
        <v>#VALUE!</v>
      </c>
      <c r="AA1445">
        <f t="shared" si="171"/>
        <v>1000</v>
      </c>
      <c r="AB1445" t="str">
        <f t="shared" si="172"/>
        <v/>
      </c>
      <c r="AC1445">
        <f t="shared" si="169"/>
        <v>1000</v>
      </c>
      <c r="AD1445" s="6"/>
    </row>
    <row r="1446" spans="1:30" x14ac:dyDescent="0.2">
      <c r="A1446" t="str">
        <f t="shared" si="170"/>
        <v/>
      </c>
      <c r="X1446" t="str" cm="1">
        <f t="array" ref="X1446">IF(S1446="","",IF($I1446&lt;&gt;"",$I1446,INDEX($I$2:$I1445,ROW()-COUNTIFS($T$2:$T1445,"="&amp;$T1446,$S$2:$S1445,"&lt;&gt;"&amp;$S1446)-1)))</f>
        <v/>
      </c>
      <c r="Y1446" t="b">
        <f>IF(X1446&lt;&gt;"",VLOOKUP(X1446,game_rosters!$C$43:$E$64,3,FALSE))</f>
        <v>0</v>
      </c>
      <c r="Z1446" t="e" cm="1" vm="1">
        <f t="array" aca="1" ref="Z1446" ca="1">IFERROR(IF(_xlfn._xlws.FILTER(game_rosters!$J:$J,(game_rosters!$G:$G=events!$AN1446)*(game_rosters!$J:$J=events!$X1446))&gt;0,1,""),"")</f>
        <v>#VALUE!</v>
      </c>
      <c r="AA1446">
        <f t="shared" si="171"/>
        <v>1000</v>
      </c>
      <c r="AB1446" t="str">
        <f t="shared" si="172"/>
        <v/>
      </c>
      <c r="AC1446">
        <f t="shared" si="169"/>
        <v>1000</v>
      </c>
      <c r="AD1446" s="6"/>
    </row>
    <row r="1447" spans="1:30" x14ac:dyDescent="0.2">
      <c r="A1447" t="str">
        <f t="shared" si="170"/>
        <v/>
      </c>
      <c r="X1447" t="str" cm="1">
        <f t="array" ref="X1447">IF(S1447="","",IF($I1447&lt;&gt;"",$I1447,INDEX($I$2:$I1446,ROW()-COUNTIFS($T$2:$T1446,"="&amp;$T1447,$S$2:$S1446,"&lt;&gt;"&amp;$S1447)-1)))</f>
        <v/>
      </c>
      <c r="Y1447" t="b">
        <f>IF(X1447&lt;&gt;"",VLOOKUP(X1447,game_rosters!$C$43:$E$64,3,FALSE))</f>
        <v>0</v>
      </c>
      <c r="Z1447" t="e" cm="1" vm="1">
        <f t="array" aca="1" ref="Z1447" ca="1">IFERROR(IF(_xlfn._xlws.FILTER(game_rosters!$J:$J,(game_rosters!$G:$G=events!$AN1447)*(game_rosters!$J:$J=events!$X1447))&gt;0,1,""),"")</f>
        <v>#VALUE!</v>
      </c>
      <c r="AA1447">
        <f t="shared" si="171"/>
        <v>1000</v>
      </c>
      <c r="AB1447" t="str">
        <f t="shared" si="172"/>
        <v/>
      </c>
      <c r="AC1447">
        <f t="shared" si="169"/>
        <v>1000</v>
      </c>
      <c r="AD1447" s="6"/>
    </row>
    <row r="1448" spans="1:30" x14ac:dyDescent="0.2">
      <c r="A1448" t="str">
        <f t="shared" si="170"/>
        <v/>
      </c>
      <c r="X1448" t="str" cm="1">
        <f t="array" ref="X1448">IF(S1448="","",IF($I1448&lt;&gt;"",$I1448,INDEX($I$2:$I1447,ROW()-COUNTIFS($T$2:$T1447,"="&amp;$T1448,$S$2:$S1447,"&lt;&gt;"&amp;$S1448)-1)))</f>
        <v/>
      </c>
      <c r="Y1448" t="b">
        <f>IF(X1448&lt;&gt;"",VLOOKUP(X1448,game_rosters!$C$43:$E$64,3,FALSE))</f>
        <v>0</v>
      </c>
      <c r="Z1448" t="e" cm="1" vm="1">
        <f t="array" aca="1" ref="Z1448" ca="1">IFERROR(IF(_xlfn._xlws.FILTER(game_rosters!$J:$J,(game_rosters!$G:$G=events!$AN1448)*(game_rosters!$J:$J=events!$X1448))&gt;0,1,""),"")</f>
        <v>#VALUE!</v>
      </c>
      <c r="AA1448">
        <f t="shared" si="171"/>
        <v>1000</v>
      </c>
      <c r="AB1448" t="str">
        <f t="shared" si="172"/>
        <v/>
      </c>
      <c r="AC1448">
        <f t="shared" si="169"/>
        <v>1000</v>
      </c>
      <c r="AD1448" s="6"/>
    </row>
    <row r="1449" spans="1:30" x14ac:dyDescent="0.2">
      <c r="A1449" t="str">
        <f t="shared" si="170"/>
        <v/>
      </c>
      <c r="X1449" t="str" cm="1">
        <f t="array" ref="X1449">IF(S1449="","",IF($I1449&lt;&gt;"",$I1449,INDEX($I$2:$I1448,ROW()-COUNTIFS($T$2:$T1448,"="&amp;$T1449,$S$2:$S1448,"&lt;&gt;"&amp;$S1449)-1)))</f>
        <v/>
      </c>
      <c r="Y1449" t="b">
        <f>IF(X1449&lt;&gt;"",VLOOKUP(X1449,game_rosters!$C$43:$E$64,3,FALSE))</f>
        <v>0</v>
      </c>
      <c r="Z1449" t="e" cm="1" vm="1">
        <f t="array" aca="1" ref="Z1449" ca="1">IFERROR(IF(_xlfn._xlws.FILTER(game_rosters!$J:$J,(game_rosters!$G:$G=events!$AN1449)*(game_rosters!$J:$J=events!$X1449))&gt;0,1,""),"")</f>
        <v>#VALUE!</v>
      </c>
      <c r="AA1449">
        <f t="shared" si="171"/>
        <v>1000</v>
      </c>
      <c r="AB1449" t="str">
        <f t="shared" si="172"/>
        <v/>
      </c>
      <c r="AC1449">
        <f t="shared" si="169"/>
        <v>1000</v>
      </c>
      <c r="AD1449" s="6"/>
    </row>
    <row r="1450" spans="1:30" x14ac:dyDescent="0.2">
      <c r="A1450" t="str">
        <f t="shared" si="170"/>
        <v/>
      </c>
      <c r="X1450" t="str" cm="1">
        <f t="array" ref="X1450">IF(S1450="","",IF($I1450&lt;&gt;"",$I1450,INDEX($I$2:$I1449,ROW()-COUNTIFS($T$2:$T1449,"="&amp;$T1450,$S$2:$S1449,"&lt;&gt;"&amp;$S1450)-1)))</f>
        <v/>
      </c>
      <c r="Y1450" t="b">
        <f>IF(X1450&lt;&gt;"",VLOOKUP(X1450,game_rosters!$C$43:$E$64,3,FALSE))</f>
        <v>0</v>
      </c>
      <c r="Z1450" t="e" cm="1" vm="1">
        <f t="array" aca="1" ref="Z1450" ca="1">IFERROR(IF(_xlfn._xlws.FILTER(game_rosters!$J:$J,(game_rosters!$G:$G=events!$AN1450)*(game_rosters!$J:$J=events!$X1450))&gt;0,1,""),"")</f>
        <v>#VALUE!</v>
      </c>
      <c r="AA1450">
        <f t="shared" si="171"/>
        <v>1000</v>
      </c>
      <c r="AB1450" t="str">
        <f t="shared" si="172"/>
        <v/>
      </c>
      <c r="AC1450">
        <f t="shared" si="169"/>
        <v>1000</v>
      </c>
      <c r="AD1450" s="6"/>
    </row>
    <row r="1451" spans="1:30" x14ac:dyDescent="0.2">
      <c r="A1451" t="str">
        <f t="shared" si="170"/>
        <v/>
      </c>
      <c r="X1451" t="str" cm="1">
        <f t="array" ref="X1451">IF(S1451="","",IF($I1451&lt;&gt;"",$I1451,INDEX($I$2:$I1450,ROW()-COUNTIFS($T$2:$T1450,"="&amp;$T1451,$S$2:$S1450,"&lt;&gt;"&amp;$S1451)-1)))</f>
        <v/>
      </c>
      <c r="Y1451" t="b">
        <f>IF(X1451&lt;&gt;"",VLOOKUP(X1451,game_rosters!$C$43:$E$64,3,FALSE))</f>
        <v>0</v>
      </c>
      <c r="Z1451" t="e" cm="1" vm="1">
        <f t="array" aca="1" ref="Z1451" ca="1">IFERROR(IF(_xlfn._xlws.FILTER(game_rosters!$J:$J,(game_rosters!$G:$G=events!$AN1451)*(game_rosters!$J:$J=events!$X1451))&gt;0,1,""),"")</f>
        <v>#VALUE!</v>
      </c>
      <c r="AA1451">
        <f t="shared" si="171"/>
        <v>1000</v>
      </c>
      <c r="AB1451" t="str">
        <f t="shared" si="172"/>
        <v/>
      </c>
      <c r="AC1451">
        <f t="shared" si="169"/>
        <v>1000</v>
      </c>
      <c r="AD1451" s="6"/>
    </row>
    <row r="1452" spans="1:30" x14ac:dyDescent="0.2">
      <c r="A1452" t="str">
        <f t="shared" si="170"/>
        <v/>
      </c>
      <c r="X1452" t="str" cm="1">
        <f t="array" ref="X1452">IF(S1452="","",IF($I1452&lt;&gt;"",$I1452,INDEX($I$2:$I1451,ROW()-COUNTIFS($T$2:$T1451,"="&amp;$T1452,$S$2:$S1451,"&lt;&gt;"&amp;$S1452)-1)))</f>
        <v/>
      </c>
      <c r="Y1452" t="b">
        <f>IF(X1452&lt;&gt;"",VLOOKUP(X1452,game_rosters!$C$43:$E$64,3,FALSE))</f>
        <v>0</v>
      </c>
      <c r="Z1452" t="e" cm="1" vm="1">
        <f t="array" aca="1" ref="Z1452" ca="1">IFERROR(IF(_xlfn._xlws.FILTER(game_rosters!$J:$J,(game_rosters!$G:$G=events!$AN1452)*(game_rosters!$J:$J=events!$X1452))&gt;0,1,""),"")</f>
        <v>#VALUE!</v>
      </c>
      <c r="AA1452">
        <f t="shared" si="171"/>
        <v>1000</v>
      </c>
      <c r="AB1452" t="str">
        <f t="shared" si="172"/>
        <v/>
      </c>
      <c r="AC1452">
        <f t="shared" si="169"/>
        <v>1000</v>
      </c>
      <c r="AD1452" s="6"/>
    </row>
    <row r="1453" spans="1:30" x14ac:dyDescent="0.2">
      <c r="A1453" t="str">
        <f t="shared" si="170"/>
        <v/>
      </c>
      <c r="X1453" t="str" cm="1">
        <f t="array" ref="X1453">IF(S1453="","",IF($I1453&lt;&gt;"",$I1453,INDEX($I$2:$I1452,ROW()-COUNTIFS($T$2:$T1452,"="&amp;$T1453,$S$2:$S1452,"&lt;&gt;"&amp;$S1453)-1)))</f>
        <v/>
      </c>
      <c r="Y1453" t="b">
        <f>IF(X1453&lt;&gt;"",VLOOKUP(X1453,game_rosters!$C$43:$E$64,3,FALSE))</f>
        <v>0</v>
      </c>
      <c r="Z1453" t="e" cm="1" vm="1">
        <f t="array" aca="1" ref="Z1453" ca="1">IFERROR(IF(_xlfn._xlws.FILTER(game_rosters!$J:$J,(game_rosters!$G:$G=events!$AN1453)*(game_rosters!$J:$J=events!$X1453))&gt;0,1,""),"")</f>
        <v>#VALUE!</v>
      </c>
      <c r="AA1453">
        <f t="shared" si="171"/>
        <v>1000</v>
      </c>
      <c r="AB1453" t="str">
        <f t="shared" si="172"/>
        <v/>
      </c>
      <c r="AC1453">
        <f t="shared" si="169"/>
        <v>1000</v>
      </c>
      <c r="AD1453" s="6"/>
    </row>
    <row r="1454" spans="1:30" x14ac:dyDescent="0.2">
      <c r="A1454" t="str">
        <f t="shared" si="170"/>
        <v/>
      </c>
      <c r="X1454" t="str" cm="1">
        <f t="array" ref="X1454">IF(S1454="","",IF($I1454&lt;&gt;"",$I1454,INDEX($I$2:$I1453,ROW()-COUNTIFS($T$2:$T1453,"="&amp;$T1454,$S$2:$S1453,"&lt;&gt;"&amp;$S1454)-1)))</f>
        <v/>
      </c>
      <c r="Y1454" t="b">
        <f>IF(X1454&lt;&gt;"",VLOOKUP(X1454,game_rosters!$C$43:$E$64,3,FALSE))</f>
        <v>0</v>
      </c>
      <c r="Z1454" t="e" cm="1" vm="1">
        <f t="array" aca="1" ref="Z1454" ca="1">IFERROR(IF(_xlfn._xlws.FILTER(game_rosters!$J:$J,(game_rosters!$G:$G=events!$AN1454)*(game_rosters!$J:$J=events!$X1454))&gt;0,1,""),"")</f>
        <v>#VALUE!</v>
      </c>
      <c r="AA1454">
        <f t="shared" si="171"/>
        <v>1000</v>
      </c>
      <c r="AB1454" t="str">
        <f t="shared" si="172"/>
        <v/>
      </c>
      <c r="AC1454">
        <f t="shared" si="169"/>
        <v>1000</v>
      </c>
      <c r="AD1454" s="6"/>
    </row>
    <row r="1455" spans="1:30" x14ac:dyDescent="0.2">
      <c r="A1455" t="str">
        <f t="shared" si="170"/>
        <v/>
      </c>
      <c r="X1455" t="str" cm="1">
        <f t="array" ref="X1455">IF(S1455="","",IF($I1455&lt;&gt;"",$I1455,INDEX($I$2:$I1454,ROW()-COUNTIFS($T$2:$T1454,"="&amp;$T1455,$S$2:$S1454,"&lt;&gt;"&amp;$S1455)-1)))</f>
        <v/>
      </c>
      <c r="Y1455" t="b">
        <f>IF(X1455&lt;&gt;"",VLOOKUP(X1455,game_rosters!$C$43:$E$64,3,FALSE))</f>
        <v>0</v>
      </c>
      <c r="Z1455" t="e" cm="1" vm="1">
        <f t="array" aca="1" ref="Z1455" ca="1">IFERROR(IF(_xlfn._xlws.FILTER(game_rosters!$J:$J,(game_rosters!$G:$G=events!$AN1455)*(game_rosters!$J:$J=events!$X1455))&gt;0,1,""),"")</f>
        <v>#VALUE!</v>
      </c>
      <c r="AA1455">
        <f t="shared" si="171"/>
        <v>1000</v>
      </c>
      <c r="AB1455" t="str">
        <f t="shared" si="172"/>
        <v/>
      </c>
      <c r="AC1455">
        <f t="shared" si="169"/>
        <v>1000</v>
      </c>
      <c r="AD1455" s="6"/>
    </row>
    <row r="1456" spans="1:30" x14ac:dyDescent="0.2">
      <c r="A1456" t="str">
        <f t="shared" si="170"/>
        <v/>
      </c>
      <c r="X1456" t="str" cm="1">
        <f t="array" ref="X1456">IF(S1456="","",IF($I1456&lt;&gt;"",$I1456,INDEX($I$2:$I1455,ROW()-COUNTIFS($T$2:$T1455,"="&amp;$T1456,$S$2:$S1455,"&lt;&gt;"&amp;$S1456)-1)))</f>
        <v/>
      </c>
      <c r="Y1456" t="b">
        <f>IF(X1456&lt;&gt;"",VLOOKUP(X1456,game_rosters!$C$43:$E$64,3,FALSE))</f>
        <v>0</v>
      </c>
      <c r="Z1456" t="e" cm="1" vm="1">
        <f t="array" aca="1" ref="Z1456" ca="1">IFERROR(IF(_xlfn._xlws.FILTER(game_rosters!$J:$J,(game_rosters!$G:$G=events!$AN1456)*(game_rosters!$J:$J=events!$X1456))&gt;0,1,""),"")</f>
        <v>#VALUE!</v>
      </c>
      <c r="AA1456">
        <f t="shared" si="171"/>
        <v>1000</v>
      </c>
      <c r="AB1456" t="str">
        <f t="shared" si="172"/>
        <v/>
      </c>
      <c r="AC1456">
        <f t="shared" si="169"/>
        <v>1000</v>
      </c>
      <c r="AD1456" s="6"/>
    </row>
    <row r="1457" spans="1:30" x14ac:dyDescent="0.2">
      <c r="A1457" t="str">
        <f t="shared" si="170"/>
        <v/>
      </c>
      <c r="X1457" t="str" cm="1">
        <f t="array" ref="X1457">IF(S1457="","",IF($I1457&lt;&gt;"",$I1457,INDEX($I$2:$I1456,ROW()-COUNTIFS($T$2:$T1456,"="&amp;$T1457,$S$2:$S1456,"&lt;&gt;"&amp;$S1457)-1)))</f>
        <v/>
      </c>
      <c r="Y1457" t="b">
        <f>IF(X1457&lt;&gt;"",VLOOKUP(X1457,game_rosters!$C$43:$E$64,3,FALSE))</f>
        <v>0</v>
      </c>
      <c r="Z1457" t="e" cm="1" vm="1">
        <f t="array" aca="1" ref="Z1457" ca="1">IFERROR(IF(_xlfn._xlws.FILTER(game_rosters!$J:$J,(game_rosters!$G:$G=events!$AN1457)*(game_rosters!$J:$J=events!$X1457))&gt;0,1,""),"")</f>
        <v>#VALUE!</v>
      </c>
      <c r="AA1457">
        <f t="shared" si="171"/>
        <v>1000</v>
      </c>
      <c r="AB1457" t="str">
        <f t="shared" si="172"/>
        <v/>
      </c>
      <c r="AC1457">
        <f t="shared" si="169"/>
        <v>1000</v>
      </c>
      <c r="AD1457" s="6"/>
    </row>
    <row r="1458" spans="1:30" x14ac:dyDescent="0.2">
      <c r="A1458" t="str">
        <f t="shared" si="170"/>
        <v/>
      </c>
      <c r="X1458" t="str" cm="1">
        <f t="array" ref="X1458">IF(S1458="","",IF($I1458&lt;&gt;"",$I1458,INDEX($I$2:$I1457,ROW()-COUNTIFS($T$2:$T1457,"="&amp;$T1458,$S$2:$S1457,"&lt;&gt;"&amp;$S1458)-1)))</f>
        <v/>
      </c>
      <c r="Y1458" t="b">
        <f>IF(X1458&lt;&gt;"",VLOOKUP(X1458,game_rosters!$C$43:$E$64,3,FALSE))</f>
        <v>0</v>
      </c>
      <c r="Z1458" t="e" cm="1" vm="1">
        <f t="array" aca="1" ref="Z1458" ca="1">IFERROR(IF(_xlfn._xlws.FILTER(game_rosters!$J:$J,(game_rosters!$G:$G=events!$AN1458)*(game_rosters!$J:$J=events!$X1458))&gt;0,1,""),"")</f>
        <v>#VALUE!</v>
      </c>
      <c r="AA1458">
        <f t="shared" si="171"/>
        <v>1000</v>
      </c>
      <c r="AB1458" t="str">
        <f t="shared" si="172"/>
        <v/>
      </c>
      <c r="AC1458">
        <f t="shared" si="169"/>
        <v>1000</v>
      </c>
      <c r="AD1458" s="6"/>
    </row>
    <row r="1459" spans="1:30" x14ac:dyDescent="0.2">
      <c r="A1459" t="str">
        <f t="shared" si="170"/>
        <v/>
      </c>
      <c r="X1459" t="str" cm="1">
        <f t="array" ref="X1459">IF(S1459="","",IF($I1459&lt;&gt;"",$I1459,INDEX($I$2:$I1458,ROW()-COUNTIFS($T$2:$T1458,"="&amp;$T1459,$S$2:$S1458,"&lt;&gt;"&amp;$S1459)-1)))</f>
        <v/>
      </c>
      <c r="Y1459" t="b">
        <f>IF(X1459&lt;&gt;"",VLOOKUP(X1459,game_rosters!$C$43:$E$64,3,FALSE))</f>
        <v>0</v>
      </c>
      <c r="Z1459" t="e" cm="1" vm="1">
        <f t="array" aca="1" ref="Z1459" ca="1">IFERROR(IF(_xlfn._xlws.FILTER(game_rosters!$J:$J,(game_rosters!$G:$G=events!$AN1459)*(game_rosters!$J:$J=events!$X1459))&gt;0,1,""),"")</f>
        <v>#VALUE!</v>
      </c>
      <c r="AA1459">
        <f t="shared" si="171"/>
        <v>1000</v>
      </c>
      <c r="AB1459" t="str">
        <f t="shared" si="172"/>
        <v/>
      </c>
      <c r="AC1459">
        <f t="shared" si="169"/>
        <v>1000</v>
      </c>
      <c r="AD1459" s="6"/>
    </row>
    <row r="1460" spans="1:30" x14ac:dyDescent="0.2">
      <c r="A1460" t="str">
        <f t="shared" si="170"/>
        <v/>
      </c>
      <c r="X1460" t="str" cm="1">
        <f t="array" ref="X1460">IF(S1460="","",IF($I1460&lt;&gt;"",$I1460,INDEX($I$2:$I1459,ROW()-COUNTIFS($T$2:$T1459,"="&amp;$T1460,$S$2:$S1459,"&lt;&gt;"&amp;$S1460)-1)))</f>
        <v/>
      </c>
      <c r="Y1460" t="b">
        <f>IF(X1460&lt;&gt;"",VLOOKUP(X1460,game_rosters!$C$43:$E$64,3,FALSE))</f>
        <v>0</v>
      </c>
      <c r="Z1460" t="e" cm="1" vm="1">
        <f t="array" aca="1" ref="Z1460" ca="1">IFERROR(IF(_xlfn._xlws.FILTER(game_rosters!$J:$J,(game_rosters!$G:$G=events!$AN1460)*(game_rosters!$J:$J=events!$X1460))&gt;0,1,""),"")</f>
        <v>#VALUE!</v>
      </c>
      <c r="AA1460">
        <f t="shared" si="171"/>
        <v>1000</v>
      </c>
      <c r="AB1460" t="str">
        <f t="shared" si="172"/>
        <v/>
      </c>
      <c r="AC1460">
        <f t="shared" si="169"/>
        <v>1000</v>
      </c>
      <c r="AD1460" s="6"/>
    </row>
    <row r="1461" spans="1:30" x14ac:dyDescent="0.2">
      <c r="A1461" t="str">
        <f t="shared" si="170"/>
        <v/>
      </c>
      <c r="X1461" t="str" cm="1">
        <f t="array" ref="X1461">IF(S1461="","",IF($I1461&lt;&gt;"",$I1461,INDEX($I$2:$I1460,ROW()-COUNTIFS($T$2:$T1460,"="&amp;$T1461,$S$2:$S1460,"&lt;&gt;"&amp;$S1461)-1)))</f>
        <v/>
      </c>
      <c r="Y1461" t="b">
        <f>IF(X1461&lt;&gt;"",VLOOKUP(X1461,game_rosters!$C$43:$E$64,3,FALSE))</f>
        <v>0</v>
      </c>
      <c r="Z1461" t="e" cm="1" vm="1">
        <f t="array" aca="1" ref="Z1461" ca="1">IFERROR(IF(_xlfn._xlws.FILTER(game_rosters!$J:$J,(game_rosters!$G:$G=events!$AN1461)*(game_rosters!$J:$J=events!$X1461))&gt;0,1,""),"")</f>
        <v>#VALUE!</v>
      </c>
      <c r="AA1461">
        <f t="shared" si="171"/>
        <v>1000</v>
      </c>
      <c r="AB1461" t="str">
        <f t="shared" si="172"/>
        <v/>
      </c>
      <c r="AC1461">
        <f t="shared" si="169"/>
        <v>1000</v>
      </c>
      <c r="AD1461" s="6"/>
    </row>
    <row r="1462" spans="1:30" x14ac:dyDescent="0.2">
      <c r="A1462" t="str">
        <f t="shared" si="170"/>
        <v/>
      </c>
      <c r="X1462" t="str" cm="1">
        <f t="array" ref="X1462">IF(S1462="","",IF($I1462&lt;&gt;"",$I1462,INDEX($I$2:$I1461,ROW()-COUNTIFS($T$2:$T1461,"="&amp;$T1462,$S$2:$S1461,"&lt;&gt;"&amp;$S1462)-1)))</f>
        <v/>
      </c>
      <c r="Y1462" t="b">
        <f>IF(X1462&lt;&gt;"",VLOOKUP(X1462,game_rosters!$C$43:$E$64,3,FALSE))</f>
        <v>0</v>
      </c>
      <c r="Z1462" t="e" cm="1" vm="1">
        <f t="array" aca="1" ref="Z1462" ca="1">IFERROR(IF(_xlfn._xlws.FILTER(game_rosters!$J:$J,(game_rosters!$G:$G=events!$AN1462)*(game_rosters!$J:$J=events!$X1462))&gt;0,1,""),"")</f>
        <v>#VALUE!</v>
      </c>
      <c r="AA1462">
        <f t="shared" si="171"/>
        <v>1000</v>
      </c>
      <c r="AB1462" t="str">
        <f t="shared" si="172"/>
        <v/>
      </c>
      <c r="AC1462">
        <f t="shared" si="169"/>
        <v>1000</v>
      </c>
      <c r="AD1462" s="6"/>
    </row>
    <row r="1463" spans="1:30" x14ac:dyDescent="0.2">
      <c r="A1463" t="str">
        <f t="shared" si="170"/>
        <v/>
      </c>
      <c r="X1463" t="str" cm="1">
        <f t="array" ref="X1463">IF(S1463="","",IF($I1463&lt;&gt;"",$I1463,INDEX($I$2:$I1462,ROW()-COUNTIFS($T$2:$T1462,"="&amp;$T1463,$S$2:$S1462,"&lt;&gt;"&amp;$S1463)-1)))</f>
        <v/>
      </c>
      <c r="Y1463" t="b">
        <f>IF(X1463&lt;&gt;"",VLOOKUP(X1463,game_rosters!$C$43:$E$64,3,FALSE))</f>
        <v>0</v>
      </c>
      <c r="Z1463" t="e" cm="1" vm="1">
        <f t="array" aca="1" ref="Z1463" ca="1">IFERROR(IF(_xlfn._xlws.FILTER(game_rosters!$J:$J,(game_rosters!$G:$G=events!$AN1463)*(game_rosters!$J:$J=events!$X1463))&gt;0,1,""),"")</f>
        <v>#VALUE!</v>
      </c>
      <c r="AA1463">
        <f t="shared" si="171"/>
        <v>1000</v>
      </c>
      <c r="AB1463" t="str">
        <f t="shared" si="172"/>
        <v/>
      </c>
      <c r="AC1463">
        <f t="shared" si="169"/>
        <v>1000</v>
      </c>
      <c r="AD1463" s="6"/>
    </row>
    <row r="1464" spans="1:30" x14ac:dyDescent="0.2">
      <c r="A1464" t="str">
        <f t="shared" si="170"/>
        <v/>
      </c>
      <c r="X1464" t="str" cm="1">
        <f t="array" ref="X1464">IF(S1464="","",IF($I1464&lt;&gt;"",$I1464,INDEX($I$2:$I1463,ROW()-COUNTIFS($T$2:$T1463,"="&amp;$T1464,$S$2:$S1463,"&lt;&gt;"&amp;$S1464)-1)))</f>
        <v/>
      </c>
      <c r="Y1464" t="b">
        <f>IF(X1464&lt;&gt;"",VLOOKUP(X1464,game_rosters!$C$43:$E$64,3,FALSE))</f>
        <v>0</v>
      </c>
      <c r="Z1464" t="e" cm="1" vm="1">
        <f t="array" aca="1" ref="Z1464" ca="1">IFERROR(IF(_xlfn._xlws.FILTER(game_rosters!$J:$J,(game_rosters!$G:$G=events!$AN1464)*(game_rosters!$J:$J=events!$X1464))&gt;0,1,""),"")</f>
        <v>#VALUE!</v>
      </c>
      <c r="AA1464">
        <f t="shared" si="171"/>
        <v>1000</v>
      </c>
      <c r="AB1464" t="str">
        <f t="shared" si="172"/>
        <v/>
      </c>
      <c r="AC1464">
        <f t="shared" si="169"/>
        <v>1000</v>
      </c>
      <c r="AD1464" s="6"/>
    </row>
    <row r="1465" spans="1:30" x14ac:dyDescent="0.2">
      <c r="A1465" t="str">
        <f t="shared" si="170"/>
        <v/>
      </c>
      <c r="X1465" t="str" cm="1">
        <f t="array" ref="X1465">IF(S1465="","",IF($I1465&lt;&gt;"",$I1465,INDEX($I$2:$I1464,ROW()-COUNTIFS($T$2:$T1464,"="&amp;$T1465,$S$2:$S1464,"&lt;&gt;"&amp;$S1465)-1)))</f>
        <v/>
      </c>
      <c r="Y1465" t="b">
        <f>IF(X1465&lt;&gt;"",VLOOKUP(X1465,game_rosters!$C$43:$E$64,3,FALSE))</f>
        <v>0</v>
      </c>
      <c r="Z1465" t="e" cm="1" vm="1">
        <f t="array" aca="1" ref="Z1465" ca="1">IFERROR(IF(_xlfn._xlws.FILTER(game_rosters!$J:$J,(game_rosters!$G:$G=events!$AN1465)*(game_rosters!$J:$J=events!$X1465))&gt;0,1,""),"")</f>
        <v>#VALUE!</v>
      </c>
      <c r="AA1465">
        <f t="shared" si="171"/>
        <v>1000</v>
      </c>
      <c r="AB1465" t="str">
        <f t="shared" si="172"/>
        <v/>
      </c>
      <c r="AC1465">
        <f t="shared" si="169"/>
        <v>1000</v>
      </c>
      <c r="AD1465" s="6"/>
    </row>
    <row r="1466" spans="1:30" x14ac:dyDescent="0.2">
      <c r="A1466" t="str">
        <f t="shared" si="170"/>
        <v/>
      </c>
      <c r="X1466" t="str" cm="1">
        <f t="array" ref="X1466">IF(S1466="","",IF($I1466&lt;&gt;"",$I1466,INDEX($I$2:$I1465,ROW()-COUNTIFS($T$2:$T1465,"="&amp;$T1466,$S$2:$S1465,"&lt;&gt;"&amp;$S1466)-1)))</f>
        <v/>
      </c>
      <c r="Y1466" t="b">
        <f>IF(X1466&lt;&gt;"",VLOOKUP(X1466,game_rosters!$C$43:$E$64,3,FALSE))</f>
        <v>0</v>
      </c>
      <c r="Z1466" t="e" cm="1" vm="1">
        <f t="array" aca="1" ref="Z1466" ca="1">IFERROR(IF(_xlfn._xlws.FILTER(game_rosters!$J:$J,(game_rosters!$G:$G=events!$AN1466)*(game_rosters!$J:$J=events!$X1466))&gt;0,1,""),"")</f>
        <v>#VALUE!</v>
      </c>
      <c r="AA1466">
        <f t="shared" si="171"/>
        <v>1000</v>
      </c>
      <c r="AB1466" t="str">
        <f t="shared" si="172"/>
        <v/>
      </c>
      <c r="AC1466">
        <f t="shared" si="169"/>
        <v>1000</v>
      </c>
      <c r="AD1466" s="6"/>
    </row>
    <row r="1467" spans="1:30" x14ac:dyDescent="0.2">
      <c r="A1467" t="str">
        <f t="shared" si="170"/>
        <v/>
      </c>
      <c r="X1467" t="str" cm="1">
        <f t="array" ref="X1467">IF(S1467="","",IF($I1467&lt;&gt;"",$I1467,INDEX($I$2:$I1466,ROW()-COUNTIFS($T$2:$T1466,"="&amp;$T1467,$S$2:$S1466,"&lt;&gt;"&amp;$S1467)-1)))</f>
        <v/>
      </c>
      <c r="Y1467" t="b">
        <f>IF(X1467&lt;&gt;"",VLOOKUP(X1467,game_rosters!$C$43:$E$64,3,FALSE))</f>
        <v>0</v>
      </c>
      <c r="Z1467" t="e" cm="1" vm="1">
        <f t="array" aca="1" ref="Z1467" ca="1">IFERROR(IF(_xlfn._xlws.FILTER(game_rosters!$J:$J,(game_rosters!$G:$G=events!$AN1467)*(game_rosters!$J:$J=events!$X1467))&gt;0,1,""),"")</f>
        <v>#VALUE!</v>
      </c>
      <c r="AA1467">
        <f t="shared" si="171"/>
        <v>1000</v>
      </c>
      <c r="AB1467" t="str">
        <f t="shared" si="172"/>
        <v/>
      </c>
      <c r="AC1467">
        <f t="shared" si="169"/>
        <v>1000</v>
      </c>
      <c r="AD1467" s="6"/>
    </row>
    <row r="1468" spans="1:30" x14ac:dyDescent="0.2">
      <c r="A1468" t="str">
        <f t="shared" si="170"/>
        <v/>
      </c>
      <c r="X1468" t="str" cm="1">
        <f t="array" ref="X1468">IF(S1468="","",IF($I1468&lt;&gt;"",$I1468,INDEX($I$2:$I1467,ROW()-COUNTIFS($T$2:$T1467,"="&amp;$T1468,$S$2:$S1467,"&lt;&gt;"&amp;$S1468)-1)))</f>
        <v/>
      </c>
      <c r="Y1468" t="b">
        <f>IF(X1468&lt;&gt;"",VLOOKUP(X1468,game_rosters!$C$43:$E$64,3,FALSE))</f>
        <v>0</v>
      </c>
      <c r="Z1468" t="e" cm="1" vm="1">
        <f t="array" aca="1" ref="Z1468" ca="1">IFERROR(IF(_xlfn._xlws.FILTER(game_rosters!$J:$J,(game_rosters!$G:$G=events!$AN1468)*(game_rosters!$J:$J=events!$X1468))&gt;0,1,""),"")</f>
        <v>#VALUE!</v>
      </c>
      <c r="AA1468">
        <f t="shared" si="171"/>
        <v>1000</v>
      </c>
      <c r="AB1468" t="str">
        <f t="shared" si="172"/>
        <v/>
      </c>
      <c r="AC1468">
        <f t="shared" si="169"/>
        <v>1000</v>
      </c>
      <c r="AD1468" s="6"/>
    </row>
    <row r="1469" spans="1:30" x14ac:dyDescent="0.2">
      <c r="A1469" t="str">
        <f t="shared" si="170"/>
        <v/>
      </c>
      <c r="X1469" t="str" cm="1">
        <f t="array" ref="X1469">IF(S1469="","",IF($I1469&lt;&gt;"",$I1469,INDEX($I$2:$I1468,ROW()-COUNTIFS($T$2:$T1468,"="&amp;$T1469,$S$2:$S1468,"&lt;&gt;"&amp;$S1469)-1)))</f>
        <v/>
      </c>
      <c r="Y1469" t="b">
        <f>IF(X1469&lt;&gt;"",VLOOKUP(X1469,game_rosters!$C$43:$E$64,3,FALSE))</f>
        <v>0</v>
      </c>
      <c r="Z1469" t="e" cm="1" vm="1">
        <f t="array" aca="1" ref="Z1469" ca="1">IFERROR(IF(_xlfn._xlws.FILTER(game_rosters!$J:$J,(game_rosters!$G:$G=events!$AN1469)*(game_rosters!$J:$J=events!$X1469))&gt;0,1,""),"")</f>
        <v>#VALUE!</v>
      </c>
      <c r="AA1469">
        <f t="shared" si="171"/>
        <v>1000</v>
      </c>
      <c r="AB1469" t="str">
        <f t="shared" si="172"/>
        <v/>
      </c>
      <c r="AC1469">
        <f t="shared" si="169"/>
        <v>1000</v>
      </c>
      <c r="AD1469" s="6"/>
    </row>
    <row r="1470" spans="1:30" x14ac:dyDescent="0.2">
      <c r="A1470" t="str">
        <f t="shared" si="170"/>
        <v/>
      </c>
      <c r="X1470" t="str" cm="1">
        <f t="array" ref="X1470">IF(S1470="","",IF($I1470&lt;&gt;"",$I1470,INDEX($I$2:$I1469,ROW()-COUNTIFS($T$2:$T1469,"="&amp;$T1470,$S$2:$S1469,"&lt;&gt;"&amp;$S1470)-1)))</f>
        <v/>
      </c>
      <c r="Y1470" t="b">
        <f>IF(X1470&lt;&gt;"",VLOOKUP(X1470,game_rosters!$C$43:$E$64,3,FALSE))</f>
        <v>0</v>
      </c>
      <c r="Z1470" t="e" cm="1" vm="1">
        <f t="array" aca="1" ref="Z1470" ca="1">IFERROR(IF(_xlfn._xlws.FILTER(game_rosters!$J:$J,(game_rosters!$G:$G=events!$AN1470)*(game_rosters!$J:$J=events!$X1470))&gt;0,1,""),"")</f>
        <v>#VALUE!</v>
      </c>
      <c r="AA1470">
        <f t="shared" si="171"/>
        <v>1000</v>
      </c>
      <c r="AB1470" t="str">
        <f t="shared" si="172"/>
        <v/>
      </c>
      <c r="AC1470">
        <f t="shared" si="169"/>
        <v>1000</v>
      </c>
      <c r="AD1470" s="6"/>
    </row>
    <row r="1471" spans="1:30" x14ac:dyDescent="0.2">
      <c r="A1471" t="str">
        <f t="shared" si="170"/>
        <v/>
      </c>
      <c r="X1471" t="str" cm="1">
        <f t="array" ref="X1471">IF(S1471="","",IF($I1471&lt;&gt;"",$I1471,INDEX($I$2:$I1470,ROW()-COUNTIFS($T$2:$T1470,"="&amp;$T1471,$S$2:$S1470,"&lt;&gt;"&amp;$S1471)-1)))</f>
        <v/>
      </c>
      <c r="Y1471" t="b">
        <f>IF(X1471&lt;&gt;"",VLOOKUP(X1471,game_rosters!$C$43:$E$64,3,FALSE))</f>
        <v>0</v>
      </c>
      <c r="Z1471" t="e" cm="1" vm="1">
        <f t="array" aca="1" ref="Z1471" ca="1">IFERROR(IF(_xlfn._xlws.FILTER(game_rosters!$J:$J,(game_rosters!$G:$G=events!$AN1471)*(game_rosters!$J:$J=events!$X1471))&gt;0,1,""),"")</f>
        <v>#VALUE!</v>
      </c>
      <c r="AA1471">
        <f t="shared" si="171"/>
        <v>1000</v>
      </c>
      <c r="AB1471" t="str">
        <f t="shared" si="172"/>
        <v/>
      </c>
      <c r="AC1471">
        <f t="shared" si="169"/>
        <v>1000</v>
      </c>
      <c r="AD1471" s="6"/>
    </row>
    <row r="1472" spans="1:30" x14ac:dyDescent="0.2">
      <c r="A1472" t="str">
        <f t="shared" si="170"/>
        <v/>
      </c>
      <c r="X1472" t="str" cm="1">
        <f t="array" ref="X1472">IF(S1472="","",IF($I1472&lt;&gt;"",$I1472,INDEX($I$2:$I1471,ROW()-COUNTIFS($T$2:$T1471,"="&amp;$T1472,$S$2:$S1471,"&lt;&gt;"&amp;$S1472)-1)))</f>
        <v/>
      </c>
      <c r="Y1472" t="b">
        <f>IF(X1472&lt;&gt;"",VLOOKUP(X1472,game_rosters!$C$43:$E$64,3,FALSE))</f>
        <v>0</v>
      </c>
      <c r="Z1472" t="e" cm="1" vm="1">
        <f t="array" aca="1" ref="Z1472" ca="1">IFERROR(IF(_xlfn._xlws.FILTER(game_rosters!$J:$J,(game_rosters!$G:$G=events!$AN1472)*(game_rosters!$J:$J=events!$X1472))&gt;0,1,""),"")</f>
        <v>#VALUE!</v>
      </c>
      <c r="AA1472">
        <f t="shared" si="171"/>
        <v>1000</v>
      </c>
      <c r="AB1472" t="str">
        <f t="shared" si="172"/>
        <v/>
      </c>
      <c r="AC1472">
        <f t="shared" si="169"/>
        <v>1000</v>
      </c>
      <c r="AD1472" s="6"/>
    </row>
    <row r="1473" spans="1:30" x14ac:dyDescent="0.2">
      <c r="A1473" t="str">
        <f t="shared" si="170"/>
        <v/>
      </c>
      <c r="X1473" t="str" cm="1">
        <f t="array" ref="X1473">IF(S1473="","",IF($I1473&lt;&gt;"",$I1473,INDEX($I$2:$I1472,ROW()-COUNTIFS($T$2:$T1472,"="&amp;$T1473,$S$2:$S1472,"&lt;&gt;"&amp;$S1473)-1)))</f>
        <v/>
      </c>
      <c r="Y1473" t="b">
        <f>IF(X1473&lt;&gt;"",VLOOKUP(X1473,game_rosters!$C$43:$E$64,3,FALSE))</f>
        <v>0</v>
      </c>
      <c r="Z1473" t="e" cm="1" vm="1">
        <f t="array" aca="1" ref="Z1473" ca="1">IFERROR(IF(_xlfn._xlws.FILTER(game_rosters!$J:$J,(game_rosters!$G:$G=events!$AN1473)*(game_rosters!$J:$J=events!$X1473))&gt;0,1,""),"")</f>
        <v>#VALUE!</v>
      </c>
      <c r="AA1473">
        <f t="shared" si="171"/>
        <v>1000</v>
      </c>
      <c r="AB1473" t="str">
        <f t="shared" si="172"/>
        <v/>
      </c>
      <c r="AC1473">
        <f t="shared" si="169"/>
        <v>1000</v>
      </c>
      <c r="AD1473" s="6"/>
    </row>
    <row r="1474" spans="1:30" x14ac:dyDescent="0.2">
      <c r="A1474" t="str">
        <f t="shared" si="170"/>
        <v/>
      </c>
      <c r="X1474" t="str" cm="1">
        <f t="array" ref="X1474">IF(S1474="","",IF($I1474&lt;&gt;"",$I1474,INDEX($I$2:$I1473,ROW()-COUNTIFS($T$2:$T1473,"="&amp;$T1474,$S$2:$S1473,"&lt;&gt;"&amp;$S1474)-1)))</f>
        <v/>
      </c>
      <c r="Y1474" t="b">
        <f>IF(X1474&lt;&gt;"",VLOOKUP(X1474,game_rosters!$C$43:$E$64,3,FALSE))</f>
        <v>0</v>
      </c>
      <c r="Z1474" t="e" cm="1" vm="1">
        <f t="array" aca="1" ref="Z1474" ca="1">IFERROR(IF(_xlfn._xlws.FILTER(game_rosters!$J:$J,(game_rosters!$G:$G=events!$AN1474)*(game_rosters!$J:$J=events!$X1474))&gt;0,1,""),"")</f>
        <v>#VALUE!</v>
      </c>
      <c r="AA1474">
        <f t="shared" si="171"/>
        <v>1000</v>
      </c>
      <c r="AB1474" t="str">
        <f t="shared" si="172"/>
        <v/>
      </c>
      <c r="AC1474">
        <f t="shared" ref="AC1474:AC1537" si="173">IF(AB1474&lt;&gt;"",AB1474,S1474+1000)</f>
        <v>1000</v>
      </c>
      <c r="AD1474" s="6"/>
    </row>
    <row r="1475" spans="1:30" x14ac:dyDescent="0.2">
      <c r="A1475" t="str">
        <f t="shared" si="170"/>
        <v/>
      </c>
      <c r="X1475" t="str" cm="1">
        <f t="array" ref="X1475">IF(S1475="","",IF($I1475&lt;&gt;"",$I1475,INDEX($I$2:$I1474,ROW()-COUNTIFS($T$2:$T1474,"="&amp;$T1475,$S$2:$S1474,"&lt;&gt;"&amp;$S1475)-1)))</f>
        <v/>
      </c>
      <c r="Y1475" t="b">
        <f>IF(X1475&lt;&gt;"",VLOOKUP(X1475,game_rosters!$C$43:$E$64,3,FALSE))</f>
        <v>0</v>
      </c>
      <c r="Z1475" t="e" cm="1" vm="1">
        <f t="array" aca="1" ref="Z1475" ca="1">IFERROR(IF(_xlfn._xlws.FILTER(game_rosters!$J:$J,(game_rosters!$G:$G=events!$AN1475)*(game_rosters!$J:$J=events!$X1475))&gt;0,1,""),"")</f>
        <v>#VALUE!</v>
      </c>
      <c r="AA1475">
        <f t="shared" si="171"/>
        <v>1000</v>
      </c>
      <c r="AB1475" t="str">
        <f t="shared" si="172"/>
        <v/>
      </c>
      <c r="AC1475">
        <f t="shared" si="173"/>
        <v>1000</v>
      </c>
      <c r="AD1475" s="6"/>
    </row>
    <row r="1476" spans="1:30" x14ac:dyDescent="0.2">
      <c r="A1476" t="str">
        <f t="shared" si="170"/>
        <v/>
      </c>
      <c r="X1476" t="str" cm="1">
        <f t="array" ref="X1476">IF(S1476="","",IF($I1476&lt;&gt;"",$I1476,INDEX($I$2:$I1475,ROW()-COUNTIFS($T$2:$T1475,"="&amp;$T1476,$S$2:$S1475,"&lt;&gt;"&amp;$S1476)-1)))</f>
        <v/>
      </c>
      <c r="Y1476" t="b">
        <f>IF(X1476&lt;&gt;"",VLOOKUP(X1476,game_rosters!$C$43:$E$64,3,FALSE))</f>
        <v>0</v>
      </c>
      <c r="Z1476" t="e" cm="1" vm="1">
        <f t="array" aca="1" ref="Z1476" ca="1">IFERROR(IF(_xlfn._xlws.FILTER(game_rosters!$J:$J,(game_rosters!$G:$G=events!$AN1476)*(game_rosters!$J:$J=events!$X1476))&gt;0,1,""),"")</f>
        <v>#VALUE!</v>
      </c>
      <c r="AA1476">
        <f t="shared" si="171"/>
        <v>1000</v>
      </c>
      <c r="AB1476" t="str">
        <f t="shared" si="172"/>
        <v/>
      </c>
      <c r="AC1476">
        <f t="shared" si="173"/>
        <v>1000</v>
      </c>
      <c r="AD1476" s="6"/>
    </row>
    <row r="1477" spans="1:30" x14ac:dyDescent="0.2">
      <c r="A1477" t="str">
        <f t="shared" ref="A1477:A1540" si="174">IF(K1477&lt;&gt;"",1,IF(D1477="x","x",""))</f>
        <v/>
      </c>
      <c r="X1477" t="str" cm="1">
        <f t="array" ref="X1477">IF(S1477="","",IF($I1477&lt;&gt;"",$I1477,INDEX($I$2:$I1476,ROW()-COUNTIFS($T$2:$T1476,"="&amp;$T1477,$S$2:$S1476,"&lt;&gt;"&amp;$S1477)-1)))</f>
        <v/>
      </c>
      <c r="Y1477" t="b">
        <f>IF(X1477&lt;&gt;"",VLOOKUP(X1477,game_rosters!$C$43:$E$64,3,FALSE))</f>
        <v>0</v>
      </c>
      <c r="Z1477" t="e" cm="1" vm="1">
        <f t="array" aca="1" ref="Z1477" ca="1">IFERROR(IF(_xlfn._xlws.FILTER(game_rosters!$J:$J,(game_rosters!$G:$G=events!$AN1477)*(game_rosters!$J:$J=events!$X1477))&gt;0,1,""),"")</f>
        <v>#VALUE!</v>
      </c>
      <c r="AA1477">
        <f t="shared" si="171"/>
        <v>1000</v>
      </c>
      <c r="AB1477" t="str">
        <f t="shared" si="172"/>
        <v/>
      </c>
      <c r="AC1477">
        <f t="shared" si="173"/>
        <v>1000</v>
      </c>
      <c r="AD1477" s="6"/>
    </row>
    <row r="1478" spans="1:30" x14ac:dyDescent="0.2">
      <c r="A1478" t="str">
        <f t="shared" si="174"/>
        <v/>
      </c>
      <c r="X1478" t="str" cm="1">
        <f t="array" ref="X1478">IF(S1478="","",IF($I1478&lt;&gt;"",$I1478,INDEX($I$2:$I1477,ROW()-COUNTIFS($T$2:$T1477,"="&amp;$T1478,$S$2:$S1477,"&lt;&gt;"&amp;$S1478)-1)))</f>
        <v/>
      </c>
      <c r="Y1478" t="b">
        <f>IF(X1478&lt;&gt;"",VLOOKUP(X1478,game_rosters!$C$43:$E$64,3,FALSE))</f>
        <v>0</v>
      </c>
      <c r="Z1478" t="e" cm="1" vm="1">
        <f t="array" aca="1" ref="Z1478" ca="1">IFERROR(IF(_xlfn._xlws.FILTER(game_rosters!$J:$J,(game_rosters!$G:$G=events!$AN1478)*(game_rosters!$J:$J=events!$X1478))&gt;0,1,""),"")</f>
        <v>#VALUE!</v>
      </c>
      <c r="AA1478">
        <f t="shared" si="171"/>
        <v>1000</v>
      </c>
      <c r="AB1478" t="str">
        <f t="shared" si="172"/>
        <v/>
      </c>
      <c r="AC1478">
        <f t="shared" si="173"/>
        <v>1000</v>
      </c>
      <c r="AD1478" s="6"/>
    </row>
    <row r="1479" spans="1:30" x14ac:dyDescent="0.2">
      <c r="A1479" t="str">
        <f t="shared" si="174"/>
        <v/>
      </c>
      <c r="X1479" t="str" cm="1">
        <f t="array" ref="X1479">IF(S1479="","",IF($I1479&lt;&gt;"",$I1479,INDEX($I$2:$I1478,ROW()-COUNTIFS($T$2:$T1478,"="&amp;$T1479,$S$2:$S1478,"&lt;&gt;"&amp;$S1479)-1)))</f>
        <v/>
      </c>
      <c r="Y1479" t="b">
        <f>IF(X1479&lt;&gt;"",VLOOKUP(X1479,game_rosters!$C$43:$E$64,3,FALSE))</f>
        <v>0</v>
      </c>
      <c r="Z1479" t="e" cm="1" vm="1">
        <f t="array" aca="1" ref="Z1479" ca="1">IFERROR(IF(_xlfn._xlws.FILTER(game_rosters!$J:$J,(game_rosters!$G:$G=events!$AN1479)*(game_rosters!$J:$J=events!$X1479))&gt;0,1,""),"")</f>
        <v>#VALUE!</v>
      </c>
      <c r="AA1479">
        <f t="shared" si="171"/>
        <v>1000</v>
      </c>
      <c r="AB1479" t="str">
        <f t="shared" si="172"/>
        <v/>
      </c>
      <c r="AC1479">
        <f t="shared" si="173"/>
        <v>1000</v>
      </c>
      <c r="AD1479" s="6"/>
    </row>
    <row r="1480" spans="1:30" x14ac:dyDescent="0.2">
      <c r="A1480" t="str">
        <f t="shared" si="174"/>
        <v/>
      </c>
      <c r="X1480" t="str" cm="1">
        <f t="array" ref="X1480">IF(S1480="","",IF($I1480&lt;&gt;"",$I1480,INDEX($I$2:$I1479,ROW()-COUNTIFS($T$2:$T1479,"="&amp;$T1480,$S$2:$S1479,"&lt;&gt;"&amp;$S1480)-1)))</f>
        <v/>
      </c>
      <c r="Y1480" t="b">
        <f>IF(X1480&lt;&gt;"",VLOOKUP(X1480,game_rosters!$C$43:$E$64,3,FALSE))</f>
        <v>0</v>
      </c>
      <c r="Z1480" t="e" cm="1" vm="1">
        <f t="array" aca="1" ref="Z1480" ca="1">IFERROR(IF(_xlfn._xlws.FILTER(game_rosters!$J:$J,(game_rosters!$G:$G=events!$AN1480)*(game_rosters!$J:$J=events!$X1480))&gt;0,1,""),"")</f>
        <v>#VALUE!</v>
      </c>
      <c r="AA1480">
        <f t="shared" si="171"/>
        <v>1000</v>
      </c>
      <c r="AB1480" t="str">
        <f t="shared" si="172"/>
        <v/>
      </c>
      <c r="AC1480">
        <f t="shared" si="173"/>
        <v>1000</v>
      </c>
      <c r="AD1480" s="6"/>
    </row>
    <row r="1481" spans="1:30" x14ac:dyDescent="0.2">
      <c r="A1481" t="str">
        <f t="shared" si="174"/>
        <v/>
      </c>
      <c r="X1481" t="str" cm="1">
        <f t="array" ref="X1481">IF(S1481="","",IF($I1481&lt;&gt;"",$I1481,INDEX($I$2:$I1480,ROW()-COUNTIFS($T$2:$T1480,"="&amp;$T1481,$S$2:$S1480,"&lt;&gt;"&amp;$S1481)-1)))</f>
        <v/>
      </c>
      <c r="Y1481" t="b">
        <f>IF(X1481&lt;&gt;"",VLOOKUP(X1481,game_rosters!$C$43:$E$64,3,FALSE))</f>
        <v>0</v>
      </c>
      <c r="Z1481" t="e" cm="1" vm="1">
        <f t="array" aca="1" ref="Z1481" ca="1">IFERROR(IF(_xlfn._xlws.FILTER(game_rosters!$J:$J,(game_rosters!$G:$G=events!$AN1481)*(game_rosters!$J:$J=events!$X1481))&gt;0,1,""),"")</f>
        <v>#VALUE!</v>
      </c>
      <c r="AA1481">
        <f t="shared" si="171"/>
        <v>1000</v>
      </c>
      <c r="AB1481" t="str">
        <f t="shared" si="172"/>
        <v/>
      </c>
      <c r="AC1481">
        <f t="shared" si="173"/>
        <v>1000</v>
      </c>
      <c r="AD1481" s="6"/>
    </row>
    <row r="1482" spans="1:30" x14ac:dyDescent="0.2">
      <c r="A1482" t="str">
        <f t="shared" si="174"/>
        <v/>
      </c>
      <c r="X1482" t="str" cm="1">
        <f t="array" ref="X1482">IF(S1482="","",IF($I1482&lt;&gt;"",$I1482,INDEX($I$2:$I1481,ROW()-COUNTIFS($T$2:$T1481,"="&amp;$T1482,$S$2:$S1481,"&lt;&gt;"&amp;$S1482)-1)))</f>
        <v/>
      </c>
      <c r="Y1482" t="b">
        <f>IF(X1482&lt;&gt;"",VLOOKUP(X1482,game_rosters!$C$43:$E$64,3,FALSE))</f>
        <v>0</v>
      </c>
      <c r="Z1482" t="e" cm="1" vm="1">
        <f t="array" aca="1" ref="Z1482" ca="1">IFERROR(IF(_xlfn._xlws.FILTER(game_rosters!$J:$J,(game_rosters!$G:$G=events!$AN1482)*(game_rosters!$J:$J=events!$X1482))&gt;0,1,""),"")</f>
        <v>#VALUE!</v>
      </c>
      <c r="AA1482">
        <f t="shared" si="171"/>
        <v>1000</v>
      </c>
      <c r="AB1482" t="str">
        <f t="shared" si="172"/>
        <v/>
      </c>
      <c r="AC1482">
        <f t="shared" si="173"/>
        <v>1000</v>
      </c>
      <c r="AD1482" s="6"/>
    </row>
    <row r="1483" spans="1:30" x14ac:dyDescent="0.2">
      <c r="A1483" t="str">
        <f t="shared" si="174"/>
        <v/>
      </c>
      <c r="X1483" t="str" cm="1">
        <f t="array" ref="X1483">IF(S1483="","",IF($I1483&lt;&gt;"",$I1483,INDEX($I$2:$I1482,ROW()-COUNTIFS($T$2:$T1482,"="&amp;$T1483,$S$2:$S1482,"&lt;&gt;"&amp;$S1483)-1)))</f>
        <v/>
      </c>
      <c r="Y1483" t="b">
        <f>IF(X1483&lt;&gt;"",VLOOKUP(X1483,game_rosters!$C$43:$E$64,3,FALSE))</f>
        <v>0</v>
      </c>
      <c r="Z1483" t="e" cm="1" vm="1">
        <f t="array" aca="1" ref="Z1483" ca="1">IFERROR(IF(_xlfn._xlws.FILTER(game_rosters!$J:$J,(game_rosters!$G:$G=events!$AN1483)*(game_rosters!$J:$J=events!$X1483))&gt;0,1,""),"")</f>
        <v>#VALUE!</v>
      </c>
      <c r="AA1483">
        <f t="shared" si="171"/>
        <v>1000</v>
      </c>
      <c r="AB1483" t="str">
        <f t="shared" si="172"/>
        <v/>
      </c>
      <c r="AC1483">
        <f t="shared" si="173"/>
        <v>1000</v>
      </c>
      <c r="AD1483" s="6"/>
    </row>
    <row r="1484" spans="1:30" x14ac:dyDescent="0.2">
      <c r="A1484" t="str">
        <f t="shared" si="174"/>
        <v/>
      </c>
      <c r="X1484" t="str" cm="1">
        <f t="array" ref="X1484">IF(S1484="","",IF($I1484&lt;&gt;"",$I1484,INDEX($I$2:$I1483,ROW()-COUNTIFS($T$2:$T1483,"="&amp;$T1484,$S$2:$S1483,"&lt;&gt;"&amp;$S1484)-1)))</f>
        <v/>
      </c>
      <c r="Y1484" t="b">
        <f>IF(X1484&lt;&gt;"",VLOOKUP(X1484,game_rosters!$C$43:$E$64,3,FALSE))</f>
        <v>0</v>
      </c>
      <c r="Z1484" t="e" cm="1" vm="1">
        <f t="array" aca="1" ref="Z1484" ca="1">IFERROR(IF(_xlfn._xlws.FILTER(game_rosters!$J:$J,(game_rosters!$G:$G=events!$AN1484)*(game_rosters!$J:$J=events!$X1484))&gt;0,1,""),"")</f>
        <v>#VALUE!</v>
      </c>
      <c r="AA1484">
        <f t="shared" si="171"/>
        <v>1000</v>
      </c>
      <c r="AB1484" t="str">
        <f t="shared" si="172"/>
        <v/>
      </c>
      <c r="AC1484">
        <f t="shared" si="173"/>
        <v>1000</v>
      </c>
      <c r="AD1484" s="6"/>
    </row>
    <row r="1485" spans="1:30" x14ac:dyDescent="0.2">
      <c r="A1485" t="str">
        <f t="shared" si="174"/>
        <v/>
      </c>
      <c r="X1485" t="str" cm="1">
        <f t="array" ref="X1485">IF(S1485="","",IF($I1485&lt;&gt;"",$I1485,INDEX($I$2:$I1484,ROW()-COUNTIFS($T$2:$T1484,"="&amp;$T1485,$S$2:$S1484,"&lt;&gt;"&amp;$S1485)-1)))</f>
        <v/>
      </c>
      <c r="Y1485" t="b">
        <f>IF(X1485&lt;&gt;"",VLOOKUP(X1485,game_rosters!$C$43:$E$64,3,FALSE))</f>
        <v>0</v>
      </c>
      <c r="Z1485" t="e" cm="1" vm="1">
        <f t="array" aca="1" ref="Z1485" ca="1">IFERROR(IF(_xlfn._xlws.FILTER(game_rosters!$J:$J,(game_rosters!$G:$G=events!$AN1485)*(game_rosters!$J:$J=events!$X1485))&gt;0,1,""),"")</f>
        <v>#VALUE!</v>
      </c>
      <c r="AA1485">
        <f t="shared" si="171"/>
        <v>1000</v>
      </c>
      <c r="AB1485" t="str">
        <f t="shared" si="172"/>
        <v/>
      </c>
      <c r="AC1485">
        <f t="shared" si="173"/>
        <v>1000</v>
      </c>
      <c r="AD1485" s="6"/>
    </row>
    <row r="1486" spans="1:30" x14ac:dyDescent="0.2">
      <c r="A1486" t="str">
        <f t="shared" si="174"/>
        <v/>
      </c>
      <c r="X1486" t="str" cm="1">
        <f t="array" ref="X1486">IF(S1486="","",IF($I1486&lt;&gt;"",$I1486,INDEX($I$2:$I1485,ROW()-COUNTIFS($T$2:$T1485,"="&amp;$T1486,$S$2:$S1485,"&lt;&gt;"&amp;$S1486)-1)))</f>
        <v/>
      </c>
      <c r="Y1486" t="b">
        <f>IF(X1486&lt;&gt;"",VLOOKUP(X1486,game_rosters!$C$43:$E$64,3,FALSE))</f>
        <v>0</v>
      </c>
      <c r="Z1486" t="e" cm="1" vm="1">
        <f t="array" aca="1" ref="Z1486" ca="1">IFERROR(IF(_xlfn._xlws.FILTER(game_rosters!$J:$J,(game_rosters!$G:$G=events!$AN1486)*(game_rosters!$J:$J=events!$X1486))&gt;0,1,""),"")</f>
        <v>#VALUE!</v>
      </c>
      <c r="AA1486">
        <f t="shared" si="171"/>
        <v>1000</v>
      </c>
      <c r="AB1486" t="str">
        <f t="shared" si="172"/>
        <v/>
      </c>
      <c r="AC1486">
        <f t="shared" si="173"/>
        <v>1000</v>
      </c>
      <c r="AD1486" s="6"/>
    </row>
    <row r="1487" spans="1:30" x14ac:dyDescent="0.2">
      <c r="A1487" t="str">
        <f t="shared" si="174"/>
        <v/>
      </c>
      <c r="X1487" t="str" cm="1">
        <f t="array" ref="X1487">IF(S1487="","",IF($I1487&lt;&gt;"",$I1487,INDEX($I$2:$I1486,ROW()-COUNTIFS($T$2:$T1486,"="&amp;$T1487,$S$2:$S1486,"&lt;&gt;"&amp;$S1487)-1)))</f>
        <v/>
      </c>
      <c r="Y1487" t="b">
        <f>IF(X1487&lt;&gt;"",VLOOKUP(X1487,game_rosters!$C$43:$E$64,3,FALSE))</f>
        <v>0</v>
      </c>
      <c r="Z1487" t="e" cm="1" vm="1">
        <f t="array" aca="1" ref="Z1487" ca="1">IFERROR(IF(_xlfn._xlws.FILTER(game_rosters!$J:$J,(game_rosters!$G:$G=events!$AN1487)*(game_rosters!$J:$J=events!$X1487))&gt;0,1,""),"")</f>
        <v>#VALUE!</v>
      </c>
      <c r="AA1487">
        <f t="shared" si="171"/>
        <v>1000</v>
      </c>
      <c r="AB1487" t="str">
        <f t="shared" si="172"/>
        <v/>
      </c>
      <c r="AC1487">
        <f t="shared" si="173"/>
        <v>1000</v>
      </c>
      <c r="AD1487" s="6"/>
    </row>
    <row r="1488" spans="1:30" x14ac:dyDescent="0.2">
      <c r="A1488" t="str">
        <f t="shared" si="174"/>
        <v/>
      </c>
      <c r="X1488" t="str" cm="1">
        <f t="array" ref="X1488">IF(S1488="","",IF($I1488&lt;&gt;"",$I1488,INDEX($I$2:$I1487,ROW()-COUNTIFS($T$2:$T1487,"="&amp;$T1488,$S$2:$S1487,"&lt;&gt;"&amp;$S1488)-1)))</f>
        <v/>
      </c>
      <c r="Y1488" t="b">
        <f>IF(X1488&lt;&gt;"",VLOOKUP(X1488,game_rosters!$C$43:$E$64,3,FALSE))</f>
        <v>0</v>
      </c>
      <c r="Z1488" t="e" cm="1" vm="1">
        <f t="array" aca="1" ref="Z1488" ca="1">IFERROR(IF(_xlfn._xlws.FILTER(game_rosters!$J:$J,(game_rosters!$G:$G=events!$AN1488)*(game_rosters!$J:$J=events!$X1488))&gt;0,1,""),"")</f>
        <v>#VALUE!</v>
      </c>
      <c r="AA1488">
        <f t="shared" si="171"/>
        <v>1000</v>
      </c>
      <c r="AB1488" t="str">
        <f t="shared" si="172"/>
        <v/>
      </c>
      <c r="AC1488">
        <f t="shared" si="173"/>
        <v>1000</v>
      </c>
      <c r="AD1488" s="6"/>
    </row>
    <row r="1489" spans="1:30" x14ac:dyDescent="0.2">
      <c r="A1489" t="str">
        <f t="shared" si="174"/>
        <v/>
      </c>
      <c r="X1489" t="str" cm="1">
        <f t="array" ref="X1489">IF(S1489="","",IF($I1489&lt;&gt;"",$I1489,INDEX($I$2:$I1488,ROW()-COUNTIFS($T$2:$T1488,"="&amp;$T1489,$S$2:$S1488,"&lt;&gt;"&amp;$S1489)-1)))</f>
        <v/>
      </c>
      <c r="Y1489" t="b">
        <f>IF(X1489&lt;&gt;"",VLOOKUP(X1489,game_rosters!$C$43:$E$64,3,FALSE))</f>
        <v>0</v>
      </c>
      <c r="Z1489" t="e" cm="1" vm="1">
        <f t="array" aca="1" ref="Z1489" ca="1">IFERROR(IF(_xlfn._xlws.FILTER(game_rosters!$J:$J,(game_rosters!$G:$G=events!$AN1489)*(game_rosters!$J:$J=events!$X1489))&gt;0,1,""),"")</f>
        <v>#VALUE!</v>
      </c>
      <c r="AA1489">
        <f t="shared" si="171"/>
        <v>1000</v>
      </c>
      <c r="AB1489" t="str">
        <f t="shared" si="172"/>
        <v/>
      </c>
      <c r="AC1489">
        <f t="shared" si="173"/>
        <v>1000</v>
      </c>
      <c r="AD1489" s="6"/>
    </row>
    <row r="1490" spans="1:30" x14ac:dyDescent="0.2">
      <c r="A1490" t="str">
        <f t="shared" si="174"/>
        <v/>
      </c>
      <c r="X1490" t="str" cm="1">
        <f t="array" ref="X1490">IF(S1490="","",IF($I1490&lt;&gt;"",$I1490,INDEX($I$2:$I1489,ROW()-COUNTIFS($T$2:$T1489,"="&amp;$T1490,$S$2:$S1489,"&lt;&gt;"&amp;$S1490)-1)))</f>
        <v/>
      </c>
      <c r="Y1490" t="b">
        <f>IF(X1490&lt;&gt;"",VLOOKUP(X1490,game_rosters!$C$43:$E$64,3,FALSE))</f>
        <v>0</v>
      </c>
      <c r="Z1490" t="e" cm="1" vm="1">
        <f t="array" aca="1" ref="Z1490" ca="1">IFERROR(IF(_xlfn._xlws.FILTER(game_rosters!$J:$J,(game_rosters!$G:$G=events!$AN1490)*(game_rosters!$J:$J=events!$X1490))&gt;0,1,""),"")</f>
        <v>#VALUE!</v>
      </c>
      <c r="AA1490">
        <f t="shared" si="171"/>
        <v>1000</v>
      </c>
      <c r="AB1490" t="str">
        <f t="shared" si="172"/>
        <v/>
      </c>
      <c r="AC1490">
        <f t="shared" si="173"/>
        <v>1000</v>
      </c>
      <c r="AD1490" s="6"/>
    </row>
    <row r="1491" spans="1:30" x14ac:dyDescent="0.2">
      <c r="A1491" t="str">
        <f t="shared" si="174"/>
        <v/>
      </c>
      <c r="X1491" t="str" cm="1">
        <f t="array" ref="X1491">IF(S1491="","",IF($I1491&lt;&gt;"",$I1491,INDEX($I$2:$I1490,ROW()-COUNTIFS($T$2:$T1490,"="&amp;$T1491,$S$2:$S1490,"&lt;&gt;"&amp;$S1491)-1)))</f>
        <v/>
      </c>
      <c r="Y1491" t="b">
        <f>IF(X1491&lt;&gt;"",VLOOKUP(X1491,game_rosters!$C$43:$E$64,3,FALSE))</f>
        <v>0</v>
      </c>
      <c r="Z1491" t="e" cm="1" vm="1">
        <f t="array" aca="1" ref="Z1491" ca="1">IFERROR(IF(_xlfn._xlws.FILTER(game_rosters!$J:$J,(game_rosters!$G:$G=events!$AN1491)*(game_rosters!$J:$J=events!$X1491))&gt;0,1,""),"")</f>
        <v>#VALUE!</v>
      </c>
      <c r="AA1491">
        <f t="shared" si="171"/>
        <v>1000</v>
      </c>
      <c r="AB1491" t="str">
        <f t="shared" si="172"/>
        <v/>
      </c>
      <c r="AC1491">
        <f t="shared" si="173"/>
        <v>1000</v>
      </c>
      <c r="AD1491" s="6"/>
    </row>
    <row r="1492" spans="1:30" x14ac:dyDescent="0.2">
      <c r="A1492" t="str">
        <f t="shared" si="174"/>
        <v/>
      </c>
      <c r="X1492" t="str" cm="1">
        <f t="array" ref="X1492">IF(S1492="","",IF($I1492&lt;&gt;"",$I1492,INDEX($I$2:$I1491,ROW()-COUNTIFS($T$2:$T1491,"="&amp;$T1492,$S$2:$S1491,"&lt;&gt;"&amp;$S1492)-1)))</f>
        <v/>
      </c>
      <c r="Y1492" t="b">
        <f>IF(X1492&lt;&gt;"",VLOOKUP(X1492,game_rosters!$C$43:$E$64,3,FALSE))</f>
        <v>0</v>
      </c>
      <c r="Z1492" t="e" cm="1" vm="1">
        <f t="array" aca="1" ref="Z1492" ca="1">IFERROR(IF(_xlfn._xlws.FILTER(game_rosters!$J:$J,(game_rosters!$G:$G=events!$AN1492)*(game_rosters!$J:$J=events!$X1492))&gt;0,1,""),"")</f>
        <v>#VALUE!</v>
      </c>
      <c r="AA1492">
        <f t="shared" si="171"/>
        <v>1000</v>
      </c>
      <c r="AB1492" t="str">
        <f t="shared" si="172"/>
        <v/>
      </c>
      <c r="AC1492">
        <f t="shared" si="173"/>
        <v>1000</v>
      </c>
      <c r="AD1492" s="6"/>
    </row>
    <row r="1493" spans="1:30" x14ac:dyDescent="0.2">
      <c r="A1493" t="str">
        <f t="shared" si="174"/>
        <v/>
      </c>
      <c r="X1493" t="str" cm="1">
        <f t="array" ref="X1493">IF(S1493="","",IF($I1493&lt;&gt;"",$I1493,INDEX($I$2:$I1492,ROW()-COUNTIFS($T$2:$T1492,"="&amp;$T1493,$S$2:$S1492,"&lt;&gt;"&amp;$S1493)-1)))</f>
        <v/>
      </c>
      <c r="Y1493" t="b">
        <f>IF(X1493&lt;&gt;"",VLOOKUP(X1493,game_rosters!$C$43:$E$64,3,FALSE))</f>
        <v>0</v>
      </c>
      <c r="Z1493" t="e" cm="1" vm="1">
        <f t="array" aca="1" ref="Z1493" ca="1">IFERROR(IF(_xlfn._xlws.FILTER(game_rosters!$J:$J,(game_rosters!$G:$G=events!$AN1493)*(game_rosters!$J:$J=events!$X1493))&gt;0,1,""),"")</f>
        <v>#VALUE!</v>
      </c>
      <c r="AA1493">
        <f t="shared" si="171"/>
        <v>1000</v>
      </c>
      <c r="AB1493" t="str">
        <f t="shared" si="172"/>
        <v/>
      </c>
      <c r="AC1493">
        <f t="shared" si="173"/>
        <v>1000</v>
      </c>
      <c r="AD1493" s="6"/>
    </row>
    <row r="1494" spans="1:30" x14ac:dyDescent="0.2">
      <c r="A1494" t="str">
        <f t="shared" si="174"/>
        <v/>
      </c>
      <c r="X1494" t="str" cm="1">
        <f t="array" ref="X1494">IF(S1494="","",IF($I1494&lt;&gt;"",$I1494,INDEX($I$2:$I1493,ROW()-COUNTIFS($T$2:$T1493,"="&amp;$T1494,$S$2:$S1493,"&lt;&gt;"&amp;$S1494)-1)))</f>
        <v/>
      </c>
      <c r="Y1494" t="b">
        <f>IF(X1494&lt;&gt;"",VLOOKUP(X1494,game_rosters!$C$43:$E$64,3,FALSE))</f>
        <v>0</v>
      </c>
      <c r="Z1494" t="e" cm="1" vm="1">
        <f t="array" aca="1" ref="Z1494" ca="1">IFERROR(IF(_xlfn._xlws.FILTER(game_rosters!$J:$J,(game_rosters!$G:$G=events!$AN1494)*(game_rosters!$J:$J=events!$X1494))&gt;0,1,""),"")</f>
        <v>#VALUE!</v>
      </c>
      <c r="AA1494">
        <f t="shared" si="171"/>
        <v>1000</v>
      </c>
      <c r="AB1494" t="str">
        <f t="shared" si="172"/>
        <v/>
      </c>
      <c r="AC1494">
        <f t="shared" si="173"/>
        <v>1000</v>
      </c>
      <c r="AD1494" s="6"/>
    </row>
    <row r="1495" spans="1:30" x14ac:dyDescent="0.2">
      <c r="A1495" t="str">
        <f t="shared" si="174"/>
        <v/>
      </c>
      <c r="X1495" t="str" cm="1">
        <f t="array" ref="X1495">IF(S1495="","",IF($I1495&lt;&gt;"",$I1495,INDEX($I$2:$I1494,ROW()-COUNTIFS($T$2:$T1494,"="&amp;$T1495,$S$2:$S1494,"&lt;&gt;"&amp;$S1495)-1)))</f>
        <v/>
      </c>
      <c r="Y1495" t="b">
        <f>IF(X1495&lt;&gt;"",VLOOKUP(X1495,game_rosters!$C$43:$E$64,3,FALSE))</f>
        <v>0</v>
      </c>
      <c r="Z1495" t="e" cm="1" vm="1">
        <f t="array" aca="1" ref="Z1495" ca="1">IFERROR(IF(_xlfn._xlws.FILTER(game_rosters!$J:$J,(game_rosters!$G:$G=events!$AN1495)*(game_rosters!$J:$J=events!$X1495))&gt;0,1,""),"")</f>
        <v>#VALUE!</v>
      </c>
      <c r="AA1495">
        <f t="shared" si="171"/>
        <v>1000</v>
      </c>
      <c r="AB1495" t="str">
        <f t="shared" si="172"/>
        <v/>
      </c>
      <c r="AC1495">
        <f t="shared" si="173"/>
        <v>1000</v>
      </c>
      <c r="AD1495" s="6"/>
    </row>
    <row r="1496" spans="1:30" x14ac:dyDescent="0.2">
      <c r="A1496" t="str">
        <f t="shared" si="174"/>
        <v/>
      </c>
      <c r="X1496" t="str" cm="1">
        <f t="array" ref="X1496">IF(S1496="","",IF($I1496&lt;&gt;"",$I1496,INDEX($I$2:$I1495,ROW()-COUNTIFS($T$2:$T1495,"="&amp;$T1496,$S$2:$S1495,"&lt;&gt;"&amp;$S1496)-1)))</f>
        <v/>
      </c>
      <c r="Y1496" t="b">
        <f>IF(X1496&lt;&gt;"",VLOOKUP(X1496,game_rosters!$C$43:$E$64,3,FALSE))</f>
        <v>0</v>
      </c>
      <c r="Z1496" t="e" cm="1" vm="1">
        <f t="array" aca="1" ref="Z1496" ca="1">IFERROR(IF(_xlfn._xlws.FILTER(game_rosters!$J:$J,(game_rosters!$G:$G=events!$AN1496)*(game_rosters!$J:$J=events!$X1496))&gt;0,1,""),"")</f>
        <v>#VALUE!</v>
      </c>
      <c r="AA1496">
        <f t="shared" si="171"/>
        <v>1000</v>
      </c>
      <c r="AB1496" t="str">
        <f t="shared" si="172"/>
        <v/>
      </c>
      <c r="AC1496">
        <f t="shared" si="173"/>
        <v>1000</v>
      </c>
      <c r="AD1496" s="6"/>
    </row>
    <row r="1497" spans="1:30" x14ac:dyDescent="0.2">
      <c r="A1497" t="str">
        <f t="shared" si="174"/>
        <v/>
      </c>
      <c r="X1497" t="str" cm="1">
        <f t="array" ref="X1497">IF(S1497="","",IF($I1497&lt;&gt;"",$I1497,INDEX($I$2:$I1496,ROW()-COUNTIFS($T$2:$T1496,"="&amp;$T1497,$S$2:$S1496,"&lt;&gt;"&amp;$S1497)-1)))</f>
        <v/>
      </c>
      <c r="Y1497" t="b">
        <f>IF(X1497&lt;&gt;"",VLOOKUP(X1497,game_rosters!$C$43:$E$64,3,FALSE))</f>
        <v>0</v>
      </c>
      <c r="Z1497" t="e" cm="1" vm="1">
        <f t="array" aca="1" ref="Z1497" ca="1">IFERROR(IF(_xlfn._xlws.FILTER(game_rosters!$J:$J,(game_rosters!$G:$G=events!$AN1497)*(game_rosters!$J:$J=events!$X1497))&gt;0,1,""),"")</f>
        <v>#VALUE!</v>
      </c>
      <c r="AA1497">
        <f t="shared" si="171"/>
        <v>1000</v>
      </c>
      <c r="AB1497" t="str">
        <f t="shared" si="172"/>
        <v/>
      </c>
      <c r="AC1497">
        <f t="shared" si="173"/>
        <v>1000</v>
      </c>
      <c r="AD1497" s="6"/>
    </row>
    <row r="1498" spans="1:30" x14ac:dyDescent="0.2">
      <c r="A1498" t="str">
        <f t="shared" si="174"/>
        <v/>
      </c>
      <c r="X1498" t="str" cm="1">
        <f t="array" ref="X1498">IF(S1498="","",IF($I1498&lt;&gt;"",$I1498,INDEX($I$2:$I1497,ROW()-COUNTIFS($T$2:$T1497,"="&amp;$T1498,$S$2:$S1497,"&lt;&gt;"&amp;$S1498)-1)))</f>
        <v/>
      </c>
      <c r="Y1498" t="b">
        <f>IF(X1498&lt;&gt;"",VLOOKUP(X1498,game_rosters!$C$43:$E$64,3,FALSE))</f>
        <v>0</v>
      </c>
      <c r="Z1498" t="e" cm="1" vm="1">
        <f t="array" aca="1" ref="Z1498" ca="1">IFERROR(IF(_xlfn._xlws.FILTER(game_rosters!$J:$J,(game_rosters!$G:$G=events!$AN1498)*(game_rosters!$J:$J=events!$X1498))&gt;0,1,""),"")</f>
        <v>#VALUE!</v>
      </c>
      <c r="AA1498">
        <f t="shared" si="171"/>
        <v>1000</v>
      </c>
      <c r="AB1498" t="str">
        <f t="shared" si="172"/>
        <v/>
      </c>
      <c r="AC1498">
        <f t="shared" si="173"/>
        <v>1000</v>
      </c>
      <c r="AD1498" s="6"/>
    </row>
    <row r="1499" spans="1:30" x14ac:dyDescent="0.2">
      <c r="A1499" t="str">
        <f t="shared" si="174"/>
        <v/>
      </c>
      <c r="X1499" t="str" cm="1">
        <f t="array" ref="X1499">IF(S1499="","",IF($I1499&lt;&gt;"",$I1499,INDEX($I$2:$I1498,ROW()-COUNTIFS($T$2:$T1498,"="&amp;$T1499,$S$2:$S1498,"&lt;&gt;"&amp;$S1499)-1)))</f>
        <v/>
      </c>
      <c r="Y1499" t="b">
        <f>IF(X1499&lt;&gt;"",VLOOKUP(X1499,game_rosters!$C$43:$E$64,3,FALSE))</f>
        <v>0</v>
      </c>
      <c r="Z1499" t="e" cm="1" vm="1">
        <f t="array" aca="1" ref="Z1499" ca="1">IFERROR(IF(_xlfn._xlws.FILTER(game_rosters!$J:$J,(game_rosters!$G:$G=events!$AN1499)*(game_rosters!$J:$J=events!$X1499))&gt;0,1,""),"")</f>
        <v>#VALUE!</v>
      </c>
      <c r="AA1499">
        <f t="shared" si="171"/>
        <v>1000</v>
      </c>
      <c r="AB1499" t="str">
        <f t="shared" si="172"/>
        <v/>
      </c>
      <c r="AC1499">
        <f t="shared" si="173"/>
        <v>1000</v>
      </c>
      <c r="AD1499" s="6"/>
    </row>
    <row r="1500" spans="1:30" x14ac:dyDescent="0.2">
      <c r="A1500" t="str">
        <f t="shared" si="174"/>
        <v/>
      </c>
      <c r="X1500" t="str" cm="1">
        <f t="array" ref="X1500">IF(S1500="","",IF($I1500&lt;&gt;"",$I1500,INDEX($I$2:$I1499,ROW()-COUNTIFS($T$2:$T1499,"="&amp;$T1500,$S$2:$S1499,"&lt;&gt;"&amp;$S1500)-1)))</f>
        <v/>
      </c>
      <c r="Y1500" t="b">
        <f>IF(X1500&lt;&gt;"",VLOOKUP(X1500,game_rosters!$C$43:$E$64,3,FALSE))</f>
        <v>0</v>
      </c>
      <c r="Z1500" t="e" cm="1" vm="1">
        <f t="array" aca="1" ref="Z1500" ca="1">IFERROR(IF(_xlfn._xlws.FILTER(game_rosters!$J:$J,(game_rosters!$G:$G=events!$AN1500)*(game_rosters!$J:$J=events!$X1500))&gt;0,1,""),"")</f>
        <v>#VALUE!</v>
      </c>
      <c r="AA1500">
        <f t="shared" si="171"/>
        <v>1000</v>
      </c>
      <c r="AB1500" t="str">
        <f t="shared" si="172"/>
        <v/>
      </c>
      <c r="AC1500">
        <f t="shared" si="173"/>
        <v>1000</v>
      </c>
      <c r="AD1500" s="6"/>
    </row>
    <row r="1501" spans="1:30" x14ac:dyDescent="0.2">
      <c r="A1501" t="str">
        <f t="shared" si="174"/>
        <v/>
      </c>
      <c r="X1501" t="str" cm="1">
        <f t="array" ref="X1501">IF(S1501="","",IF($I1501&lt;&gt;"",$I1501,INDEX($I$2:$I1500,ROW()-COUNTIFS($T$2:$T1500,"="&amp;$T1501,$S$2:$S1500,"&lt;&gt;"&amp;$S1501)-1)))</f>
        <v/>
      </c>
      <c r="Y1501" t="b">
        <f>IF(X1501&lt;&gt;"",VLOOKUP(X1501,game_rosters!$C$43:$E$64,3,FALSE))</f>
        <v>0</v>
      </c>
      <c r="Z1501" t="e" cm="1" vm="1">
        <f t="array" aca="1" ref="Z1501" ca="1">IFERROR(IF(_xlfn._xlws.FILTER(game_rosters!$J:$J,(game_rosters!$G:$G=events!$AN1501)*(game_rosters!$J:$J=events!$X1501))&gt;0,1,""),"")</f>
        <v>#VALUE!</v>
      </c>
      <c r="AA1501">
        <f t="shared" ref="AA1501:AA1564" si="175">S1501+1000</f>
        <v>1000</v>
      </c>
      <c r="AB1501" t="str">
        <f t="shared" ref="AB1501:AB1564" si="176">IF(T1501&lt;&gt;"",9000+T1501,"")</f>
        <v/>
      </c>
      <c r="AC1501">
        <f t="shared" si="173"/>
        <v>1000</v>
      </c>
      <c r="AD1501" s="6"/>
    </row>
    <row r="1502" spans="1:30" x14ac:dyDescent="0.2">
      <c r="A1502" t="str">
        <f t="shared" si="174"/>
        <v/>
      </c>
      <c r="X1502" t="str" cm="1">
        <f t="array" ref="X1502">IF(S1502="","",IF($I1502&lt;&gt;"",$I1502,INDEX($I$2:$I1501,ROW()-COUNTIFS($T$2:$T1501,"="&amp;$T1502,$S$2:$S1501,"&lt;&gt;"&amp;$S1502)-1)))</f>
        <v/>
      </c>
      <c r="Y1502" t="b">
        <f>IF(X1502&lt;&gt;"",VLOOKUP(X1502,game_rosters!$C$43:$E$64,3,FALSE))</f>
        <v>0</v>
      </c>
      <c r="Z1502" t="e" cm="1" vm="1">
        <f t="array" aca="1" ref="Z1502" ca="1">IFERROR(IF(_xlfn._xlws.FILTER(game_rosters!$J:$J,(game_rosters!$G:$G=events!$AN1502)*(game_rosters!$J:$J=events!$X1502))&gt;0,1,""),"")</f>
        <v>#VALUE!</v>
      </c>
      <c r="AA1502">
        <f t="shared" si="175"/>
        <v>1000</v>
      </c>
      <c r="AB1502" t="str">
        <f t="shared" si="176"/>
        <v/>
      </c>
      <c r="AC1502">
        <f t="shared" si="173"/>
        <v>1000</v>
      </c>
      <c r="AD1502" s="6"/>
    </row>
    <row r="1503" spans="1:30" x14ac:dyDescent="0.2">
      <c r="A1503" t="str">
        <f t="shared" si="174"/>
        <v/>
      </c>
      <c r="X1503" t="str" cm="1">
        <f t="array" ref="X1503">IF(S1503="","",IF($I1503&lt;&gt;"",$I1503,INDEX($I$2:$I1502,ROW()-COUNTIFS($T$2:$T1502,"="&amp;$T1503,$S$2:$S1502,"&lt;&gt;"&amp;$S1503)-1)))</f>
        <v/>
      </c>
      <c r="Y1503" t="b">
        <f>IF(X1503&lt;&gt;"",VLOOKUP(X1503,game_rosters!$C$43:$E$64,3,FALSE))</f>
        <v>0</v>
      </c>
      <c r="Z1503" t="e" cm="1" vm="1">
        <f t="array" aca="1" ref="Z1503" ca="1">IFERROR(IF(_xlfn._xlws.FILTER(game_rosters!$J:$J,(game_rosters!$G:$G=events!$AN1503)*(game_rosters!$J:$J=events!$X1503))&gt;0,1,""),"")</f>
        <v>#VALUE!</v>
      </c>
      <c r="AA1503">
        <f t="shared" si="175"/>
        <v>1000</v>
      </c>
      <c r="AB1503" t="str">
        <f t="shared" si="176"/>
        <v/>
      </c>
      <c r="AC1503">
        <f t="shared" si="173"/>
        <v>1000</v>
      </c>
      <c r="AD1503" s="6"/>
    </row>
    <row r="1504" spans="1:30" x14ac:dyDescent="0.2">
      <c r="A1504" t="str">
        <f t="shared" si="174"/>
        <v/>
      </c>
      <c r="X1504" t="str" cm="1">
        <f t="array" ref="X1504">IF(S1504="","",IF($I1504&lt;&gt;"",$I1504,INDEX($I$2:$I1503,ROW()-COUNTIFS($T$2:$T1503,"="&amp;$T1504,$S$2:$S1503,"&lt;&gt;"&amp;$S1504)-1)))</f>
        <v/>
      </c>
      <c r="Y1504" t="b">
        <f>IF(X1504&lt;&gt;"",VLOOKUP(X1504,game_rosters!$C$43:$E$64,3,FALSE))</f>
        <v>0</v>
      </c>
      <c r="Z1504" t="e" cm="1" vm="1">
        <f t="array" aca="1" ref="Z1504" ca="1">IFERROR(IF(_xlfn._xlws.FILTER(game_rosters!$J:$J,(game_rosters!$G:$G=events!$AN1504)*(game_rosters!$J:$J=events!$X1504))&gt;0,1,""),"")</f>
        <v>#VALUE!</v>
      </c>
      <c r="AA1504">
        <f t="shared" si="175"/>
        <v>1000</v>
      </c>
      <c r="AB1504" t="str">
        <f t="shared" si="176"/>
        <v/>
      </c>
      <c r="AC1504">
        <f t="shared" si="173"/>
        <v>1000</v>
      </c>
      <c r="AD1504" s="6"/>
    </row>
    <row r="1505" spans="1:30" x14ac:dyDescent="0.2">
      <c r="A1505" t="str">
        <f t="shared" si="174"/>
        <v/>
      </c>
      <c r="X1505" t="str" cm="1">
        <f t="array" ref="X1505">IF(S1505="","",IF($I1505&lt;&gt;"",$I1505,INDEX($I$2:$I1504,ROW()-COUNTIFS($T$2:$T1504,"="&amp;$T1505,$S$2:$S1504,"&lt;&gt;"&amp;$S1505)-1)))</f>
        <v/>
      </c>
      <c r="Y1505" t="b">
        <f>IF(X1505&lt;&gt;"",VLOOKUP(X1505,game_rosters!$C$43:$E$64,3,FALSE))</f>
        <v>0</v>
      </c>
      <c r="Z1505" t="e" cm="1" vm="1">
        <f t="array" aca="1" ref="Z1505" ca="1">IFERROR(IF(_xlfn._xlws.FILTER(game_rosters!$J:$J,(game_rosters!$G:$G=events!$AN1505)*(game_rosters!$J:$J=events!$X1505))&gt;0,1,""),"")</f>
        <v>#VALUE!</v>
      </c>
      <c r="AA1505">
        <f t="shared" si="175"/>
        <v>1000</v>
      </c>
      <c r="AB1505" t="str">
        <f t="shared" si="176"/>
        <v/>
      </c>
      <c r="AC1505">
        <f t="shared" si="173"/>
        <v>1000</v>
      </c>
      <c r="AD1505" s="6"/>
    </row>
    <row r="1506" spans="1:30" x14ac:dyDescent="0.2">
      <c r="A1506" t="str">
        <f t="shared" si="174"/>
        <v/>
      </c>
      <c r="X1506" t="str" cm="1">
        <f t="array" ref="X1506">IF(S1506="","",IF($I1506&lt;&gt;"",$I1506,INDEX($I$2:$I1505,ROW()-COUNTIFS($T$2:$T1505,"="&amp;$T1506,$S$2:$S1505,"&lt;&gt;"&amp;$S1506)-1)))</f>
        <v/>
      </c>
      <c r="Y1506" t="b">
        <f>IF(X1506&lt;&gt;"",VLOOKUP(X1506,game_rosters!$C$43:$E$64,3,FALSE))</f>
        <v>0</v>
      </c>
      <c r="Z1506" t="e" cm="1" vm="1">
        <f t="array" aca="1" ref="Z1506" ca="1">IFERROR(IF(_xlfn._xlws.FILTER(game_rosters!$J:$J,(game_rosters!$G:$G=events!$AN1506)*(game_rosters!$J:$J=events!$X1506))&gt;0,1,""),"")</f>
        <v>#VALUE!</v>
      </c>
      <c r="AA1506">
        <f t="shared" si="175"/>
        <v>1000</v>
      </c>
      <c r="AB1506" t="str">
        <f t="shared" si="176"/>
        <v/>
      </c>
      <c r="AC1506">
        <f t="shared" si="173"/>
        <v>1000</v>
      </c>
      <c r="AD1506" s="6"/>
    </row>
    <row r="1507" spans="1:30" x14ac:dyDescent="0.2">
      <c r="A1507" t="str">
        <f t="shared" si="174"/>
        <v/>
      </c>
      <c r="X1507" t="str" cm="1">
        <f t="array" ref="X1507">IF(S1507="","",IF($I1507&lt;&gt;"",$I1507,INDEX($I$2:$I1506,ROW()-COUNTIFS($T$2:$T1506,"="&amp;$T1507,$S$2:$S1506,"&lt;&gt;"&amp;$S1507)-1)))</f>
        <v/>
      </c>
      <c r="Y1507" t="b">
        <f>IF(X1507&lt;&gt;"",VLOOKUP(X1507,game_rosters!$C$43:$E$64,3,FALSE))</f>
        <v>0</v>
      </c>
      <c r="Z1507" t="e" cm="1" vm="1">
        <f t="array" aca="1" ref="Z1507" ca="1">IFERROR(IF(_xlfn._xlws.FILTER(game_rosters!$J:$J,(game_rosters!$G:$G=events!$AN1507)*(game_rosters!$J:$J=events!$X1507))&gt;0,1,""),"")</f>
        <v>#VALUE!</v>
      </c>
      <c r="AA1507">
        <f t="shared" si="175"/>
        <v>1000</v>
      </c>
      <c r="AB1507" t="str">
        <f t="shared" si="176"/>
        <v/>
      </c>
      <c r="AC1507">
        <f t="shared" si="173"/>
        <v>1000</v>
      </c>
      <c r="AD1507" s="6"/>
    </row>
    <row r="1508" spans="1:30" x14ac:dyDescent="0.2">
      <c r="A1508" t="str">
        <f t="shared" si="174"/>
        <v/>
      </c>
      <c r="X1508" t="str" cm="1">
        <f t="array" ref="X1508">IF(S1508="","",IF($I1508&lt;&gt;"",$I1508,INDEX($I$2:$I1507,ROW()-COUNTIFS($T$2:$T1507,"="&amp;$T1508,$S$2:$S1507,"&lt;&gt;"&amp;$S1508)-1)))</f>
        <v/>
      </c>
      <c r="Y1508" t="b">
        <f>IF(X1508&lt;&gt;"",VLOOKUP(X1508,game_rosters!$C$43:$E$64,3,FALSE))</f>
        <v>0</v>
      </c>
      <c r="Z1508" t="e" cm="1" vm="1">
        <f t="array" aca="1" ref="Z1508" ca="1">IFERROR(IF(_xlfn._xlws.FILTER(game_rosters!$J:$J,(game_rosters!$G:$G=events!$AN1508)*(game_rosters!$J:$J=events!$X1508))&gt;0,1,""),"")</f>
        <v>#VALUE!</v>
      </c>
      <c r="AA1508">
        <f t="shared" si="175"/>
        <v>1000</v>
      </c>
      <c r="AB1508" t="str">
        <f t="shared" si="176"/>
        <v/>
      </c>
      <c r="AC1508">
        <f t="shared" si="173"/>
        <v>1000</v>
      </c>
      <c r="AD1508" s="6"/>
    </row>
    <row r="1509" spans="1:30" x14ac:dyDescent="0.2">
      <c r="A1509" t="str">
        <f t="shared" si="174"/>
        <v/>
      </c>
      <c r="X1509" t="str" cm="1">
        <f t="array" ref="X1509">IF(S1509="","",IF($I1509&lt;&gt;"",$I1509,INDEX($I$2:$I1508,ROW()-COUNTIFS($T$2:$T1508,"="&amp;$T1509,$S$2:$S1508,"&lt;&gt;"&amp;$S1509)-1)))</f>
        <v/>
      </c>
      <c r="Y1509" t="b">
        <f>IF(X1509&lt;&gt;"",VLOOKUP(X1509,game_rosters!$C$43:$E$64,3,FALSE))</f>
        <v>0</v>
      </c>
      <c r="Z1509" t="e" cm="1" vm="1">
        <f t="array" aca="1" ref="Z1509" ca="1">IFERROR(IF(_xlfn._xlws.FILTER(game_rosters!$J:$J,(game_rosters!$G:$G=events!$AN1509)*(game_rosters!$J:$J=events!$X1509))&gt;0,1,""),"")</f>
        <v>#VALUE!</v>
      </c>
      <c r="AA1509">
        <f t="shared" si="175"/>
        <v>1000</v>
      </c>
      <c r="AB1509" t="str">
        <f t="shared" si="176"/>
        <v/>
      </c>
      <c r="AC1509">
        <f t="shared" si="173"/>
        <v>1000</v>
      </c>
      <c r="AD1509" s="6"/>
    </row>
    <row r="1510" spans="1:30" x14ac:dyDescent="0.2">
      <c r="A1510" t="str">
        <f t="shared" si="174"/>
        <v/>
      </c>
      <c r="X1510" t="str" cm="1">
        <f t="array" ref="X1510">IF(S1510="","",IF($I1510&lt;&gt;"",$I1510,INDEX($I$2:$I1509,ROW()-COUNTIFS($T$2:$T1509,"="&amp;$T1510,$S$2:$S1509,"&lt;&gt;"&amp;$S1510)-1)))</f>
        <v/>
      </c>
      <c r="Y1510" t="b">
        <f>IF(X1510&lt;&gt;"",VLOOKUP(X1510,game_rosters!$C$43:$E$64,3,FALSE))</f>
        <v>0</v>
      </c>
      <c r="Z1510" t="e" cm="1" vm="1">
        <f t="array" aca="1" ref="Z1510" ca="1">IFERROR(IF(_xlfn._xlws.FILTER(game_rosters!$J:$J,(game_rosters!$G:$G=events!$AN1510)*(game_rosters!$J:$J=events!$X1510))&gt;0,1,""),"")</f>
        <v>#VALUE!</v>
      </c>
      <c r="AA1510">
        <f t="shared" si="175"/>
        <v>1000</v>
      </c>
      <c r="AB1510" t="str">
        <f t="shared" si="176"/>
        <v/>
      </c>
      <c r="AC1510">
        <f t="shared" si="173"/>
        <v>1000</v>
      </c>
      <c r="AD1510" s="6"/>
    </row>
    <row r="1511" spans="1:30" x14ac:dyDescent="0.2">
      <c r="A1511" t="str">
        <f t="shared" si="174"/>
        <v/>
      </c>
      <c r="X1511" t="str" cm="1">
        <f t="array" ref="X1511">IF(S1511="","",IF($I1511&lt;&gt;"",$I1511,INDEX($I$2:$I1510,ROW()-COUNTIFS($T$2:$T1510,"="&amp;$T1511,$S$2:$S1510,"&lt;&gt;"&amp;$S1511)-1)))</f>
        <v/>
      </c>
      <c r="Y1511" t="b">
        <f>IF(X1511&lt;&gt;"",VLOOKUP(X1511,game_rosters!$C$43:$E$64,3,FALSE))</f>
        <v>0</v>
      </c>
      <c r="Z1511" t="e" cm="1" vm="1">
        <f t="array" aca="1" ref="Z1511" ca="1">IFERROR(IF(_xlfn._xlws.FILTER(game_rosters!$J:$J,(game_rosters!$G:$G=events!$AN1511)*(game_rosters!$J:$J=events!$X1511))&gt;0,1,""),"")</f>
        <v>#VALUE!</v>
      </c>
      <c r="AA1511">
        <f t="shared" si="175"/>
        <v>1000</v>
      </c>
      <c r="AB1511" t="str">
        <f t="shared" si="176"/>
        <v/>
      </c>
      <c r="AC1511">
        <f t="shared" si="173"/>
        <v>1000</v>
      </c>
      <c r="AD1511" s="6"/>
    </row>
    <row r="1512" spans="1:30" x14ac:dyDescent="0.2">
      <c r="A1512" t="str">
        <f t="shared" si="174"/>
        <v/>
      </c>
      <c r="X1512" t="str" cm="1">
        <f t="array" ref="X1512">IF(S1512="","",IF($I1512&lt;&gt;"",$I1512,INDEX($I$2:$I1511,ROW()-COUNTIFS($T$2:$T1511,"="&amp;$T1512,$S$2:$S1511,"&lt;&gt;"&amp;$S1512)-1)))</f>
        <v/>
      </c>
      <c r="Y1512" t="b">
        <f>IF(X1512&lt;&gt;"",VLOOKUP(X1512,game_rosters!$C$43:$E$64,3,FALSE))</f>
        <v>0</v>
      </c>
      <c r="Z1512" t="e" cm="1" vm="1">
        <f t="array" aca="1" ref="Z1512" ca="1">IFERROR(IF(_xlfn._xlws.FILTER(game_rosters!$J:$J,(game_rosters!$G:$G=events!$AN1512)*(game_rosters!$J:$J=events!$X1512))&gt;0,1,""),"")</f>
        <v>#VALUE!</v>
      </c>
      <c r="AA1512">
        <f t="shared" si="175"/>
        <v>1000</v>
      </c>
      <c r="AB1512" t="str">
        <f t="shared" si="176"/>
        <v/>
      </c>
      <c r="AC1512">
        <f t="shared" si="173"/>
        <v>1000</v>
      </c>
      <c r="AD1512" s="6"/>
    </row>
    <row r="1513" spans="1:30" x14ac:dyDescent="0.2">
      <c r="A1513" t="str">
        <f t="shared" si="174"/>
        <v/>
      </c>
      <c r="X1513" t="str" cm="1">
        <f t="array" ref="X1513">IF(S1513="","",IF($I1513&lt;&gt;"",$I1513,INDEX($I$2:$I1512,ROW()-COUNTIFS($T$2:$T1512,"="&amp;$T1513,$S$2:$S1512,"&lt;&gt;"&amp;$S1513)-1)))</f>
        <v/>
      </c>
      <c r="Y1513" t="b">
        <f>IF(X1513&lt;&gt;"",VLOOKUP(X1513,game_rosters!$C$43:$E$64,3,FALSE))</f>
        <v>0</v>
      </c>
      <c r="Z1513" t="e" cm="1" vm="1">
        <f t="array" aca="1" ref="Z1513" ca="1">IFERROR(IF(_xlfn._xlws.FILTER(game_rosters!$J:$J,(game_rosters!$G:$G=events!$AN1513)*(game_rosters!$J:$J=events!$X1513))&gt;0,1,""),"")</f>
        <v>#VALUE!</v>
      </c>
      <c r="AA1513">
        <f t="shared" si="175"/>
        <v>1000</v>
      </c>
      <c r="AB1513" t="str">
        <f t="shared" si="176"/>
        <v/>
      </c>
      <c r="AC1513">
        <f t="shared" si="173"/>
        <v>1000</v>
      </c>
      <c r="AD1513" s="6"/>
    </row>
    <row r="1514" spans="1:30" x14ac:dyDescent="0.2">
      <c r="A1514" t="str">
        <f t="shared" si="174"/>
        <v/>
      </c>
      <c r="X1514" t="str" cm="1">
        <f t="array" ref="X1514">IF(S1514="","",IF($I1514&lt;&gt;"",$I1514,INDEX($I$2:$I1513,ROW()-COUNTIFS($T$2:$T1513,"="&amp;$T1514,$S$2:$S1513,"&lt;&gt;"&amp;$S1514)-1)))</f>
        <v/>
      </c>
      <c r="Y1514" t="b">
        <f>IF(X1514&lt;&gt;"",VLOOKUP(X1514,game_rosters!$C$43:$E$64,3,FALSE))</f>
        <v>0</v>
      </c>
      <c r="Z1514" t="e" cm="1" vm="1">
        <f t="array" aca="1" ref="Z1514" ca="1">IFERROR(IF(_xlfn._xlws.FILTER(game_rosters!$J:$J,(game_rosters!$G:$G=events!$AN1514)*(game_rosters!$J:$J=events!$X1514))&gt;0,1,""),"")</f>
        <v>#VALUE!</v>
      </c>
      <c r="AA1514">
        <f t="shared" si="175"/>
        <v>1000</v>
      </c>
      <c r="AB1514" t="str">
        <f t="shared" si="176"/>
        <v/>
      </c>
      <c r="AC1514">
        <f t="shared" si="173"/>
        <v>1000</v>
      </c>
      <c r="AD1514" s="6"/>
    </row>
    <row r="1515" spans="1:30" x14ac:dyDescent="0.2">
      <c r="A1515" t="str">
        <f t="shared" si="174"/>
        <v/>
      </c>
      <c r="X1515" t="str" cm="1">
        <f t="array" ref="X1515">IF(S1515="","",IF($I1515&lt;&gt;"",$I1515,INDEX($I$2:$I1514,ROW()-COUNTIFS($T$2:$T1514,"="&amp;$T1515,$S$2:$S1514,"&lt;&gt;"&amp;$S1515)-1)))</f>
        <v/>
      </c>
      <c r="Y1515" t="b">
        <f>IF(X1515&lt;&gt;"",VLOOKUP(X1515,game_rosters!$C$43:$E$64,3,FALSE))</f>
        <v>0</v>
      </c>
      <c r="Z1515" t="e" cm="1" vm="1">
        <f t="array" aca="1" ref="Z1515" ca="1">IFERROR(IF(_xlfn._xlws.FILTER(game_rosters!$J:$J,(game_rosters!$G:$G=events!$AN1515)*(game_rosters!$J:$J=events!$X1515))&gt;0,1,""),"")</f>
        <v>#VALUE!</v>
      </c>
      <c r="AA1515">
        <f t="shared" si="175"/>
        <v>1000</v>
      </c>
      <c r="AB1515" t="str">
        <f t="shared" si="176"/>
        <v/>
      </c>
      <c r="AC1515">
        <f t="shared" si="173"/>
        <v>1000</v>
      </c>
      <c r="AD1515" s="6"/>
    </row>
    <row r="1516" spans="1:30" x14ac:dyDescent="0.2">
      <c r="A1516" t="str">
        <f t="shared" si="174"/>
        <v/>
      </c>
      <c r="X1516" t="str" cm="1">
        <f t="array" ref="X1516">IF(S1516="","",IF($I1516&lt;&gt;"",$I1516,INDEX($I$2:$I1515,ROW()-COUNTIFS($T$2:$T1515,"="&amp;$T1516,$S$2:$S1515,"&lt;&gt;"&amp;$S1516)-1)))</f>
        <v/>
      </c>
      <c r="Y1516" t="b">
        <f>IF(X1516&lt;&gt;"",VLOOKUP(X1516,game_rosters!$C$43:$E$64,3,FALSE))</f>
        <v>0</v>
      </c>
      <c r="Z1516" t="e" cm="1" vm="1">
        <f t="array" aca="1" ref="Z1516" ca="1">IFERROR(IF(_xlfn._xlws.FILTER(game_rosters!$J:$J,(game_rosters!$G:$G=events!$AN1516)*(game_rosters!$J:$J=events!$X1516))&gt;0,1,""),"")</f>
        <v>#VALUE!</v>
      </c>
      <c r="AA1516">
        <f t="shared" si="175"/>
        <v>1000</v>
      </c>
      <c r="AB1516" t="str">
        <f t="shared" si="176"/>
        <v/>
      </c>
      <c r="AC1516">
        <f t="shared" si="173"/>
        <v>1000</v>
      </c>
      <c r="AD1516" s="6"/>
    </row>
    <row r="1517" spans="1:30" x14ac:dyDescent="0.2">
      <c r="A1517" t="str">
        <f t="shared" si="174"/>
        <v/>
      </c>
      <c r="X1517" t="str" cm="1">
        <f t="array" ref="X1517">IF(S1517="","",IF($I1517&lt;&gt;"",$I1517,INDEX($I$2:$I1516,ROW()-COUNTIFS($T$2:$T1516,"="&amp;$T1517,$S$2:$S1516,"&lt;&gt;"&amp;$S1517)-1)))</f>
        <v/>
      </c>
      <c r="Y1517" t="b">
        <f>IF(X1517&lt;&gt;"",VLOOKUP(X1517,game_rosters!$C$43:$E$64,3,FALSE))</f>
        <v>0</v>
      </c>
      <c r="Z1517" t="e" cm="1" vm="1">
        <f t="array" aca="1" ref="Z1517" ca="1">IFERROR(IF(_xlfn._xlws.FILTER(game_rosters!$J:$J,(game_rosters!$G:$G=events!$AN1517)*(game_rosters!$J:$J=events!$X1517))&gt;0,1,""),"")</f>
        <v>#VALUE!</v>
      </c>
      <c r="AA1517">
        <f t="shared" si="175"/>
        <v>1000</v>
      </c>
      <c r="AB1517" t="str">
        <f t="shared" si="176"/>
        <v/>
      </c>
      <c r="AC1517">
        <f t="shared" si="173"/>
        <v>1000</v>
      </c>
      <c r="AD1517" s="6"/>
    </row>
    <row r="1518" spans="1:30" x14ac:dyDescent="0.2">
      <c r="A1518" t="str">
        <f t="shared" si="174"/>
        <v/>
      </c>
      <c r="X1518" t="str" cm="1">
        <f t="array" ref="X1518">IF(S1518="","",IF($I1518&lt;&gt;"",$I1518,INDEX($I$2:$I1517,ROW()-COUNTIFS($T$2:$T1517,"="&amp;$T1518,$S$2:$S1517,"&lt;&gt;"&amp;$S1518)-1)))</f>
        <v/>
      </c>
      <c r="Y1518" t="b">
        <f>IF(X1518&lt;&gt;"",VLOOKUP(X1518,game_rosters!$C$43:$E$64,3,FALSE))</f>
        <v>0</v>
      </c>
      <c r="Z1518" t="e" cm="1" vm="1">
        <f t="array" aca="1" ref="Z1518" ca="1">IFERROR(IF(_xlfn._xlws.FILTER(game_rosters!$J:$J,(game_rosters!$G:$G=events!$AN1518)*(game_rosters!$J:$J=events!$X1518))&gt;0,1,""),"")</f>
        <v>#VALUE!</v>
      </c>
      <c r="AA1518">
        <f t="shared" si="175"/>
        <v>1000</v>
      </c>
      <c r="AB1518" t="str">
        <f t="shared" si="176"/>
        <v/>
      </c>
      <c r="AC1518">
        <f t="shared" si="173"/>
        <v>1000</v>
      </c>
      <c r="AD1518" s="6"/>
    </row>
    <row r="1519" spans="1:30" x14ac:dyDescent="0.2">
      <c r="A1519" t="str">
        <f t="shared" si="174"/>
        <v/>
      </c>
      <c r="X1519" t="str" cm="1">
        <f t="array" ref="X1519">IF(S1519="","",IF($I1519&lt;&gt;"",$I1519,INDEX($I$2:$I1518,ROW()-COUNTIFS($T$2:$T1518,"="&amp;$T1519,$S$2:$S1518,"&lt;&gt;"&amp;$S1519)-1)))</f>
        <v/>
      </c>
      <c r="Y1519" t="b">
        <f>IF(X1519&lt;&gt;"",VLOOKUP(X1519,game_rosters!$C$43:$E$64,3,FALSE))</f>
        <v>0</v>
      </c>
      <c r="Z1519" t="e" cm="1" vm="1">
        <f t="array" aca="1" ref="Z1519" ca="1">IFERROR(IF(_xlfn._xlws.FILTER(game_rosters!$J:$J,(game_rosters!$G:$G=events!$AN1519)*(game_rosters!$J:$J=events!$X1519))&gt;0,1,""),"")</f>
        <v>#VALUE!</v>
      </c>
      <c r="AA1519">
        <f t="shared" si="175"/>
        <v>1000</v>
      </c>
      <c r="AB1519" t="str">
        <f t="shared" si="176"/>
        <v/>
      </c>
      <c r="AC1519">
        <f t="shared" si="173"/>
        <v>1000</v>
      </c>
      <c r="AD1519" s="6"/>
    </row>
    <row r="1520" spans="1:30" x14ac:dyDescent="0.2">
      <c r="A1520" t="str">
        <f t="shared" si="174"/>
        <v/>
      </c>
      <c r="X1520" t="str" cm="1">
        <f t="array" ref="X1520">IF(S1520="","",IF($I1520&lt;&gt;"",$I1520,INDEX($I$2:$I1519,ROW()-COUNTIFS($T$2:$T1519,"="&amp;$T1520,$S$2:$S1519,"&lt;&gt;"&amp;$S1520)-1)))</f>
        <v/>
      </c>
      <c r="Y1520" t="b">
        <f>IF(X1520&lt;&gt;"",VLOOKUP(X1520,game_rosters!$C$43:$E$64,3,FALSE))</f>
        <v>0</v>
      </c>
      <c r="Z1520" t="e" cm="1" vm="1">
        <f t="array" aca="1" ref="Z1520" ca="1">IFERROR(IF(_xlfn._xlws.FILTER(game_rosters!$J:$J,(game_rosters!$G:$G=events!$AN1520)*(game_rosters!$J:$J=events!$X1520))&gt;0,1,""),"")</f>
        <v>#VALUE!</v>
      </c>
      <c r="AA1520">
        <f t="shared" si="175"/>
        <v>1000</v>
      </c>
      <c r="AB1520" t="str">
        <f t="shared" si="176"/>
        <v/>
      </c>
      <c r="AC1520">
        <f t="shared" si="173"/>
        <v>1000</v>
      </c>
      <c r="AD1520" s="6"/>
    </row>
    <row r="1521" spans="1:30" x14ac:dyDescent="0.2">
      <c r="A1521" t="str">
        <f t="shared" si="174"/>
        <v/>
      </c>
      <c r="X1521" t="str" cm="1">
        <f t="array" ref="X1521">IF(S1521="","",IF($I1521&lt;&gt;"",$I1521,INDEX($I$2:$I1520,ROW()-COUNTIFS($T$2:$T1520,"="&amp;$T1521,$S$2:$S1520,"&lt;&gt;"&amp;$S1521)-1)))</f>
        <v/>
      </c>
      <c r="Y1521" t="b">
        <f>IF(X1521&lt;&gt;"",VLOOKUP(X1521,game_rosters!$C$43:$E$64,3,FALSE))</f>
        <v>0</v>
      </c>
      <c r="Z1521" t="e" cm="1" vm="1">
        <f t="array" aca="1" ref="Z1521" ca="1">IFERROR(IF(_xlfn._xlws.FILTER(game_rosters!$J:$J,(game_rosters!$G:$G=events!$AN1521)*(game_rosters!$J:$J=events!$X1521))&gt;0,1,""),"")</f>
        <v>#VALUE!</v>
      </c>
      <c r="AA1521">
        <f t="shared" si="175"/>
        <v>1000</v>
      </c>
      <c r="AB1521" t="str">
        <f t="shared" si="176"/>
        <v/>
      </c>
      <c r="AC1521">
        <f t="shared" si="173"/>
        <v>1000</v>
      </c>
      <c r="AD1521" s="6"/>
    </row>
    <row r="1522" spans="1:30" x14ac:dyDescent="0.2">
      <c r="A1522" t="str">
        <f t="shared" si="174"/>
        <v/>
      </c>
      <c r="X1522" t="str" cm="1">
        <f t="array" ref="X1522">IF(S1522="","",IF($I1522&lt;&gt;"",$I1522,INDEX($I$2:$I1521,ROW()-COUNTIFS($T$2:$T1521,"="&amp;$T1522,$S$2:$S1521,"&lt;&gt;"&amp;$S1522)-1)))</f>
        <v/>
      </c>
      <c r="Y1522" t="b">
        <f>IF(X1522&lt;&gt;"",VLOOKUP(X1522,game_rosters!$C$43:$E$64,3,FALSE))</f>
        <v>0</v>
      </c>
      <c r="Z1522" t="e" cm="1" vm="1">
        <f t="array" aca="1" ref="Z1522" ca="1">IFERROR(IF(_xlfn._xlws.FILTER(game_rosters!$J:$J,(game_rosters!$G:$G=events!$AN1522)*(game_rosters!$J:$J=events!$X1522))&gt;0,1,""),"")</f>
        <v>#VALUE!</v>
      </c>
      <c r="AA1522">
        <f t="shared" si="175"/>
        <v>1000</v>
      </c>
      <c r="AB1522" t="str">
        <f t="shared" si="176"/>
        <v/>
      </c>
      <c r="AC1522">
        <f t="shared" si="173"/>
        <v>1000</v>
      </c>
      <c r="AD1522" s="6"/>
    </row>
    <row r="1523" spans="1:30" x14ac:dyDescent="0.2">
      <c r="A1523" t="str">
        <f t="shared" si="174"/>
        <v/>
      </c>
      <c r="X1523" t="str" cm="1">
        <f t="array" ref="X1523">IF(S1523="","",IF($I1523&lt;&gt;"",$I1523,INDEX($I$2:$I1522,ROW()-COUNTIFS($T$2:$T1522,"="&amp;$T1523,$S$2:$S1522,"&lt;&gt;"&amp;$S1523)-1)))</f>
        <v/>
      </c>
      <c r="Y1523" t="b">
        <f>IF(X1523&lt;&gt;"",VLOOKUP(X1523,game_rosters!$C$43:$E$64,3,FALSE))</f>
        <v>0</v>
      </c>
      <c r="Z1523" t="e" cm="1" vm="1">
        <f t="array" aca="1" ref="Z1523" ca="1">IFERROR(IF(_xlfn._xlws.FILTER(game_rosters!$J:$J,(game_rosters!$G:$G=events!$AN1523)*(game_rosters!$J:$J=events!$X1523))&gt;0,1,""),"")</f>
        <v>#VALUE!</v>
      </c>
      <c r="AA1523">
        <f t="shared" si="175"/>
        <v>1000</v>
      </c>
      <c r="AB1523" t="str">
        <f t="shared" si="176"/>
        <v/>
      </c>
      <c r="AC1523">
        <f t="shared" si="173"/>
        <v>1000</v>
      </c>
      <c r="AD1523" s="6"/>
    </row>
    <row r="1524" spans="1:30" x14ac:dyDescent="0.2">
      <c r="A1524" t="str">
        <f t="shared" si="174"/>
        <v/>
      </c>
      <c r="X1524" t="str" cm="1">
        <f t="array" ref="X1524">IF(S1524="","",IF($I1524&lt;&gt;"",$I1524,INDEX($I$2:$I1523,ROW()-COUNTIFS($T$2:$T1523,"="&amp;$T1524,$S$2:$S1523,"&lt;&gt;"&amp;$S1524)-1)))</f>
        <v/>
      </c>
      <c r="Y1524" t="b">
        <f>IF(X1524&lt;&gt;"",VLOOKUP(X1524,game_rosters!$C$43:$E$64,3,FALSE))</f>
        <v>0</v>
      </c>
      <c r="Z1524" t="e" cm="1" vm="1">
        <f t="array" aca="1" ref="Z1524" ca="1">IFERROR(IF(_xlfn._xlws.FILTER(game_rosters!$J:$J,(game_rosters!$G:$G=events!$AN1524)*(game_rosters!$J:$J=events!$X1524))&gt;0,1,""),"")</f>
        <v>#VALUE!</v>
      </c>
      <c r="AA1524">
        <f t="shared" si="175"/>
        <v>1000</v>
      </c>
      <c r="AB1524" t="str">
        <f t="shared" si="176"/>
        <v/>
      </c>
      <c r="AC1524">
        <f t="shared" si="173"/>
        <v>1000</v>
      </c>
      <c r="AD1524" s="6"/>
    </row>
    <row r="1525" spans="1:30" x14ac:dyDescent="0.2">
      <c r="A1525" t="str">
        <f t="shared" si="174"/>
        <v/>
      </c>
      <c r="X1525" t="str" cm="1">
        <f t="array" ref="X1525">IF(S1525="","",IF($I1525&lt;&gt;"",$I1525,INDEX($I$2:$I1524,ROW()-COUNTIFS($T$2:$T1524,"="&amp;$T1525,$S$2:$S1524,"&lt;&gt;"&amp;$S1525)-1)))</f>
        <v/>
      </c>
      <c r="Y1525" t="b">
        <f>IF(X1525&lt;&gt;"",VLOOKUP(X1525,game_rosters!$C$43:$E$64,3,FALSE))</f>
        <v>0</v>
      </c>
      <c r="Z1525" t="e" cm="1" vm="1">
        <f t="array" aca="1" ref="Z1525" ca="1">IFERROR(IF(_xlfn._xlws.FILTER(game_rosters!$J:$J,(game_rosters!$G:$G=events!$AN1525)*(game_rosters!$J:$J=events!$X1525))&gt;0,1,""),"")</f>
        <v>#VALUE!</v>
      </c>
      <c r="AA1525">
        <f t="shared" si="175"/>
        <v>1000</v>
      </c>
      <c r="AB1525" t="str">
        <f t="shared" si="176"/>
        <v/>
      </c>
      <c r="AC1525">
        <f t="shared" si="173"/>
        <v>1000</v>
      </c>
      <c r="AD1525" s="6"/>
    </row>
    <row r="1526" spans="1:30" x14ac:dyDescent="0.2">
      <c r="A1526" t="str">
        <f t="shared" si="174"/>
        <v/>
      </c>
      <c r="X1526" t="str" cm="1">
        <f t="array" ref="X1526">IF(S1526="","",IF($I1526&lt;&gt;"",$I1526,INDEX($I$2:$I1525,ROW()-COUNTIFS($T$2:$T1525,"="&amp;$T1526,$S$2:$S1525,"&lt;&gt;"&amp;$S1526)-1)))</f>
        <v/>
      </c>
      <c r="Y1526" t="b">
        <f>IF(X1526&lt;&gt;"",VLOOKUP(X1526,game_rosters!$C$43:$E$64,3,FALSE))</f>
        <v>0</v>
      </c>
      <c r="Z1526" t="e" cm="1" vm="1">
        <f t="array" aca="1" ref="Z1526" ca="1">IFERROR(IF(_xlfn._xlws.FILTER(game_rosters!$J:$J,(game_rosters!$G:$G=events!$AN1526)*(game_rosters!$J:$J=events!$X1526))&gt;0,1,""),"")</f>
        <v>#VALUE!</v>
      </c>
      <c r="AA1526">
        <f t="shared" si="175"/>
        <v>1000</v>
      </c>
      <c r="AB1526" t="str">
        <f t="shared" si="176"/>
        <v/>
      </c>
      <c r="AC1526">
        <f t="shared" si="173"/>
        <v>1000</v>
      </c>
      <c r="AD1526" s="6"/>
    </row>
    <row r="1527" spans="1:30" x14ac:dyDescent="0.2">
      <c r="A1527" t="str">
        <f t="shared" si="174"/>
        <v/>
      </c>
      <c r="X1527" t="str" cm="1">
        <f t="array" ref="X1527">IF(S1527="","",IF($I1527&lt;&gt;"",$I1527,INDEX($I$2:$I1526,ROW()-COUNTIFS($T$2:$T1526,"="&amp;$T1527,$S$2:$S1526,"&lt;&gt;"&amp;$S1527)-1)))</f>
        <v/>
      </c>
      <c r="Y1527" t="b">
        <f>IF(X1527&lt;&gt;"",VLOOKUP(X1527,game_rosters!$C$43:$E$64,3,FALSE))</f>
        <v>0</v>
      </c>
      <c r="Z1527" t="e" cm="1" vm="1">
        <f t="array" aca="1" ref="Z1527" ca="1">IFERROR(IF(_xlfn._xlws.FILTER(game_rosters!$J:$J,(game_rosters!$G:$G=events!$AN1527)*(game_rosters!$J:$J=events!$X1527))&gt;0,1,""),"")</f>
        <v>#VALUE!</v>
      </c>
      <c r="AA1527">
        <f t="shared" si="175"/>
        <v>1000</v>
      </c>
      <c r="AB1527" t="str">
        <f t="shared" si="176"/>
        <v/>
      </c>
      <c r="AC1527">
        <f t="shared" si="173"/>
        <v>1000</v>
      </c>
      <c r="AD1527" s="6"/>
    </row>
    <row r="1528" spans="1:30" x14ac:dyDescent="0.2">
      <c r="A1528" t="str">
        <f t="shared" si="174"/>
        <v/>
      </c>
      <c r="X1528" t="str" cm="1">
        <f t="array" ref="X1528">IF(S1528="","",IF($I1528&lt;&gt;"",$I1528,INDEX($I$2:$I1527,ROW()-COUNTIFS($T$2:$T1527,"="&amp;$T1528,$S$2:$S1527,"&lt;&gt;"&amp;$S1528)-1)))</f>
        <v/>
      </c>
      <c r="Y1528" t="b">
        <f>IF(X1528&lt;&gt;"",VLOOKUP(X1528,game_rosters!$C$43:$E$64,3,FALSE))</f>
        <v>0</v>
      </c>
      <c r="Z1528" t="e" cm="1" vm="1">
        <f t="array" aca="1" ref="Z1528" ca="1">IFERROR(IF(_xlfn._xlws.FILTER(game_rosters!$J:$J,(game_rosters!$G:$G=events!$AN1528)*(game_rosters!$J:$J=events!$X1528))&gt;0,1,""),"")</f>
        <v>#VALUE!</v>
      </c>
      <c r="AA1528">
        <f t="shared" si="175"/>
        <v>1000</v>
      </c>
      <c r="AB1528" t="str">
        <f t="shared" si="176"/>
        <v/>
      </c>
      <c r="AC1528">
        <f t="shared" si="173"/>
        <v>1000</v>
      </c>
      <c r="AD1528" s="6"/>
    </row>
    <row r="1529" spans="1:30" x14ac:dyDescent="0.2">
      <c r="A1529" t="str">
        <f t="shared" si="174"/>
        <v/>
      </c>
      <c r="X1529" t="str" cm="1">
        <f t="array" ref="X1529">IF(S1529="","",IF($I1529&lt;&gt;"",$I1529,INDEX($I$2:$I1528,ROW()-COUNTIFS($T$2:$T1528,"="&amp;$T1529,$S$2:$S1528,"&lt;&gt;"&amp;$S1529)-1)))</f>
        <v/>
      </c>
      <c r="Y1529" t="b">
        <f>IF(X1529&lt;&gt;"",VLOOKUP(X1529,game_rosters!$C$43:$E$64,3,FALSE))</f>
        <v>0</v>
      </c>
      <c r="Z1529" t="e" cm="1" vm="1">
        <f t="array" aca="1" ref="Z1529" ca="1">IFERROR(IF(_xlfn._xlws.FILTER(game_rosters!$J:$J,(game_rosters!$G:$G=events!$AN1529)*(game_rosters!$J:$J=events!$X1529))&gt;0,1,""),"")</f>
        <v>#VALUE!</v>
      </c>
      <c r="AA1529">
        <f t="shared" si="175"/>
        <v>1000</v>
      </c>
      <c r="AB1529" t="str">
        <f t="shared" si="176"/>
        <v/>
      </c>
      <c r="AC1529">
        <f t="shared" si="173"/>
        <v>1000</v>
      </c>
      <c r="AD1529" s="6"/>
    </row>
    <row r="1530" spans="1:30" x14ac:dyDescent="0.2">
      <c r="A1530" t="str">
        <f t="shared" si="174"/>
        <v/>
      </c>
      <c r="X1530" t="str" cm="1">
        <f t="array" ref="X1530">IF(S1530="","",IF($I1530&lt;&gt;"",$I1530,INDEX($I$2:$I1529,ROW()-COUNTIFS($T$2:$T1529,"="&amp;$T1530,$S$2:$S1529,"&lt;&gt;"&amp;$S1530)-1)))</f>
        <v/>
      </c>
      <c r="Y1530" t="b">
        <f>IF(X1530&lt;&gt;"",VLOOKUP(X1530,game_rosters!$C$43:$E$64,3,FALSE))</f>
        <v>0</v>
      </c>
      <c r="Z1530" t="e" cm="1" vm="1">
        <f t="array" aca="1" ref="Z1530" ca="1">IFERROR(IF(_xlfn._xlws.FILTER(game_rosters!$J:$J,(game_rosters!$G:$G=events!$AN1530)*(game_rosters!$J:$J=events!$X1530))&gt;0,1,""),"")</f>
        <v>#VALUE!</v>
      </c>
      <c r="AA1530">
        <f t="shared" si="175"/>
        <v>1000</v>
      </c>
      <c r="AB1530" t="str">
        <f t="shared" si="176"/>
        <v/>
      </c>
      <c r="AC1530">
        <f t="shared" si="173"/>
        <v>1000</v>
      </c>
      <c r="AD1530" s="6"/>
    </row>
    <row r="1531" spans="1:30" x14ac:dyDescent="0.2">
      <c r="A1531" t="str">
        <f t="shared" si="174"/>
        <v/>
      </c>
      <c r="X1531" t="str" cm="1">
        <f t="array" ref="X1531">IF(S1531="","",IF($I1531&lt;&gt;"",$I1531,INDEX($I$2:$I1530,ROW()-COUNTIFS($T$2:$T1530,"="&amp;$T1531,$S$2:$S1530,"&lt;&gt;"&amp;$S1531)-1)))</f>
        <v/>
      </c>
      <c r="Y1531" t="b">
        <f>IF(X1531&lt;&gt;"",VLOOKUP(X1531,game_rosters!$C$43:$E$64,3,FALSE))</f>
        <v>0</v>
      </c>
      <c r="Z1531" t="e" cm="1" vm="1">
        <f t="array" aca="1" ref="Z1531" ca="1">IFERROR(IF(_xlfn._xlws.FILTER(game_rosters!$J:$J,(game_rosters!$G:$G=events!$AN1531)*(game_rosters!$J:$J=events!$X1531))&gt;0,1,""),"")</f>
        <v>#VALUE!</v>
      </c>
      <c r="AA1531">
        <f t="shared" si="175"/>
        <v>1000</v>
      </c>
      <c r="AB1531" t="str">
        <f t="shared" si="176"/>
        <v/>
      </c>
      <c r="AC1531">
        <f t="shared" si="173"/>
        <v>1000</v>
      </c>
      <c r="AD1531" s="6"/>
    </row>
    <row r="1532" spans="1:30" x14ac:dyDescent="0.2">
      <c r="A1532" t="str">
        <f t="shared" si="174"/>
        <v/>
      </c>
      <c r="X1532" t="str" cm="1">
        <f t="array" ref="X1532">IF(S1532="","",IF($I1532&lt;&gt;"",$I1532,INDEX($I$2:$I1531,ROW()-COUNTIFS($T$2:$T1531,"="&amp;$T1532,$S$2:$S1531,"&lt;&gt;"&amp;$S1532)-1)))</f>
        <v/>
      </c>
      <c r="Y1532" t="b">
        <f>IF(X1532&lt;&gt;"",VLOOKUP(X1532,game_rosters!$C$43:$E$64,3,FALSE))</f>
        <v>0</v>
      </c>
      <c r="Z1532" t="e" cm="1" vm="1">
        <f t="array" aca="1" ref="Z1532" ca="1">IFERROR(IF(_xlfn._xlws.FILTER(game_rosters!$J:$J,(game_rosters!$G:$G=events!$AN1532)*(game_rosters!$J:$J=events!$X1532))&gt;0,1,""),"")</f>
        <v>#VALUE!</v>
      </c>
      <c r="AA1532">
        <f t="shared" si="175"/>
        <v>1000</v>
      </c>
      <c r="AB1532" t="str">
        <f t="shared" si="176"/>
        <v/>
      </c>
      <c r="AC1532">
        <f t="shared" si="173"/>
        <v>1000</v>
      </c>
      <c r="AD1532" s="6"/>
    </row>
    <row r="1533" spans="1:30" x14ac:dyDescent="0.2">
      <c r="A1533" t="str">
        <f t="shared" si="174"/>
        <v/>
      </c>
      <c r="X1533" t="str" cm="1">
        <f t="array" ref="X1533">IF(S1533="","",IF($I1533&lt;&gt;"",$I1533,INDEX($I$2:$I1532,ROW()-COUNTIFS($T$2:$T1532,"="&amp;$T1533,$S$2:$S1532,"&lt;&gt;"&amp;$S1533)-1)))</f>
        <v/>
      </c>
      <c r="Y1533" t="b">
        <f>IF(X1533&lt;&gt;"",VLOOKUP(X1533,game_rosters!$C$43:$E$64,3,FALSE))</f>
        <v>0</v>
      </c>
      <c r="Z1533" t="e" cm="1" vm="1">
        <f t="array" aca="1" ref="Z1533" ca="1">IFERROR(IF(_xlfn._xlws.FILTER(game_rosters!$J:$J,(game_rosters!$G:$G=events!$AN1533)*(game_rosters!$J:$J=events!$X1533))&gt;0,1,""),"")</f>
        <v>#VALUE!</v>
      </c>
      <c r="AA1533">
        <f t="shared" si="175"/>
        <v>1000</v>
      </c>
      <c r="AB1533" t="str">
        <f t="shared" si="176"/>
        <v/>
      </c>
      <c r="AC1533">
        <f t="shared" si="173"/>
        <v>1000</v>
      </c>
      <c r="AD1533" s="6"/>
    </row>
    <row r="1534" spans="1:30" x14ac:dyDescent="0.2">
      <c r="A1534" t="str">
        <f t="shared" si="174"/>
        <v/>
      </c>
      <c r="X1534" t="str" cm="1">
        <f t="array" ref="X1534">IF(S1534="","",IF($I1534&lt;&gt;"",$I1534,INDEX($I$2:$I1533,ROW()-COUNTIFS($T$2:$T1533,"="&amp;$T1534,$S$2:$S1533,"&lt;&gt;"&amp;$S1534)-1)))</f>
        <v/>
      </c>
      <c r="Y1534" t="b">
        <f>IF(X1534&lt;&gt;"",VLOOKUP(X1534,game_rosters!$C$43:$E$64,3,FALSE))</f>
        <v>0</v>
      </c>
      <c r="Z1534" t="e" cm="1" vm="1">
        <f t="array" aca="1" ref="Z1534" ca="1">IFERROR(IF(_xlfn._xlws.FILTER(game_rosters!$J:$J,(game_rosters!$G:$G=events!$AN1534)*(game_rosters!$J:$J=events!$X1534))&gt;0,1,""),"")</f>
        <v>#VALUE!</v>
      </c>
      <c r="AA1534">
        <f t="shared" si="175"/>
        <v>1000</v>
      </c>
      <c r="AB1534" t="str">
        <f t="shared" si="176"/>
        <v/>
      </c>
      <c r="AC1534">
        <f t="shared" si="173"/>
        <v>1000</v>
      </c>
      <c r="AD1534" s="6"/>
    </row>
    <row r="1535" spans="1:30" x14ac:dyDescent="0.2">
      <c r="A1535" t="str">
        <f t="shared" si="174"/>
        <v/>
      </c>
      <c r="X1535" t="str" cm="1">
        <f t="array" ref="X1535">IF(S1535="","",IF($I1535&lt;&gt;"",$I1535,INDEX($I$2:$I1534,ROW()-COUNTIFS($T$2:$T1534,"="&amp;$T1535,$S$2:$S1534,"&lt;&gt;"&amp;$S1535)-1)))</f>
        <v/>
      </c>
      <c r="Y1535" t="b">
        <f>IF(X1535&lt;&gt;"",VLOOKUP(X1535,game_rosters!$C$43:$E$64,3,FALSE))</f>
        <v>0</v>
      </c>
      <c r="Z1535" t="e" cm="1" vm="1">
        <f t="array" aca="1" ref="Z1535" ca="1">IFERROR(IF(_xlfn._xlws.FILTER(game_rosters!$J:$J,(game_rosters!$G:$G=events!$AN1535)*(game_rosters!$J:$J=events!$X1535))&gt;0,1,""),"")</f>
        <v>#VALUE!</v>
      </c>
      <c r="AA1535">
        <f t="shared" si="175"/>
        <v>1000</v>
      </c>
      <c r="AB1535" t="str">
        <f t="shared" si="176"/>
        <v/>
      </c>
      <c r="AC1535">
        <f t="shared" si="173"/>
        <v>1000</v>
      </c>
      <c r="AD1535" s="6"/>
    </row>
    <row r="1536" spans="1:30" x14ac:dyDescent="0.2">
      <c r="A1536" t="str">
        <f t="shared" si="174"/>
        <v/>
      </c>
      <c r="X1536" t="str" cm="1">
        <f t="array" ref="X1536">IF(S1536="","",IF($I1536&lt;&gt;"",$I1536,INDEX($I$2:$I1535,ROW()-COUNTIFS($T$2:$T1535,"="&amp;$T1536,$S$2:$S1535,"&lt;&gt;"&amp;$S1536)-1)))</f>
        <v/>
      </c>
      <c r="Y1536" t="b">
        <f>IF(X1536&lt;&gt;"",VLOOKUP(X1536,game_rosters!$C$43:$E$64,3,FALSE))</f>
        <v>0</v>
      </c>
      <c r="Z1536" t="e" cm="1" vm="1">
        <f t="array" aca="1" ref="Z1536" ca="1">IFERROR(IF(_xlfn._xlws.FILTER(game_rosters!$J:$J,(game_rosters!$G:$G=events!$AN1536)*(game_rosters!$J:$J=events!$X1536))&gt;0,1,""),"")</f>
        <v>#VALUE!</v>
      </c>
      <c r="AA1536">
        <f t="shared" si="175"/>
        <v>1000</v>
      </c>
      <c r="AB1536" t="str">
        <f t="shared" si="176"/>
        <v/>
      </c>
      <c r="AC1536">
        <f t="shared" si="173"/>
        <v>1000</v>
      </c>
      <c r="AD1536" s="6"/>
    </row>
    <row r="1537" spans="1:30" x14ac:dyDescent="0.2">
      <c r="A1537" t="str">
        <f t="shared" si="174"/>
        <v/>
      </c>
      <c r="X1537" t="str" cm="1">
        <f t="array" ref="X1537">IF(S1537="","",IF($I1537&lt;&gt;"",$I1537,INDEX($I$2:$I1536,ROW()-COUNTIFS($T$2:$T1536,"="&amp;$T1537,$S$2:$S1536,"&lt;&gt;"&amp;$S1537)-1)))</f>
        <v/>
      </c>
      <c r="Y1537" t="b">
        <f>IF(X1537&lt;&gt;"",VLOOKUP(X1537,game_rosters!$C$43:$E$64,3,FALSE))</f>
        <v>0</v>
      </c>
      <c r="Z1537" t="e" cm="1" vm="1">
        <f t="array" aca="1" ref="Z1537" ca="1">IFERROR(IF(_xlfn._xlws.FILTER(game_rosters!$J:$J,(game_rosters!$G:$G=events!$AN1537)*(game_rosters!$J:$J=events!$X1537))&gt;0,1,""),"")</f>
        <v>#VALUE!</v>
      </c>
      <c r="AA1537">
        <f t="shared" si="175"/>
        <v>1000</v>
      </c>
      <c r="AB1537" t="str">
        <f t="shared" si="176"/>
        <v/>
      </c>
      <c r="AC1537">
        <f t="shared" si="173"/>
        <v>1000</v>
      </c>
      <c r="AD1537" s="6"/>
    </row>
    <row r="1538" spans="1:30" x14ac:dyDescent="0.2">
      <c r="A1538" t="str">
        <f t="shared" si="174"/>
        <v/>
      </c>
      <c r="X1538" t="str" cm="1">
        <f t="array" ref="X1538">IF(S1538="","",IF($I1538&lt;&gt;"",$I1538,INDEX($I$2:$I1537,ROW()-COUNTIFS($T$2:$T1537,"="&amp;$T1538,$S$2:$S1537,"&lt;&gt;"&amp;$S1538)-1)))</f>
        <v/>
      </c>
      <c r="Y1538" t="b">
        <f>IF(X1538&lt;&gt;"",VLOOKUP(X1538,game_rosters!$C$43:$E$64,3,FALSE))</f>
        <v>0</v>
      </c>
      <c r="Z1538" t="e" cm="1" vm="1">
        <f t="array" aca="1" ref="Z1538" ca="1">IFERROR(IF(_xlfn._xlws.FILTER(game_rosters!$J:$J,(game_rosters!$G:$G=events!$AN1538)*(game_rosters!$J:$J=events!$X1538))&gt;0,1,""),"")</f>
        <v>#VALUE!</v>
      </c>
      <c r="AA1538">
        <f t="shared" si="175"/>
        <v>1000</v>
      </c>
      <c r="AB1538" t="str">
        <f t="shared" si="176"/>
        <v/>
      </c>
      <c r="AC1538">
        <f t="shared" ref="AC1538:AC1601" si="177">IF(AB1538&lt;&gt;"",AB1538,S1538+1000)</f>
        <v>1000</v>
      </c>
      <c r="AD1538" s="6"/>
    </row>
    <row r="1539" spans="1:30" x14ac:dyDescent="0.2">
      <c r="A1539" t="str">
        <f t="shared" si="174"/>
        <v/>
      </c>
      <c r="X1539" t="str" cm="1">
        <f t="array" ref="X1539">IF(S1539="","",IF($I1539&lt;&gt;"",$I1539,INDEX($I$2:$I1538,ROW()-COUNTIFS($T$2:$T1538,"="&amp;$T1539,$S$2:$S1538,"&lt;&gt;"&amp;$S1539)-1)))</f>
        <v/>
      </c>
      <c r="Y1539" t="b">
        <f>IF(X1539&lt;&gt;"",VLOOKUP(X1539,game_rosters!$C$43:$E$64,3,FALSE))</f>
        <v>0</v>
      </c>
      <c r="Z1539" t="e" cm="1" vm="1">
        <f t="array" aca="1" ref="Z1539" ca="1">IFERROR(IF(_xlfn._xlws.FILTER(game_rosters!$J:$J,(game_rosters!$G:$G=events!$AN1539)*(game_rosters!$J:$J=events!$X1539))&gt;0,1,""),"")</f>
        <v>#VALUE!</v>
      </c>
      <c r="AA1539">
        <f t="shared" si="175"/>
        <v>1000</v>
      </c>
      <c r="AB1539" t="str">
        <f t="shared" si="176"/>
        <v/>
      </c>
      <c r="AC1539">
        <f t="shared" si="177"/>
        <v>1000</v>
      </c>
      <c r="AD1539" s="6"/>
    </row>
    <row r="1540" spans="1:30" x14ac:dyDescent="0.2">
      <c r="A1540" t="str">
        <f t="shared" si="174"/>
        <v/>
      </c>
      <c r="X1540" t="str" cm="1">
        <f t="array" ref="X1540">IF(S1540="","",IF($I1540&lt;&gt;"",$I1540,INDEX($I$2:$I1539,ROW()-COUNTIFS($T$2:$T1539,"="&amp;$T1540,$S$2:$S1539,"&lt;&gt;"&amp;$S1540)-1)))</f>
        <v/>
      </c>
      <c r="Y1540" t="b">
        <f>IF(X1540&lt;&gt;"",VLOOKUP(X1540,game_rosters!$C$43:$E$64,3,FALSE))</f>
        <v>0</v>
      </c>
      <c r="Z1540" t="e" cm="1" vm="1">
        <f t="array" aca="1" ref="Z1540" ca="1">IFERROR(IF(_xlfn._xlws.FILTER(game_rosters!$J:$J,(game_rosters!$G:$G=events!$AN1540)*(game_rosters!$J:$J=events!$X1540))&gt;0,1,""),"")</f>
        <v>#VALUE!</v>
      </c>
      <c r="AA1540">
        <f t="shared" si="175"/>
        <v>1000</v>
      </c>
      <c r="AB1540" t="str">
        <f t="shared" si="176"/>
        <v/>
      </c>
      <c r="AC1540">
        <f t="shared" si="177"/>
        <v>1000</v>
      </c>
      <c r="AD1540" s="6"/>
    </row>
    <row r="1541" spans="1:30" x14ac:dyDescent="0.2">
      <c r="A1541" t="str">
        <f t="shared" ref="A1541:A1604" si="178">IF(K1541&lt;&gt;"",1,IF(D1541="x","x",""))</f>
        <v/>
      </c>
      <c r="X1541" t="str" cm="1">
        <f t="array" ref="X1541">IF(S1541="","",IF($I1541&lt;&gt;"",$I1541,INDEX($I$2:$I1540,ROW()-COUNTIFS($T$2:$T1540,"="&amp;$T1541,$S$2:$S1540,"&lt;&gt;"&amp;$S1541)-1)))</f>
        <v/>
      </c>
      <c r="Y1541" t="b">
        <f>IF(X1541&lt;&gt;"",VLOOKUP(X1541,game_rosters!$C$43:$E$64,3,FALSE))</f>
        <v>0</v>
      </c>
      <c r="Z1541" t="e" cm="1" vm="1">
        <f t="array" aca="1" ref="Z1541" ca="1">IFERROR(IF(_xlfn._xlws.FILTER(game_rosters!$J:$J,(game_rosters!$G:$G=events!$AN1541)*(game_rosters!$J:$J=events!$X1541))&gt;0,1,""),"")</f>
        <v>#VALUE!</v>
      </c>
      <c r="AA1541">
        <f t="shared" si="175"/>
        <v>1000</v>
      </c>
      <c r="AB1541" t="str">
        <f t="shared" si="176"/>
        <v/>
      </c>
      <c r="AC1541">
        <f t="shared" si="177"/>
        <v>1000</v>
      </c>
      <c r="AD1541" s="6"/>
    </row>
    <row r="1542" spans="1:30" x14ac:dyDescent="0.2">
      <c r="A1542" t="str">
        <f t="shared" si="178"/>
        <v/>
      </c>
      <c r="X1542" t="str" cm="1">
        <f t="array" ref="X1542">IF(S1542="","",IF($I1542&lt;&gt;"",$I1542,INDEX($I$2:$I1541,ROW()-COUNTIFS($T$2:$T1541,"="&amp;$T1542,$S$2:$S1541,"&lt;&gt;"&amp;$S1542)-1)))</f>
        <v/>
      </c>
      <c r="Y1542" t="b">
        <f>IF(X1542&lt;&gt;"",VLOOKUP(X1542,game_rosters!$C$43:$E$64,3,FALSE))</f>
        <v>0</v>
      </c>
      <c r="Z1542" t="e" cm="1" vm="1">
        <f t="array" aca="1" ref="Z1542" ca="1">IFERROR(IF(_xlfn._xlws.FILTER(game_rosters!$J:$J,(game_rosters!$G:$G=events!$AN1542)*(game_rosters!$J:$J=events!$X1542))&gt;0,1,""),"")</f>
        <v>#VALUE!</v>
      </c>
      <c r="AA1542">
        <f t="shared" si="175"/>
        <v>1000</v>
      </c>
      <c r="AB1542" t="str">
        <f t="shared" si="176"/>
        <v/>
      </c>
      <c r="AC1542">
        <f t="shared" si="177"/>
        <v>1000</v>
      </c>
      <c r="AD1542" s="6"/>
    </row>
    <row r="1543" spans="1:30" x14ac:dyDescent="0.2">
      <c r="A1543" t="str">
        <f t="shared" si="178"/>
        <v/>
      </c>
      <c r="X1543" t="str" cm="1">
        <f t="array" ref="X1543">IF(S1543="","",IF($I1543&lt;&gt;"",$I1543,INDEX($I$2:$I1542,ROW()-COUNTIFS($T$2:$T1542,"="&amp;$T1543,$S$2:$S1542,"&lt;&gt;"&amp;$S1543)-1)))</f>
        <v/>
      </c>
      <c r="Y1543" t="b">
        <f>IF(X1543&lt;&gt;"",VLOOKUP(X1543,game_rosters!$C$43:$E$64,3,FALSE))</f>
        <v>0</v>
      </c>
      <c r="Z1543" t="e" cm="1" vm="1">
        <f t="array" aca="1" ref="Z1543" ca="1">IFERROR(IF(_xlfn._xlws.FILTER(game_rosters!$J:$J,(game_rosters!$G:$G=events!$AN1543)*(game_rosters!$J:$J=events!$X1543))&gt;0,1,""),"")</f>
        <v>#VALUE!</v>
      </c>
      <c r="AA1543">
        <f t="shared" si="175"/>
        <v>1000</v>
      </c>
      <c r="AB1543" t="str">
        <f t="shared" si="176"/>
        <v/>
      </c>
      <c r="AC1543">
        <f t="shared" si="177"/>
        <v>1000</v>
      </c>
      <c r="AD1543" s="6"/>
    </row>
    <row r="1544" spans="1:30" x14ac:dyDescent="0.2">
      <c r="A1544" t="str">
        <f t="shared" si="178"/>
        <v/>
      </c>
      <c r="X1544" t="str" cm="1">
        <f t="array" ref="X1544">IF(S1544="","",IF($I1544&lt;&gt;"",$I1544,INDEX($I$2:$I1543,ROW()-COUNTIFS($T$2:$T1543,"="&amp;$T1544,$S$2:$S1543,"&lt;&gt;"&amp;$S1544)-1)))</f>
        <v/>
      </c>
      <c r="Y1544" t="b">
        <f>IF(X1544&lt;&gt;"",VLOOKUP(X1544,game_rosters!$C$43:$E$64,3,FALSE))</f>
        <v>0</v>
      </c>
      <c r="Z1544" t="e" cm="1" vm="1">
        <f t="array" aca="1" ref="Z1544" ca="1">IFERROR(IF(_xlfn._xlws.FILTER(game_rosters!$J:$J,(game_rosters!$G:$G=events!$AN1544)*(game_rosters!$J:$J=events!$X1544))&gt;0,1,""),"")</f>
        <v>#VALUE!</v>
      </c>
      <c r="AA1544">
        <f t="shared" si="175"/>
        <v>1000</v>
      </c>
      <c r="AB1544" t="str">
        <f t="shared" si="176"/>
        <v/>
      </c>
      <c r="AC1544">
        <f t="shared" si="177"/>
        <v>1000</v>
      </c>
      <c r="AD1544" s="6"/>
    </row>
    <row r="1545" spans="1:30" x14ac:dyDescent="0.2">
      <c r="A1545" t="str">
        <f t="shared" si="178"/>
        <v/>
      </c>
      <c r="X1545" t="str" cm="1">
        <f t="array" ref="X1545">IF(S1545="","",IF($I1545&lt;&gt;"",$I1545,INDEX($I$2:$I1544,ROW()-COUNTIFS($T$2:$T1544,"="&amp;$T1545,$S$2:$S1544,"&lt;&gt;"&amp;$S1545)-1)))</f>
        <v/>
      </c>
      <c r="Y1545" t="b">
        <f>IF(X1545&lt;&gt;"",VLOOKUP(X1545,game_rosters!$C$43:$E$64,3,FALSE))</f>
        <v>0</v>
      </c>
      <c r="Z1545" t="e" cm="1" vm="1">
        <f t="array" aca="1" ref="Z1545" ca="1">IFERROR(IF(_xlfn._xlws.FILTER(game_rosters!$J:$J,(game_rosters!$G:$G=events!$AN1545)*(game_rosters!$J:$J=events!$X1545))&gt;0,1,""),"")</f>
        <v>#VALUE!</v>
      </c>
      <c r="AA1545">
        <f t="shared" si="175"/>
        <v>1000</v>
      </c>
      <c r="AB1545" t="str">
        <f t="shared" si="176"/>
        <v/>
      </c>
      <c r="AC1545">
        <f t="shared" si="177"/>
        <v>1000</v>
      </c>
      <c r="AD1545" s="6"/>
    </row>
    <row r="1546" spans="1:30" x14ac:dyDescent="0.2">
      <c r="A1546" t="str">
        <f t="shared" si="178"/>
        <v/>
      </c>
      <c r="X1546" t="str" cm="1">
        <f t="array" ref="X1546">IF(S1546="","",IF($I1546&lt;&gt;"",$I1546,INDEX($I$2:$I1545,ROW()-COUNTIFS($T$2:$T1545,"="&amp;$T1546,$S$2:$S1545,"&lt;&gt;"&amp;$S1546)-1)))</f>
        <v/>
      </c>
      <c r="Y1546" t="b">
        <f>IF(X1546&lt;&gt;"",VLOOKUP(X1546,game_rosters!$C$43:$E$64,3,FALSE))</f>
        <v>0</v>
      </c>
      <c r="Z1546" t="e" cm="1" vm="1">
        <f t="array" aca="1" ref="Z1546" ca="1">IFERROR(IF(_xlfn._xlws.FILTER(game_rosters!$J:$J,(game_rosters!$G:$G=events!$AN1546)*(game_rosters!$J:$J=events!$X1546))&gt;0,1,""),"")</f>
        <v>#VALUE!</v>
      </c>
      <c r="AA1546">
        <f t="shared" si="175"/>
        <v>1000</v>
      </c>
      <c r="AB1546" t="str">
        <f t="shared" si="176"/>
        <v/>
      </c>
      <c r="AC1546">
        <f t="shared" si="177"/>
        <v>1000</v>
      </c>
      <c r="AD1546" s="6"/>
    </row>
    <row r="1547" spans="1:30" x14ac:dyDescent="0.2">
      <c r="A1547" t="str">
        <f t="shared" si="178"/>
        <v/>
      </c>
      <c r="X1547" t="str" cm="1">
        <f t="array" ref="X1547">IF(S1547="","",IF($I1547&lt;&gt;"",$I1547,INDEX($I$2:$I1546,ROW()-COUNTIFS($T$2:$T1546,"="&amp;$T1547,$S$2:$S1546,"&lt;&gt;"&amp;$S1547)-1)))</f>
        <v/>
      </c>
      <c r="Y1547" t="b">
        <f>IF(X1547&lt;&gt;"",VLOOKUP(X1547,game_rosters!$C$43:$E$64,3,FALSE))</f>
        <v>0</v>
      </c>
      <c r="Z1547" t="e" cm="1" vm="1">
        <f t="array" aca="1" ref="Z1547" ca="1">IFERROR(IF(_xlfn._xlws.FILTER(game_rosters!$J:$J,(game_rosters!$G:$G=events!$AN1547)*(game_rosters!$J:$J=events!$X1547))&gt;0,1,""),"")</f>
        <v>#VALUE!</v>
      </c>
      <c r="AA1547">
        <f t="shared" si="175"/>
        <v>1000</v>
      </c>
      <c r="AB1547" t="str">
        <f t="shared" si="176"/>
        <v/>
      </c>
      <c r="AC1547">
        <f t="shared" si="177"/>
        <v>1000</v>
      </c>
      <c r="AD1547" s="6"/>
    </row>
    <row r="1548" spans="1:30" x14ac:dyDescent="0.2">
      <c r="A1548" t="str">
        <f t="shared" si="178"/>
        <v/>
      </c>
      <c r="X1548" t="str" cm="1">
        <f t="array" ref="X1548">IF(S1548="","",IF($I1548&lt;&gt;"",$I1548,INDEX($I$2:$I1547,ROW()-COUNTIFS($T$2:$T1547,"="&amp;$T1548,$S$2:$S1547,"&lt;&gt;"&amp;$S1548)-1)))</f>
        <v/>
      </c>
      <c r="Y1548" t="b">
        <f>IF(X1548&lt;&gt;"",VLOOKUP(X1548,game_rosters!$C$43:$E$64,3,FALSE))</f>
        <v>0</v>
      </c>
      <c r="Z1548" t="e" cm="1" vm="1">
        <f t="array" aca="1" ref="Z1548" ca="1">IFERROR(IF(_xlfn._xlws.FILTER(game_rosters!$J:$J,(game_rosters!$G:$G=events!$AN1548)*(game_rosters!$J:$J=events!$X1548))&gt;0,1,""),"")</f>
        <v>#VALUE!</v>
      </c>
      <c r="AA1548">
        <f t="shared" si="175"/>
        <v>1000</v>
      </c>
      <c r="AB1548" t="str">
        <f t="shared" si="176"/>
        <v/>
      </c>
      <c r="AC1548">
        <f t="shared" si="177"/>
        <v>1000</v>
      </c>
      <c r="AD1548" s="6"/>
    </row>
    <row r="1549" spans="1:30" x14ac:dyDescent="0.2">
      <c r="A1549" t="str">
        <f t="shared" si="178"/>
        <v/>
      </c>
      <c r="X1549" t="str" cm="1">
        <f t="array" ref="X1549">IF(S1549="","",IF($I1549&lt;&gt;"",$I1549,INDEX($I$2:$I1548,ROW()-COUNTIFS($T$2:$T1548,"="&amp;$T1549,$S$2:$S1548,"&lt;&gt;"&amp;$S1549)-1)))</f>
        <v/>
      </c>
      <c r="Y1549" t="b">
        <f>IF(X1549&lt;&gt;"",VLOOKUP(X1549,game_rosters!$C$43:$E$64,3,FALSE))</f>
        <v>0</v>
      </c>
      <c r="Z1549" t="e" cm="1" vm="1">
        <f t="array" aca="1" ref="Z1549" ca="1">IFERROR(IF(_xlfn._xlws.FILTER(game_rosters!$J:$J,(game_rosters!$G:$G=events!$AN1549)*(game_rosters!$J:$J=events!$X1549))&gt;0,1,""),"")</f>
        <v>#VALUE!</v>
      </c>
      <c r="AA1549">
        <f t="shared" si="175"/>
        <v>1000</v>
      </c>
      <c r="AB1549" t="str">
        <f t="shared" si="176"/>
        <v/>
      </c>
      <c r="AC1549">
        <f t="shared" si="177"/>
        <v>1000</v>
      </c>
      <c r="AD1549" s="6"/>
    </row>
    <row r="1550" spans="1:30" x14ac:dyDescent="0.2">
      <c r="A1550" t="str">
        <f t="shared" si="178"/>
        <v/>
      </c>
      <c r="X1550" t="str" cm="1">
        <f t="array" ref="X1550">IF(S1550="","",IF($I1550&lt;&gt;"",$I1550,INDEX($I$2:$I1549,ROW()-COUNTIFS($T$2:$T1549,"="&amp;$T1550,$S$2:$S1549,"&lt;&gt;"&amp;$S1550)-1)))</f>
        <v/>
      </c>
      <c r="Y1550" t="b">
        <f>IF(X1550&lt;&gt;"",VLOOKUP(X1550,game_rosters!$C$43:$E$64,3,FALSE))</f>
        <v>0</v>
      </c>
      <c r="Z1550" t="e" cm="1" vm="1">
        <f t="array" aca="1" ref="Z1550" ca="1">IFERROR(IF(_xlfn._xlws.FILTER(game_rosters!$J:$J,(game_rosters!$G:$G=events!$AN1550)*(game_rosters!$J:$J=events!$X1550))&gt;0,1,""),"")</f>
        <v>#VALUE!</v>
      </c>
      <c r="AA1550">
        <f t="shared" si="175"/>
        <v>1000</v>
      </c>
      <c r="AB1550" t="str">
        <f t="shared" si="176"/>
        <v/>
      </c>
      <c r="AC1550">
        <f t="shared" si="177"/>
        <v>1000</v>
      </c>
      <c r="AD1550" s="6"/>
    </row>
    <row r="1551" spans="1:30" x14ac:dyDescent="0.2">
      <c r="A1551" t="str">
        <f t="shared" si="178"/>
        <v/>
      </c>
      <c r="X1551" t="str" cm="1">
        <f t="array" ref="X1551">IF(S1551="","",IF($I1551&lt;&gt;"",$I1551,INDEX($I$2:$I1550,ROW()-COUNTIFS($T$2:$T1550,"="&amp;$T1551,$S$2:$S1550,"&lt;&gt;"&amp;$S1551)-1)))</f>
        <v/>
      </c>
      <c r="Y1551" t="b">
        <f>IF(X1551&lt;&gt;"",VLOOKUP(X1551,game_rosters!$C$43:$E$64,3,FALSE))</f>
        <v>0</v>
      </c>
      <c r="Z1551" t="e" cm="1" vm="1">
        <f t="array" aca="1" ref="Z1551" ca="1">IFERROR(IF(_xlfn._xlws.FILTER(game_rosters!$J:$J,(game_rosters!$G:$G=events!$AN1551)*(game_rosters!$J:$J=events!$X1551))&gt;0,1,""),"")</f>
        <v>#VALUE!</v>
      </c>
      <c r="AA1551">
        <f t="shared" si="175"/>
        <v>1000</v>
      </c>
      <c r="AB1551" t="str">
        <f t="shared" si="176"/>
        <v/>
      </c>
      <c r="AC1551">
        <f t="shared" si="177"/>
        <v>1000</v>
      </c>
      <c r="AD1551" s="6"/>
    </row>
    <row r="1552" spans="1:30" x14ac:dyDescent="0.2">
      <c r="A1552" t="str">
        <f t="shared" si="178"/>
        <v/>
      </c>
      <c r="X1552" t="str" cm="1">
        <f t="array" ref="X1552">IF(S1552="","",IF($I1552&lt;&gt;"",$I1552,INDEX($I$2:$I1551,ROW()-COUNTIFS($T$2:$T1551,"="&amp;$T1552,$S$2:$S1551,"&lt;&gt;"&amp;$S1552)-1)))</f>
        <v/>
      </c>
      <c r="Y1552" t="b">
        <f>IF(X1552&lt;&gt;"",VLOOKUP(X1552,game_rosters!$C$43:$E$64,3,FALSE))</f>
        <v>0</v>
      </c>
      <c r="Z1552" t="e" cm="1" vm="1">
        <f t="array" aca="1" ref="Z1552" ca="1">IFERROR(IF(_xlfn._xlws.FILTER(game_rosters!$J:$J,(game_rosters!$G:$G=events!$AN1552)*(game_rosters!$J:$J=events!$X1552))&gt;0,1,""),"")</f>
        <v>#VALUE!</v>
      </c>
      <c r="AA1552">
        <f t="shared" si="175"/>
        <v>1000</v>
      </c>
      <c r="AB1552" t="str">
        <f t="shared" si="176"/>
        <v/>
      </c>
      <c r="AC1552">
        <f t="shared" si="177"/>
        <v>1000</v>
      </c>
      <c r="AD1552" s="6"/>
    </row>
    <row r="1553" spans="1:30" x14ac:dyDescent="0.2">
      <c r="A1553" t="str">
        <f t="shared" si="178"/>
        <v/>
      </c>
      <c r="X1553" t="str" cm="1">
        <f t="array" ref="X1553">IF(S1553="","",IF($I1553&lt;&gt;"",$I1553,INDEX($I$2:$I1552,ROW()-COUNTIFS($T$2:$T1552,"="&amp;$T1553,$S$2:$S1552,"&lt;&gt;"&amp;$S1553)-1)))</f>
        <v/>
      </c>
      <c r="Y1553" t="b">
        <f>IF(X1553&lt;&gt;"",VLOOKUP(X1553,game_rosters!$C$43:$E$64,3,FALSE))</f>
        <v>0</v>
      </c>
      <c r="Z1553" t="e" cm="1" vm="1">
        <f t="array" aca="1" ref="Z1553" ca="1">IFERROR(IF(_xlfn._xlws.FILTER(game_rosters!$J:$J,(game_rosters!$G:$G=events!$AN1553)*(game_rosters!$J:$J=events!$X1553))&gt;0,1,""),"")</f>
        <v>#VALUE!</v>
      </c>
      <c r="AA1553">
        <f t="shared" si="175"/>
        <v>1000</v>
      </c>
      <c r="AB1553" t="str">
        <f t="shared" si="176"/>
        <v/>
      </c>
      <c r="AC1553">
        <f t="shared" si="177"/>
        <v>1000</v>
      </c>
      <c r="AD1553" s="6"/>
    </row>
    <row r="1554" spans="1:30" x14ac:dyDescent="0.2">
      <c r="A1554" t="str">
        <f t="shared" si="178"/>
        <v/>
      </c>
      <c r="X1554" t="str" cm="1">
        <f t="array" ref="X1554">IF(S1554="","",IF($I1554&lt;&gt;"",$I1554,INDEX($I$2:$I1553,ROW()-COUNTIFS($T$2:$T1553,"="&amp;$T1554,$S$2:$S1553,"&lt;&gt;"&amp;$S1554)-1)))</f>
        <v/>
      </c>
      <c r="Y1554" t="b">
        <f>IF(X1554&lt;&gt;"",VLOOKUP(X1554,game_rosters!$C$43:$E$64,3,FALSE))</f>
        <v>0</v>
      </c>
      <c r="Z1554" t="e" cm="1" vm="1">
        <f t="array" aca="1" ref="Z1554" ca="1">IFERROR(IF(_xlfn._xlws.FILTER(game_rosters!$J:$J,(game_rosters!$G:$G=events!$AN1554)*(game_rosters!$J:$J=events!$X1554))&gt;0,1,""),"")</f>
        <v>#VALUE!</v>
      </c>
      <c r="AA1554">
        <f t="shared" si="175"/>
        <v>1000</v>
      </c>
      <c r="AB1554" t="str">
        <f t="shared" si="176"/>
        <v/>
      </c>
      <c r="AC1554">
        <f t="shared" si="177"/>
        <v>1000</v>
      </c>
      <c r="AD1554" s="6"/>
    </row>
    <row r="1555" spans="1:30" x14ac:dyDescent="0.2">
      <c r="A1555" t="str">
        <f t="shared" si="178"/>
        <v/>
      </c>
      <c r="X1555" t="str" cm="1">
        <f t="array" ref="X1555">IF(S1555="","",IF($I1555&lt;&gt;"",$I1555,INDEX($I$2:$I1554,ROW()-COUNTIFS($T$2:$T1554,"="&amp;$T1555,$S$2:$S1554,"&lt;&gt;"&amp;$S1555)-1)))</f>
        <v/>
      </c>
      <c r="Y1555" t="b">
        <f>IF(X1555&lt;&gt;"",VLOOKUP(X1555,game_rosters!$C$43:$E$64,3,FALSE))</f>
        <v>0</v>
      </c>
      <c r="Z1555" t="e" cm="1" vm="1">
        <f t="array" aca="1" ref="Z1555" ca="1">IFERROR(IF(_xlfn._xlws.FILTER(game_rosters!$J:$J,(game_rosters!$G:$G=events!$AN1555)*(game_rosters!$J:$J=events!$X1555))&gt;0,1,""),"")</f>
        <v>#VALUE!</v>
      </c>
      <c r="AA1555">
        <f t="shared" si="175"/>
        <v>1000</v>
      </c>
      <c r="AB1555" t="str">
        <f t="shared" si="176"/>
        <v/>
      </c>
      <c r="AC1555">
        <f t="shared" si="177"/>
        <v>1000</v>
      </c>
      <c r="AD1555" s="6"/>
    </row>
    <row r="1556" spans="1:30" x14ac:dyDescent="0.2">
      <c r="A1556" t="str">
        <f t="shared" si="178"/>
        <v/>
      </c>
      <c r="X1556" t="str" cm="1">
        <f t="array" ref="X1556">IF(S1556="","",IF($I1556&lt;&gt;"",$I1556,INDEX($I$2:$I1555,ROW()-COUNTIFS($T$2:$T1555,"="&amp;$T1556,$S$2:$S1555,"&lt;&gt;"&amp;$S1556)-1)))</f>
        <v/>
      </c>
      <c r="Y1556" t="b">
        <f>IF(X1556&lt;&gt;"",VLOOKUP(X1556,game_rosters!$C$43:$E$64,3,FALSE))</f>
        <v>0</v>
      </c>
      <c r="Z1556" t="e" cm="1" vm="1">
        <f t="array" aca="1" ref="Z1556" ca="1">IFERROR(IF(_xlfn._xlws.FILTER(game_rosters!$J:$J,(game_rosters!$G:$G=events!$AN1556)*(game_rosters!$J:$J=events!$X1556))&gt;0,1,""),"")</f>
        <v>#VALUE!</v>
      </c>
      <c r="AA1556">
        <f t="shared" si="175"/>
        <v>1000</v>
      </c>
      <c r="AB1556" t="str">
        <f t="shared" si="176"/>
        <v/>
      </c>
      <c r="AC1556">
        <f t="shared" si="177"/>
        <v>1000</v>
      </c>
      <c r="AD1556" s="6"/>
    </row>
    <row r="1557" spans="1:30" x14ac:dyDescent="0.2">
      <c r="A1557" t="str">
        <f t="shared" si="178"/>
        <v/>
      </c>
      <c r="X1557" t="str" cm="1">
        <f t="array" ref="X1557">IF(S1557="","",IF($I1557&lt;&gt;"",$I1557,INDEX($I$2:$I1556,ROW()-COUNTIFS($T$2:$T1556,"="&amp;$T1557,$S$2:$S1556,"&lt;&gt;"&amp;$S1557)-1)))</f>
        <v/>
      </c>
      <c r="Y1557" t="b">
        <f>IF(X1557&lt;&gt;"",VLOOKUP(X1557,game_rosters!$C$43:$E$64,3,FALSE))</f>
        <v>0</v>
      </c>
      <c r="Z1557" t="e" cm="1" vm="1">
        <f t="array" aca="1" ref="Z1557" ca="1">IFERROR(IF(_xlfn._xlws.FILTER(game_rosters!$J:$J,(game_rosters!$G:$G=events!$AN1557)*(game_rosters!$J:$J=events!$X1557))&gt;0,1,""),"")</f>
        <v>#VALUE!</v>
      </c>
      <c r="AA1557">
        <f t="shared" si="175"/>
        <v>1000</v>
      </c>
      <c r="AB1557" t="str">
        <f t="shared" si="176"/>
        <v/>
      </c>
      <c r="AC1557">
        <f t="shared" si="177"/>
        <v>1000</v>
      </c>
      <c r="AD1557" s="6"/>
    </row>
    <row r="1558" spans="1:30" x14ac:dyDescent="0.2">
      <c r="A1558" t="str">
        <f t="shared" si="178"/>
        <v/>
      </c>
      <c r="X1558" t="str" cm="1">
        <f t="array" ref="X1558">IF(S1558="","",IF($I1558&lt;&gt;"",$I1558,INDEX($I$2:$I1557,ROW()-COUNTIFS($T$2:$T1557,"="&amp;$T1558,$S$2:$S1557,"&lt;&gt;"&amp;$S1558)-1)))</f>
        <v/>
      </c>
      <c r="Y1558" t="b">
        <f>IF(X1558&lt;&gt;"",VLOOKUP(X1558,game_rosters!$C$43:$E$64,3,FALSE))</f>
        <v>0</v>
      </c>
      <c r="Z1558" t="e" cm="1" vm="1">
        <f t="array" aca="1" ref="Z1558" ca="1">IFERROR(IF(_xlfn._xlws.FILTER(game_rosters!$J:$J,(game_rosters!$G:$G=events!$AN1558)*(game_rosters!$J:$J=events!$X1558))&gt;0,1,""),"")</f>
        <v>#VALUE!</v>
      </c>
      <c r="AA1558">
        <f t="shared" si="175"/>
        <v>1000</v>
      </c>
      <c r="AB1558" t="str">
        <f t="shared" si="176"/>
        <v/>
      </c>
      <c r="AC1558">
        <f t="shared" si="177"/>
        <v>1000</v>
      </c>
      <c r="AD1558" s="6"/>
    </row>
    <row r="1559" spans="1:30" x14ac:dyDescent="0.2">
      <c r="A1559" t="str">
        <f t="shared" si="178"/>
        <v/>
      </c>
      <c r="X1559" t="str" cm="1">
        <f t="array" ref="X1559">IF(S1559="","",IF($I1559&lt;&gt;"",$I1559,INDEX($I$2:$I1558,ROW()-COUNTIFS($T$2:$T1558,"="&amp;$T1559,$S$2:$S1558,"&lt;&gt;"&amp;$S1559)-1)))</f>
        <v/>
      </c>
      <c r="Y1559" t="b">
        <f>IF(X1559&lt;&gt;"",VLOOKUP(X1559,game_rosters!$C$43:$E$64,3,FALSE))</f>
        <v>0</v>
      </c>
      <c r="Z1559" t="e" cm="1" vm="1">
        <f t="array" aca="1" ref="Z1559" ca="1">IFERROR(IF(_xlfn._xlws.FILTER(game_rosters!$J:$J,(game_rosters!$G:$G=events!$AN1559)*(game_rosters!$J:$J=events!$X1559))&gt;0,1,""),"")</f>
        <v>#VALUE!</v>
      </c>
      <c r="AA1559">
        <f t="shared" si="175"/>
        <v>1000</v>
      </c>
      <c r="AB1559" t="str">
        <f t="shared" si="176"/>
        <v/>
      </c>
      <c r="AC1559">
        <f t="shared" si="177"/>
        <v>1000</v>
      </c>
      <c r="AD1559" s="6"/>
    </row>
    <row r="1560" spans="1:30" x14ac:dyDescent="0.2">
      <c r="A1560" t="str">
        <f t="shared" si="178"/>
        <v/>
      </c>
      <c r="X1560" t="str" cm="1">
        <f t="array" ref="X1560">IF(S1560="","",IF($I1560&lt;&gt;"",$I1560,INDEX($I$2:$I1559,ROW()-COUNTIFS($T$2:$T1559,"="&amp;$T1560,$S$2:$S1559,"&lt;&gt;"&amp;$S1560)-1)))</f>
        <v/>
      </c>
      <c r="Y1560" t="b">
        <f>IF(X1560&lt;&gt;"",VLOOKUP(X1560,game_rosters!$C$43:$E$64,3,FALSE))</f>
        <v>0</v>
      </c>
      <c r="Z1560" t="e" cm="1" vm="1">
        <f t="array" aca="1" ref="Z1560" ca="1">IFERROR(IF(_xlfn._xlws.FILTER(game_rosters!$J:$J,(game_rosters!$G:$G=events!$AN1560)*(game_rosters!$J:$J=events!$X1560))&gt;0,1,""),"")</f>
        <v>#VALUE!</v>
      </c>
      <c r="AA1560">
        <f t="shared" si="175"/>
        <v>1000</v>
      </c>
      <c r="AB1560" t="str">
        <f t="shared" si="176"/>
        <v/>
      </c>
      <c r="AC1560">
        <f t="shared" si="177"/>
        <v>1000</v>
      </c>
      <c r="AD1560" s="6"/>
    </row>
    <row r="1561" spans="1:30" x14ac:dyDescent="0.2">
      <c r="A1561" t="str">
        <f t="shared" si="178"/>
        <v/>
      </c>
      <c r="X1561" t="str" cm="1">
        <f t="array" ref="X1561">IF(S1561="","",IF($I1561&lt;&gt;"",$I1561,INDEX($I$2:$I1560,ROW()-COUNTIFS($T$2:$T1560,"="&amp;$T1561,$S$2:$S1560,"&lt;&gt;"&amp;$S1561)-1)))</f>
        <v/>
      </c>
      <c r="Y1561" t="b">
        <f>IF(X1561&lt;&gt;"",VLOOKUP(X1561,game_rosters!$C$43:$E$64,3,FALSE))</f>
        <v>0</v>
      </c>
      <c r="Z1561" t="e" cm="1" vm="1">
        <f t="array" aca="1" ref="Z1561" ca="1">IFERROR(IF(_xlfn._xlws.FILTER(game_rosters!$J:$J,(game_rosters!$G:$G=events!$AN1561)*(game_rosters!$J:$J=events!$X1561))&gt;0,1,""),"")</f>
        <v>#VALUE!</v>
      </c>
      <c r="AA1561">
        <f t="shared" si="175"/>
        <v>1000</v>
      </c>
      <c r="AB1561" t="str">
        <f t="shared" si="176"/>
        <v/>
      </c>
      <c r="AC1561">
        <f t="shared" si="177"/>
        <v>1000</v>
      </c>
      <c r="AD1561" s="6"/>
    </row>
    <row r="1562" spans="1:30" x14ac:dyDescent="0.2">
      <c r="A1562" t="str">
        <f t="shared" si="178"/>
        <v/>
      </c>
      <c r="X1562" t="str" cm="1">
        <f t="array" ref="X1562">IF(S1562="","",IF($I1562&lt;&gt;"",$I1562,INDEX($I$2:$I1561,ROW()-COUNTIFS($T$2:$T1561,"="&amp;$T1562,$S$2:$S1561,"&lt;&gt;"&amp;$S1562)-1)))</f>
        <v/>
      </c>
      <c r="Y1562" t="b">
        <f>IF(X1562&lt;&gt;"",VLOOKUP(X1562,game_rosters!$C$43:$E$64,3,FALSE))</f>
        <v>0</v>
      </c>
      <c r="Z1562" t="e" cm="1" vm="1">
        <f t="array" aca="1" ref="Z1562" ca="1">IFERROR(IF(_xlfn._xlws.FILTER(game_rosters!$J:$J,(game_rosters!$G:$G=events!$AN1562)*(game_rosters!$J:$J=events!$X1562))&gt;0,1,""),"")</f>
        <v>#VALUE!</v>
      </c>
      <c r="AA1562">
        <f t="shared" si="175"/>
        <v>1000</v>
      </c>
      <c r="AB1562" t="str">
        <f t="shared" si="176"/>
        <v/>
      </c>
      <c r="AC1562">
        <f t="shared" si="177"/>
        <v>1000</v>
      </c>
      <c r="AD1562" s="6"/>
    </row>
    <row r="1563" spans="1:30" x14ac:dyDescent="0.2">
      <c r="A1563" t="str">
        <f t="shared" si="178"/>
        <v/>
      </c>
      <c r="X1563" t="str" cm="1">
        <f t="array" ref="X1563">IF(S1563="","",IF($I1563&lt;&gt;"",$I1563,INDEX($I$2:$I1562,ROW()-COUNTIFS($T$2:$T1562,"="&amp;$T1563,$S$2:$S1562,"&lt;&gt;"&amp;$S1563)-1)))</f>
        <v/>
      </c>
      <c r="Y1563" t="b">
        <f>IF(X1563&lt;&gt;"",VLOOKUP(X1563,game_rosters!$C$43:$E$64,3,FALSE))</f>
        <v>0</v>
      </c>
      <c r="Z1563" t="e" cm="1" vm="1">
        <f t="array" aca="1" ref="Z1563" ca="1">IFERROR(IF(_xlfn._xlws.FILTER(game_rosters!$J:$J,(game_rosters!$G:$G=events!$AN1563)*(game_rosters!$J:$J=events!$X1563))&gt;0,1,""),"")</f>
        <v>#VALUE!</v>
      </c>
      <c r="AA1563">
        <f t="shared" si="175"/>
        <v>1000</v>
      </c>
      <c r="AB1563" t="str">
        <f t="shared" si="176"/>
        <v/>
      </c>
      <c r="AC1563">
        <f t="shared" si="177"/>
        <v>1000</v>
      </c>
      <c r="AD1563" s="6"/>
    </row>
    <row r="1564" spans="1:30" x14ac:dyDescent="0.2">
      <c r="A1564" t="str">
        <f t="shared" si="178"/>
        <v/>
      </c>
      <c r="X1564" t="str" cm="1">
        <f t="array" ref="X1564">IF(S1564="","",IF($I1564&lt;&gt;"",$I1564,INDEX($I$2:$I1563,ROW()-COUNTIFS($T$2:$T1563,"="&amp;$T1564,$S$2:$S1563,"&lt;&gt;"&amp;$S1564)-1)))</f>
        <v/>
      </c>
      <c r="Y1564" t="b">
        <f>IF(X1564&lt;&gt;"",VLOOKUP(X1564,game_rosters!$C$43:$E$64,3,FALSE))</f>
        <v>0</v>
      </c>
      <c r="Z1564" t="e" cm="1" vm="1">
        <f t="array" aca="1" ref="Z1564" ca="1">IFERROR(IF(_xlfn._xlws.FILTER(game_rosters!$J:$J,(game_rosters!$G:$G=events!$AN1564)*(game_rosters!$J:$J=events!$X1564))&gt;0,1,""),"")</f>
        <v>#VALUE!</v>
      </c>
      <c r="AA1564">
        <f t="shared" si="175"/>
        <v>1000</v>
      </c>
      <c r="AB1564" t="str">
        <f t="shared" si="176"/>
        <v/>
      </c>
      <c r="AC1564">
        <f t="shared" si="177"/>
        <v>1000</v>
      </c>
      <c r="AD1564" s="6"/>
    </row>
    <row r="1565" spans="1:30" x14ac:dyDescent="0.2">
      <c r="A1565" t="str">
        <f t="shared" si="178"/>
        <v/>
      </c>
      <c r="X1565" t="str" cm="1">
        <f t="array" ref="X1565">IF(S1565="","",IF($I1565&lt;&gt;"",$I1565,INDEX($I$2:$I1564,ROW()-COUNTIFS($T$2:$T1564,"="&amp;$T1565,$S$2:$S1564,"&lt;&gt;"&amp;$S1565)-1)))</f>
        <v/>
      </c>
      <c r="Y1565" t="b">
        <f>IF(X1565&lt;&gt;"",VLOOKUP(X1565,game_rosters!$C$43:$E$64,3,FALSE))</f>
        <v>0</v>
      </c>
      <c r="Z1565" t="e" cm="1" vm="1">
        <f t="array" aca="1" ref="Z1565" ca="1">IFERROR(IF(_xlfn._xlws.FILTER(game_rosters!$J:$J,(game_rosters!$G:$G=events!$AN1565)*(game_rosters!$J:$J=events!$X1565))&gt;0,1,""),"")</f>
        <v>#VALUE!</v>
      </c>
      <c r="AA1565">
        <f t="shared" ref="AA1565:AA1628" si="179">S1565+1000</f>
        <v>1000</v>
      </c>
      <c r="AB1565" t="str">
        <f t="shared" ref="AB1565:AB1628" si="180">IF(T1565&lt;&gt;"",9000+T1565,"")</f>
        <v/>
      </c>
      <c r="AC1565">
        <f t="shared" si="177"/>
        <v>1000</v>
      </c>
      <c r="AD1565" s="6"/>
    </row>
    <row r="1566" spans="1:30" x14ac:dyDescent="0.2">
      <c r="A1566" t="str">
        <f t="shared" si="178"/>
        <v/>
      </c>
      <c r="X1566" t="str" cm="1">
        <f t="array" ref="X1566">IF(S1566="","",IF($I1566&lt;&gt;"",$I1566,INDEX($I$2:$I1565,ROW()-COUNTIFS($T$2:$T1565,"="&amp;$T1566,$S$2:$S1565,"&lt;&gt;"&amp;$S1566)-1)))</f>
        <v/>
      </c>
      <c r="Y1566" t="b">
        <f>IF(X1566&lt;&gt;"",VLOOKUP(X1566,game_rosters!$C$43:$E$64,3,FALSE))</f>
        <v>0</v>
      </c>
      <c r="Z1566" t="e" cm="1" vm="1">
        <f t="array" aca="1" ref="Z1566" ca="1">IFERROR(IF(_xlfn._xlws.FILTER(game_rosters!$J:$J,(game_rosters!$G:$G=events!$AN1566)*(game_rosters!$J:$J=events!$X1566))&gt;0,1,""),"")</f>
        <v>#VALUE!</v>
      </c>
      <c r="AA1566">
        <f t="shared" si="179"/>
        <v>1000</v>
      </c>
      <c r="AB1566" t="str">
        <f t="shared" si="180"/>
        <v/>
      </c>
      <c r="AC1566">
        <f t="shared" si="177"/>
        <v>1000</v>
      </c>
      <c r="AD1566" s="6"/>
    </row>
    <row r="1567" spans="1:30" x14ac:dyDescent="0.2">
      <c r="A1567" t="str">
        <f t="shared" si="178"/>
        <v/>
      </c>
      <c r="X1567" t="str" cm="1">
        <f t="array" ref="X1567">IF(S1567="","",IF($I1567&lt;&gt;"",$I1567,INDEX($I$2:$I1566,ROW()-COUNTIFS($T$2:$T1566,"="&amp;$T1567,$S$2:$S1566,"&lt;&gt;"&amp;$S1567)-1)))</f>
        <v/>
      </c>
      <c r="Y1567" t="b">
        <f>IF(X1567&lt;&gt;"",VLOOKUP(X1567,game_rosters!$C$43:$E$64,3,FALSE))</f>
        <v>0</v>
      </c>
      <c r="Z1567" t="e" cm="1" vm="1">
        <f t="array" aca="1" ref="Z1567" ca="1">IFERROR(IF(_xlfn._xlws.FILTER(game_rosters!$J:$J,(game_rosters!$G:$G=events!$AN1567)*(game_rosters!$J:$J=events!$X1567))&gt;0,1,""),"")</f>
        <v>#VALUE!</v>
      </c>
      <c r="AA1567">
        <f t="shared" si="179"/>
        <v>1000</v>
      </c>
      <c r="AB1567" t="str">
        <f t="shared" si="180"/>
        <v/>
      </c>
      <c r="AC1567">
        <f t="shared" si="177"/>
        <v>1000</v>
      </c>
      <c r="AD1567" s="6"/>
    </row>
    <row r="1568" spans="1:30" x14ac:dyDescent="0.2">
      <c r="A1568" t="str">
        <f t="shared" si="178"/>
        <v/>
      </c>
      <c r="X1568" t="str" cm="1">
        <f t="array" ref="X1568">IF(S1568="","",IF($I1568&lt;&gt;"",$I1568,INDEX($I$2:$I1567,ROW()-COUNTIFS($T$2:$T1567,"="&amp;$T1568,$S$2:$S1567,"&lt;&gt;"&amp;$S1568)-1)))</f>
        <v/>
      </c>
      <c r="Y1568" t="b">
        <f>IF(X1568&lt;&gt;"",VLOOKUP(X1568,game_rosters!$C$43:$E$64,3,FALSE))</f>
        <v>0</v>
      </c>
      <c r="Z1568" t="e" cm="1" vm="1">
        <f t="array" aca="1" ref="Z1568" ca="1">IFERROR(IF(_xlfn._xlws.FILTER(game_rosters!$J:$J,(game_rosters!$G:$G=events!$AN1568)*(game_rosters!$J:$J=events!$X1568))&gt;0,1,""),"")</f>
        <v>#VALUE!</v>
      </c>
      <c r="AA1568">
        <f t="shared" si="179"/>
        <v>1000</v>
      </c>
      <c r="AB1568" t="str">
        <f t="shared" si="180"/>
        <v/>
      </c>
      <c r="AC1568">
        <f t="shared" si="177"/>
        <v>1000</v>
      </c>
      <c r="AD1568" s="6"/>
    </row>
    <row r="1569" spans="1:30" x14ac:dyDescent="0.2">
      <c r="A1569" t="str">
        <f t="shared" si="178"/>
        <v/>
      </c>
      <c r="X1569" t="str" cm="1">
        <f t="array" ref="X1569">IF(S1569="","",IF($I1569&lt;&gt;"",$I1569,INDEX($I$2:$I1568,ROW()-COUNTIFS($T$2:$T1568,"="&amp;$T1569,$S$2:$S1568,"&lt;&gt;"&amp;$S1569)-1)))</f>
        <v/>
      </c>
      <c r="Y1569" t="b">
        <f>IF(X1569&lt;&gt;"",VLOOKUP(X1569,game_rosters!$C$43:$E$64,3,FALSE))</f>
        <v>0</v>
      </c>
      <c r="Z1569" t="e" cm="1" vm="1">
        <f t="array" aca="1" ref="Z1569" ca="1">IFERROR(IF(_xlfn._xlws.FILTER(game_rosters!$J:$J,(game_rosters!$G:$G=events!$AN1569)*(game_rosters!$J:$J=events!$X1569))&gt;0,1,""),"")</f>
        <v>#VALUE!</v>
      </c>
      <c r="AA1569">
        <f t="shared" si="179"/>
        <v>1000</v>
      </c>
      <c r="AB1569" t="str">
        <f t="shared" si="180"/>
        <v/>
      </c>
      <c r="AC1569">
        <f t="shared" si="177"/>
        <v>1000</v>
      </c>
      <c r="AD1569" s="6"/>
    </row>
    <row r="1570" spans="1:30" x14ac:dyDescent="0.2">
      <c r="A1570" t="str">
        <f t="shared" si="178"/>
        <v/>
      </c>
      <c r="X1570" t="str" cm="1">
        <f t="array" ref="X1570">IF(S1570="","",IF($I1570&lt;&gt;"",$I1570,INDEX($I$2:$I1569,ROW()-COUNTIFS($T$2:$T1569,"="&amp;$T1570,$S$2:$S1569,"&lt;&gt;"&amp;$S1570)-1)))</f>
        <v/>
      </c>
      <c r="Y1570" t="b">
        <f>IF(X1570&lt;&gt;"",VLOOKUP(X1570,game_rosters!$C$43:$E$64,3,FALSE))</f>
        <v>0</v>
      </c>
      <c r="Z1570" t="e" cm="1" vm="1">
        <f t="array" aca="1" ref="Z1570" ca="1">IFERROR(IF(_xlfn._xlws.FILTER(game_rosters!$J:$J,(game_rosters!$G:$G=events!$AN1570)*(game_rosters!$J:$J=events!$X1570))&gt;0,1,""),"")</f>
        <v>#VALUE!</v>
      </c>
      <c r="AA1570">
        <f t="shared" si="179"/>
        <v>1000</v>
      </c>
      <c r="AB1570" t="str">
        <f t="shared" si="180"/>
        <v/>
      </c>
      <c r="AC1570">
        <f t="shared" si="177"/>
        <v>1000</v>
      </c>
      <c r="AD1570" s="6"/>
    </row>
    <row r="1571" spans="1:30" x14ac:dyDescent="0.2">
      <c r="A1571" t="str">
        <f t="shared" si="178"/>
        <v/>
      </c>
      <c r="X1571" t="str" cm="1">
        <f t="array" ref="X1571">IF(S1571="","",IF($I1571&lt;&gt;"",$I1571,INDEX($I$2:$I1570,ROW()-COUNTIFS($T$2:$T1570,"="&amp;$T1571,$S$2:$S1570,"&lt;&gt;"&amp;$S1571)-1)))</f>
        <v/>
      </c>
      <c r="Y1571" t="b">
        <f>IF(X1571&lt;&gt;"",VLOOKUP(X1571,game_rosters!$C$43:$E$64,3,FALSE))</f>
        <v>0</v>
      </c>
      <c r="Z1571" t="e" cm="1" vm="1">
        <f t="array" aca="1" ref="Z1571" ca="1">IFERROR(IF(_xlfn._xlws.FILTER(game_rosters!$J:$J,(game_rosters!$G:$G=events!$AN1571)*(game_rosters!$J:$J=events!$X1571))&gt;0,1,""),"")</f>
        <v>#VALUE!</v>
      </c>
      <c r="AA1571">
        <f t="shared" si="179"/>
        <v>1000</v>
      </c>
      <c r="AB1571" t="str">
        <f t="shared" si="180"/>
        <v/>
      </c>
      <c r="AC1571">
        <f t="shared" si="177"/>
        <v>1000</v>
      </c>
      <c r="AD1571" s="6"/>
    </row>
    <row r="1572" spans="1:30" x14ac:dyDescent="0.2">
      <c r="A1572" t="str">
        <f t="shared" si="178"/>
        <v/>
      </c>
      <c r="X1572" t="str" cm="1">
        <f t="array" ref="X1572">IF(S1572="","",IF($I1572&lt;&gt;"",$I1572,INDEX($I$2:$I1571,ROW()-COUNTIFS($T$2:$T1571,"="&amp;$T1572,$S$2:$S1571,"&lt;&gt;"&amp;$S1572)-1)))</f>
        <v/>
      </c>
      <c r="Y1572" t="b">
        <f>IF(X1572&lt;&gt;"",VLOOKUP(X1572,game_rosters!$C$43:$E$64,3,FALSE))</f>
        <v>0</v>
      </c>
      <c r="Z1572" t="e" cm="1" vm="1">
        <f t="array" aca="1" ref="Z1572" ca="1">IFERROR(IF(_xlfn._xlws.FILTER(game_rosters!$J:$J,(game_rosters!$G:$G=events!$AN1572)*(game_rosters!$J:$J=events!$X1572))&gt;0,1,""),"")</f>
        <v>#VALUE!</v>
      </c>
      <c r="AA1572">
        <f t="shared" si="179"/>
        <v>1000</v>
      </c>
      <c r="AB1572" t="str">
        <f t="shared" si="180"/>
        <v/>
      </c>
      <c r="AC1572">
        <f t="shared" si="177"/>
        <v>1000</v>
      </c>
      <c r="AD1572" s="6"/>
    </row>
    <row r="1573" spans="1:30" x14ac:dyDescent="0.2">
      <c r="A1573" t="str">
        <f t="shared" si="178"/>
        <v/>
      </c>
      <c r="X1573" t="str" cm="1">
        <f t="array" ref="X1573">IF(S1573="","",IF($I1573&lt;&gt;"",$I1573,INDEX($I$2:$I1572,ROW()-COUNTIFS($T$2:$T1572,"="&amp;$T1573,$S$2:$S1572,"&lt;&gt;"&amp;$S1573)-1)))</f>
        <v/>
      </c>
      <c r="Y1573" t="b">
        <f>IF(X1573&lt;&gt;"",VLOOKUP(X1573,game_rosters!$C$43:$E$64,3,FALSE))</f>
        <v>0</v>
      </c>
      <c r="Z1573" t="e" cm="1" vm="1">
        <f t="array" aca="1" ref="Z1573" ca="1">IFERROR(IF(_xlfn._xlws.FILTER(game_rosters!$J:$J,(game_rosters!$G:$G=events!$AN1573)*(game_rosters!$J:$J=events!$X1573))&gt;0,1,""),"")</f>
        <v>#VALUE!</v>
      </c>
      <c r="AA1573">
        <f t="shared" si="179"/>
        <v>1000</v>
      </c>
      <c r="AB1573" t="str">
        <f t="shared" si="180"/>
        <v/>
      </c>
      <c r="AC1573">
        <f t="shared" si="177"/>
        <v>1000</v>
      </c>
      <c r="AD1573" s="6"/>
    </row>
    <row r="1574" spans="1:30" x14ac:dyDescent="0.2">
      <c r="A1574" t="str">
        <f t="shared" si="178"/>
        <v/>
      </c>
      <c r="X1574" t="str" cm="1">
        <f t="array" ref="X1574">IF(S1574="","",IF($I1574&lt;&gt;"",$I1574,INDEX($I$2:$I1573,ROW()-COUNTIFS($T$2:$T1573,"="&amp;$T1574,$S$2:$S1573,"&lt;&gt;"&amp;$S1574)-1)))</f>
        <v/>
      </c>
      <c r="Y1574" t="b">
        <f>IF(X1574&lt;&gt;"",VLOOKUP(X1574,game_rosters!$C$43:$E$64,3,FALSE))</f>
        <v>0</v>
      </c>
      <c r="Z1574" t="e" cm="1" vm="1">
        <f t="array" aca="1" ref="Z1574" ca="1">IFERROR(IF(_xlfn._xlws.FILTER(game_rosters!$J:$J,(game_rosters!$G:$G=events!$AN1574)*(game_rosters!$J:$J=events!$X1574))&gt;0,1,""),"")</f>
        <v>#VALUE!</v>
      </c>
      <c r="AA1574">
        <f t="shared" si="179"/>
        <v>1000</v>
      </c>
      <c r="AB1574" t="str">
        <f t="shared" si="180"/>
        <v/>
      </c>
      <c r="AC1574">
        <f t="shared" si="177"/>
        <v>1000</v>
      </c>
      <c r="AD1574" s="6"/>
    </row>
    <row r="1575" spans="1:30" x14ac:dyDescent="0.2">
      <c r="A1575" t="str">
        <f t="shared" si="178"/>
        <v/>
      </c>
      <c r="X1575" t="str" cm="1">
        <f t="array" ref="X1575">IF(S1575="","",IF($I1575&lt;&gt;"",$I1575,INDEX($I$2:$I1574,ROW()-COUNTIFS($T$2:$T1574,"="&amp;$T1575,$S$2:$S1574,"&lt;&gt;"&amp;$S1575)-1)))</f>
        <v/>
      </c>
      <c r="Y1575" t="b">
        <f>IF(X1575&lt;&gt;"",VLOOKUP(X1575,game_rosters!$C$43:$E$64,3,FALSE))</f>
        <v>0</v>
      </c>
      <c r="Z1575" t="e" cm="1" vm="1">
        <f t="array" aca="1" ref="Z1575" ca="1">IFERROR(IF(_xlfn._xlws.FILTER(game_rosters!$J:$J,(game_rosters!$G:$G=events!$AN1575)*(game_rosters!$J:$J=events!$X1575))&gt;0,1,""),"")</f>
        <v>#VALUE!</v>
      </c>
      <c r="AA1575">
        <f t="shared" si="179"/>
        <v>1000</v>
      </c>
      <c r="AB1575" t="str">
        <f t="shared" si="180"/>
        <v/>
      </c>
      <c r="AC1575">
        <f t="shared" si="177"/>
        <v>1000</v>
      </c>
      <c r="AD1575" s="6"/>
    </row>
    <row r="1576" spans="1:30" x14ac:dyDescent="0.2">
      <c r="A1576" t="str">
        <f t="shared" si="178"/>
        <v/>
      </c>
      <c r="X1576" t="str" cm="1">
        <f t="array" ref="X1576">IF(S1576="","",IF($I1576&lt;&gt;"",$I1576,INDEX($I$2:$I1575,ROW()-COUNTIFS($T$2:$T1575,"="&amp;$T1576,$S$2:$S1575,"&lt;&gt;"&amp;$S1576)-1)))</f>
        <v/>
      </c>
      <c r="Y1576" t="b">
        <f>IF(X1576&lt;&gt;"",VLOOKUP(X1576,game_rosters!$C$43:$E$64,3,FALSE))</f>
        <v>0</v>
      </c>
      <c r="Z1576" t="e" cm="1" vm="1">
        <f t="array" aca="1" ref="Z1576" ca="1">IFERROR(IF(_xlfn._xlws.FILTER(game_rosters!$J:$J,(game_rosters!$G:$G=events!$AN1576)*(game_rosters!$J:$J=events!$X1576))&gt;0,1,""),"")</f>
        <v>#VALUE!</v>
      </c>
      <c r="AA1576">
        <f t="shared" si="179"/>
        <v>1000</v>
      </c>
      <c r="AB1576" t="str">
        <f t="shared" si="180"/>
        <v/>
      </c>
      <c r="AC1576">
        <f t="shared" si="177"/>
        <v>1000</v>
      </c>
      <c r="AD1576" s="6"/>
    </row>
    <row r="1577" spans="1:30" x14ac:dyDescent="0.2">
      <c r="A1577" t="str">
        <f t="shared" si="178"/>
        <v/>
      </c>
      <c r="X1577" t="str" cm="1">
        <f t="array" ref="X1577">IF(S1577="","",IF($I1577&lt;&gt;"",$I1577,INDEX($I$2:$I1576,ROW()-COUNTIFS($T$2:$T1576,"="&amp;$T1577,$S$2:$S1576,"&lt;&gt;"&amp;$S1577)-1)))</f>
        <v/>
      </c>
      <c r="Y1577" t="b">
        <f>IF(X1577&lt;&gt;"",VLOOKUP(X1577,game_rosters!$C$43:$E$64,3,FALSE))</f>
        <v>0</v>
      </c>
      <c r="Z1577" t="e" cm="1" vm="1">
        <f t="array" aca="1" ref="Z1577" ca="1">IFERROR(IF(_xlfn._xlws.FILTER(game_rosters!$J:$J,(game_rosters!$G:$G=events!$AN1577)*(game_rosters!$J:$J=events!$X1577))&gt;0,1,""),"")</f>
        <v>#VALUE!</v>
      </c>
      <c r="AA1577">
        <f t="shared" si="179"/>
        <v>1000</v>
      </c>
      <c r="AB1577" t="str">
        <f t="shared" si="180"/>
        <v/>
      </c>
      <c r="AC1577">
        <f t="shared" si="177"/>
        <v>1000</v>
      </c>
      <c r="AD1577" s="6"/>
    </row>
    <row r="1578" spans="1:30" x14ac:dyDescent="0.2">
      <c r="A1578" t="str">
        <f t="shared" si="178"/>
        <v/>
      </c>
      <c r="X1578" t="str" cm="1">
        <f t="array" ref="X1578">IF(S1578="","",IF($I1578&lt;&gt;"",$I1578,INDEX($I$2:$I1577,ROW()-COUNTIFS($T$2:$T1577,"="&amp;$T1578,$S$2:$S1577,"&lt;&gt;"&amp;$S1578)-1)))</f>
        <v/>
      </c>
      <c r="Y1578" t="b">
        <f>IF(X1578&lt;&gt;"",VLOOKUP(X1578,game_rosters!$C$43:$E$64,3,FALSE))</f>
        <v>0</v>
      </c>
      <c r="Z1578" t="e" cm="1" vm="1">
        <f t="array" aca="1" ref="Z1578" ca="1">IFERROR(IF(_xlfn._xlws.FILTER(game_rosters!$J:$J,(game_rosters!$G:$G=events!$AN1578)*(game_rosters!$J:$J=events!$X1578))&gt;0,1,""),"")</f>
        <v>#VALUE!</v>
      </c>
      <c r="AA1578">
        <f t="shared" si="179"/>
        <v>1000</v>
      </c>
      <c r="AB1578" t="str">
        <f t="shared" si="180"/>
        <v/>
      </c>
      <c r="AC1578">
        <f t="shared" si="177"/>
        <v>1000</v>
      </c>
      <c r="AD1578" s="6"/>
    </row>
    <row r="1579" spans="1:30" x14ac:dyDescent="0.2">
      <c r="A1579" t="str">
        <f t="shared" si="178"/>
        <v/>
      </c>
      <c r="X1579" t="str" cm="1">
        <f t="array" ref="X1579">IF(S1579="","",IF($I1579&lt;&gt;"",$I1579,INDEX($I$2:$I1578,ROW()-COUNTIFS($T$2:$T1578,"="&amp;$T1579,$S$2:$S1578,"&lt;&gt;"&amp;$S1579)-1)))</f>
        <v/>
      </c>
      <c r="Y1579" t="b">
        <f>IF(X1579&lt;&gt;"",VLOOKUP(X1579,game_rosters!$C$43:$E$64,3,FALSE))</f>
        <v>0</v>
      </c>
      <c r="Z1579" t="e" cm="1" vm="1">
        <f t="array" aca="1" ref="Z1579" ca="1">IFERROR(IF(_xlfn._xlws.FILTER(game_rosters!$J:$J,(game_rosters!$G:$G=events!$AN1579)*(game_rosters!$J:$J=events!$X1579))&gt;0,1,""),"")</f>
        <v>#VALUE!</v>
      </c>
      <c r="AA1579">
        <f t="shared" si="179"/>
        <v>1000</v>
      </c>
      <c r="AB1579" t="str">
        <f t="shared" si="180"/>
        <v/>
      </c>
      <c r="AC1579">
        <f t="shared" si="177"/>
        <v>1000</v>
      </c>
      <c r="AD1579" s="6"/>
    </row>
    <row r="1580" spans="1:30" x14ac:dyDescent="0.2">
      <c r="A1580" t="str">
        <f t="shared" si="178"/>
        <v/>
      </c>
      <c r="X1580" t="str" cm="1">
        <f t="array" ref="X1580">IF(S1580="","",IF($I1580&lt;&gt;"",$I1580,INDEX($I$2:$I1579,ROW()-COUNTIFS($T$2:$T1579,"="&amp;$T1580,$S$2:$S1579,"&lt;&gt;"&amp;$S1580)-1)))</f>
        <v/>
      </c>
      <c r="Y1580" t="b">
        <f>IF(X1580&lt;&gt;"",VLOOKUP(X1580,game_rosters!$C$43:$E$64,3,FALSE))</f>
        <v>0</v>
      </c>
      <c r="Z1580" t="e" cm="1" vm="1">
        <f t="array" aca="1" ref="Z1580" ca="1">IFERROR(IF(_xlfn._xlws.FILTER(game_rosters!$J:$J,(game_rosters!$G:$G=events!$AN1580)*(game_rosters!$J:$J=events!$X1580))&gt;0,1,""),"")</f>
        <v>#VALUE!</v>
      </c>
      <c r="AA1580">
        <f t="shared" si="179"/>
        <v>1000</v>
      </c>
      <c r="AB1580" t="str">
        <f t="shared" si="180"/>
        <v/>
      </c>
      <c r="AC1580">
        <f t="shared" si="177"/>
        <v>1000</v>
      </c>
      <c r="AD1580" s="6"/>
    </row>
    <row r="1581" spans="1:30" x14ac:dyDescent="0.2">
      <c r="A1581" t="str">
        <f t="shared" si="178"/>
        <v/>
      </c>
      <c r="X1581" t="str" cm="1">
        <f t="array" ref="X1581">IF(S1581="","",IF($I1581&lt;&gt;"",$I1581,INDEX($I$2:$I1580,ROW()-COUNTIFS($T$2:$T1580,"="&amp;$T1581,$S$2:$S1580,"&lt;&gt;"&amp;$S1581)-1)))</f>
        <v/>
      </c>
      <c r="Y1581" t="b">
        <f>IF(X1581&lt;&gt;"",VLOOKUP(X1581,game_rosters!$C$43:$E$64,3,FALSE))</f>
        <v>0</v>
      </c>
      <c r="Z1581" t="e" cm="1" vm="1">
        <f t="array" aca="1" ref="Z1581" ca="1">IFERROR(IF(_xlfn._xlws.FILTER(game_rosters!$J:$J,(game_rosters!$G:$G=events!$AN1581)*(game_rosters!$J:$J=events!$X1581))&gt;0,1,""),"")</f>
        <v>#VALUE!</v>
      </c>
      <c r="AA1581">
        <f t="shared" si="179"/>
        <v>1000</v>
      </c>
      <c r="AB1581" t="str">
        <f t="shared" si="180"/>
        <v/>
      </c>
      <c r="AC1581">
        <f t="shared" si="177"/>
        <v>1000</v>
      </c>
      <c r="AD1581" s="6"/>
    </row>
    <row r="1582" spans="1:30" x14ac:dyDescent="0.2">
      <c r="A1582" t="str">
        <f t="shared" si="178"/>
        <v/>
      </c>
      <c r="X1582" t="str" cm="1">
        <f t="array" ref="X1582">IF(S1582="","",IF($I1582&lt;&gt;"",$I1582,INDEX($I$2:$I1581,ROW()-COUNTIFS($T$2:$T1581,"="&amp;$T1582,$S$2:$S1581,"&lt;&gt;"&amp;$S1582)-1)))</f>
        <v/>
      </c>
      <c r="Y1582" t="b">
        <f>IF(X1582&lt;&gt;"",VLOOKUP(X1582,game_rosters!$C$43:$E$64,3,FALSE))</f>
        <v>0</v>
      </c>
      <c r="Z1582" t="e" cm="1" vm="1">
        <f t="array" aca="1" ref="Z1582" ca="1">IFERROR(IF(_xlfn._xlws.FILTER(game_rosters!$J:$J,(game_rosters!$G:$G=events!$AN1582)*(game_rosters!$J:$J=events!$X1582))&gt;0,1,""),"")</f>
        <v>#VALUE!</v>
      </c>
      <c r="AA1582">
        <f t="shared" si="179"/>
        <v>1000</v>
      </c>
      <c r="AB1582" t="str">
        <f t="shared" si="180"/>
        <v/>
      </c>
      <c r="AC1582">
        <f t="shared" si="177"/>
        <v>1000</v>
      </c>
      <c r="AD1582" s="6"/>
    </row>
    <row r="1583" spans="1:30" x14ac:dyDescent="0.2">
      <c r="A1583" t="str">
        <f t="shared" si="178"/>
        <v/>
      </c>
      <c r="X1583" t="str" cm="1">
        <f t="array" ref="X1583">IF(S1583="","",IF($I1583&lt;&gt;"",$I1583,INDEX($I$2:$I1582,ROW()-COUNTIFS($T$2:$T1582,"="&amp;$T1583,$S$2:$S1582,"&lt;&gt;"&amp;$S1583)-1)))</f>
        <v/>
      </c>
      <c r="Y1583" t="b">
        <f>IF(X1583&lt;&gt;"",VLOOKUP(X1583,game_rosters!$C$43:$E$64,3,FALSE))</f>
        <v>0</v>
      </c>
      <c r="Z1583" t="e" cm="1" vm="1">
        <f t="array" aca="1" ref="Z1583" ca="1">IFERROR(IF(_xlfn._xlws.FILTER(game_rosters!$J:$J,(game_rosters!$G:$G=events!$AN1583)*(game_rosters!$J:$J=events!$X1583))&gt;0,1,""),"")</f>
        <v>#VALUE!</v>
      </c>
      <c r="AA1583">
        <f t="shared" si="179"/>
        <v>1000</v>
      </c>
      <c r="AB1583" t="str">
        <f t="shared" si="180"/>
        <v/>
      </c>
      <c r="AC1583">
        <f t="shared" si="177"/>
        <v>1000</v>
      </c>
      <c r="AD1583" s="6"/>
    </row>
    <row r="1584" spans="1:30" x14ac:dyDescent="0.2">
      <c r="A1584" t="str">
        <f t="shared" si="178"/>
        <v/>
      </c>
      <c r="X1584" t="str" cm="1">
        <f t="array" ref="X1584">IF(S1584="","",IF($I1584&lt;&gt;"",$I1584,INDEX($I$2:$I1583,ROW()-COUNTIFS($T$2:$T1583,"="&amp;$T1584,$S$2:$S1583,"&lt;&gt;"&amp;$S1584)-1)))</f>
        <v/>
      </c>
      <c r="Y1584" t="b">
        <f>IF(X1584&lt;&gt;"",VLOOKUP(X1584,game_rosters!$C$43:$E$64,3,FALSE))</f>
        <v>0</v>
      </c>
      <c r="Z1584" t="e" cm="1" vm="1">
        <f t="array" aca="1" ref="Z1584" ca="1">IFERROR(IF(_xlfn._xlws.FILTER(game_rosters!$J:$J,(game_rosters!$G:$G=events!$AN1584)*(game_rosters!$J:$J=events!$X1584))&gt;0,1,""),"")</f>
        <v>#VALUE!</v>
      </c>
      <c r="AA1584">
        <f t="shared" si="179"/>
        <v>1000</v>
      </c>
      <c r="AB1584" t="str">
        <f t="shared" si="180"/>
        <v/>
      </c>
      <c r="AC1584">
        <f t="shared" si="177"/>
        <v>1000</v>
      </c>
      <c r="AD1584" s="6"/>
    </row>
    <row r="1585" spans="1:30" x14ac:dyDescent="0.2">
      <c r="A1585" t="str">
        <f t="shared" si="178"/>
        <v/>
      </c>
      <c r="X1585" t="str" cm="1">
        <f t="array" ref="X1585">IF(S1585="","",IF($I1585&lt;&gt;"",$I1585,INDEX($I$2:$I1584,ROW()-COUNTIFS($T$2:$T1584,"="&amp;$T1585,$S$2:$S1584,"&lt;&gt;"&amp;$S1585)-1)))</f>
        <v/>
      </c>
      <c r="Y1585" t="b">
        <f>IF(X1585&lt;&gt;"",VLOOKUP(X1585,game_rosters!$C$43:$E$64,3,FALSE))</f>
        <v>0</v>
      </c>
      <c r="Z1585" t="e" cm="1" vm="1">
        <f t="array" aca="1" ref="Z1585" ca="1">IFERROR(IF(_xlfn._xlws.FILTER(game_rosters!$J:$J,(game_rosters!$G:$G=events!$AN1585)*(game_rosters!$J:$J=events!$X1585))&gt;0,1,""),"")</f>
        <v>#VALUE!</v>
      </c>
      <c r="AA1585">
        <f t="shared" si="179"/>
        <v>1000</v>
      </c>
      <c r="AB1585" t="str">
        <f t="shared" si="180"/>
        <v/>
      </c>
      <c r="AC1585">
        <f t="shared" si="177"/>
        <v>1000</v>
      </c>
      <c r="AD1585" s="6"/>
    </row>
    <row r="1586" spans="1:30" x14ac:dyDescent="0.2">
      <c r="A1586" t="str">
        <f t="shared" si="178"/>
        <v/>
      </c>
      <c r="X1586" t="str" cm="1">
        <f t="array" ref="X1586">IF(S1586="","",IF($I1586&lt;&gt;"",$I1586,INDEX($I$2:$I1585,ROW()-COUNTIFS($T$2:$T1585,"="&amp;$T1586,$S$2:$S1585,"&lt;&gt;"&amp;$S1586)-1)))</f>
        <v/>
      </c>
      <c r="Y1586" t="b">
        <f>IF(X1586&lt;&gt;"",VLOOKUP(X1586,game_rosters!$C$43:$E$64,3,FALSE))</f>
        <v>0</v>
      </c>
      <c r="Z1586" t="e" cm="1" vm="1">
        <f t="array" aca="1" ref="Z1586" ca="1">IFERROR(IF(_xlfn._xlws.FILTER(game_rosters!$J:$J,(game_rosters!$G:$G=events!$AN1586)*(game_rosters!$J:$J=events!$X1586))&gt;0,1,""),"")</f>
        <v>#VALUE!</v>
      </c>
      <c r="AA1586">
        <f t="shared" si="179"/>
        <v>1000</v>
      </c>
      <c r="AB1586" t="str">
        <f t="shared" si="180"/>
        <v/>
      </c>
      <c r="AC1586">
        <f t="shared" si="177"/>
        <v>1000</v>
      </c>
      <c r="AD1586" s="6"/>
    </row>
    <row r="1587" spans="1:30" x14ac:dyDescent="0.2">
      <c r="A1587" t="str">
        <f t="shared" si="178"/>
        <v/>
      </c>
      <c r="X1587" t="str" cm="1">
        <f t="array" ref="X1587">IF(S1587="","",IF($I1587&lt;&gt;"",$I1587,INDEX($I$2:$I1586,ROW()-COUNTIFS($T$2:$T1586,"="&amp;$T1587,$S$2:$S1586,"&lt;&gt;"&amp;$S1587)-1)))</f>
        <v/>
      </c>
      <c r="Y1587" t="b">
        <f>IF(X1587&lt;&gt;"",VLOOKUP(X1587,game_rosters!$C$43:$E$64,3,FALSE))</f>
        <v>0</v>
      </c>
      <c r="Z1587" t="e" cm="1" vm="1">
        <f t="array" aca="1" ref="Z1587" ca="1">IFERROR(IF(_xlfn._xlws.FILTER(game_rosters!$J:$J,(game_rosters!$G:$G=events!$AN1587)*(game_rosters!$J:$J=events!$X1587))&gt;0,1,""),"")</f>
        <v>#VALUE!</v>
      </c>
      <c r="AA1587">
        <f t="shared" si="179"/>
        <v>1000</v>
      </c>
      <c r="AB1587" t="str">
        <f t="shared" si="180"/>
        <v/>
      </c>
      <c r="AC1587">
        <f t="shared" si="177"/>
        <v>1000</v>
      </c>
      <c r="AD1587" s="6"/>
    </row>
    <row r="1588" spans="1:30" x14ac:dyDescent="0.2">
      <c r="A1588" t="str">
        <f t="shared" si="178"/>
        <v/>
      </c>
      <c r="X1588" t="str" cm="1">
        <f t="array" ref="X1588">IF(S1588="","",IF($I1588&lt;&gt;"",$I1588,INDEX($I$2:$I1587,ROW()-COUNTIFS($T$2:$T1587,"="&amp;$T1588,$S$2:$S1587,"&lt;&gt;"&amp;$S1588)-1)))</f>
        <v/>
      </c>
      <c r="Y1588" t="b">
        <f>IF(X1588&lt;&gt;"",VLOOKUP(X1588,game_rosters!$C$43:$E$64,3,FALSE))</f>
        <v>0</v>
      </c>
      <c r="Z1588" t="e" cm="1" vm="1">
        <f t="array" aca="1" ref="Z1588" ca="1">IFERROR(IF(_xlfn._xlws.FILTER(game_rosters!$J:$J,(game_rosters!$G:$G=events!$AN1588)*(game_rosters!$J:$J=events!$X1588))&gt;0,1,""),"")</f>
        <v>#VALUE!</v>
      </c>
      <c r="AA1588">
        <f t="shared" si="179"/>
        <v>1000</v>
      </c>
      <c r="AB1588" t="str">
        <f t="shared" si="180"/>
        <v/>
      </c>
      <c r="AC1588">
        <f t="shared" si="177"/>
        <v>1000</v>
      </c>
      <c r="AD1588" s="6"/>
    </row>
    <row r="1589" spans="1:30" x14ac:dyDescent="0.2">
      <c r="A1589" t="str">
        <f t="shared" si="178"/>
        <v/>
      </c>
      <c r="X1589" t="str" cm="1">
        <f t="array" ref="X1589">IF(S1589="","",IF($I1589&lt;&gt;"",$I1589,INDEX($I$2:$I1588,ROW()-COUNTIFS($T$2:$T1588,"="&amp;$T1589,$S$2:$S1588,"&lt;&gt;"&amp;$S1589)-1)))</f>
        <v/>
      </c>
      <c r="Y1589" t="b">
        <f>IF(X1589&lt;&gt;"",VLOOKUP(X1589,game_rosters!$C$43:$E$64,3,FALSE))</f>
        <v>0</v>
      </c>
      <c r="Z1589" t="e" cm="1" vm="1">
        <f t="array" aca="1" ref="Z1589" ca="1">IFERROR(IF(_xlfn._xlws.FILTER(game_rosters!$J:$J,(game_rosters!$G:$G=events!$AN1589)*(game_rosters!$J:$J=events!$X1589))&gt;0,1,""),"")</f>
        <v>#VALUE!</v>
      </c>
      <c r="AA1589">
        <f t="shared" si="179"/>
        <v>1000</v>
      </c>
      <c r="AB1589" t="str">
        <f t="shared" si="180"/>
        <v/>
      </c>
      <c r="AC1589">
        <f t="shared" si="177"/>
        <v>1000</v>
      </c>
      <c r="AD1589" s="6"/>
    </row>
    <row r="1590" spans="1:30" x14ac:dyDescent="0.2">
      <c r="A1590" t="str">
        <f t="shared" si="178"/>
        <v/>
      </c>
      <c r="X1590" t="str" cm="1">
        <f t="array" ref="X1590">IF(S1590="","",IF($I1590&lt;&gt;"",$I1590,INDEX($I$2:$I1589,ROW()-COUNTIFS($T$2:$T1589,"="&amp;$T1590,$S$2:$S1589,"&lt;&gt;"&amp;$S1590)-1)))</f>
        <v/>
      </c>
      <c r="Y1590" t="b">
        <f>IF(X1590&lt;&gt;"",VLOOKUP(X1590,game_rosters!$C$43:$E$64,3,FALSE))</f>
        <v>0</v>
      </c>
      <c r="Z1590" t="e" cm="1" vm="1">
        <f t="array" aca="1" ref="Z1590" ca="1">IFERROR(IF(_xlfn._xlws.FILTER(game_rosters!$J:$J,(game_rosters!$G:$G=events!$AN1590)*(game_rosters!$J:$J=events!$X1590))&gt;0,1,""),"")</f>
        <v>#VALUE!</v>
      </c>
      <c r="AA1590">
        <f t="shared" si="179"/>
        <v>1000</v>
      </c>
      <c r="AB1590" t="str">
        <f t="shared" si="180"/>
        <v/>
      </c>
      <c r="AC1590">
        <f t="shared" si="177"/>
        <v>1000</v>
      </c>
      <c r="AD1590" s="6"/>
    </row>
    <row r="1591" spans="1:30" x14ac:dyDescent="0.2">
      <c r="A1591" t="str">
        <f t="shared" si="178"/>
        <v/>
      </c>
      <c r="X1591" t="str" cm="1">
        <f t="array" ref="X1591">IF(S1591="","",IF($I1591&lt;&gt;"",$I1591,INDEX($I$2:$I1590,ROW()-COUNTIFS($T$2:$T1590,"="&amp;$T1591,$S$2:$S1590,"&lt;&gt;"&amp;$S1591)-1)))</f>
        <v/>
      </c>
      <c r="Y1591" t="b">
        <f>IF(X1591&lt;&gt;"",VLOOKUP(X1591,game_rosters!$C$43:$E$64,3,FALSE))</f>
        <v>0</v>
      </c>
      <c r="Z1591" t="e" cm="1" vm="1">
        <f t="array" aca="1" ref="Z1591" ca="1">IFERROR(IF(_xlfn._xlws.FILTER(game_rosters!$J:$J,(game_rosters!$G:$G=events!$AN1591)*(game_rosters!$J:$J=events!$X1591))&gt;0,1,""),"")</f>
        <v>#VALUE!</v>
      </c>
      <c r="AA1591">
        <f t="shared" si="179"/>
        <v>1000</v>
      </c>
      <c r="AB1591" t="str">
        <f t="shared" si="180"/>
        <v/>
      </c>
      <c r="AC1591">
        <f t="shared" si="177"/>
        <v>1000</v>
      </c>
      <c r="AD1591" s="6"/>
    </row>
    <row r="1592" spans="1:30" x14ac:dyDescent="0.2">
      <c r="A1592" t="str">
        <f t="shared" si="178"/>
        <v/>
      </c>
      <c r="X1592" t="str" cm="1">
        <f t="array" ref="X1592">IF(S1592="","",IF($I1592&lt;&gt;"",$I1592,INDEX($I$2:$I1591,ROW()-COUNTIFS($T$2:$T1591,"="&amp;$T1592,$S$2:$S1591,"&lt;&gt;"&amp;$S1592)-1)))</f>
        <v/>
      </c>
      <c r="Y1592" t="b">
        <f>IF(X1592&lt;&gt;"",VLOOKUP(X1592,game_rosters!$C$43:$E$64,3,FALSE))</f>
        <v>0</v>
      </c>
      <c r="Z1592" t="e" cm="1" vm="1">
        <f t="array" aca="1" ref="Z1592" ca="1">IFERROR(IF(_xlfn._xlws.FILTER(game_rosters!$J:$J,(game_rosters!$G:$G=events!$AN1592)*(game_rosters!$J:$J=events!$X1592))&gt;0,1,""),"")</f>
        <v>#VALUE!</v>
      </c>
      <c r="AA1592">
        <f t="shared" si="179"/>
        <v>1000</v>
      </c>
      <c r="AB1592" t="str">
        <f t="shared" si="180"/>
        <v/>
      </c>
      <c r="AC1592">
        <f t="shared" si="177"/>
        <v>1000</v>
      </c>
      <c r="AD1592" s="6"/>
    </row>
    <row r="1593" spans="1:30" x14ac:dyDescent="0.2">
      <c r="A1593" t="str">
        <f t="shared" si="178"/>
        <v/>
      </c>
      <c r="X1593" t="str" cm="1">
        <f t="array" ref="X1593">IF(S1593="","",IF($I1593&lt;&gt;"",$I1593,INDEX($I$2:$I1592,ROW()-COUNTIFS($T$2:$T1592,"="&amp;$T1593,$S$2:$S1592,"&lt;&gt;"&amp;$S1593)-1)))</f>
        <v/>
      </c>
      <c r="Y1593" t="b">
        <f>IF(X1593&lt;&gt;"",VLOOKUP(X1593,game_rosters!$C$43:$E$64,3,FALSE))</f>
        <v>0</v>
      </c>
      <c r="Z1593" t="e" cm="1" vm="1">
        <f t="array" aca="1" ref="Z1593" ca="1">IFERROR(IF(_xlfn._xlws.FILTER(game_rosters!$J:$J,(game_rosters!$G:$G=events!$AN1593)*(game_rosters!$J:$J=events!$X1593))&gt;0,1,""),"")</f>
        <v>#VALUE!</v>
      </c>
      <c r="AA1593">
        <f t="shared" si="179"/>
        <v>1000</v>
      </c>
      <c r="AB1593" t="str">
        <f t="shared" si="180"/>
        <v/>
      </c>
      <c r="AC1593">
        <f t="shared" si="177"/>
        <v>1000</v>
      </c>
      <c r="AD1593" s="6"/>
    </row>
    <row r="1594" spans="1:30" x14ac:dyDescent="0.2">
      <c r="A1594" t="str">
        <f t="shared" si="178"/>
        <v/>
      </c>
      <c r="X1594" t="str" cm="1">
        <f t="array" ref="X1594">IF(S1594="","",IF($I1594&lt;&gt;"",$I1594,INDEX($I$2:$I1593,ROW()-COUNTIFS($T$2:$T1593,"="&amp;$T1594,$S$2:$S1593,"&lt;&gt;"&amp;$S1594)-1)))</f>
        <v/>
      </c>
      <c r="Y1594" t="b">
        <f>IF(X1594&lt;&gt;"",VLOOKUP(X1594,game_rosters!$C$43:$E$64,3,FALSE))</f>
        <v>0</v>
      </c>
      <c r="Z1594" t="e" cm="1" vm="1">
        <f t="array" aca="1" ref="Z1594" ca="1">IFERROR(IF(_xlfn._xlws.FILTER(game_rosters!$J:$J,(game_rosters!$G:$G=events!$AN1594)*(game_rosters!$J:$J=events!$X1594))&gt;0,1,""),"")</f>
        <v>#VALUE!</v>
      </c>
      <c r="AA1594">
        <f t="shared" si="179"/>
        <v>1000</v>
      </c>
      <c r="AB1594" t="str">
        <f t="shared" si="180"/>
        <v/>
      </c>
      <c r="AC1594">
        <f t="shared" si="177"/>
        <v>1000</v>
      </c>
      <c r="AD1594" s="6"/>
    </row>
    <row r="1595" spans="1:30" x14ac:dyDescent="0.2">
      <c r="A1595" t="str">
        <f t="shared" si="178"/>
        <v/>
      </c>
      <c r="X1595" t="str" cm="1">
        <f t="array" ref="X1595">IF(S1595="","",IF($I1595&lt;&gt;"",$I1595,INDEX($I$2:$I1594,ROW()-COUNTIFS($T$2:$T1594,"="&amp;$T1595,$S$2:$S1594,"&lt;&gt;"&amp;$S1595)-1)))</f>
        <v/>
      </c>
      <c r="Y1595" t="b">
        <f>IF(X1595&lt;&gt;"",VLOOKUP(X1595,game_rosters!$C$43:$E$64,3,FALSE))</f>
        <v>0</v>
      </c>
      <c r="Z1595" t="e" cm="1" vm="1">
        <f t="array" aca="1" ref="Z1595" ca="1">IFERROR(IF(_xlfn._xlws.FILTER(game_rosters!$J:$J,(game_rosters!$G:$G=events!$AN1595)*(game_rosters!$J:$J=events!$X1595))&gt;0,1,""),"")</f>
        <v>#VALUE!</v>
      </c>
      <c r="AA1595">
        <f t="shared" si="179"/>
        <v>1000</v>
      </c>
      <c r="AB1595" t="str">
        <f t="shared" si="180"/>
        <v/>
      </c>
      <c r="AC1595">
        <f t="shared" si="177"/>
        <v>1000</v>
      </c>
      <c r="AD1595" s="6"/>
    </row>
    <row r="1596" spans="1:30" x14ac:dyDescent="0.2">
      <c r="A1596" t="str">
        <f t="shared" si="178"/>
        <v/>
      </c>
      <c r="X1596" t="str" cm="1">
        <f t="array" ref="X1596">IF(S1596="","",IF($I1596&lt;&gt;"",$I1596,INDEX($I$2:$I1595,ROW()-COUNTIFS($T$2:$T1595,"="&amp;$T1596,$S$2:$S1595,"&lt;&gt;"&amp;$S1596)-1)))</f>
        <v/>
      </c>
      <c r="Y1596" t="b">
        <f>IF(X1596&lt;&gt;"",VLOOKUP(X1596,game_rosters!$C$43:$E$64,3,FALSE))</f>
        <v>0</v>
      </c>
      <c r="Z1596" t="e" cm="1" vm="1">
        <f t="array" aca="1" ref="Z1596" ca="1">IFERROR(IF(_xlfn._xlws.FILTER(game_rosters!$J:$J,(game_rosters!$G:$G=events!$AN1596)*(game_rosters!$J:$J=events!$X1596))&gt;0,1,""),"")</f>
        <v>#VALUE!</v>
      </c>
      <c r="AA1596">
        <f t="shared" si="179"/>
        <v>1000</v>
      </c>
      <c r="AB1596" t="str">
        <f t="shared" si="180"/>
        <v/>
      </c>
      <c r="AC1596">
        <f t="shared" si="177"/>
        <v>1000</v>
      </c>
      <c r="AD1596" s="6"/>
    </row>
    <row r="1597" spans="1:30" x14ac:dyDescent="0.2">
      <c r="A1597" t="str">
        <f t="shared" si="178"/>
        <v/>
      </c>
      <c r="X1597" t="str" cm="1">
        <f t="array" ref="X1597">IF(S1597="","",IF($I1597&lt;&gt;"",$I1597,INDEX($I$2:$I1596,ROW()-COUNTIFS($T$2:$T1596,"="&amp;$T1597,$S$2:$S1596,"&lt;&gt;"&amp;$S1597)-1)))</f>
        <v/>
      </c>
      <c r="Y1597" t="b">
        <f>IF(X1597&lt;&gt;"",VLOOKUP(X1597,game_rosters!$C$43:$E$64,3,FALSE))</f>
        <v>0</v>
      </c>
      <c r="Z1597" t="e" cm="1" vm="1">
        <f t="array" aca="1" ref="Z1597" ca="1">IFERROR(IF(_xlfn._xlws.FILTER(game_rosters!$J:$J,(game_rosters!$G:$G=events!$AN1597)*(game_rosters!$J:$J=events!$X1597))&gt;0,1,""),"")</f>
        <v>#VALUE!</v>
      </c>
      <c r="AA1597">
        <f t="shared" si="179"/>
        <v>1000</v>
      </c>
      <c r="AB1597" t="str">
        <f t="shared" si="180"/>
        <v/>
      </c>
      <c r="AC1597">
        <f t="shared" si="177"/>
        <v>1000</v>
      </c>
      <c r="AD1597" s="6"/>
    </row>
    <row r="1598" spans="1:30" x14ac:dyDescent="0.2">
      <c r="A1598" t="str">
        <f t="shared" si="178"/>
        <v/>
      </c>
      <c r="X1598" t="str" cm="1">
        <f t="array" ref="X1598">IF(S1598="","",IF($I1598&lt;&gt;"",$I1598,INDEX($I$2:$I1597,ROW()-COUNTIFS($T$2:$T1597,"="&amp;$T1598,$S$2:$S1597,"&lt;&gt;"&amp;$S1598)-1)))</f>
        <v/>
      </c>
      <c r="Y1598" t="b">
        <f>IF(X1598&lt;&gt;"",VLOOKUP(X1598,game_rosters!$C$43:$E$64,3,FALSE))</f>
        <v>0</v>
      </c>
      <c r="Z1598" t="e" cm="1" vm="1">
        <f t="array" aca="1" ref="Z1598" ca="1">IFERROR(IF(_xlfn._xlws.FILTER(game_rosters!$J:$J,(game_rosters!$G:$G=events!$AN1598)*(game_rosters!$J:$J=events!$X1598))&gt;0,1,""),"")</f>
        <v>#VALUE!</v>
      </c>
      <c r="AA1598">
        <f t="shared" si="179"/>
        <v>1000</v>
      </c>
      <c r="AB1598" t="str">
        <f t="shared" si="180"/>
        <v/>
      </c>
      <c r="AC1598">
        <f t="shared" si="177"/>
        <v>1000</v>
      </c>
      <c r="AD1598" s="6"/>
    </row>
    <row r="1599" spans="1:30" x14ac:dyDescent="0.2">
      <c r="A1599" t="str">
        <f t="shared" si="178"/>
        <v/>
      </c>
      <c r="X1599" t="str" cm="1">
        <f t="array" ref="X1599">IF(S1599="","",IF($I1599&lt;&gt;"",$I1599,INDEX($I$2:$I1598,ROW()-COUNTIFS($T$2:$T1598,"="&amp;$T1599,$S$2:$S1598,"&lt;&gt;"&amp;$S1599)-1)))</f>
        <v/>
      </c>
      <c r="Y1599" t="b">
        <f>IF(X1599&lt;&gt;"",VLOOKUP(X1599,game_rosters!$C$43:$E$64,3,FALSE))</f>
        <v>0</v>
      </c>
      <c r="Z1599" t="e" cm="1" vm="1">
        <f t="array" aca="1" ref="Z1599" ca="1">IFERROR(IF(_xlfn._xlws.FILTER(game_rosters!$J:$J,(game_rosters!$G:$G=events!$AN1599)*(game_rosters!$J:$J=events!$X1599))&gt;0,1,""),"")</f>
        <v>#VALUE!</v>
      </c>
      <c r="AA1599">
        <f t="shared" si="179"/>
        <v>1000</v>
      </c>
      <c r="AB1599" t="str">
        <f t="shared" si="180"/>
        <v/>
      </c>
      <c r="AC1599">
        <f t="shared" si="177"/>
        <v>1000</v>
      </c>
      <c r="AD1599" s="6"/>
    </row>
    <row r="1600" spans="1:30" x14ac:dyDescent="0.2">
      <c r="A1600" t="str">
        <f t="shared" si="178"/>
        <v/>
      </c>
      <c r="X1600" t="str" cm="1">
        <f t="array" ref="X1600">IF(S1600="","",IF($I1600&lt;&gt;"",$I1600,INDEX($I$2:$I1599,ROW()-COUNTIFS($T$2:$T1599,"="&amp;$T1600,$S$2:$S1599,"&lt;&gt;"&amp;$S1600)-1)))</f>
        <v/>
      </c>
      <c r="Y1600" t="b">
        <f>IF(X1600&lt;&gt;"",VLOOKUP(X1600,game_rosters!$C$43:$E$64,3,FALSE))</f>
        <v>0</v>
      </c>
      <c r="Z1600" t="e" cm="1" vm="1">
        <f t="array" aca="1" ref="Z1600" ca="1">IFERROR(IF(_xlfn._xlws.FILTER(game_rosters!$J:$J,(game_rosters!$G:$G=events!$AN1600)*(game_rosters!$J:$J=events!$X1600))&gt;0,1,""),"")</f>
        <v>#VALUE!</v>
      </c>
      <c r="AA1600">
        <f t="shared" si="179"/>
        <v>1000</v>
      </c>
      <c r="AB1600" t="str">
        <f t="shared" si="180"/>
        <v/>
      </c>
      <c r="AC1600">
        <f t="shared" si="177"/>
        <v>1000</v>
      </c>
      <c r="AD1600" s="6"/>
    </row>
    <row r="1601" spans="1:30" x14ac:dyDescent="0.2">
      <c r="A1601" t="str">
        <f t="shared" si="178"/>
        <v/>
      </c>
      <c r="X1601" t="str" cm="1">
        <f t="array" ref="X1601">IF(S1601="","",IF($I1601&lt;&gt;"",$I1601,INDEX($I$2:$I1600,ROW()-COUNTIFS($T$2:$T1600,"="&amp;$T1601,$S$2:$S1600,"&lt;&gt;"&amp;$S1601)-1)))</f>
        <v/>
      </c>
      <c r="Y1601" t="b">
        <f>IF(X1601&lt;&gt;"",VLOOKUP(X1601,game_rosters!$C$43:$E$64,3,FALSE))</f>
        <v>0</v>
      </c>
      <c r="Z1601" t="e" cm="1" vm="1">
        <f t="array" aca="1" ref="Z1601" ca="1">IFERROR(IF(_xlfn._xlws.FILTER(game_rosters!$J:$J,(game_rosters!$G:$G=events!$AN1601)*(game_rosters!$J:$J=events!$X1601))&gt;0,1,""),"")</f>
        <v>#VALUE!</v>
      </c>
      <c r="AA1601">
        <f t="shared" si="179"/>
        <v>1000</v>
      </c>
      <c r="AB1601" t="str">
        <f t="shared" si="180"/>
        <v/>
      </c>
      <c r="AC1601">
        <f t="shared" si="177"/>
        <v>1000</v>
      </c>
      <c r="AD1601" s="6"/>
    </row>
    <row r="1602" spans="1:30" x14ac:dyDescent="0.2">
      <c r="A1602" t="str">
        <f t="shared" si="178"/>
        <v/>
      </c>
      <c r="X1602" t="str" cm="1">
        <f t="array" ref="X1602">IF(S1602="","",IF($I1602&lt;&gt;"",$I1602,INDEX($I$2:$I1601,ROW()-COUNTIFS($T$2:$T1601,"="&amp;$T1602,$S$2:$S1601,"&lt;&gt;"&amp;$S1602)-1)))</f>
        <v/>
      </c>
      <c r="Y1602" t="b">
        <f>IF(X1602&lt;&gt;"",VLOOKUP(X1602,game_rosters!$C$43:$E$64,3,FALSE))</f>
        <v>0</v>
      </c>
      <c r="Z1602" t="e" cm="1" vm="1">
        <f t="array" aca="1" ref="Z1602" ca="1">IFERROR(IF(_xlfn._xlws.FILTER(game_rosters!$J:$J,(game_rosters!$G:$G=events!$AN1602)*(game_rosters!$J:$J=events!$X1602))&gt;0,1,""),"")</f>
        <v>#VALUE!</v>
      </c>
      <c r="AA1602">
        <f t="shared" si="179"/>
        <v>1000</v>
      </c>
      <c r="AB1602" t="str">
        <f t="shared" si="180"/>
        <v/>
      </c>
      <c r="AC1602">
        <f t="shared" ref="AC1602:AC1665" si="181">IF(AB1602&lt;&gt;"",AB1602,S1602+1000)</f>
        <v>1000</v>
      </c>
      <c r="AD1602" s="6"/>
    </row>
    <row r="1603" spans="1:30" x14ac:dyDescent="0.2">
      <c r="A1603" t="str">
        <f t="shared" si="178"/>
        <v/>
      </c>
      <c r="X1603" t="str" cm="1">
        <f t="array" ref="X1603">IF(S1603="","",IF($I1603&lt;&gt;"",$I1603,INDEX($I$2:$I1602,ROW()-COUNTIFS($T$2:$T1602,"="&amp;$T1603,$S$2:$S1602,"&lt;&gt;"&amp;$S1603)-1)))</f>
        <v/>
      </c>
      <c r="Y1603" t="b">
        <f>IF(X1603&lt;&gt;"",VLOOKUP(X1603,game_rosters!$C$43:$E$64,3,FALSE))</f>
        <v>0</v>
      </c>
      <c r="Z1603" t="e" cm="1" vm="1">
        <f t="array" aca="1" ref="Z1603" ca="1">IFERROR(IF(_xlfn._xlws.FILTER(game_rosters!$J:$J,(game_rosters!$G:$G=events!$AN1603)*(game_rosters!$J:$J=events!$X1603))&gt;0,1,""),"")</f>
        <v>#VALUE!</v>
      </c>
      <c r="AA1603">
        <f t="shared" si="179"/>
        <v>1000</v>
      </c>
      <c r="AB1603" t="str">
        <f t="shared" si="180"/>
        <v/>
      </c>
      <c r="AC1603">
        <f t="shared" si="181"/>
        <v>1000</v>
      </c>
      <c r="AD1603" s="6"/>
    </row>
    <row r="1604" spans="1:30" x14ac:dyDescent="0.2">
      <c r="A1604" t="str">
        <f t="shared" si="178"/>
        <v/>
      </c>
      <c r="X1604" t="str" cm="1">
        <f t="array" ref="X1604">IF(S1604="","",IF($I1604&lt;&gt;"",$I1604,INDEX($I$2:$I1603,ROW()-COUNTIFS($T$2:$T1603,"="&amp;$T1604,$S$2:$S1603,"&lt;&gt;"&amp;$S1604)-1)))</f>
        <v/>
      </c>
      <c r="Y1604" t="b">
        <f>IF(X1604&lt;&gt;"",VLOOKUP(X1604,game_rosters!$C$43:$E$64,3,FALSE))</f>
        <v>0</v>
      </c>
      <c r="Z1604" t="e" cm="1" vm="1">
        <f t="array" aca="1" ref="Z1604" ca="1">IFERROR(IF(_xlfn._xlws.FILTER(game_rosters!$J:$J,(game_rosters!$G:$G=events!$AN1604)*(game_rosters!$J:$J=events!$X1604))&gt;0,1,""),"")</f>
        <v>#VALUE!</v>
      </c>
      <c r="AA1604">
        <f t="shared" si="179"/>
        <v>1000</v>
      </c>
      <c r="AB1604" t="str">
        <f t="shared" si="180"/>
        <v/>
      </c>
      <c r="AC1604">
        <f t="shared" si="181"/>
        <v>1000</v>
      </c>
      <c r="AD1604" s="6"/>
    </row>
    <row r="1605" spans="1:30" x14ac:dyDescent="0.2">
      <c r="A1605" t="str">
        <f t="shared" ref="A1605:A1668" si="182">IF(K1605&lt;&gt;"",1,IF(D1605="x","x",""))</f>
        <v/>
      </c>
      <c r="X1605" t="str" cm="1">
        <f t="array" ref="X1605">IF(S1605="","",IF($I1605&lt;&gt;"",$I1605,INDEX($I$2:$I1604,ROW()-COUNTIFS($T$2:$T1604,"="&amp;$T1605,$S$2:$S1604,"&lt;&gt;"&amp;$S1605)-1)))</f>
        <v/>
      </c>
      <c r="Y1605" t="b">
        <f>IF(X1605&lt;&gt;"",VLOOKUP(X1605,game_rosters!$C$43:$E$64,3,FALSE))</f>
        <v>0</v>
      </c>
      <c r="Z1605" t="e" cm="1" vm="1">
        <f t="array" aca="1" ref="Z1605" ca="1">IFERROR(IF(_xlfn._xlws.FILTER(game_rosters!$J:$J,(game_rosters!$G:$G=events!$AN1605)*(game_rosters!$J:$J=events!$X1605))&gt;0,1,""),"")</f>
        <v>#VALUE!</v>
      </c>
      <c r="AA1605">
        <f t="shared" si="179"/>
        <v>1000</v>
      </c>
      <c r="AB1605" t="str">
        <f t="shared" si="180"/>
        <v/>
      </c>
      <c r="AC1605">
        <f t="shared" si="181"/>
        <v>1000</v>
      </c>
      <c r="AD1605" s="6"/>
    </row>
    <row r="1606" spans="1:30" x14ac:dyDescent="0.2">
      <c r="A1606" t="str">
        <f t="shared" si="182"/>
        <v/>
      </c>
      <c r="X1606" t="str" cm="1">
        <f t="array" ref="X1606">IF(S1606="","",IF($I1606&lt;&gt;"",$I1606,INDEX($I$2:$I1605,ROW()-COUNTIFS($T$2:$T1605,"="&amp;$T1606,$S$2:$S1605,"&lt;&gt;"&amp;$S1606)-1)))</f>
        <v/>
      </c>
      <c r="Y1606" t="b">
        <f>IF(X1606&lt;&gt;"",VLOOKUP(X1606,game_rosters!$C$43:$E$64,3,FALSE))</f>
        <v>0</v>
      </c>
      <c r="Z1606" t="e" cm="1" vm="1">
        <f t="array" aca="1" ref="Z1606" ca="1">IFERROR(IF(_xlfn._xlws.FILTER(game_rosters!$J:$J,(game_rosters!$G:$G=events!$AN1606)*(game_rosters!$J:$J=events!$X1606))&gt;0,1,""),"")</f>
        <v>#VALUE!</v>
      </c>
      <c r="AA1606">
        <f t="shared" si="179"/>
        <v>1000</v>
      </c>
      <c r="AB1606" t="str">
        <f t="shared" si="180"/>
        <v/>
      </c>
      <c r="AC1606">
        <f t="shared" si="181"/>
        <v>1000</v>
      </c>
      <c r="AD1606" s="6"/>
    </row>
    <row r="1607" spans="1:30" x14ac:dyDescent="0.2">
      <c r="A1607" t="str">
        <f t="shared" si="182"/>
        <v/>
      </c>
      <c r="X1607" t="str" cm="1">
        <f t="array" ref="X1607">IF(S1607="","",IF($I1607&lt;&gt;"",$I1607,INDEX($I$2:$I1606,ROW()-COUNTIFS($T$2:$T1606,"="&amp;$T1607,$S$2:$S1606,"&lt;&gt;"&amp;$S1607)-1)))</f>
        <v/>
      </c>
      <c r="Y1607" t="b">
        <f>IF(X1607&lt;&gt;"",VLOOKUP(X1607,game_rosters!$C$43:$E$64,3,FALSE))</f>
        <v>0</v>
      </c>
      <c r="Z1607" t="e" cm="1" vm="1">
        <f t="array" aca="1" ref="Z1607" ca="1">IFERROR(IF(_xlfn._xlws.FILTER(game_rosters!$J:$J,(game_rosters!$G:$G=events!$AN1607)*(game_rosters!$J:$J=events!$X1607))&gt;0,1,""),"")</f>
        <v>#VALUE!</v>
      </c>
      <c r="AA1607">
        <f t="shared" si="179"/>
        <v>1000</v>
      </c>
      <c r="AB1607" t="str">
        <f t="shared" si="180"/>
        <v/>
      </c>
      <c r="AC1607">
        <f t="shared" si="181"/>
        <v>1000</v>
      </c>
      <c r="AD1607" s="6"/>
    </row>
    <row r="1608" spans="1:30" x14ac:dyDescent="0.2">
      <c r="A1608" t="str">
        <f t="shared" si="182"/>
        <v/>
      </c>
      <c r="X1608" t="str" cm="1">
        <f t="array" ref="X1608">IF(S1608="","",IF($I1608&lt;&gt;"",$I1608,INDEX($I$2:$I1607,ROW()-COUNTIFS($T$2:$T1607,"="&amp;$T1608,$S$2:$S1607,"&lt;&gt;"&amp;$S1608)-1)))</f>
        <v/>
      </c>
      <c r="Y1608" t="b">
        <f>IF(X1608&lt;&gt;"",VLOOKUP(X1608,game_rosters!$C$43:$E$64,3,FALSE))</f>
        <v>0</v>
      </c>
      <c r="Z1608" t="e" cm="1" vm="1">
        <f t="array" aca="1" ref="Z1608" ca="1">IFERROR(IF(_xlfn._xlws.FILTER(game_rosters!$J:$J,(game_rosters!$G:$G=events!$AN1608)*(game_rosters!$J:$J=events!$X1608))&gt;0,1,""),"")</f>
        <v>#VALUE!</v>
      </c>
      <c r="AA1608">
        <f t="shared" si="179"/>
        <v>1000</v>
      </c>
      <c r="AB1608" t="str">
        <f t="shared" si="180"/>
        <v/>
      </c>
      <c r="AC1608">
        <f t="shared" si="181"/>
        <v>1000</v>
      </c>
      <c r="AD1608" s="6"/>
    </row>
    <row r="1609" spans="1:30" x14ac:dyDescent="0.2">
      <c r="A1609" t="str">
        <f t="shared" si="182"/>
        <v/>
      </c>
      <c r="X1609" t="str" cm="1">
        <f t="array" ref="X1609">IF(S1609="","",IF($I1609&lt;&gt;"",$I1609,INDEX($I$2:$I1608,ROW()-COUNTIFS($T$2:$T1608,"="&amp;$T1609,$S$2:$S1608,"&lt;&gt;"&amp;$S1609)-1)))</f>
        <v/>
      </c>
      <c r="Y1609" t="b">
        <f>IF(X1609&lt;&gt;"",VLOOKUP(X1609,game_rosters!$C$43:$E$64,3,FALSE))</f>
        <v>0</v>
      </c>
      <c r="Z1609" t="e" cm="1" vm="1">
        <f t="array" aca="1" ref="Z1609" ca="1">IFERROR(IF(_xlfn._xlws.FILTER(game_rosters!$J:$J,(game_rosters!$G:$G=events!$AN1609)*(game_rosters!$J:$J=events!$X1609))&gt;0,1,""),"")</f>
        <v>#VALUE!</v>
      </c>
      <c r="AA1609">
        <f t="shared" si="179"/>
        <v>1000</v>
      </c>
      <c r="AB1609" t="str">
        <f t="shared" si="180"/>
        <v/>
      </c>
      <c r="AC1609">
        <f t="shared" si="181"/>
        <v>1000</v>
      </c>
      <c r="AD1609" s="6"/>
    </row>
    <row r="1610" spans="1:30" x14ac:dyDescent="0.2">
      <c r="A1610" t="str">
        <f t="shared" si="182"/>
        <v/>
      </c>
      <c r="X1610" t="str" cm="1">
        <f t="array" ref="X1610">IF(S1610="","",IF($I1610&lt;&gt;"",$I1610,INDEX($I$2:$I1609,ROW()-COUNTIFS($T$2:$T1609,"="&amp;$T1610,$S$2:$S1609,"&lt;&gt;"&amp;$S1610)-1)))</f>
        <v/>
      </c>
      <c r="Y1610" t="b">
        <f>IF(X1610&lt;&gt;"",VLOOKUP(X1610,game_rosters!$C$43:$E$64,3,FALSE))</f>
        <v>0</v>
      </c>
      <c r="Z1610" t="e" cm="1" vm="1">
        <f t="array" aca="1" ref="Z1610" ca="1">IFERROR(IF(_xlfn._xlws.FILTER(game_rosters!$J:$J,(game_rosters!$G:$G=events!$AN1610)*(game_rosters!$J:$J=events!$X1610))&gt;0,1,""),"")</f>
        <v>#VALUE!</v>
      </c>
      <c r="AA1610">
        <f t="shared" si="179"/>
        <v>1000</v>
      </c>
      <c r="AB1610" t="str">
        <f t="shared" si="180"/>
        <v/>
      </c>
      <c r="AC1610">
        <f t="shared" si="181"/>
        <v>1000</v>
      </c>
      <c r="AD1610" s="6"/>
    </row>
    <row r="1611" spans="1:30" x14ac:dyDescent="0.2">
      <c r="A1611" t="str">
        <f t="shared" si="182"/>
        <v/>
      </c>
      <c r="X1611" t="str" cm="1">
        <f t="array" ref="X1611">IF(S1611="","",IF($I1611&lt;&gt;"",$I1611,INDEX($I$2:$I1610,ROW()-COUNTIFS($T$2:$T1610,"="&amp;$T1611,$S$2:$S1610,"&lt;&gt;"&amp;$S1611)-1)))</f>
        <v/>
      </c>
      <c r="Y1611" t="b">
        <f>IF(X1611&lt;&gt;"",VLOOKUP(X1611,game_rosters!$C$43:$E$64,3,FALSE))</f>
        <v>0</v>
      </c>
      <c r="Z1611" t="e" cm="1" vm="1">
        <f t="array" aca="1" ref="Z1611" ca="1">IFERROR(IF(_xlfn._xlws.FILTER(game_rosters!$J:$J,(game_rosters!$G:$G=events!$AN1611)*(game_rosters!$J:$J=events!$X1611))&gt;0,1,""),"")</f>
        <v>#VALUE!</v>
      </c>
      <c r="AA1611">
        <f t="shared" si="179"/>
        <v>1000</v>
      </c>
      <c r="AB1611" t="str">
        <f t="shared" si="180"/>
        <v/>
      </c>
      <c r="AC1611">
        <f t="shared" si="181"/>
        <v>1000</v>
      </c>
      <c r="AD1611" s="6"/>
    </row>
    <row r="1612" spans="1:30" x14ac:dyDescent="0.2">
      <c r="A1612" t="str">
        <f t="shared" si="182"/>
        <v/>
      </c>
      <c r="X1612" t="str" cm="1">
        <f t="array" ref="X1612">IF(S1612="","",IF($I1612&lt;&gt;"",$I1612,INDEX($I$2:$I1611,ROW()-COUNTIFS($T$2:$T1611,"="&amp;$T1612,$S$2:$S1611,"&lt;&gt;"&amp;$S1612)-1)))</f>
        <v/>
      </c>
      <c r="Y1612" t="b">
        <f>IF(X1612&lt;&gt;"",VLOOKUP(X1612,game_rosters!$C$43:$E$64,3,FALSE))</f>
        <v>0</v>
      </c>
      <c r="Z1612" t="e" cm="1" vm="1">
        <f t="array" aca="1" ref="Z1612" ca="1">IFERROR(IF(_xlfn._xlws.FILTER(game_rosters!$J:$J,(game_rosters!$G:$G=events!$AN1612)*(game_rosters!$J:$J=events!$X1612))&gt;0,1,""),"")</f>
        <v>#VALUE!</v>
      </c>
      <c r="AA1612">
        <f t="shared" si="179"/>
        <v>1000</v>
      </c>
      <c r="AB1612" t="str">
        <f t="shared" si="180"/>
        <v/>
      </c>
      <c r="AC1612">
        <f t="shared" si="181"/>
        <v>1000</v>
      </c>
      <c r="AD1612" s="6"/>
    </row>
    <row r="1613" spans="1:30" x14ac:dyDescent="0.2">
      <c r="A1613" t="str">
        <f t="shared" si="182"/>
        <v/>
      </c>
      <c r="X1613" t="str" cm="1">
        <f t="array" ref="X1613">IF(S1613="","",IF($I1613&lt;&gt;"",$I1613,INDEX($I$2:$I1612,ROW()-COUNTIFS($T$2:$T1612,"="&amp;$T1613,$S$2:$S1612,"&lt;&gt;"&amp;$S1613)-1)))</f>
        <v/>
      </c>
      <c r="Y1613" t="b">
        <f>IF(X1613&lt;&gt;"",VLOOKUP(X1613,game_rosters!$C$43:$E$64,3,FALSE))</f>
        <v>0</v>
      </c>
      <c r="Z1613" t="e" cm="1" vm="1">
        <f t="array" aca="1" ref="Z1613" ca="1">IFERROR(IF(_xlfn._xlws.FILTER(game_rosters!$J:$J,(game_rosters!$G:$G=events!$AN1613)*(game_rosters!$J:$J=events!$X1613))&gt;0,1,""),"")</f>
        <v>#VALUE!</v>
      </c>
      <c r="AA1613">
        <f t="shared" si="179"/>
        <v>1000</v>
      </c>
      <c r="AB1613" t="str">
        <f t="shared" si="180"/>
        <v/>
      </c>
      <c r="AC1613">
        <f t="shared" si="181"/>
        <v>1000</v>
      </c>
      <c r="AD1613" s="6"/>
    </row>
    <row r="1614" spans="1:30" x14ac:dyDescent="0.2">
      <c r="A1614" t="str">
        <f t="shared" si="182"/>
        <v/>
      </c>
      <c r="X1614" t="str" cm="1">
        <f t="array" ref="X1614">IF(S1614="","",IF($I1614&lt;&gt;"",$I1614,INDEX($I$2:$I1613,ROW()-COUNTIFS($T$2:$T1613,"="&amp;$T1614,$S$2:$S1613,"&lt;&gt;"&amp;$S1614)-1)))</f>
        <v/>
      </c>
      <c r="Y1614" t="b">
        <f>IF(X1614&lt;&gt;"",VLOOKUP(X1614,game_rosters!$C$43:$E$64,3,FALSE))</f>
        <v>0</v>
      </c>
      <c r="Z1614" t="e" cm="1" vm="1">
        <f t="array" aca="1" ref="Z1614" ca="1">IFERROR(IF(_xlfn._xlws.FILTER(game_rosters!$J:$J,(game_rosters!$G:$G=events!$AN1614)*(game_rosters!$J:$J=events!$X1614))&gt;0,1,""),"")</f>
        <v>#VALUE!</v>
      </c>
      <c r="AA1614">
        <f t="shared" si="179"/>
        <v>1000</v>
      </c>
      <c r="AB1614" t="str">
        <f t="shared" si="180"/>
        <v/>
      </c>
      <c r="AC1614">
        <f t="shared" si="181"/>
        <v>1000</v>
      </c>
      <c r="AD1614" s="6"/>
    </row>
    <row r="1615" spans="1:30" x14ac:dyDescent="0.2">
      <c r="A1615" t="str">
        <f t="shared" si="182"/>
        <v/>
      </c>
      <c r="X1615" t="str" cm="1">
        <f t="array" ref="X1615">IF(S1615="","",IF($I1615&lt;&gt;"",$I1615,INDEX($I$2:$I1614,ROW()-COUNTIFS($T$2:$T1614,"="&amp;$T1615,$S$2:$S1614,"&lt;&gt;"&amp;$S1615)-1)))</f>
        <v/>
      </c>
      <c r="Y1615" t="b">
        <f>IF(X1615&lt;&gt;"",VLOOKUP(X1615,game_rosters!$C$43:$E$64,3,FALSE))</f>
        <v>0</v>
      </c>
      <c r="Z1615" t="e" cm="1" vm="1">
        <f t="array" aca="1" ref="Z1615" ca="1">IFERROR(IF(_xlfn._xlws.FILTER(game_rosters!$J:$J,(game_rosters!$G:$G=events!$AN1615)*(game_rosters!$J:$J=events!$X1615))&gt;0,1,""),"")</f>
        <v>#VALUE!</v>
      </c>
      <c r="AA1615">
        <f t="shared" si="179"/>
        <v>1000</v>
      </c>
      <c r="AB1615" t="str">
        <f t="shared" si="180"/>
        <v/>
      </c>
      <c r="AC1615">
        <f t="shared" si="181"/>
        <v>1000</v>
      </c>
      <c r="AD1615" s="6"/>
    </row>
    <row r="1616" spans="1:30" x14ac:dyDescent="0.2">
      <c r="A1616" t="str">
        <f t="shared" si="182"/>
        <v/>
      </c>
      <c r="X1616" t="str" cm="1">
        <f t="array" ref="X1616">IF(S1616="","",IF($I1616&lt;&gt;"",$I1616,INDEX($I$2:$I1615,ROW()-COUNTIFS($T$2:$T1615,"="&amp;$T1616,$S$2:$S1615,"&lt;&gt;"&amp;$S1616)-1)))</f>
        <v/>
      </c>
      <c r="Y1616" t="b">
        <f>IF(X1616&lt;&gt;"",VLOOKUP(X1616,game_rosters!$C$43:$E$64,3,FALSE))</f>
        <v>0</v>
      </c>
      <c r="Z1616" t="e" cm="1" vm="1">
        <f t="array" aca="1" ref="Z1616" ca="1">IFERROR(IF(_xlfn._xlws.FILTER(game_rosters!$J:$J,(game_rosters!$G:$G=events!$AN1616)*(game_rosters!$J:$J=events!$X1616))&gt;0,1,""),"")</f>
        <v>#VALUE!</v>
      </c>
      <c r="AA1616">
        <f t="shared" si="179"/>
        <v>1000</v>
      </c>
      <c r="AB1616" t="str">
        <f t="shared" si="180"/>
        <v/>
      </c>
      <c r="AC1616">
        <f t="shared" si="181"/>
        <v>1000</v>
      </c>
      <c r="AD1616" s="6"/>
    </row>
    <row r="1617" spans="1:30" x14ac:dyDescent="0.2">
      <c r="A1617" t="str">
        <f t="shared" si="182"/>
        <v/>
      </c>
      <c r="X1617" t="str" cm="1">
        <f t="array" ref="X1617">IF(S1617="","",IF($I1617&lt;&gt;"",$I1617,INDEX($I$2:$I1616,ROW()-COUNTIFS($T$2:$T1616,"="&amp;$T1617,$S$2:$S1616,"&lt;&gt;"&amp;$S1617)-1)))</f>
        <v/>
      </c>
      <c r="Y1617" t="b">
        <f>IF(X1617&lt;&gt;"",VLOOKUP(X1617,game_rosters!$C$43:$E$64,3,FALSE))</f>
        <v>0</v>
      </c>
      <c r="Z1617" t="e" cm="1" vm="1">
        <f t="array" aca="1" ref="Z1617" ca="1">IFERROR(IF(_xlfn._xlws.FILTER(game_rosters!$J:$J,(game_rosters!$G:$G=events!$AN1617)*(game_rosters!$J:$J=events!$X1617))&gt;0,1,""),"")</f>
        <v>#VALUE!</v>
      </c>
      <c r="AA1617">
        <f t="shared" si="179"/>
        <v>1000</v>
      </c>
      <c r="AB1617" t="str">
        <f t="shared" si="180"/>
        <v/>
      </c>
      <c r="AC1617">
        <f t="shared" si="181"/>
        <v>1000</v>
      </c>
      <c r="AD1617" s="6"/>
    </row>
    <row r="1618" spans="1:30" x14ac:dyDescent="0.2">
      <c r="A1618" t="str">
        <f t="shared" si="182"/>
        <v/>
      </c>
      <c r="X1618" t="str" cm="1">
        <f t="array" ref="X1618">IF(S1618="","",IF($I1618&lt;&gt;"",$I1618,INDEX($I$2:$I1617,ROW()-COUNTIFS($T$2:$T1617,"="&amp;$T1618,$S$2:$S1617,"&lt;&gt;"&amp;$S1618)-1)))</f>
        <v/>
      </c>
      <c r="Y1618" t="b">
        <f>IF(X1618&lt;&gt;"",VLOOKUP(X1618,game_rosters!$C$43:$E$64,3,FALSE))</f>
        <v>0</v>
      </c>
      <c r="Z1618" t="e" cm="1" vm="1">
        <f t="array" aca="1" ref="Z1618" ca="1">IFERROR(IF(_xlfn._xlws.FILTER(game_rosters!$J:$J,(game_rosters!$G:$G=events!$AN1618)*(game_rosters!$J:$J=events!$X1618))&gt;0,1,""),"")</f>
        <v>#VALUE!</v>
      </c>
      <c r="AA1618">
        <f t="shared" si="179"/>
        <v>1000</v>
      </c>
      <c r="AB1618" t="str">
        <f t="shared" si="180"/>
        <v/>
      </c>
      <c r="AC1618">
        <f t="shared" si="181"/>
        <v>1000</v>
      </c>
      <c r="AD1618" s="6"/>
    </row>
    <row r="1619" spans="1:30" x14ac:dyDescent="0.2">
      <c r="A1619" t="str">
        <f t="shared" si="182"/>
        <v/>
      </c>
      <c r="X1619" t="str" cm="1">
        <f t="array" ref="X1619">IF(S1619="","",IF($I1619&lt;&gt;"",$I1619,INDEX($I$2:$I1618,ROW()-COUNTIFS($T$2:$T1618,"="&amp;$T1619,$S$2:$S1618,"&lt;&gt;"&amp;$S1619)-1)))</f>
        <v/>
      </c>
      <c r="Y1619" t="b">
        <f>IF(X1619&lt;&gt;"",VLOOKUP(X1619,game_rosters!$C$43:$E$64,3,FALSE))</f>
        <v>0</v>
      </c>
      <c r="Z1619" t="e" cm="1" vm="1">
        <f t="array" aca="1" ref="Z1619" ca="1">IFERROR(IF(_xlfn._xlws.FILTER(game_rosters!$J:$J,(game_rosters!$G:$G=events!$AN1619)*(game_rosters!$J:$J=events!$X1619))&gt;0,1,""),"")</f>
        <v>#VALUE!</v>
      </c>
      <c r="AA1619">
        <f t="shared" si="179"/>
        <v>1000</v>
      </c>
      <c r="AB1619" t="str">
        <f t="shared" si="180"/>
        <v/>
      </c>
      <c r="AC1619">
        <f t="shared" si="181"/>
        <v>1000</v>
      </c>
      <c r="AD1619" s="6"/>
    </row>
    <row r="1620" spans="1:30" x14ac:dyDescent="0.2">
      <c r="A1620" t="str">
        <f t="shared" si="182"/>
        <v/>
      </c>
      <c r="X1620" t="str" cm="1">
        <f t="array" ref="X1620">IF(S1620="","",IF($I1620&lt;&gt;"",$I1620,INDEX($I$2:$I1619,ROW()-COUNTIFS($T$2:$T1619,"="&amp;$T1620,$S$2:$S1619,"&lt;&gt;"&amp;$S1620)-1)))</f>
        <v/>
      </c>
      <c r="Y1620" t="b">
        <f>IF(X1620&lt;&gt;"",VLOOKUP(X1620,game_rosters!$C$43:$E$64,3,FALSE))</f>
        <v>0</v>
      </c>
      <c r="Z1620" t="e" cm="1" vm="1">
        <f t="array" aca="1" ref="Z1620" ca="1">IFERROR(IF(_xlfn._xlws.FILTER(game_rosters!$J:$J,(game_rosters!$G:$G=events!$AN1620)*(game_rosters!$J:$J=events!$X1620))&gt;0,1,""),"")</f>
        <v>#VALUE!</v>
      </c>
      <c r="AA1620">
        <f t="shared" si="179"/>
        <v>1000</v>
      </c>
      <c r="AB1620" t="str">
        <f t="shared" si="180"/>
        <v/>
      </c>
      <c r="AC1620">
        <f t="shared" si="181"/>
        <v>1000</v>
      </c>
      <c r="AD1620" s="6"/>
    </row>
    <row r="1621" spans="1:30" x14ac:dyDescent="0.2">
      <c r="A1621" t="str">
        <f t="shared" si="182"/>
        <v/>
      </c>
      <c r="X1621" t="str" cm="1">
        <f t="array" ref="X1621">IF(S1621="","",IF($I1621&lt;&gt;"",$I1621,INDEX($I$2:$I1620,ROW()-COUNTIFS($T$2:$T1620,"="&amp;$T1621,$S$2:$S1620,"&lt;&gt;"&amp;$S1621)-1)))</f>
        <v/>
      </c>
      <c r="Y1621" t="b">
        <f>IF(X1621&lt;&gt;"",VLOOKUP(X1621,game_rosters!$C$43:$E$64,3,FALSE))</f>
        <v>0</v>
      </c>
      <c r="Z1621" t="e" cm="1" vm="1">
        <f t="array" aca="1" ref="Z1621" ca="1">IFERROR(IF(_xlfn._xlws.FILTER(game_rosters!$J:$J,(game_rosters!$G:$G=events!$AN1621)*(game_rosters!$J:$J=events!$X1621))&gt;0,1,""),"")</f>
        <v>#VALUE!</v>
      </c>
      <c r="AA1621">
        <f t="shared" si="179"/>
        <v>1000</v>
      </c>
      <c r="AB1621" t="str">
        <f t="shared" si="180"/>
        <v/>
      </c>
      <c r="AC1621">
        <f t="shared" si="181"/>
        <v>1000</v>
      </c>
      <c r="AD1621" s="6"/>
    </row>
    <row r="1622" spans="1:30" x14ac:dyDescent="0.2">
      <c r="A1622" t="str">
        <f t="shared" si="182"/>
        <v/>
      </c>
      <c r="X1622" t="str" cm="1">
        <f t="array" ref="X1622">IF(S1622="","",IF($I1622&lt;&gt;"",$I1622,INDEX($I$2:$I1621,ROW()-COUNTIFS($T$2:$T1621,"="&amp;$T1622,$S$2:$S1621,"&lt;&gt;"&amp;$S1622)-1)))</f>
        <v/>
      </c>
      <c r="Y1622" t="b">
        <f>IF(X1622&lt;&gt;"",VLOOKUP(X1622,game_rosters!$C$43:$E$64,3,FALSE))</f>
        <v>0</v>
      </c>
      <c r="Z1622" t="e" cm="1" vm="1">
        <f t="array" aca="1" ref="Z1622" ca="1">IFERROR(IF(_xlfn._xlws.FILTER(game_rosters!$J:$J,(game_rosters!$G:$G=events!$AN1622)*(game_rosters!$J:$J=events!$X1622))&gt;0,1,""),"")</f>
        <v>#VALUE!</v>
      </c>
      <c r="AA1622">
        <f t="shared" si="179"/>
        <v>1000</v>
      </c>
      <c r="AB1622" t="str">
        <f t="shared" si="180"/>
        <v/>
      </c>
      <c r="AC1622">
        <f t="shared" si="181"/>
        <v>1000</v>
      </c>
      <c r="AD1622" s="6"/>
    </row>
    <row r="1623" spans="1:30" x14ac:dyDescent="0.2">
      <c r="A1623" t="str">
        <f t="shared" si="182"/>
        <v/>
      </c>
      <c r="X1623" t="str" cm="1">
        <f t="array" ref="X1623">IF(S1623="","",IF($I1623&lt;&gt;"",$I1623,INDEX($I$2:$I1622,ROW()-COUNTIFS($T$2:$T1622,"="&amp;$T1623,$S$2:$S1622,"&lt;&gt;"&amp;$S1623)-1)))</f>
        <v/>
      </c>
      <c r="Y1623" t="b">
        <f>IF(X1623&lt;&gt;"",VLOOKUP(X1623,game_rosters!$C$43:$E$64,3,FALSE))</f>
        <v>0</v>
      </c>
      <c r="Z1623" t="e" cm="1" vm="1">
        <f t="array" aca="1" ref="Z1623" ca="1">IFERROR(IF(_xlfn._xlws.FILTER(game_rosters!$J:$J,(game_rosters!$G:$G=events!$AN1623)*(game_rosters!$J:$J=events!$X1623))&gt;0,1,""),"")</f>
        <v>#VALUE!</v>
      </c>
      <c r="AA1623">
        <f t="shared" si="179"/>
        <v>1000</v>
      </c>
      <c r="AB1623" t="str">
        <f t="shared" si="180"/>
        <v/>
      </c>
      <c r="AC1623">
        <f t="shared" si="181"/>
        <v>1000</v>
      </c>
      <c r="AD1623" s="6"/>
    </row>
    <row r="1624" spans="1:30" x14ac:dyDescent="0.2">
      <c r="A1624" t="str">
        <f t="shared" si="182"/>
        <v/>
      </c>
      <c r="X1624" t="str" cm="1">
        <f t="array" ref="X1624">IF(S1624="","",IF($I1624&lt;&gt;"",$I1624,INDEX($I$2:$I1623,ROW()-COUNTIFS($T$2:$T1623,"="&amp;$T1624,$S$2:$S1623,"&lt;&gt;"&amp;$S1624)-1)))</f>
        <v/>
      </c>
      <c r="Y1624" t="b">
        <f>IF(X1624&lt;&gt;"",VLOOKUP(X1624,game_rosters!$C$43:$E$64,3,FALSE))</f>
        <v>0</v>
      </c>
      <c r="Z1624" t="e" cm="1" vm="1">
        <f t="array" aca="1" ref="Z1624" ca="1">IFERROR(IF(_xlfn._xlws.FILTER(game_rosters!$J:$J,(game_rosters!$G:$G=events!$AN1624)*(game_rosters!$J:$J=events!$X1624))&gt;0,1,""),"")</f>
        <v>#VALUE!</v>
      </c>
      <c r="AA1624">
        <f t="shared" si="179"/>
        <v>1000</v>
      </c>
      <c r="AB1624" t="str">
        <f t="shared" si="180"/>
        <v/>
      </c>
      <c r="AC1624">
        <f t="shared" si="181"/>
        <v>1000</v>
      </c>
      <c r="AD1624" s="6"/>
    </row>
    <row r="1625" spans="1:30" x14ac:dyDescent="0.2">
      <c r="A1625" t="str">
        <f t="shared" si="182"/>
        <v/>
      </c>
      <c r="X1625" t="str" cm="1">
        <f t="array" ref="X1625">IF(S1625="","",IF($I1625&lt;&gt;"",$I1625,INDEX($I$2:$I1624,ROW()-COUNTIFS($T$2:$T1624,"="&amp;$T1625,$S$2:$S1624,"&lt;&gt;"&amp;$S1625)-1)))</f>
        <v/>
      </c>
      <c r="Y1625" t="b">
        <f>IF(X1625&lt;&gt;"",VLOOKUP(X1625,game_rosters!$C$43:$E$64,3,FALSE))</f>
        <v>0</v>
      </c>
      <c r="Z1625" t="e" cm="1" vm="1">
        <f t="array" aca="1" ref="Z1625" ca="1">IFERROR(IF(_xlfn._xlws.FILTER(game_rosters!$J:$J,(game_rosters!$G:$G=events!$AN1625)*(game_rosters!$J:$J=events!$X1625))&gt;0,1,""),"")</f>
        <v>#VALUE!</v>
      </c>
      <c r="AA1625">
        <f t="shared" si="179"/>
        <v>1000</v>
      </c>
      <c r="AB1625" t="str">
        <f t="shared" si="180"/>
        <v/>
      </c>
      <c r="AC1625">
        <f t="shared" si="181"/>
        <v>1000</v>
      </c>
      <c r="AD1625" s="6"/>
    </row>
    <row r="1626" spans="1:30" x14ac:dyDescent="0.2">
      <c r="A1626" t="str">
        <f t="shared" si="182"/>
        <v/>
      </c>
      <c r="X1626" t="str" cm="1">
        <f t="array" ref="X1626">IF(S1626="","",IF($I1626&lt;&gt;"",$I1626,INDEX($I$2:$I1625,ROW()-COUNTIFS($T$2:$T1625,"="&amp;$T1626,$S$2:$S1625,"&lt;&gt;"&amp;$S1626)-1)))</f>
        <v/>
      </c>
      <c r="Y1626" t="b">
        <f>IF(X1626&lt;&gt;"",VLOOKUP(X1626,game_rosters!$C$43:$E$64,3,FALSE))</f>
        <v>0</v>
      </c>
      <c r="Z1626" t="e" cm="1" vm="1">
        <f t="array" aca="1" ref="Z1626" ca="1">IFERROR(IF(_xlfn._xlws.FILTER(game_rosters!$J:$J,(game_rosters!$G:$G=events!$AN1626)*(game_rosters!$J:$J=events!$X1626))&gt;0,1,""),"")</f>
        <v>#VALUE!</v>
      </c>
      <c r="AA1626">
        <f t="shared" si="179"/>
        <v>1000</v>
      </c>
      <c r="AB1626" t="str">
        <f t="shared" si="180"/>
        <v/>
      </c>
      <c r="AC1626">
        <f t="shared" si="181"/>
        <v>1000</v>
      </c>
      <c r="AD1626" s="6"/>
    </row>
    <row r="1627" spans="1:30" x14ac:dyDescent="0.2">
      <c r="A1627" t="str">
        <f t="shared" si="182"/>
        <v/>
      </c>
      <c r="X1627" t="str" cm="1">
        <f t="array" ref="X1627">IF(S1627="","",IF($I1627&lt;&gt;"",$I1627,INDEX($I$2:$I1626,ROW()-COUNTIFS($T$2:$T1626,"="&amp;$T1627,$S$2:$S1626,"&lt;&gt;"&amp;$S1627)-1)))</f>
        <v/>
      </c>
      <c r="Y1627" t="b">
        <f>IF(X1627&lt;&gt;"",VLOOKUP(X1627,game_rosters!$C$43:$E$64,3,FALSE))</f>
        <v>0</v>
      </c>
      <c r="Z1627" t="e" cm="1" vm="1">
        <f t="array" aca="1" ref="Z1627" ca="1">IFERROR(IF(_xlfn._xlws.FILTER(game_rosters!$J:$J,(game_rosters!$G:$G=events!$AN1627)*(game_rosters!$J:$J=events!$X1627))&gt;0,1,""),"")</f>
        <v>#VALUE!</v>
      </c>
      <c r="AA1627">
        <f t="shared" si="179"/>
        <v>1000</v>
      </c>
      <c r="AB1627" t="str">
        <f t="shared" si="180"/>
        <v/>
      </c>
      <c r="AC1627">
        <f t="shared" si="181"/>
        <v>1000</v>
      </c>
      <c r="AD1627" s="6"/>
    </row>
    <row r="1628" spans="1:30" x14ac:dyDescent="0.2">
      <c r="A1628" t="str">
        <f t="shared" si="182"/>
        <v/>
      </c>
      <c r="X1628" t="str" cm="1">
        <f t="array" ref="X1628">IF(S1628="","",IF($I1628&lt;&gt;"",$I1628,INDEX($I$2:$I1627,ROW()-COUNTIFS($T$2:$T1627,"="&amp;$T1628,$S$2:$S1627,"&lt;&gt;"&amp;$S1628)-1)))</f>
        <v/>
      </c>
      <c r="Y1628" t="b">
        <f>IF(X1628&lt;&gt;"",VLOOKUP(X1628,game_rosters!$C$43:$E$64,3,FALSE))</f>
        <v>0</v>
      </c>
      <c r="Z1628" t="e" cm="1" vm="1">
        <f t="array" aca="1" ref="Z1628" ca="1">IFERROR(IF(_xlfn._xlws.FILTER(game_rosters!$J:$J,(game_rosters!$G:$G=events!$AN1628)*(game_rosters!$J:$J=events!$X1628))&gt;0,1,""),"")</f>
        <v>#VALUE!</v>
      </c>
      <c r="AA1628">
        <f t="shared" si="179"/>
        <v>1000</v>
      </c>
      <c r="AB1628" t="str">
        <f t="shared" si="180"/>
        <v/>
      </c>
      <c r="AC1628">
        <f t="shared" si="181"/>
        <v>1000</v>
      </c>
      <c r="AD1628" s="6"/>
    </row>
    <row r="1629" spans="1:30" x14ac:dyDescent="0.2">
      <c r="A1629" t="str">
        <f t="shared" si="182"/>
        <v/>
      </c>
      <c r="X1629" t="str" cm="1">
        <f t="array" ref="X1629">IF(S1629="","",IF($I1629&lt;&gt;"",$I1629,INDEX($I$2:$I1628,ROW()-COUNTIFS($T$2:$T1628,"="&amp;$T1629,$S$2:$S1628,"&lt;&gt;"&amp;$S1629)-1)))</f>
        <v/>
      </c>
      <c r="Y1629" t="b">
        <f>IF(X1629&lt;&gt;"",VLOOKUP(X1629,game_rosters!$C$43:$E$64,3,FALSE))</f>
        <v>0</v>
      </c>
      <c r="Z1629" t="e" cm="1" vm="1">
        <f t="array" aca="1" ref="Z1629" ca="1">IFERROR(IF(_xlfn._xlws.FILTER(game_rosters!$J:$J,(game_rosters!$G:$G=events!$AN1629)*(game_rosters!$J:$J=events!$X1629))&gt;0,1,""),"")</f>
        <v>#VALUE!</v>
      </c>
      <c r="AA1629">
        <f t="shared" ref="AA1629:AA1692" si="183">S1629+1000</f>
        <v>1000</v>
      </c>
      <c r="AB1629" t="str">
        <f t="shared" ref="AB1629:AB1692" si="184">IF(T1629&lt;&gt;"",9000+T1629,"")</f>
        <v/>
      </c>
      <c r="AC1629">
        <f t="shared" si="181"/>
        <v>1000</v>
      </c>
      <c r="AD1629" s="6"/>
    </row>
    <row r="1630" spans="1:30" x14ac:dyDescent="0.2">
      <c r="A1630" t="str">
        <f t="shared" si="182"/>
        <v/>
      </c>
      <c r="X1630" t="str" cm="1">
        <f t="array" ref="X1630">IF(S1630="","",IF($I1630&lt;&gt;"",$I1630,INDEX($I$2:$I1629,ROW()-COUNTIFS($T$2:$T1629,"="&amp;$T1630,$S$2:$S1629,"&lt;&gt;"&amp;$S1630)-1)))</f>
        <v/>
      </c>
      <c r="Y1630" t="b">
        <f>IF(X1630&lt;&gt;"",VLOOKUP(X1630,game_rosters!$C$43:$E$64,3,FALSE))</f>
        <v>0</v>
      </c>
      <c r="Z1630" t="e" cm="1" vm="1">
        <f t="array" aca="1" ref="Z1630" ca="1">IFERROR(IF(_xlfn._xlws.FILTER(game_rosters!$J:$J,(game_rosters!$G:$G=events!$AN1630)*(game_rosters!$J:$J=events!$X1630))&gt;0,1,""),"")</f>
        <v>#VALUE!</v>
      </c>
      <c r="AA1630">
        <f t="shared" si="183"/>
        <v>1000</v>
      </c>
      <c r="AB1630" t="str">
        <f t="shared" si="184"/>
        <v/>
      </c>
      <c r="AC1630">
        <f t="shared" si="181"/>
        <v>1000</v>
      </c>
      <c r="AD1630" s="6"/>
    </row>
    <row r="1631" spans="1:30" x14ac:dyDescent="0.2">
      <c r="A1631" t="str">
        <f t="shared" si="182"/>
        <v/>
      </c>
      <c r="X1631" t="str" cm="1">
        <f t="array" ref="X1631">IF(S1631="","",IF($I1631&lt;&gt;"",$I1631,INDEX($I$2:$I1630,ROW()-COUNTIFS($T$2:$T1630,"="&amp;$T1631,$S$2:$S1630,"&lt;&gt;"&amp;$S1631)-1)))</f>
        <v/>
      </c>
      <c r="Y1631" t="b">
        <f>IF(X1631&lt;&gt;"",VLOOKUP(X1631,game_rosters!$C$43:$E$64,3,FALSE))</f>
        <v>0</v>
      </c>
      <c r="Z1631" t="e" cm="1" vm="1">
        <f t="array" aca="1" ref="Z1631" ca="1">IFERROR(IF(_xlfn._xlws.FILTER(game_rosters!$J:$J,(game_rosters!$G:$G=events!$AN1631)*(game_rosters!$J:$J=events!$X1631))&gt;0,1,""),"")</f>
        <v>#VALUE!</v>
      </c>
      <c r="AA1631">
        <f t="shared" si="183"/>
        <v>1000</v>
      </c>
      <c r="AB1631" t="str">
        <f t="shared" si="184"/>
        <v/>
      </c>
      <c r="AC1631">
        <f t="shared" si="181"/>
        <v>1000</v>
      </c>
      <c r="AD1631" s="6"/>
    </row>
    <row r="1632" spans="1:30" x14ac:dyDescent="0.2">
      <c r="A1632" t="str">
        <f t="shared" si="182"/>
        <v/>
      </c>
      <c r="X1632" t="str" cm="1">
        <f t="array" ref="X1632">IF(S1632="","",IF($I1632&lt;&gt;"",$I1632,INDEX($I$2:$I1631,ROW()-COUNTIFS($T$2:$T1631,"="&amp;$T1632,$S$2:$S1631,"&lt;&gt;"&amp;$S1632)-1)))</f>
        <v/>
      </c>
      <c r="Y1632" t="b">
        <f>IF(X1632&lt;&gt;"",VLOOKUP(X1632,game_rosters!$C$43:$E$64,3,FALSE))</f>
        <v>0</v>
      </c>
      <c r="Z1632" t="e" cm="1" vm="1">
        <f t="array" aca="1" ref="Z1632" ca="1">IFERROR(IF(_xlfn._xlws.FILTER(game_rosters!$J:$J,(game_rosters!$G:$G=events!$AN1632)*(game_rosters!$J:$J=events!$X1632))&gt;0,1,""),"")</f>
        <v>#VALUE!</v>
      </c>
      <c r="AA1632">
        <f t="shared" si="183"/>
        <v>1000</v>
      </c>
      <c r="AB1632" t="str">
        <f t="shared" si="184"/>
        <v/>
      </c>
      <c r="AC1632">
        <f t="shared" si="181"/>
        <v>1000</v>
      </c>
      <c r="AD1632" s="6"/>
    </row>
    <row r="1633" spans="1:30" x14ac:dyDescent="0.2">
      <c r="A1633" t="str">
        <f t="shared" si="182"/>
        <v/>
      </c>
      <c r="X1633" t="str" cm="1">
        <f t="array" ref="X1633">IF(S1633="","",IF($I1633&lt;&gt;"",$I1633,INDEX($I$2:$I1632,ROW()-COUNTIFS($T$2:$T1632,"="&amp;$T1633,$S$2:$S1632,"&lt;&gt;"&amp;$S1633)-1)))</f>
        <v/>
      </c>
      <c r="Y1633" t="b">
        <f>IF(X1633&lt;&gt;"",VLOOKUP(X1633,game_rosters!$C$43:$E$64,3,FALSE))</f>
        <v>0</v>
      </c>
      <c r="Z1633" t="e" cm="1" vm="1">
        <f t="array" aca="1" ref="Z1633" ca="1">IFERROR(IF(_xlfn._xlws.FILTER(game_rosters!$J:$J,(game_rosters!$G:$G=events!$AN1633)*(game_rosters!$J:$J=events!$X1633))&gt;0,1,""),"")</f>
        <v>#VALUE!</v>
      </c>
      <c r="AA1633">
        <f t="shared" si="183"/>
        <v>1000</v>
      </c>
      <c r="AB1633" t="str">
        <f t="shared" si="184"/>
        <v/>
      </c>
      <c r="AC1633">
        <f t="shared" si="181"/>
        <v>1000</v>
      </c>
      <c r="AD1633" s="6"/>
    </row>
    <row r="1634" spans="1:30" x14ac:dyDescent="0.2">
      <c r="A1634" t="str">
        <f t="shared" si="182"/>
        <v/>
      </c>
      <c r="X1634" t="str" cm="1">
        <f t="array" ref="X1634">IF(S1634="","",IF($I1634&lt;&gt;"",$I1634,INDEX($I$2:$I1633,ROW()-COUNTIFS($T$2:$T1633,"="&amp;$T1634,$S$2:$S1633,"&lt;&gt;"&amp;$S1634)-1)))</f>
        <v/>
      </c>
      <c r="Y1634" t="b">
        <f>IF(X1634&lt;&gt;"",VLOOKUP(X1634,game_rosters!$C$43:$E$64,3,FALSE))</f>
        <v>0</v>
      </c>
      <c r="Z1634" t="e" cm="1" vm="1">
        <f t="array" aca="1" ref="Z1634" ca="1">IFERROR(IF(_xlfn._xlws.FILTER(game_rosters!$J:$J,(game_rosters!$G:$G=events!$AN1634)*(game_rosters!$J:$J=events!$X1634))&gt;0,1,""),"")</f>
        <v>#VALUE!</v>
      </c>
      <c r="AA1634">
        <f t="shared" si="183"/>
        <v>1000</v>
      </c>
      <c r="AB1634" t="str">
        <f t="shared" si="184"/>
        <v/>
      </c>
      <c r="AC1634">
        <f t="shared" si="181"/>
        <v>1000</v>
      </c>
      <c r="AD1634" s="6"/>
    </row>
    <row r="1635" spans="1:30" x14ac:dyDescent="0.2">
      <c r="A1635" t="str">
        <f t="shared" si="182"/>
        <v/>
      </c>
      <c r="X1635" t="str" cm="1">
        <f t="array" ref="X1635">IF(S1635="","",IF($I1635&lt;&gt;"",$I1635,INDEX($I$2:$I1634,ROW()-COUNTIFS($T$2:$T1634,"="&amp;$T1635,$S$2:$S1634,"&lt;&gt;"&amp;$S1635)-1)))</f>
        <v/>
      </c>
      <c r="Y1635" t="b">
        <f>IF(X1635&lt;&gt;"",VLOOKUP(X1635,game_rosters!$C$43:$E$64,3,FALSE))</f>
        <v>0</v>
      </c>
      <c r="Z1635" t="e" cm="1" vm="1">
        <f t="array" aca="1" ref="Z1635" ca="1">IFERROR(IF(_xlfn._xlws.FILTER(game_rosters!$J:$J,(game_rosters!$G:$G=events!$AN1635)*(game_rosters!$J:$J=events!$X1635))&gt;0,1,""),"")</f>
        <v>#VALUE!</v>
      </c>
      <c r="AA1635">
        <f t="shared" si="183"/>
        <v>1000</v>
      </c>
      <c r="AB1635" t="str">
        <f t="shared" si="184"/>
        <v/>
      </c>
      <c r="AC1635">
        <f t="shared" si="181"/>
        <v>1000</v>
      </c>
      <c r="AD1635" s="6"/>
    </row>
    <row r="1636" spans="1:30" x14ac:dyDescent="0.2">
      <c r="A1636" t="str">
        <f t="shared" si="182"/>
        <v/>
      </c>
      <c r="X1636" t="str" cm="1">
        <f t="array" ref="X1636">IF(S1636="","",IF($I1636&lt;&gt;"",$I1636,INDEX($I$2:$I1635,ROW()-COUNTIFS($T$2:$T1635,"="&amp;$T1636,$S$2:$S1635,"&lt;&gt;"&amp;$S1636)-1)))</f>
        <v/>
      </c>
      <c r="Y1636" t="b">
        <f>IF(X1636&lt;&gt;"",VLOOKUP(X1636,game_rosters!$C$43:$E$64,3,FALSE))</f>
        <v>0</v>
      </c>
      <c r="Z1636" t="e" cm="1" vm="1">
        <f t="array" aca="1" ref="Z1636" ca="1">IFERROR(IF(_xlfn._xlws.FILTER(game_rosters!$J:$J,(game_rosters!$G:$G=events!$AN1636)*(game_rosters!$J:$J=events!$X1636))&gt;0,1,""),"")</f>
        <v>#VALUE!</v>
      </c>
      <c r="AA1636">
        <f t="shared" si="183"/>
        <v>1000</v>
      </c>
      <c r="AB1636" t="str">
        <f t="shared" si="184"/>
        <v/>
      </c>
      <c r="AC1636">
        <f t="shared" si="181"/>
        <v>1000</v>
      </c>
      <c r="AD1636" s="6"/>
    </row>
    <row r="1637" spans="1:30" x14ac:dyDescent="0.2">
      <c r="A1637" t="str">
        <f t="shared" si="182"/>
        <v/>
      </c>
      <c r="X1637" t="str" cm="1">
        <f t="array" ref="X1637">IF(S1637="","",IF($I1637&lt;&gt;"",$I1637,INDEX($I$2:$I1636,ROW()-COUNTIFS($T$2:$T1636,"="&amp;$T1637,$S$2:$S1636,"&lt;&gt;"&amp;$S1637)-1)))</f>
        <v/>
      </c>
      <c r="Y1637" t="b">
        <f>IF(X1637&lt;&gt;"",VLOOKUP(X1637,game_rosters!$C$43:$E$64,3,FALSE))</f>
        <v>0</v>
      </c>
      <c r="Z1637" t="e" cm="1" vm="1">
        <f t="array" aca="1" ref="Z1637" ca="1">IFERROR(IF(_xlfn._xlws.FILTER(game_rosters!$J:$J,(game_rosters!$G:$G=events!$AN1637)*(game_rosters!$J:$J=events!$X1637))&gt;0,1,""),"")</f>
        <v>#VALUE!</v>
      </c>
      <c r="AA1637">
        <f t="shared" si="183"/>
        <v>1000</v>
      </c>
      <c r="AB1637" t="str">
        <f t="shared" si="184"/>
        <v/>
      </c>
      <c r="AC1637">
        <f t="shared" si="181"/>
        <v>1000</v>
      </c>
      <c r="AD1637" s="6"/>
    </row>
    <row r="1638" spans="1:30" x14ac:dyDescent="0.2">
      <c r="A1638" t="str">
        <f t="shared" si="182"/>
        <v/>
      </c>
      <c r="X1638" t="str" cm="1">
        <f t="array" ref="X1638">IF(S1638="","",IF($I1638&lt;&gt;"",$I1638,INDEX($I$2:$I1637,ROW()-COUNTIFS($T$2:$T1637,"="&amp;$T1638,$S$2:$S1637,"&lt;&gt;"&amp;$S1638)-1)))</f>
        <v/>
      </c>
      <c r="Y1638" t="b">
        <f>IF(X1638&lt;&gt;"",VLOOKUP(X1638,game_rosters!$C$43:$E$64,3,FALSE))</f>
        <v>0</v>
      </c>
      <c r="Z1638" t="e" cm="1" vm="1">
        <f t="array" aca="1" ref="Z1638" ca="1">IFERROR(IF(_xlfn._xlws.FILTER(game_rosters!$J:$J,(game_rosters!$G:$G=events!$AN1638)*(game_rosters!$J:$J=events!$X1638))&gt;0,1,""),"")</f>
        <v>#VALUE!</v>
      </c>
      <c r="AA1638">
        <f t="shared" si="183"/>
        <v>1000</v>
      </c>
      <c r="AB1638" t="str">
        <f t="shared" si="184"/>
        <v/>
      </c>
      <c r="AC1638">
        <f t="shared" si="181"/>
        <v>1000</v>
      </c>
      <c r="AD1638" s="6"/>
    </row>
    <row r="1639" spans="1:30" x14ac:dyDescent="0.2">
      <c r="A1639" t="str">
        <f t="shared" si="182"/>
        <v/>
      </c>
      <c r="X1639" t="str" cm="1">
        <f t="array" ref="X1639">IF(S1639="","",IF($I1639&lt;&gt;"",$I1639,INDEX($I$2:$I1638,ROW()-COUNTIFS($T$2:$T1638,"="&amp;$T1639,$S$2:$S1638,"&lt;&gt;"&amp;$S1639)-1)))</f>
        <v/>
      </c>
      <c r="Y1639" t="b">
        <f>IF(X1639&lt;&gt;"",VLOOKUP(X1639,game_rosters!$C$43:$E$64,3,FALSE))</f>
        <v>0</v>
      </c>
      <c r="Z1639" t="e" cm="1" vm="1">
        <f t="array" aca="1" ref="Z1639" ca="1">IFERROR(IF(_xlfn._xlws.FILTER(game_rosters!$J:$J,(game_rosters!$G:$G=events!$AN1639)*(game_rosters!$J:$J=events!$X1639))&gt;0,1,""),"")</f>
        <v>#VALUE!</v>
      </c>
      <c r="AA1639">
        <f t="shared" si="183"/>
        <v>1000</v>
      </c>
      <c r="AB1639" t="str">
        <f t="shared" si="184"/>
        <v/>
      </c>
      <c r="AC1639">
        <f t="shared" si="181"/>
        <v>1000</v>
      </c>
      <c r="AD1639" s="6"/>
    </row>
    <row r="1640" spans="1:30" x14ac:dyDescent="0.2">
      <c r="A1640" t="str">
        <f t="shared" si="182"/>
        <v/>
      </c>
      <c r="X1640" t="str" cm="1">
        <f t="array" ref="X1640">IF(S1640="","",IF($I1640&lt;&gt;"",$I1640,INDEX($I$2:$I1639,ROW()-COUNTIFS($T$2:$T1639,"="&amp;$T1640,$S$2:$S1639,"&lt;&gt;"&amp;$S1640)-1)))</f>
        <v/>
      </c>
      <c r="Y1640" t="b">
        <f>IF(X1640&lt;&gt;"",VLOOKUP(X1640,game_rosters!$C$43:$E$64,3,FALSE))</f>
        <v>0</v>
      </c>
      <c r="Z1640" t="e" cm="1" vm="1">
        <f t="array" aca="1" ref="Z1640" ca="1">IFERROR(IF(_xlfn._xlws.FILTER(game_rosters!$J:$J,(game_rosters!$G:$G=events!$AN1640)*(game_rosters!$J:$J=events!$X1640))&gt;0,1,""),"")</f>
        <v>#VALUE!</v>
      </c>
      <c r="AA1640">
        <f t="shared" si="183"/>
        <v>1000</v>
      </c>
      <c r="AB1640" t="str">
        <f t="shared" si="184"/>
        <v/>
      </c>
      <c r="AC1640">
        <f t="shared" si="181"/>
        <v>1000</v>
      </c>
      <c r="AD1640" s="6"/>
    </row>
    <row r="1641" spans="1:30" x14ac:dyDescent="0.2">
      <c r="A1641" t="str">
        <f t="shared" si="182"/>
        <v/>
      </c>
      <c r="X1641" t="str" cm="1">
        <f t="array" ref="X1641">IF(S1641="","",IF($I1641&lt;&gt;"",$I1641,INDEX($I$2:$I1640,ROW()-COUNTIFS($T$2:$T1640,"="&amp;$T1641,$S$2:$S1640,"&lt;&gt;"&amp;$S1641)-1)))</f>
        <v/>
      </c>
      <c r="Y1641" t="b">
        <f>IF(X1641&lt;&gt;"",VLOOKUP(X1641,game_rosters!$C$43:$E$64,3,FALSE))</f>
        <v>0</v>
      </c>
      <c r="Z1641" t="e" cm="1" vm="1">
        <f t="array" aca="1" ref="Z1641" ca="1">IFERROR(IF(_xlfn._xlws.FILTER(game_rosters!$J:$J,(game_rosters!$G:$G=events!$AN1641)*(game_rosters!$J:$J=events!$X1641))&gt;0,1,""),"")</f>
        <v>#VALUE!</v>
      </c>
      <c r="AA1641">
        <f t="shared" si="183"/>
        <v>1000</v>
      </c>
      <c r="AB1641" t="str">
        <f t="shared" si="184"/>
        <v/>
      </c>
      <c r="AC1641">
        <f t="shared" si="181"/>
        <v>1000</v>
      </c>
      <c r="AD1641" s="6"/>
    </row>
    <row r="1642" spans="1:30" x14ac:dyDescent="0.2">
      <c r="A1642" t="str">
        <f t="shared" si="182"/>
        <v/>
      </c>
      <c r="X1642" t="str" cm="1">
        <f t="array" ref="X1642">IF(S1642="","",IF($I1642&lt;&gt;"",$I1642,INDEX($I$2:$I1641,ROW()-COUNTIFS($T$2:$T1641,"="&amp;$T1642,$S$2:$S1641,"&lt;&gt;"&amp;$S1642)-1)))</f>
        <v/>
      </c>
      <c r="Y1642" t="b">
        <f>IF(X1642&lt;&gt;"",VLOOKUP(X1642,game_rosters!$C$43:$E$64,3,FALSE))</f>
        <v>0</v>
      </c>
      <c r="Z1642" t="e" cm="1" vm="1">
        <f t="array" aca="1" ref="Z1642" ca="1">IFERROR(IF(_xlfn._xlws.FILTER(game_rosters!$J:$J,(game_rosters!$G:$G=events!$AN1642)*(game_rosters!$J:$J=events!$X1642))&gt;0,1,""),"")</f>
        <v>#VALUE!</v>
      </c>
      <c r="AA1642">
        <f t="shared" si="183"/>
        <v>1000</v>
      </c>
      <c r="AB1642" t="str">
        <f t="shared" si="184"/>
        <v/>
      </c>
      <c r="AC1642">
        <f t="shared" si="181"/>
        <v>1000</v>
      </c>
      <c r="AD1642" s="6"/>
    </row>
    <row r="1643" spans="1:30" x14ac:dyDescent="0.2">
      <c r="A1643" t="str">
        <f t="shared" si="182"/>
        <v/>
      </c>
      <c r="X1643" t="str" cm="1">
        <f t="array" ref="X1643">IF(S1643="","",IF($I1643&lt;&gt;"",$I1643,INDEX($I$2:$I1642,ROW()-COUNTIFS($T$2:$T1642,"="&amp;$T1643,$S$2:$S1642,"&lt;&gt;"&amp;$S1643)-1)))</f>
        <v/>
      </c>
      <c r="Y1643" t="b">
        <f>IF(X1643&lt;&gt;"",VLOOKUP(X1643,game_rosters!$C$43:$E$64,3,FALSE))</f>
        <v>0</v>
      </c>
      <c r="Z1643" t="e" cm="1" vm="1">
        <f t="array" aca="1" ref="Z1643" ca="1">IFERROR(IF(_xlfn._xlws.FILTER(game_rosters!$J:$J,(game_rosters!$G:$G=events!$AN1643)*(game_rosters!$J:$J=events!$X1643))&gt;0,1,""),"")</f>
        <v>#VALUE!</v>
      </c>
      <c r="AA1643">
        <f t="shared" si="183"/>
        <v>1000</v>
      </c>
      <c r="AB1643" t="str">
        <f t="shared" si="184"/>
        <v/>
      </c>
      <c r="AC1643">
        <f t="shared" si="181"/>
        <v>1000</v>
      </c>
      <c r="AD1643" s="6"/>
    </row>
    <row r="1644" spans="1:30" x14ac:dyDescent="0.2">
      <c r="A1644" t="str">
        <f t="shared" si="182"/>
        <v/>
      </c>
      <c r="X1644" t="str" cm="1">
        <f t="array" ref="X1644">IF(S1644="","",IF($I1644&lt;&gt;"",$I1644,INDEX($I$2:$I1643,ROW()-COUNTIFS($T$2:$T1643,"="&amp;$T1644,$S$2:$S1643,"&lt;&gt;"&amp;$S1644)-1)))</f>
        <v/>
      </c>
      <c r="Y1644" t="b">
        <f>IF(X1644&lt;&gt;"",VLOOKUP(X1644,game_rosters!$C$43:$E$64,3,FALSE))</f>
        <v>0</v>
      </c>
      <c r="Z1644" t="e" cm="1" vm="1">
        <f t="array" aca="1" ref="Z1644" ca="1">IFERROR(IF(_xlfn._xlws.FILTER(game_rosters!$J:$J,(game_rosters!$G:$G=events!$AN1644)*(game_rosters!$J:$J=events!$X1644))&gt;0,1,""),"")</f>
        <v>#VALUE!</v>
      </c>
      <c r="AA1644">
        <f t="shared" si="183"/>
        <v>1000</v>
      </c>
      <c r="AB1644" t="str">
        <f t="shared" si="184"/>
        <v/>
      </c>
      <c r="AC1644">
        <f t="shared" si="181"/>
        <v>1000</v>
      </c>
      <c r="AD1644" s="6"/>
    </row>
    <row r="1645" spans="1:30" x14ac:dyDescent="0.2">
      <c r="A1645" t="str">
        <f t="shared" si="182"/>
        <v/>
      </c>
      <c r="X1645" t="str" cm="1">
        <f t="array" ref="X1645">IF(S1645="","",IF($I1645&lt;&gt;"",$I1645,INDEX($I$2:$I1644,ROW()-COUNTIFS($T$2:$T1644,"="&amp;$T1645,$S$2:$S1644,"&lt;&gt;"&amp;$S1645)-1)))</f>
        <v/>
      </c>
      <c r="Y1645" t="b">
        <f>IF(X1645&lt;&gt;"",VLOOKUP(X1645,game_rosters!$C$43:$E$64,3,FALSE))</f>
        <v>0</v>
      </c>
      <c r="Z1645" t="e" cm="1" vm="1">
        <f t="array" aca="1" ref="Z1645" ca="1">IFERROR(IF(_xlfn._xlws.FILTER(game_rosters!$J:$J,(game_rosters!$G:$G=events!$AN1645)*(game_rosters!$J:$J=events!$X1645))&gt;0,1,""),"")</f>
        <v>#VALUE!</v>
      </c>
      <c r="AA1645">
        <f t="shared" si="183"/>
        <v>1000</v>
      </c>
      <c r="AB1645" t="str">
        <f t="shared" si="184"/>
        <v/>
      </c>
      <c r="AC1645">
        <f t="shared" si="181"/>
        <v>1000</v>
      </c>
      <c r="AD1645" s="6"/>
    </row>
    <row r="1646" spans="1:30" x14ac:dyDescent="0.2">
      <c r="A1646" t="str">
        <f t="shared" si="182"/>
        <v/>
      </c>
      <c r="X1646" t="str" cm="1">
        <f t="array" ref="X1646">IF(S1646="","",IF($I1646&lt;&gt;"",$I1646,INDEX($I$2:$I1645,ROW()-COUNTIFS($T$2:$T1645,"="&amp;$T1646,$S$2:$S1645,"&lt;&gt;"&amp;$S1646)-1)))</f>
        <v/>
      </c>
      <c r="Y1646" t="b">
        <f>IF(X1646&lt;&gt;"",VLOOKUP(X1646,game_rosters!$C$43:$E$64,3,FALSE))</f>
        <v>0</v>
      </c>
      <c r="Z1646" t="e" cm="1" vm="1">
        <f t="array" aca="1" ref="Z1646" ca="1">IFERROR(IF(_xlfn._xlws.FILTER(game_rosters!$J:$J,(game_rosters!$G:$G=events!$AN1646)*(game_rosters!$J:$J=events!$X1646))&gt;0,1,""),"")</f>
        <v>#VALUE!</v>
      </c>
      <c r="AA1646">
        <f t="shared" si="183"/>
        <v>1000</v>
      </c>
      <c r="AB1646" t="str">
        <f t="shared" si="184"/>
        <v/>
      </c>
      <c r="AC1646">
        <f t="shared" si="181"/>
        <v>1000</v>
      </c>
      <c r="AD1646" s="6"/>
    </row>
    <row r="1647" spans="1:30" x14ac:dyDescent="0.2">
      <c r="A1647" t="str">
        <f t="shared" si="182"/>
        <v/>
      </c>
      <c r="X1647" t="str" cm="1">
        <f t="array" ref="X1647">IF(S1647="","",IF($I1647&lt;&gt;"",$I1647,INDEX($I$2:$I1646,ROW()-COUNTIFS($T$2:$T1646,"="&amp;$T1647,$S$2:$S1646,"&lt;&gt;"&amp;$S1647)-1)))</f>
        <v/>
      </c>
      <c r="Y1647" t="b">
        <f>IF(X1647&lt;&gt;"",VLOOKUP(X1647,game_rosters!$C$43:$E$64,3,FALSE))</f>
        <v>0</v>
      </c>
      <c r="Z1647" t="e" cm="1" vm="1">
        <f t="array" aca="1" ref="Z1647" ca="1">IFERROR(IF(_xlfn._xlws.FILTER(game_rosters!$J:$J,(game_rosters!$G:$G=events!$AN1647)*(game_rosters!$J:$J=events!$X1647))&gt;0,1,""),"")</f>
        <v>#VALUE!</v>
      </c>
      <c r="AA1647">
        <f t="shared" si="183"/>
        <v>1000</v>
      </c>
      <c r="AB1647" t="str">
        <f t="shared" si="184"/>
        <v/>
      </c>
      <c r="AC1647">
        <f t="shared" si="181"/>
        <v>1000</v>
      </c>
      <c r="AD1647" s="6"/>
    </row>
    <row r="1648" spans="1:30" x14ac:dyDescent="0.2">
      <c r="A1648" t="str">
        <f t="shared" si="182"/>
        <v/>
      </c>
      <c r="X1648" t="str" cm="1">
        <f t="array" ref="X1648">IF(S1648="","",IF($I1648&lt;&gt;"",$I1648,INDEX($I$2:$I1647,ROW()-COUNTIFS($T$2:$T1647,"="&amp;$T1648,$S$2:$S1647,"&lt;&gt;"&amp;$S1648)-1)))</f>
        <v/>
      </c>
      <c r="Y1648" t="b">
        <f>IF(X1648&lt;&gt;"",VLOOKUP(X1648,game_rosters!$C$43:$E$64,3,FALSE))</f>
        <v>0</v>
      </c>
      <c r="Z1648" t="e" cm="1" vm="1">
        <f t="array" aca="1" ref="Z1648" ca="1">IFERROR(IF(_xlfn._xlws.FILTER(game_rosters!$J:$J,(game_rosters!$G:$G=events!$AN1648)*(game_rosters!$J:$J=events!$X1648))&gt;0,1,""),"")</f>
        <v>#VALUE!</v>
      </c>
      <c r="AA1648">
        <f t="shared" si="183"/>
        <v>1000</v>
      </c>
      <c r="AB1648" t="str">
        <f t="shared" si="184"/>
        <v/>
      </c>
      <c r="AC1648">
        <f t="shared" si="181"/>
        <v>1000</v>
      </c>
      <c r="AD1648" s="6"/>
    </row>
    <row r="1649" spans="1:30" x14ac:dyDescent="0.2">
      <c r="A1649" t="str">
        <f t="shared" si="182"/>
        <v/>
      </c>
      <c r="X1649" t="str" cm="1">
        <f t="array" ref="X1649">IF(S1649="","",IF($I1649&lt;&gt;"",$I1649,INDEX($I$2:$I1648,ROW()-COUNTIFS($T$2:$T1648,"="&amp;$T1649,$S$2:$S1648,"&lt;&gt;"&amp;$S1649)-1)))</f>
        <v/>
      </c>
      <c r="Y1649" t="b">
        <f>IF(X1649&lt;&gt;"",VLOOKUP(X1649,game_rosters!$C$43:$E$64,3,FALSE))</f>
        <v>0</v>
      </c>
      <c r="Z1649" t="e" cm="1" vm="1">
        <f t="array" aca="1" ref="Z1649" ca="1">IFERROR(IF(_xlfn._xlws.FILTER(game_rosters!$J:$J,(game_rosters!$G:$G=events!$AN1649)*(game_rosters!$J:$J=events!$X1649))&gt;0,1,""),"")</f>
        <v>#VALUE!</v>
      </c>
      <c r="AA1649">
        <f t="shared" si="183"/>
        <v>1000</v>
      </c>
      <c r="AB1649" t="str">
        <f t="shared" si="184"/>
        <v/>
      </c>
      <c r="AC1649">
        <f t="shared" si="181"/>
        <v>1000</v>
      </c>
      <c r="AD1649" s="6"/>
    </row>
    <row r="1650" spans="1:30" x14ac:dyDescent="0.2">
      <c r="A1650" t="str">
        <f t="shared" si="182"/>
        <v/>
      </c>
      <c r="X1650" t="str" cm="1">
        <f t="array" ref="X1650">IF(S1650="","",IF($I1650&lt;&gt;"",$I1650,INDEX($I$2:$I1649,ROW()-COUNTIFS($T$2:$T1649,"="&amp;$T1650,$S$2:$S1649,"&lt;&gt;"&amp;$S1650)-1)))</f>
        <v/>
      </c>
      <c r="Y1650" t="b">
        <f>IF(X1650&lt;&gt;"",VLOOKUP(X1650,game_rosters!$C$43:$E$64,3,FALSE))</f>
        <v>0</v>
      </c>
      <c r="Z1650" t="e" cm="1" vm="1">
        <f t="array" aca="1" ref="Z1650" ca="1">IFERROR(IF(_xlfn._xlws.FILTER(game_rosters!$J:$J,(game_rosters!$G:$G=events!$AN1650)*(game_rosters!$J:$J=events!$X1650))&gt;0,1,""),"")</f>
        <v>#VALUE!</v>
      </c>
      <c r="AA1650">
        <f t="shared" si="183"/>
        <v>1000</v>
      </c>
      <c r="AB1650" t="str">
        <f t="shared" si="184"/>
        <v/>
      </c>
      <c r="AC1650">
        <f t="shared" si="181"/>
        <v>1000</v>
      </c>
      <c r="AD1650" s="6"/>
    </row>
    <row r="1651" spans="1:30" x14ac:dyDescent="0.2">
      <c r="A1651" t="str">
        <f t="shared" si="182"/>
        <v/>
      </c>
      <c r="X1651" t="str" cm="1">
        <f t="array" ref="X1651">IF(S1651="","",IF($I1651&lt;&gt;"",$I1651,INDEX($I$2:$I1650,ROW()-COUNTIFS($T$2:$T1650,"="&amp;$T1651,$S$2:$S1650,"&lt;&gt;"&amp;$S1651)-1)))</f>
        <v/>
      </c>
      <c r="Y1651" t="b">
        <f>IF(X1651&lt;&gt;"",VLOOKUP(X1651,game_rosters!$C$43:$E$64,3,FALSE))</f>
        <v>0</v>
      </c>
      <c r="Z1651" t="e" cm="1" vm="1">
        <f t="array" aca="1" ref="Z1651" ca="1">IFERROR(IF(_xlfn._xlws.FILTER(game_rosters!$J:$J,(game_rosters!$G:$G=events!$AN1651)*(game_rosters!$J:$J=events!$X1651))&gt;0,1,""),"")</f>
        <v>#VALUE!</v>
      </c>
      <c r="AA1651">
        <f t="shared" si="183"/>
        <v>1000</v>
      </c>
      <c r="AB1651" t="str">
        <f t="shared" si="184"/>
        <v/>
      </c>
      <c r="AC1651">
        <f t="shared" si="181"/>
        <v>1000</v>
      </c>
      <c r="AD1651" s="6"/>
    </row>
    <row r="1652" spans="1:30" x14ac:dyDescent="0.2">
      <c r="A1652" t="str">
        <f t="shared" si="182"/>
        <v/>
      </c>
      <c r="X1652" t="str" cm="1">
        <f t="array" ref="X1652">IF(S1652="","",IF($I1652&lt;&gt;"",$I1652,INDEX($I$2:$I1651,ROW()-COUNTIFS($T$2:$T1651,"="&amp;$T1652,$S$2:$S1651,"&lt;&gt;"&amp;$S1652)-1)))</f>
        <v/>
      </c>
      <c r="Y1652" t="b">
        <f>IF(X1652&lt;&gt;"",VLOOKUP(X1652,game_rosters!$C$43:$E$64,3,FALSE))</f>
        <v>0</v>
      </c>
      <c r="Z1652" t="e" cm="1" vm="1">
        <f t="array" aca="1" ref="Z1652" ca="1">IFERROR(IF(_xlfn._xlws.FILTER(game_rosters!$J:$J,(game_rosters!$G:$G=events!$AN1652)*(game_rosters!$J:$J=events!$X1652))&gt;0,1,""),"")</f>
        <v>#VALUE!</v>
      </c>
      <c r="AA1652">
        <f t="shared" si="183"/>
        <v>1000</v>
      </c>
      <c r="AB1652" t="str">
        <f t="shared" si="184"/>
        <v/>
      </c>
      <c r="AC1652">
        <f t="shared" si="181"/>
        <v>1000</v>
      </c>
      <c r="AD1652" s="6"/>
    </row>
    <row r="1653" spans="1:30" x14ac:dyDescent="0.2">
      <c r="A1653" t="str">
        <f t="shared" si="182"/>
        <v/>
      </c>
      <c r="X1653" t="str" cm="1">
        <f t="array" ref="X1653">IF(S1653="","",IF($I1653&lt;&gt;"",$I1653,INDEX($I$2:$I1652,ROW()-COUNTIFS($T$2:$T1652,"="&amp;$T1653,$S$2:$S1652,"&lt;&gt;"&amp;$S1653)-1)))</f>
        <v/>
      </c>
      <c r="Y1653" t="b">
        <f>IF(X1653&lt;&gt;"",VLOOKUP(X1653,game_rosters!$C$43:$E$64,3,FALSE))</f>
        <v>0</v>
      </c>
      <c r="Z1653" t="e" cm="1" vm="1">
        <f t="array" aca="1" ref="Z1653" ca="1">IFERROR(IF(_xlfn._xlws.FILTER(game_rosters!$J:$J,(game_rosters!$G:$G=events!$AN1653)*(game_rosters!$J:$J=events!$X1653))&gt;0,1,""),"")</f>
        <v>#VALUE!</v>
      </c>
      <c r="AA1653">
        <f t="shared" si="183"/>
        <v>1000</v>
      </c>
      <c r="AB1653" t="str">
        <f t="shared" si="184"/>
        <v/>
      </c>
      <c r="AC1653">
        <f t="shared" si="181"/>
        <v>1000</v>
      </c>
      <c r="AD1653" s="6"/>
    </row>
    <row r="1654" spans="1:30" x14ac:dyDescent="0.2">
      <c r="A1654" t="str">
        <f t="shared" si="182"/>
        <v/>
      </c>
      <c r="X1654" t="str" cm="1">
        <f t="array" ref="X1654">IF(S1654="","",IF($I1654&lt;&gt;"",$I1654,INDEX($I$2:$I1653,ROW()-COUNTIFS($T$2:$T1653,"="&amp;$T1654,$S$2:$S1653,"&lt;&gt;"&amp;$S1654)-1)))</f>
        <v/>
      </c>
      <c r="Y1654" t="b">
        <f>IF(X1654&lt;&gt;"",VLOOKUP(X1654,game_rosters!$C$43:$E$64,3,FALSE))</f>
        <v>0</v>
      </c>
      <c r="Z1654" t="e" cm="1" vm="1">
        <f t="array" aca="1" ref="Z1654" ca="1">IFERROR(IF(_xlfn._xlws.FILTER(game_rosters!$J:$J,(game_rosters!$G:$G=events!$AN1654)*(game_rosters!$J:$J=events!$X1654))&gt;0,1,""),"")</f>
        <v>#VALUE!</v>
      </c>
      <c r="AA1654">
        <f t="shared" si="183"/>
        <v>1000</v>
      </c>
      <c r="AB1654" t="str">
        <f t="shared" si="184"/>
        <v/>
      </c>
      <c r="AC1654">
        <f t="shared" si="181"/>
        <v>1000</v>
      </c>
      <c r="AD1654" s="6"/>
    </row>
    <row r="1655" spans="1:30" x14ac:dyDescent="0.2">
      <c r="A1655" t="str">
        <f t="shared" si="182"/>
        <v/>
      </c>
      <c r="X1655" t="str" cm="1">
        <f t="array" ref="X1655">IF(S1655="","",IF($I1655&lt;&gt;"",$I1655,INDEX($I$2:$I1654,ROW()-COUNTIFS($T$2:$T1654,"="&amp;$T1655,$S$2:$S1654,"&lt;&gt;"&amp;$S1655)-1)))</f>
        <v/>
      </c>
      <c r="Y1655" t="b">
        <f>IF(X1655&lt;&gt;"",VLOOKUP(X1655,game_rosters!$C$43:$E$64,3,FALSE))</f>
        <v>0</v>
      </c>
      <c r="Z1655" t="e" cm="1" vm="1">
        <f t="array" aca="1" ref="Z1655" ca="1">IFERROR(IF(_xlfn._xlws.FILTER(game_rosters!$J:$J,(game_rosters!$G:$G=events!$AN1655)*(game_rosters!$J:$J=events!$X1655))&gt;0,1,""),"")</f>
        <v>#VALUE!</v>
      </c>
      <c r="AA1655">
        <f t="shared" si="183"/>
        <v>1000</v>
      </c>
      <c r="AB1655" t="str">
        <f t="shared" si="184"/>
        <v/>
      </c>
      <c r="AC1655">
        <f t="shared" si="181"/>
        <v>1000</v>
      </c>
      <c r="AD1655" s="6"/>
    </row>
    <row r="1656" spans="1:30" x14ac:dyDescent="0.2">
      <c r="A1656" t="str">
        <f t="shared" si="182"/>
        <v/>
      </c>
      <c r="X1656" t="str" cm="1">
        <f t="array" ref="X1656">IF(S1656="","",IF($I1656&lt;&gt;"",$I1656,INDEX($I$2:$I1655,ROW()-COUNTIFS($T$2:$T1655,"="&amp;$T1656,$S$2:$S1655,"&lt;&gt;"&amp;$S1656)-1)))</f>
        <v/>
      </c>
      <c r="Y1656" t="b">
        <f>IF(X1656&lt;&gt;"",VLOOKUP(X1656,game_rosters!$C$43:$E$64,3,FALSE))</f>
        <v>0</v>
      </c>
      <c r="Z1656" t="e" cm="1" vm="1">
        <f t="array" aca="1" ref="Z1656" ca="1">IFERROR(IF(_xlfn._xlws.FILTER(game_rosters!$J:$J,(game_rosters!$G:$G=events!$AN1656)*(game_rosters!$J:$J=events!$X1656))&gt;0,1,""),"")</f>
        <v>#VALUE!</v>
      </c>
      <c r="AA1656">
        <f t="shared" si="183"/>
        <v>1000</v>
      </c>
      <c r="AB1656" t="str">
        <f t="shared" si="184"/>
        <v/>
      </c>
      <c r="AC1656">
        <f t="shared" si="181"/>
        <v>1000</v>
      </c>
      <c r="AD1656" s="6"/>
    </row>
    <row r="1657" spans="1:30" x14ac:dyDescent="0.2">
      <c r="A1657" t="str">
        <f t="shared" si="182"/>
        <v/>
      </c>
      <c r="X1657" t="str" cm="1">
        <f t="array" ref="X1657">IF(S1657="","",IF($I1657&lt;&gt;"",$I1657,INDEX($I$2:$I1656,ROW()-COUNTIFS($T$2:$T1656,"="&amp;$T1657,$S$2:$S1656,"&lt;&gt;"&amp;$S1657)-1)))</f>
        <v/>
      </c>
      <c r="Y1657" t="b">
        <f>IF(X1657&lt;&gt;"",VLOOKUP(X1657,game_rosters!$C$43:$E$64,3,FALSE))</f>
        <v>0</v>
      </c>
      <c r="Z1657" t="e" cm="1" vm="1">
        <f t="array" aca="1" ref="Z1657" ca="1">IFERROR(IF(_xlfn._xlws.FILTER(game_rosters!$J:$J,(game_rosters!$G:$G=events!$AN1657)*(game_rosters!$J:$J=events!$X1657))&gt;0,1,""),"")</f>
        <v>#VALUE!</v>
      </c>
      <c r="AA1657">
        <f t="shared" si="183"/>
        <v>1000</v>
      </c>
      <c r="AB1657" t="str">
        <f t="shared" si="184"/>
        <v/>
      </c>
      <c r="AC1657">
        <f t="shared" si="181"/>
        <v>1000</v>
      </c>
      <c r="AD1657" s="6"/>
    </row>
    <row r="1658" spans="1:30" x14ac:dyDescent="0.2">
      <c r="A1658" t="str">
        <f t="shared" si="182"/>
        <v/>
      </c>
      <c r="X1658" t="str" cm="1">
        <f t="array" ref="X1658">IF(S1658="","",IF($I1658&lt;&gt;"",$I1658,INDEX($I$2:$I1657,ROW()-COUNTIFS($T$2:$T1657,"="&amp;$T1658,$S$2:$S1657,"&lt;&gt;"&amp;$S1658)-1)))</f>
        <v/>
      </c>
      <c r="Y1658" t="b">
        <f>IF(X1658&lt;&gt;"",VLOOKUP(X1658,game_rosters!$C$43:$E$64,3,FALSE))</f>
        <v>0</v>
      </c>
      <c r="Z1658" t="e" cm="1" vm="1">
        <f t="array" aca="1" ref="Z1658" ca="1">IFERROR(IF(_xlfn._xlws.FILTER(game_rosters!$J:$J,(game_rosters!$G:$G=events!$AN1658)*(game_rosters!$J:$J=events!$X1658))&gt;0,1,""),"")</f>
        <v>#VALUE!</v>
      </c>
      <c r="AA1658">
        <f t="shared" si="183"/>
        <v>1000</v>
      </c>
      <c r="AB1658" t="str">
        <f t="shared" si="184"/>
        <v/>
      </c>
      <c r="AC1658">
        <f t="shared" si="181"/>
        <v>1000</v>
      </c>
      <c r="AD1658" s="6"/>
    </row>
    <row r="1659" spans="1:30" x14ac:dyDescent="0.2">
      <c r="A1659" t="str">
        <f t="shared" si="182"/>
        <v/>
      </c>
      <c r="X1659" t="str" cm="1">
        <f t="array" ref="X1659">IF(S1659="","",IF($I1659&lt;&gt;"",$I1659,INDEX($I$2:$I1658,ROW()-COUNTIFS($T$2:$T1658,"="&amp;$T1659,$S$2:$S1658,"&lt;&gt;"&amp;$S1659)-1)))</f>
        <v/>
      </c>
      <c r="Y1659" t="b">
        <f>IF(X1659&lt;&gt;"",VLOOKUP(X1659,game_rosters!$C$43:$E$64,3,FALSE))</f>
        <v>0</v>
      </c>
      <c r="Z1659" t="e" cm="1" vm="1">
        <f t="array" aca="1" ref="Z1659" ca="1">IFERROR(IF(_xlfn._xlws.FILTER(game_rosters!$J:$J,(game_rosters!$G:$G=events!$AN1659)*(game_rosters!$J:$J=events!$X1659))&gt;0,1,""),"")</f>
        <v>#VALUE!</v>
      </c>
      <c r="AA1659">
        <f t="shared" si="183"/>
        <v>1000</v>
      </c>
      <c r="AB1659" t="str">
        <f t="shared" si="184"/>
        <v/>
      </c>
      <c r="AC1659">
        <f t="shared" si="181"/>
        <v>1000</v>
      </c>
      <c r="AD1659" s="6"/>
    </row>
    <row r="1660" spans="1:30" x14ac:dyDescent="0.2">
      <c r="A1660" t="str">
        <f t="shared" si="182"/>
        <v/>
      </c>
      <c r="X1660" t="str" cm="1">
        <f t="array" ref="X1660">IF(S1660="","",IF($I1660&lt;&gt;"",$I1660,INDEX($I$2:$I1659,ROW()-COUNTIFS($T$2:$T1659,"="&amp;$T1660,$S$2:$S1659,"&lt;&gt;"&amp;$S1660)-1)))</f>
        <v/>
      </c>
      <c r="Y1660" t="b">
        <f>IF(X1660&lt;&gt;"",VLOOKUP(X1660,game_rosters!$C$43:$E$64,3,FALSE))</f>
        <v>0</v>
      </c>
      <c r="Z1660" t="e" cm="1" vm="1">
        <f t="array" aca="1" ref="Z1660" ca="1">IFERROR(IF(_xlfn._xlws.FILTER(game_rosters!$J:$J,(game_rosters!$G:$G=events!$AN1660)*(game_rosters!$J:$J=events!$X1660))&gt;0,1,""),"")</f>
        <v>#VALUE!</v>
      </c>
      <c r="AA1660">
        <f t="shared" si="183"/>
        <v>1000</v>
      </c>
      <c r="AB1660" t="str">
        <f t="shared" si="184"/>
        <v/>
      </c>
      <c r="AC1660">
        <f t="shared" si="181"/>
        <v>1000</v>
      </c>
      <c r="AD1660" s="6"/>
    </row>
    <row r="1661" spans="1:30" x14ac:dyDescent="0.2">
      <c r="A1661" t="str">
        <f t="shared" si="182"/>
        <v/>
      </c>
      <c r="X1661" t="str" cm="1">
        <f t="array" ref="X1661">IF(S1661="","",IF($I1661&lt;&gt;"",$I1661,INDEX($I$2:$I1660,ROW()-COUNTIFS($T$2:$T1660,"="&amp;$T1661,$S$2:$S1660,"&lt;&gt;"&amp;$S1661)-1)))</f>
        <v/>
      </c>
      <c r="Y1661" t="b">
        <f>IF(X1661&lt;&gt;"",VLOOKUP(X1661,game_rosters!$C$43:$E$64,3,FALSE))</f>
        <v>0</v>
      </c>
      <c r="Z1661" t="e" cm="1" vm="1">
        <f t="array" aca="1" ref="Z1661" ca="1">IFERROR(IF(_xlfn._xlws.FILTER(game_rosters!$J:$J,(game_rosters!$G:$G=events!$AN1661)*(game_rosters!$J:$J=events!$X1661))&gt;0,1,""),"")</f>
        <v>#VALUE!</v>
      </c>
      <c r="AA1661">
        <f t="shared" si="183"/>
        <v>1000</v>
      </c>
      <c r="AB1661" t="str">
        <f t="shared" si="184"/>
        <v/>
      </c>
      <c r="AC1661">
        <f t="shared" si="181"/>
        <v>1000</v>
      </c>
      <c r="AD1661" s="6"/>
    </row>
    <row r="1662" spans="1:30" x14ac:dyDescent="0.2">
      <c r="A1662" t="str">
        <f t="shared" si="182"/>
        <v/>
      </c>
      <c r="X1662" t="str" cm="1">
        <f t="array" ref="X1662">IF(S1662="","",IF($I1662&lt;&gt;"",$I1662,INDEX($I$2:$I1661,ROW()-COUNTIFS($T$2:$T1661,"="&amp;$T1662,$S$2:$S1661,"&lt;&gt;"&amp;$S1662)-1)))</f>
        <v/>
      </c>
      <c r="Y1662" t="b">
        <f>IF(X1662&lt;&gt;"",VLOOKUP(X1662,game_rosters!$C$43:$E$64,3,FALSE))</f>
        <v>0</v>
      </c>
      <c r="Z1662" t="e" cm="1" vm="1">
        <f t="array" aca="1" ref="Z1662" ca="1">IFERROR(IF(_xlfn._xlws.FILTER(game_rosters!$J:$J,(game_rosters!$G:$G=events!$AN1662)*(game_rosters!$J:$J=events!$X1662))&gt;0,1,""),"")</f>
        <v>#VALUE!</v>
      </c>
      <c r="AA1662">
        <f t="shared" si="183"/>
        <v>1000</v>
      </c>
      <c r="AB1662" t="str">
        <f t="shared" si="184"/>
        <v/>
      </c>
      <c r="AC1662">
        <f t="shared" si="181"/>
        <v>1000</v>
      </c>
      <c r="AD1662" s="6"/>
    </row>
    <row r="1663" spans="1:30" x14ac:dyDescent="0.2">
      <c r="A1663" t="str">
        <f t="shared" si="182"/>
        <v/>
      </c>
      <c r="X1663" t="str" cm="1">
        <f t="array" ref="X1663">IF(S1663="","",IF($I1663&lt;&gt;"",$I1663,INDEX($I$2:$I1662,ROW()-COUNTIFS($T$2:$T1662,"="&amp;$T1663,$S$2:$S1662,"&lt;&gt;"&amp;$S1663)-1)))</f>
        <v/>
      </c>
      <c r="Y1663" t="b">
        <f>IF(X1663&lt;&gt;"",VLOOKUP(X1663,game_rosters!$C$43:$E$64,3,FALSE))</f>
        <v>0</v>
      </c>
      <c r="Z1663" t="e" cm="1" vm="1">
        <f t="array" aca="1" ref="Z1663" ca="1">IFERROR(IF(_xlfn._xlws.FILTER(game_rosters!$J:$J,(game_rosters!$G:$G=events!$AN1663)*(game_rosters!$J:$J=events!$X1663))&gt;0,1,""),"")</f>
        <v>#VALUE!</v>
      </c>
      <c r="AA1663">
        <f t="shared" si="183"/>
        <v>1000</v>
      </c>
      <c r="AB1663" t="str">
        <f t="shared" si="184"/>
        <v/>
      </c>
      <c r="AC1663">
        <f t="shared" si="181"/>
        <v>1000</v>
      </c>
      <c r="AD1663" s="6"/>
    </row>
    <row r="1664" spans="1:30" x14ac:dyDescent="0.2">
      <c r="A1664" t="str">
        <f t="shared" si="182"/>
        <v/>
      </c>
      <c r="X1664" t="str" cm="1">
        <f t="array" ref="X1664">IF(S1664="","",IF($I1664&lt;&gt;"",$I1664,INDEX($I$2:$I1663,ROW()-COUNTIFS($T$2:$T1663,"="&amp;$T1664,$S$2:$S1663,"&lt;&gt;"&amp;$S1664)-1)))</f>
        <v/>
      </c>
      <c r="Y1664" t="b">
        <f>IF(X1664&lt;&gt;"",VLOOKUP(X1664,game_rosters!$C$43:$E$64,3,FALSE))</f>
        <v>0</v>
      </c>
      <c r="Z1664" t="e" cm="1" vm="1">
        <f t="array" aca="1" ref="Z1664" ca="1">IFERROR(IF(_xlfn._xlws.FILTER(game_rosters!$J:$J,(game_rosters!$G:$G=events!$AN1664)*(game_rosters!$J:$J=events!$X1664))&gt;0,1,""),"")</f>
        <v>#VALUE!</v>
      </c>
      <c r="AA1664">
        <f t="shared" si="183"/>
        <v>1000</v>
      </c>
      <c r="AB1664" t="str">
        <f t="shared" si="184"/>
        <v/>
      </c>
      <c r="AC1664">
        <f t="shared" si="181"/>
        <v>1000</v>
      </c>
      <c r="AD1664" s="6"/>
    </row>
    <row r="1665" spans="1:30" x14ac:dyDescent="0.2">
      <c r="A1665" t="str">
        <f t="shared" si="182"/>
        <v/>
      </c>
      <c r="X1665" t="str" cm="1">
        <f t="array" ref="X1665">IF(S1665="","",IF($I1665&lt;&gt;"",$I1665,INDEX($I$2:$I1664,ROW()-COUNTIFS($T$2:$T1664,"="&amp;$T1665,$S$2:$S1664,"&lt;&gt;"&amp;$S1665)-1)))</f>
        <v/>
      </c>
      <c r="Y1665" t="b">
        <f>IF(X1665&lt;&gt;"",VLOOKUP(X1665,game_rosters!$C$43:$E$64,3,FALSE))</f>
        <v>0</v>
      </c>
      <c r="Z1665" t="e" cm="1" vm="1">
        <f t="array" aca="1" ref="Z1665" ca="1">IFERROR(IF(_xlfn._xlws.FILTER(game_rosters!$J:$J,(game_rosters!$G:$G=events!$AN1665)*(game_rosters!$J:$J=events!$X1665))&gt;0,1,""),"")</f>
        <v>#VALUE!</v>
      </c>
      <c r="AA1665">
        <f t="shared" si="183"/>
        <v>1000</v>
      </c>
      <c r="AB1665" t="str">
        <f t="shared" si="184"/>
        <v/>
      </c>
      <c r="AC1665">
        <f t="shared" si="181"/>
        <v>1000</v>
      </c>
      <c r="AD1665" s="6"/>
    </row>
    <row r="1666" spans="1:30" x14ac:dyDescent="0.2">
      <c r="A1666" t="str">
        <f t="shared" si="182"/>
        <v/>
      </c>
      <c r="X1666" t="str" cm="1">
        <f t="array" ref="X1666">IF(S1666="","",IF($I1666&lt;&gt;"",$I1666,INDEX($I$2:$I1665,ROW()-COUNTIFS($T$2:$T1665,"="&amp;$T1666,$S$2:$S1665,"&lt;&gt;"&amp;$S1666)-1)))</f>
        <v/>
      </c>
      <c r="Y1666" t="b">
        <f>IF(X1666&lt;&gt;"",VLOOKUP(X1666,game_rosters!$C$43:$E$64,3,FALSE))</f>
        <v>0</v>
      </c>
      <c r="Z1666" t="e" cm="1" vm="1">
        <f t="array" aca="1" ref="Z1666" ca="1">IFERROR(IF(_xlfn._xlws.FILTER(game_rosters!$J:$J,(game_rosters!$G:$G=events!$AN1666)*(game_rosters!$J:$J=events!$X1666))&gt;0,1,""),"")</f>
        <v>#VALUE!</v>
      </c>
      <c r="AA1666">
        <f t="shared" si="183"/>
        <v>1000</v>
      </c>
      <c r="AB1666" t="str">
        <f t="shared" si="184"/>
        <v/>
      </c>
      <c r="AC1666">
        <f t="shared" ref="AC1666:AC1729" si="185">IF(AB1666&lt;&gt;"",AB1666,S1666+1000)</f>
        <v>1000</v>
      </c>
      <c r="AD1666" s="6"/>
    </row>
    <row r="1667" spans="1:30" x14ac:dyDescent="0.2">
      <c r="A1667" t="str">
        <f t="shared" si="182"/>
        <v/>
      </c>
      <c r="X1667" t="str" cm="1">
        <f t="array" ref="X1667">IF(S1667="","",IF($I1667&lt;&gt;"",$I1667,INDEX($I$2:$I1666,ROW()-COUNTIFS($T$2:$T1666,"="&amp;$T1667,$S$2:$S1666,"&lt;&gt;"&amp;$S1667)-1)))</f>
        <v/>
      </c>
      <c r="Y1667" t="b">
        <f>IF(X1667&lt;&gt;"",VLOOKUP(X1667,game_rosters!$C$43:$E$64,3,FALSE))</f>
        <v>0</v>
      </c>
      <c r="Z1667" t="e" cm="1" vm="1">
        <f t="array" aca="1" ref="Z1667" ca="1">IFERROR(IF(_xlfn._xlws.FILTER(game_rosters!$J:$J,(game_rosters!$G:$G=events!$AN1667)*(game_rosters!$J:$J=events!$X1667))&gt;0,1,""),"")</f>
        <v>#VALUE!</v>
      </c>
      <c r="AA1667">
        <f t="shared" si="183"/>
        <v>1000</v>
      </c>
      <c r="AB1667" t="str">
        <f t="shared" si="184"/>
        <v/>
      </c>
      <c r="AC1667">
        <f t="shared" si="185"/>
        <v>1000</v>
      </c>
      <c r="AD1667" s="6"/>
    </row>
    <row r="1668" spans="1:30" x14ac:dyDescent="0.2">
      <c r="A1668" t="str">
        <f t="shared" si="182"/>
        <v/>
      </c>
      <c r="X1668" t="str" cm="1">
        <f t="array" ref="X1668">IF(S1668="","",IF($I1668&lt;&gt;"",$I1668,INDEX($I$2:$I1667,ROW()-COUNTIFS($T$2:$T1667,"="&amp;$T1668,$S$2:$S1667,"&lt;&gt;"&amp;$S1668)-1)))</f>
        <v/>
      </c>
      <c r="Y1668" t="b">
        <f>IF(X1668&lt;&gt;"",VLOOKUP(X1668,game_rosters!$C$43:$E$64,3,FALSE))</f>
        <v>0</v>
      </c>
      <c r="Z1668" t="e" cm="1" vm="1">
        <f t="array" aca="1" ref="Z1668" ca="1">IFERROR(IF(_xlfn._xlws.FILTER(game_rosters!$J:$J,(game_rosters!$G:$G=events!$AN1668)*(game_rosters!$J:$J=events!$X1668))&gt;0,1,""),"")</f>
        <v>#VALUE!</v>
      </c>
      <c r="AA1668">
        <f t="shared" si="183"/>
        <v>1000</v>
      </c>
      <c r="AB1668" t="str">
        <f t="shared" si="184"/>
        <v/>
      </c>
      <c r="AC1668">
        <f t="shared" si="185"/>
        <v>1000</v>
      </c>
      <c r="AD1668" s="6"/>
    </row>
    <row r="1669" spans="1:30" x14ac:dyDescent="0.2">
      <c r="A1669" t="str">
        <f t="shared" ref="A1669:A1732" si="186">IF(K1669&lt;&gt;"",1,IF(D1669="x","x",""))</f>
        <v/>
      </c>
      <c r="X1669" t="str" cm="1">
        <f t="array" ref="X1669">IF(S1669="","",IF($I1669&lt;&gt;"",$I1669,INDEX($I$2:$I1668,ROW()-COUNTIFS($T$2:$T1668,"="&amp;$T1669,$S$2:$S1668,"&lt;&gt;"&amp;$S1669)-1)))</f>
        <v/>
      </c>
      <c r="Y1669" t="b">
        <f>IF(X1669&lt;&gt;"",VLOOKUP(X1669,game_rosters!$C$43:$E$64,3,FALSE))</f>
        <v>0</v>
      </c>
      <c r="Z1669" t="e" cm="1" vm="1">
        <f t="array" aca="1" ref="Z1669" ca="1">IFERROR(IF(_xlfn._xlws.FILTER(game_rosters!$J:$J,(game_rosters!$G:$G=events!$AN1669)*(game_rosters!$J:$J=events!$X1669))&gt;0,1,""),"")</f>
        <v>#VALUE!</v>
      </c>
      <c r="AA1669">
        <f t="shared" si="183"/>
        <v>1000</v>
      </c>
      <c r="AB1669" t="str">
        <f t="shared" si="184"/>
        <v/>
      </c>
      <c r="AC1669">
        <f t="shared" si="185"/>
        <v>1000</v>
      </c>
      <c r="AD1669" s="6"/>
    </row>
    <row r="1670" spans="1:30" x14ac:dyDescent="0.2">
      <c r="A1670" t="str">
        <f t="shared" si="186"/>
        <v/>
      </c>
      <c r="X1670" t="str" cm="1">
        <f t="array" ref="X1670">IF(S1670="","",IF($I1670&lt;&gt;"",$I1670,INDEX($I$2:$I1669,ROW()-COUNTIFS($T$2:$T1669,"="&amp;$T1670,$S$2:$S1669,"&lt;&gt;"&amp;$S1670)-1)))</f>
        <v/>
      </c>
      <c r="Y1670" t="b">
        <f>IF(X1670&lt;&gt;"",VLOOKUP(X1670,game_rosters!$C$43:$E$64,3,FALSE))</f>
        <v>0</v>
      </c>
      <c r="Z1670" t="e" cm="1" vm="1">
        <f t="array" aca="1" ref="Z1670" ca="1">IFERROR(IF(_xlfn._xlws.FILTER(game_rosters!$J:$J,(game_rosters!$G:$G=events!$AN1670)*(game_rosters!$J:$J=events!$X1670))&gt;0,1,""),"")</f>
        <v>#VALUE!</v>
      </c>
      <c r="AA1670">
        <f t="shared" si="183"/>
        <v>1000</v>
      </c>
      <c r="AB1670" t="str">
        <f t="shared" si="184"/>
        <v/>
      </c>
      <c r="AC1670">
        <f t="shared" si="185"/>
        <v>1000</v>
      </c>
      <c r="AD1670" s="6"/>
    </row>
    <row r="1671" spans="1:30" x14ac:dyDescent="0.2">
      <c r="A1671" t="str">
        <f t="shared" si="186"/>
        <v/>
      </c>
      <c r="X1671" t="str" cm="1">
        <f t="array" ref="X1671">IF(S1671="","",IF($I1671&lt;&gt;"",$I1671,INDEX($I$2:$I1670,ROW()-COUNTIFS($T$2:$T1670,"="&amp;$T1671,$S$2:$S1670,"&lt;&gt;"&amp;$S1671)-1)))</f>
        <v/>
      </c>
      <c r="Y1671" t="b">
        <f>IF(X1671&lt;&gt;"",VLOOKUP(X1671,game_rosters!$C$43:$E$64,3,FALSE))</f>
        <v>0</v>
      </c>
      <c r="Z1671" t="e" cm="1" vm="1">
        <f t="array" aca="1" ref="Z1671" ca="1">IFERROR(IF(_xlfn._xlws.FILTER(game_rosters!$J:$J,(game_rosters!$G:$G=events!$AN1671)*(game_rosters!$J:$J=events!$X1671))&gt;0,1,""),"")</f>
        <v>#VALUE!</v>
      </c>
      <c r="AA1671">
        <f t="shared" si="183"/>
        <v>1000</v>
      </c>
      <c r="AB1671" t="str">
        <f t="shared" si="184"/>
        <v/>
      </c>
      <c r="AC1671">
        <f t="shared" si="185"/>
        <v>1000</v>
      </c>
      <c r="AD1671" s="6"/>
    </row>
    <row r="1672" spans="1:30" x14ac:dyDescent="0.2">
      <c r="A1672" t="str">
        <f t="shared" si="186"/>
        <v/>
      </c>
      <c r="X1672" t="str" cm="1">
        <f t="array" ref="X1672">IF(S1672="","",IF($I1672&lt;&gt;"",$I1672,INDEX($I$2:$I1671,ROW()-COUNTIFS($T$2:$T1671,"="&amp;$T1672,$S$2:$S1671,"&lt;&gt;"&amp;$S1672)-1)))</f>
        <v/>
      </c>
      <c r="Y1672" t="b">
        <f>IF(X1672&lt;&gt;"",VLOOKUP(X1672,game_rosters!$C$43:$E$64,3,FALSE))</f>
        <v>0</v>
      </c>
      <c r="Z1672" t="e" cm="1" vm="1">
        <f t="array" aca="1" ref="Z1672" ca="1">IFERROR(IF(_xlfn._xlws.FILTER(game_rosters!$J:$J,(game_rosters!$G:$G=events!$AN1672)*(game_rosters!$J:$J=events!$X1672))&gt;0,1,""),"")</f>
        <v>#VALUE!</v>
      </c>
      <c r="AA1672">
        <f t="shared" si="183"/>
        <v>1000</v>
      </c>
      <c r="AB1672" t="str">
        <f t="shared" si="184"/>
        <v/>
      </c>
      <c r="AC1672">
        <f t="shared" si="185"/>
        <v>1000</v>
      </c>
      <c r="AD1672" s="6"/>
    </row>
    <row r="1673" spans="1:30" x14ac:dyDescent="0.2">
      <c r="A1673" t="str">
        <f t="shared" si="186"/>
        <v/>
      </c>
      <c r="X1673" t="str" cm="1">
        <f t="array" ref="X1673">IF(S1673="","",IF($I1673&lt;&gt;"",$I1673,INDEX($I$2:$I1672,ROW()-COUNTIFS($T$2:$T1672,"="&amp;$T1673,$S$2:$S1672,"&lt;&gt;"&amp;$S1673)-1)))</f>
        <v/>
      </c>
      <c r="Y1673" t="b">
        <f>IF(X1673&lt;&gt;"",VLOOKUP(X1673,game_rosters!$C$43:$E$64,3,FALSE))</f>
        <v>0</v>
      </c>
      <c r="Z1673" t="e" cm="1" vm="1">
        <f t="array" aca="1" ref="Z1673" ca="1">IFERROR(IF(_xlfn._xlws.FILTER(game_rosters!$J:$J,(game_rosters!$G:$G=events!$AN1673)*(game_rosters!$J:$J=events!$X1673))&gt;0,1,""),"")</f>
        <v>#VALUE!</v>
      </c>
      <c r="AA1673">
        <f t="shared" si="183"/>
        <v>1000</v>
      </c>
      <c r="AB1673" t="str">
        <f t="shared" si="184"/>
        <v/>
      </c>
      <c r="AC1673">
        <f t="shared" si="185"/>
        <v>1000</v>
      </c>
      <c r="AD1673" s="6"/>
    </row>
    <row r="1674" spans="1:30" x14ac:dyDescent="0.2">
      <c r="A1674" t="str">
        <f t="shared" si="186"/>
        <v/>
      </c>
      <c r="X1674" t="str" cm="1">
        <f t="array" ref="X1674">IF(S1674="","",IF($I1674&lt;&gt;"",$I1674,INDEX($I$2:$I1673,ROW()-COUNTIFS($T$2:$T1673,"="&amp;$T1674,$S$2:$S1673,"&lt;&gt;"&amp;$S1674)-1)))</f>
        <v/>
      </c>
      <c r="Y1674" t="b">
        <f>IF(X1674&lt;&gt;"",VLOOKUP(X1674,game_rosters!$C$43:$E$64,3,FALSE))</f>
        <v>0</v>
      </c>
      <c r="Z1674" t="e" cm="1" vm="1">
        <f t="array" aca="1" ref="Z1674" ca="1">IFERROR(IF(_xlfn._xlws.FILTER(game_rosters!$J:$J,(game_rosters!$G:$G=events!$AN1674)*(game_rosters!$J:$J=events!$X1674))&gt;0,1,""),"")</f>
        <v>#VALUE!</v>
      </c>
      <c r="AA1674">
        <f t="shared" si="183"/>
        <v>1000</v>
      </c>
      <c r="AB1674" t="str">
        <f t="shared" si="184"/>
        <v/>
      </c>
      <c r="AC1674">
        <f t="shared" si="185"/>
        <v>1000</v>
      </c>
      <c r="AD1674" s="6"/>
    </row>
    <row r="1675" spans="1:30" x14ac:dyDescent="0.2">
      <c r="A1675" t="str">
        <f t="shared" si="186"/>
        <v/>
      </c>
      <c r="X1675" t="str" cm="1">
        <f t="array" ref="X1675">IF(S1675="","",IF($I1675&lt;&gt;"",$I1675,INDEX($I$2:$I1674,ROW()-COUNTIFS($T$2:$T1674,"="&amp;$T1675,$S$2:$S1674,"&lt;&gt;"&amp;$S1675)-1)))</f>
        <v/>
      </c>
      <c r="Y1675" t="b">
        <f>IF(X1675&lt;&gt;"",VLOOKUP(X1675,game_rosters!$C$43:$E$64,3,FALSE))</f>
        <v>0</v>
      </c>
      <c r="Z1675" t="e" cm="1" vm="1">
        <f t="array" aca="1" ref="Z1675" ca="1">IFERROR(IF(_xlfn._xlws.FILTER(game_rosters!$J:$J,(game_rosters!$G:$G=events!$AN1675)*(game_rosters!$J:$J=events!$X1675))&gt;0,1,""),"")</f>
        <v>#VALUE!</v>
      </c>
      <c r="AA1675">
        <f t="shared" si="183"/>
        <v>1000</v>
      </c>
      <c r="AB1675" t="str">
        <f t="shared" si="184"/>
        <v/>
      </c>
      <c r="AC1675">
        <f t="shared" si="185"/>
        <v>1000</v>
      </c>
      <c r="AD1675" s="6"/>
    </row>
    <row r="1676" spans="1:30" x14ac:dyDescent="0.2">
      <c r="A1676" t="str">
        <f t="shared" si="186"/>
        <v/>
      </c>
      <c r="X1676" t="str" cm="1">
        <f t="array" ref="X1676">IF(S1676="","",IF($I1676&lt;&gt;"",$I1676,INDEX($I$2:$I1675,ROW()-COUNTIFS($T$2:$T1675,"="&amp;$T1676,$S$2:$S1675,"&lt;&gt;"&amp;$S1676)-1)))</f>
        <v/>
      </c>
      <c r="Y1676" t="b">
        <f>IF(X1676&lt;&gt;"",VLOOKUP(X1676,game_rosters!$C$43:$E$64,3,FALSE))</f>
        <v>0</v>
      </c>
      <c r="Z1676" t="e" cm="1" vm="1">
        <f t="array" aca="1" ref="Z1676" ca="1">IFERROR(IF(_xlfn._xlws.FILTER(game_rosters!$J:$J,(game_rosters!$G:$G=events!$AN1676)*(game_rosters!$J:$J=events!$X1676))&gt;0,1,""),"")</f>
        <v>#VALUE!</v>
      </c>
      <c r="AA1676">
        <f t="shared" si="183"/>
        <v>1000</v>
      </c>
      <c r="AB1676" t="str">
        <f t="shared" si="184"/>
        <v/>
      </c>
      <c r="AC1676">
        <f t="shared" si="185"/>
        <v>1000</v>
      </c>
      <c r="AD1676" s="6"/>
    </row>
    <row r="1677" spans="1:30" x14ac:dyDescent="0.2">
      <c r="A1677" t="str">
        <f t="shared" si="186"/>
        <v/>
      </c>
      <c r="X1677" t="str" cm="1">
        <f t="array" ref="X1677">IF(S1677="","",IF($I1677&lt;&gt;"",$I1677,INDEX($I$2:$I1676,ROW()-COUNTIFS($T$2:$T1676,"="&amp;$T1677,$S$2:$S1676,"&lt;&gt;"&amp;$S1677)-1)))</f>
        <v/>
      </c>
      <c r="Y1677" t="b">
        <f>IF(X1677&lt;&gt;"",VLOOKUP(X1677,game_rosters!$C$43:$E$64,3,FALSE))</f>
        <v>0</v>
      </c>
      <c r="Z1677" t="e" cm="1" vm="1">
        <f t="array" aca="1" ref="Z1677" ca="1">IFERROR(IF(_xlfn._xlws.FILTER(game_rosters!$J:$J,(game_rosters!$G:$G=events!$AN1677)*(game_rosters!$J:$J=events!$X1677))&gt;0,1,""),"")</f>
        <v>#VALUE!</v>
      </c>
      <c r="AA1677">
        <f t="shared" si="183"/>
        <v>1000</v>
      </c>
      <c r="AB1677" t="str">
        <f t="shared" si="184"/>
        <v/>
      </c>
      <c r="AC1677">
        <f t="shared" si="185"/>
        <v>1000</v>
      </c>
      <c r="AD1677" s="6"/>
    </row>
    <row r="1678" spans="1:30" x14ac:dyDescent="0.2">
      <c r="A1678" t="str">
        <f t="shared" si="186"/>
        <v/>
      </c>
      <c r="X1678" t="str" cm="1">
        <f t="array" ref="X1678">IF(S1678="","",IF($I1678&lt;&gt;"",$I1678,INDEX($I$2:$I1677,ROW()-COUNTIFS($T$2:$T1677,"="&amp;$T1678,$S$2:$S1677,"&lt;&gt;"&amp;$S1678)-1)))</f>
        <v/>
      </c>
      <c r="Y1678" t="b">
        <f>IF(X1678&lt;&gt;"",VLOOKUP(X1678,game_rosters!$C$43:$E$64,3,FALSE))</f>
        <v>0</v>
      </c>
      <c r="Z1678" t="e" cm="1" vm="1">
        <f t="array" aca="1" ref="Z1678" ca="1">IFERROR(IF(_xlfn._xlws.FILTER(game_rosters!$J:$J,(game_rosters!$G:$G=events!$AN1678)*(game_rosters!$J:$J=events!$X1678))&gt;0,1,""),"")</f>
        <v>#VALUE!</v>
      </c>
      <c r="AA1678">
        <f t="shared" si="183"/>
        <v>1000</v>
      </c>
      <c r="AB1678" t="str">
        <f t="shared" si="184"/>
        <v/>
      </c>
      <c r="AC1678">
        <f t="shared" si="185"/>
        <v>1000</v>
      </c>
      <c r="AD1678" s="6"/>
    </row>
    <row r="1679" spans="1:30" x14ac:dyDescent="0.2">
      <c r="A1679" t="str">
        <f t="shared" si="186"/>
        <v/>
      </c>
      <c r="X1679" t="str" cm="1">
        <f t="array" ref="X1679">IF(S1679="","",IF($I1679&lt;&gt;"",$I1679,INDEX($I$2:$I1678,ROW()-COUNTIFS($T$2:$T1678,"="&amp;$T1679,$S$2:$S1678,"&lt;&gt;"&amp;$S1679)-1)))</f>
        <v/>
      </c>
      <c r="Y1679" t="b">
        <f>IF(X1679&lt;&gt;"",VLOOKUP(X1679,game_rosters!$C$43:$E$64,3,FALSE))</f>
        <v>0</v>
      </c>
      <c r="Z1679" t="e" cm="1" vm="1">
        <f t="array" aca="1" ref="Z1679" ca="1">IFERROR(IF(_xlfn._xlws.FILTER(game_rosters!$J:$J,(game_rosters!$G:$G=events!$AN1679)*(game_rosters!$J:$J=events!$X1679))&gt;0,1,""),"")</f>
        <v>#VALUE!</v>
      </c>
      <c r="AA1679">
        <f t="shared" si="183"/>
        <v>1000</v>
      </c>
      <c r="AB1679" t="str">
        <f t="shared" si="184"/>
        <v/>
      </c>
      <c r="AC1679">
        <f t="shared" si="185"/>
        <v>1000</v>
      </c>
      <c r="AD1679" s="6"/>
    </row>
    <row r="1680" spans="1:30" x14ac:dyDescent="0.2">
      <c r="A1680" t="str">
        <f t="shared" si="186"/>
        <v/>
      </c>
      <c r="X1680" t="str" cm="1">
        <f t="array" ref="X1680">IF(S1680="","",IF($I1680&lt;&gt;"",$I1680,INDEX($I$2:$I1679,ROW()-COUNTIFS($T$2:$T1679,"="&amp;$T1680,$S$2:$S1679,"&lt;&gt;"&amp;$S1680)-1)))</f>
        <v/>
      </c>
      <c r="Y1680" t="b">
        <f>IF(X1680&lt;&gt;"",VLOOKUP(X1680,game_rosters!$C$43:$E$64,3,FALSE))</f>
        <v>0</v>
      </c>
      <c r="Z1680" t="e" cm="1" vm="1">
        <f t="array" aca="1" ref="Z1680" ca="1">IFERROR(IF(_xlfn._xlws.FILTER(game_rosters!$J:$J,(game_rosters!$G:$G=events!$AN1680)*(game_rosters!$J:$J=events!$X1680))&gt;0,1,""),"")</f>
        <v>#VALUE!</v>
      </c>
      <c r="AA1680">
        <f t="shared" si="183"/>
        <v>1000</v>
      </c>
      <c r="AB1680" t="str">
        <f t="shared" si="184"/>
        <v/>
      </c>
      <c r="AC1680">
        <f t="shared" si="185"/>
        <v>1000</v>
      </c>
      <c r="AD1680" s="6"/>
    </row>
    <row r="1681" spans="1:30" x14ac:dyDescent="0.2">
      <c r="A1681" t="str">
        <f t="shared" si="186"/>
        <v/>
      </c>
      <c r="X1681" t="str" cm="1">
        <f t="array" ref="X1681">IF(S1681="","",IF($I1681&lt;&gt;"",$I1681,INDEX($I$2:$I1680,ROW()-COUNTIFS($T$2:$T1680,"="&amp;$T1681,$S$2:$S1680,"&lt;&gt;"&amp;$S1681)-1)))</f>
        <v/>
      </c>
      <c r="Y1681" t="b">
        <f>IF(X1681&lt;&gt;"",VLOOKUP(X1681,game_rosters!$C$43:$E$64,3,FALSE))</f>
        <v>0</v>
      </c>
      <c r="Z1681" t="e" cm="1" vm="1">
        <f t="array" aca="1" ref="Z1681" ca="1">IFERROR(IF(_xlfn._xlws.FILTER(game_rosters!$J:$J,(game_rosters!$G:$G=events!$AN1681)*(game_rosters!$J:$J=events!$X1681))&gt;0,1,""),"")</f>
        <v>#VALUE!</v>
      </c>
      <c r="AA1681">
        <f t="shared" si="183"/>
        <v>1000</v>
      </c>
      <c r="AB1681" t="str">
        <f t="shared" si="184"/>
        <v/>
      </c>
      <c r="AC1681">
        <f t="shared" si="185"/>
        <v>1000</v>
      </c>
      <c r="AD1681" s="6"/>
    </row>
    <row r="1682" spans="1:30" x14ac:dyDescent="0.2">
      <c r="A1682" t="str">
        <f t="shared" si="186"/>
        <v/>
      </c>
      <c r="X1682" t="str" cm="1">
        <f t="array" ref="X1682">IF(S1682="","",IF($I1682&lt;&gt;"",$I1682,INDEX($I$2:$I1681,ROW()-COUNTIFS($T$2:$T1681,"="&amp;$T1682,$S$2:$S1681,"&lt;&gt;"&amp;$S1682)-1)))</f>
        <v/>
      </c>
      <c r="Y1682" t="b">
        <f>IF(X1682&lt;&gt;"",VLOOKUP(X1682,game_rosters!$C$43:$E$64,3,FALSE))</f>
        <v>0</v>
      </c>
      <c r="Z1682" t="e" cm="1" vm="1">
        <f t="array" aca="1" ref="Z1682" ca="1">IFERROR(IF(_xlfn._xlws.FILTER(game_rosters!$J:$J,(game_rosters!$G:$G=events!$AN1682)*(game_rosters!$J:$J=events!$X1682))&gt;0,1,""),"")</f>
        <v>#VALUE!</v>
      </c>
      <c r="AA1682">
        <f t="shared" si="183"/>
        <v>1000</v>
      </c>
      <c r="AB1682" t="str">
        <f t="shared" si="184"/>
        <v/>
      </c>
      <c r="AC1682">
        <f t="shared" si="185"/>
        <v>1000</v>
      </c>
      <c r="AD1682" s="6"/>
    </row>
    <row r="1683" spans="1:30" x14ac:dyDescent="0.2">
      <c r="A1683" t="str">
        <f t="shared" si="186"/>
        <v/>
      </c>
      <c r="X1683" t="str" cm="1">
        <f t="array" ref="X1683">IF(S1683="","",IF($I1683&lt;&gt;"",$I1683,INDEX($I$2:$I1682,ROW()-COUNTIFS($T$2:$T1682,"="&amp;$T1683,$S$2:$S1682,"&lt;&gt;"&amp;$S1683)-1)))</f>
        <v/>
      </c>
      <c r="Y1683" t="b">
        <f>IF(X1683&lt;&gt;"",VLOOKUP(X1683,game_rosters!$C$43:$E$64,3,FALSE))</f>
        <v>0</v>
      </c>
      <c r="Z1683" t="e" cm="1" vm="1">
        <f t="array" aca="1" ref="Z1683" ca="1">IFERROR(IF(_xlfn._xlws.FILTER(game_rosters!$J:$J,(game_rosters!$G:$G=events!$AN1683)*(game_rosters!$J:$J=events!$X1683))&gt;0,1,""),"")</f>
        <v>#VALUE!</v>
      </c>
      <c r="AA1683">
        <f t="shared" si="183"/>
        <v>1000</v>
      </c>
      <c r="AB1683" t="str">
        <f t="shared" si="184"/>
        <v/>
      </c>
      <c r="AC1683">
        <f t="shared" si="185"/>
        <v>1000</v>
      </c>
      <c r="AD1683" s="6"/>
    </row>
    <row r="1684" spans="1:30" x14ac:dyDescent="0.2">
      <c r="A1684" t="str">
        <f t="shared" si="186"/>
        <v/>
      </c>
      <c r="X1684" t="str" cm="1">
        <f t="array" ref="X1684">IF(S1684="","",IF($I1684&lt;&gt;"",$I1684,INDEX($I$2:$I1683,ROW()-COUNTIFS($T$2:$T1683,"="&amp;$T1684,$S$2:$S1683,"&lt;&gt;"&amp;$S1684)-1)))</f>
        <v/>
      </c>
      <c r="Y1684" t="b">
        <f>IF(X1684&lt;&gt;"",VLOOKUP(X1684,game_rosters!$C$43:$E$64,3,FALSE))</f>
        <v>0</v>
      </c>
      <c r="Z1684" t="e" cm="1" vm="1">
        <f t="array" aca="1" ref="Z1684" ca="1">IFERROR(IF(_xlfn._xlws.FILTER(game_rosters!$J:$J,(game_rosters!$G:$G=events!$AN1684)*(game_rosters!$J:$J=events!$X1684))&gt;0,1,""),"")</f>
        <v>#VALUE!</v>
      </c>
      <c r="AA1684">
        <f t="shared" si="183"/>
        <v>1000</v>
      </c>
      <c r="AB1684" t="str">
        <f t="shared" si="184"/>
        <v/>
      </c>
      <c r="AC1684">
        <f t="shared" si="185"/>
        <v>1000</v>
      </c>
      <c r="AD1684" s="6"/>
    </row>
    <row r="1685" spans="1:30" x14ac:dyDescent="0.2">
      <c r="A1685" t="str">
        <f t="shared" si="186"/>
        <v/>
      </c>
      <c r="X1685" t="str" cm="1">
        <f t="array" ref="X1685">IF(S1685="","",IF($I1685&lt;&gt;"",$I1685,INDEX($I$2:$I1684,ROW()-COUNTIFS($T$2:$T1684,"="&amp;$T1685,$S$2:$S1684,"&lt;&gt;"&amp;$S1685)-1)))</f>
        <v/>
      </c>
      <c r="Y1685" t="b">
        <f>IF(X1685&lt;&gt;"",VLOOKUP(X1685,game_rosters!$C$43:$E$64,3,FALSE))</f>
        <v>0</v>
      </c>
      <c r="Z1685" t="e" cm="1" vm="1">
        <f t="array" aca="1" ref="Z1685" ca="1">IFERROR(IF(_xlfn._xlws.FILTER(game_rosters!$J:$J,(game_rosters!$G:$G=events!$AN1685)*(game_rosters!$J:$J=events!$X1685))&gt;0,1,""),"")</f>
        <v>#VALUE!</v>
      </c>
      <c r="AA1685">
        <f t="shared" si="183"/>
        <v>1000</v>
      </c>
      <c r="AB1685" t="str">
        <f t="shared" si="184"/>
        <v/>
      </c>
      <c r="AC1685">
        <f t="shared" si="185"/>
        <v>1000</v>
      </c>
      <c r="AD1685" s="6"/>
    </row>
    <row r="1686" spans="1:30" x14ac:dyDescent="0.2">
      <c r="A1686" t="str">
        <f t="shared" si="186"/>
        <v/>
      </c>
      <c r="X1686" t="str" cm="1">
        <f t="array" ref="X1686">IF(S1686="","",IF($I1686&lt;&gt;"",$I1686,INDEX($I$2:$I1685,ROW()-COUNTIFS($T$2:$T1685,"="&amp;$T1686,$S$2:$S1685,"&lt;&gt;"&amp;$S1686)-1)))</f>
        <v/>
      </c>
      <c r="Y1686" t="b">
        <f>IF(X1686&lt;&gt;"",VLOOKUP(X1686,game_rosters!$C$43:$E$64,3,FALSE))</f>
        <v>0</v>
      </c>
      <c r="Z1686" t="e" cm="1" vm="1">
        <f t="array" aca="1" ref="Z1686" ca="1">IFERROR(IF(_xlfn._xlws.FILTER(game_rosters!$J:$J,(game_rosters!$G:$G=events!$AN1686)*(game_rosters!$J:$J=events!$X1686))&gt;0,1,""),"")</f>
        <v>#VALUE!</v>
      </c>
      <c r="AA1686">
        <f t="shared" si="183"/>
        <v>1000</v>
      </c>
      <c r="AB1686" t="str">
        <f t="shared" si="184"/>
        <v/>
      </c>
      <c r="AC1686">
        <f t="shared" si="185"/>
        <v>1000</v>
      </c>
      <c r="AD1686" s="6"/>
    </row>
    <row r="1687" spans="1:30" x14ac:dyDescent="0.2">
      <c r="A1687" t="str">
        <f t="shared" si="186"/>
        <v/>
      </c>
      <c r="X1687" t="str" cm="1">
        <f t="array" ref="X1687">IF(S1687="","",IF($I1687&lt;&gt;"",$I1687,INDEX($I$2:$I1686,ROW()-COUNTIFS($T$2:$T1686,"="&amp;$T1687,$S$2:$S1686,"&lt;&gt;"&amp;$S1687)-1)))</f>
        <v/>
      </c>
      <c r="Y1687" t="b">
        <f>IF(X1687&lt;&gt;"",VLOOKUP(X1687,game_rosters!$C$43:$E$64,3,FALSE))</f>
        <v>0</v>
      </c>
      <c r="Z1687" t="e" cm="1" vm="1">
        <f t="array" aca="1" ref="Z1687" ca="1">IFERROR(IF(_xlfn._xlws.FILTER(game_rosters!$J:$J,(game_rosters!$G:$G=events!$AN1687)*(game_rosters!$J:$J=events!$X1687))&gt;0,1,""),"")</f>
        <v>#VALUE!</v>
      </c>
      <c r="AA1687">
        <f t="shared" si="183"/>
        <v>1000</v>
      </c>
      <c r="AB1687" t="str">
        <f t="shared" si="184"/>
        <v/>
      </c>
      <c r="AC1687">
        <f t="shared" si="185"/>
        <v>1000</v>
      </c>
      <c r="AD1687" s="6"/>
    </row>
    <row r="1688" spans="1:30" x14ac:dyDescent="0.2">
      <c r="A1688" t="str">
        <f t="shared" si="186"/>
        <v/>
      </c>
      <c r="X1688" t="str" cm="1">
        <f t="array" ref="X1688">IF(S1688="","",IF($I1688&lt;&gt;"",$I1688,INDEX($I$2:$I1687,ROW()-COUNTIFS($T$2:$T1687,"="&amp;$T1688,$S$2:$S1687,"&lt;&gt;"&amp;$S1688)-1)))</f>
        <v/>
      </c>
      <c r="Y1688" t="b">
        <f>IF(X1688&lt;&gt;"",VLOOKUP(X1688,game_rosters!$C$43:$E$64,3,FALSE))</f>
        <v>0</v>
      </c>
      <c r="Z1688" t="e" cm="1" vm="1">
        <f t="array" aca="1" ref="Z1688" ca="1">IFERROR(IF(_xlfn._xlws.FILTER(game_rosters!$J:$J,(game_rosters!$G:$G=events!$AN1688)*(game_rosters!$J:$J=events!$X1688))&gt;0,1,""),"")</f>
        <v>#VALUE!</v>
      </c>
      <c r="AA1688">
        <f t="shared" si="183"/>
        <v>1000</v>
      </c>
      <c r="AB1688" t="str">
        <f t="shared" si="184"/>
        <v/>
      </c>
      <c r="AC1688">
        <f t="shared" si="185"/>
        <v>1000</v>
      </c>
      <c r="AD1688" s="6"/>
    </row>
    <row r="1689" spans="1:30" x14ac:dyDescent="0.2">
      <c r="A1689" t="str">
        <f t="shared" si="186"/>
        <v/>
      </c>
      <c r="X1689" t="str" cm="1">
        <f t="array" ref="X1689">IF(S1689="","",IF($I1689&lt;&gt;"",$I1689,INDEX($I$2:$I1688,ROW()-COUNTIFS($T$2:$T1688,"="&amp;$T1689,$S$2:$S1688,"&lt;&gt;"&amp;$S1689)-1)))</f>
        <v/>
      </c>
      <c r="Y1689" t="b">
        <f>IF(X1689&lt;&gt;"",VLOOKUP(X1689,game_rosters!$C$43:$E$64,3,FALSE))</f>
        <v>0</v>
      </c>
      <c r="Z1689" t="e" cm="1" vm="1">
        <f t="array" aca="1" ref="Z1689" ca="1">IFERROR(IF(_xlfn._xlws.FILTER(game_rosters!$J:$J,(game_rosters!$G:$G=events!$AN1689)*(game_rosters!$J:$J=events!$X1689))&gt;0,1,""),"")</f>
        <v>#VALUE!</v>
      </c>
      <c r="AA1689">
        <f t="shared" si="183"/>
        <v>1000</v>
      </c>
      <c r="AB1689" t="str">
        <f t="shared" si="184"/>
        <v/>
      </c>
      <c r="AC1689">
        <f t="shared" si="185"/>
        <v>1000</v>
      </c>
      <c r="AD1689" s="6"/>
    </row>
    <row r="1690" spans="1:30" x14ac:dyDescent="0.2">
      <c r="A1690" t="str">
        <f t="shared" si="186"/>
        <v/>
      </c>
      <c r="X1690" t="str" cm="1">
        <f t="array" ref="X1690">IF(S1690="","",IF($I1690&lt;&gt;"",$I1690,INDEX($I$2:$I1689,ROW()-COUNTIFS($T$2:$T1689,"="&amp;$T1690,$S$2:$S1689,"&lt;&gt;"&amp;$S1690)-1)))</f>
        <v/>
      </c>
      <c r="Y1690" t="b">
        <f>IF(X1690&lt;&gt;"",VLOOKUP(X1690,game_rosters!$C$43:$E$64,3,FALSE))</f>
        <v>0</v>
      </c>
      <c r="Z1690" t="e" cm="1" vm="1">
        <f t="array" aca="1" ref="Z1690" ca="1">IFERROR(IF(_xlfn._xlws.FILTER(game_rosters!$J:$J,(game_rosters!$G:$G=events!$AN1690)*(game_rosters!$J:$J=events!$X1690))&gt;0,1,""),"")</f>
        <v>#VALUE!</v>
      </c>
      <c r="AA1690">
        <f t="shared" si="183"/>
        <v>1000</v>
      </c>
      <c r="AB1690" t="str">
        <f t="shared" si="184"/>
        <v/>
      </c>
      <c r="AC1690">
        <f t="shared" si="185"/>
        <v>1000</v>
      </c>
      <c r="AD1690" s="6"/>
    </row>
    <row r="1691" spans="1:30" x14ac:dyDescent="0.2">
      <c r="A1691" t="str">
        <f t="shared" si="186"/>
        <v/>
      </c>
      <c r="X1691" t="str" cm="1">
        <f t="array" ref="X1691">IF(S1691="","",IF($I1691&lt;&gt;"",$I1691,INDEX($I$2:$I1690,ROW()-COUNTIFS($T$2:$T1690,"="&amp;$T1691,$S$2:$S1690,"&lt;&gt;"&amp;$S1691)-1)))</f>
        <v/>
      </c>
      <c r="Y1691" t="b">
        <f>IF(X1691&lt;&gt;"",VLOOKUP(X1691,game_rosters!$C$43:$E$64,3,FALSE))</f>
        <v>0</v>
      </c>
      <c r="Z1691" t="e" cm="1" vm="1">
        <f t="array" aca="1" ref="Z1691" ca="1">IFERROR(IF(_xlfn._xlws.FILTER(game_rosters!$J:$J,(game_rosters!$G:$G=events!$AN1691)*(game_rosters!$J:$J=events!$X1691))&gt;0,1,""),"")</f>
        <v>#VALUE!</v>
      </c>
      <c r="AA1691">
        <f t="shared" si="183"/>
        <v>1000</v>
      </c>
      <c r="AB1691" t="str">
        <f t="shared" si="184"/>
        <v/>
      </c>
      <c r="AC1691">
        <f t="shared" si="185"/>
        <v>1000</v>
      </c>
      <c r="AD1691" s="6"/>
    </row>
    <row r="1692" spans="1:30" x14ac:dyDescent="0.2">
      <c r="A1692" t="str">
        <f t="shared" si="186"/>
        <v/>
      </c>
      <c r="X1692" t="str" cm="1">
        <f t="array" ref="X1692">IF(S1692="","",IF($I1692&lt;&gt;"",$I1692,INDEX($I$2:$I1691,ROW()-COUNTIFS($T$2:$T1691,"="&amp;$T1692,$S$2:$S1691,"&lt;&gt;"&amp;$S1692)-1)))</f>
        <v/>
      </c>
      <c r="Y1692" t="b">
        <f>IF(X1692&lt;&gt;"",VLOOKUP(X1692,game_rosters!$C$43:$E$64,3,FALSE))</f>
        <v>0</v>
      </c>
      <c r="Z1692" t="e" cm="1" vm="1">
        <f t="array" aca="1" ref="Z1692" ca="1">IFERROR(IF(_xlfn._xlws.FILTER(game_rosters!$J:$J,(game_rosters!$G:$G=events!$AN1692)*(game_rosters!$J:$J=events!$X1692))&gt;0,1,""),"")</f>
        <v>#VALUE!</v>
      </c>
      <c r="AA1692">
        <f t="shared" si="183"/>
        <v>1000</v>
      </c>
      <c r="AB1692" t="str">
        <f t="shared" si="184"/>
        <v/>
      </c>
      <c r="AC1692">
        <f t="shared" si="185"/>
        <v>1000</v>
      </c>
      <c r="AD1692" s="6"/>
    </row>
    <row r="1693" spans="1:30" x14ac:dyDescent="0.2">
      <c r="A1693" t="str">
        <f t="shared" si="186"/>
        <v/>
      </c>
      <c r="X1693" t="str" cm="1">
        <f t="array" ref="X1693">IF(S1693="","",IF($I1693&lt;&gt;"",$I1693,INDEX($I$2:$I1692,ROW()-COUNTIFS($T$2:$T1692,"="&amp;$T1693,$S$2:$S1692,"&lt;&gt;"&amp;$S1693)-1)))</f>
        <v/>
      </c>
      <c r="Y1693" t="b">
        <f>IF(X1693&lt;&gt;"",VLOOKUP(X1693,game_rosters!$C$43:$E$64,3,FALSE))</f>
        <v>0</v>
      </c>
      <c r="Z1693" t="e" cm="1" vm="1">
        <f t="array" aca="1" ref="Z1693" ca="1">IFERROR(IF(_xlfn._xlws.FILTER(game_rosters!$J:$J,(game_rosters!$G:$G=events!$AN1693)*(game_rosters!$J:$J=events!$X1693))&gt;0,1,""),"")</f>
        <v>#VALUE!</v>
      </c>
      <c r="AA1693">
        <f t="shared" ref="AA1693:AA1756" si="187">S1693+1000</f>
        <v>1000</v>
      </c>
      <c r="AB1693" t="str">
        <f t="shared" ref="AB1693:AB1756" si="188">IF(T1693&lt;&gt;"",9000+T1693,"")</f>
        <v/>
      </c>
      <c r="AC1693">
        <f t="shared" si="185"/>
        <v>1000</v>
      </c>
      <c r="AD1693" s="6"/>
    </row>
    <row r="1694" spans="1:30" x14ac:dyDescent="0.2">
      <c r="A1694" t="str">
        <f t="shared" si="186"/>
        <v/>
      </c>
      <c r="X1694" t="str" cm="1">
        <f t="array" ref="X1694">IF(S1694="","",IF($I1694&lt;&gt;"",$I1694,INDEX($I$2:$I1693,ROW()-COUNTIFS($T$2:$T1693,"="&amp;$T1694,$S$2:$S1693,"&lt;&gt;"&amp;$S1694)-1)))</f>
        <v/>
      </c>
      <c r="Y1694" t="b">
        <f>IF(X1694&lt;&gt;"",VLOOKUP(X1694,game_rosters!$C$43:$E$64,3,FALSE))</f>
        <v>0</v>
      </c>
      <c r="Z1694" t="e" cm="1" vm="1">
        <f t="array" aca="1" ref="Z1694" ca="1">IFERROR(IF(_xlfn._xlws.FILTER(game_rosters!$J:$J,(game_rosters!$G:$G=events!$AN1694)*(game_rosters!$J:$J=events!$X1694))&gt;0,1,""),"")</f>
        <v>#VALUE!</v>
      </c>
      <c r="AA1694">
        <f t="shared" si="187"/>
        <v>1000</v>
      </c>
      <c r="AB1694" t="str">
        <f t="shared" si="188"/>
        <v/>
      </c>
      <c r="AC1694">
        <f t="shared" si="185"/>
        <v>1000</v>
      </c>
      <c r="AD1694" s="6"/>
    </row>
    <row r="1695" spans="1:30" x14ac:dyDescent="0.2">
      <c r="A1695" t="str">
        <f t="shared" si="186"/>
        <v/>
      </c>
      <c r="X1695" t="str" cm="1">
        <f t="array" ref="X1695">IF(S1695="","",IF($I1695&lt;&gt;"",$I1695,INDEX($I$2:$I1694,ROW()-COUNTIFS($T$2:$T1694,"="&amp;$T1695,$S$2:$S1694,"&lt;&gt;"&amp;$S1695)-1)))</f>
        <v/>
      </c>
      <c r="Y1695" t="b">
        <f>IF(X1695&lt;&gt;"",VLOOKUP(X1695,game_rosters!$C$43:$E$64,3,FALSE))</f>
        <v>0</v>
      </c>
      <c r="Z1695" t="e" cm="1" vm="1">
        <f t="array" aca="1" ref="Z1695" ca="1">IFERROR(IF(_xlfn._xlws.FILTER(game_rosters!$J:$J,(game_rosters!$G:$G=events!$AN1695)*(game_rosters!$J:$J=events!$X1695))&gt;0,1,""),"")</f>
        <v>#VALUE!</v>
      </c>
      <c r="AA1695">
        <f t="shared" si="187"/>
        <v>1000</v>
      </c>
      <c r="AB1695" t="str">
        <f t="shared" si="188"/>
        <v/>
      </c>
      <c r="AC1695">
        <f t="shared" si="185"/>
        <v>1000</v>
      </c>
      <c r="AD1695" s="6"/>
    </row>
    <row r="1696" spans="1:30" x14ac:dyDescent="0.2">
      <c r="A1696" t="str">
        <f t="shared" si="186"/>
        <v/>
      </c>
      <c r="X1696" t="str" cm="1">
        <f t="array" ref="X1696">IF(S1696="","",IF($I1696&lt;&gt;"",$I1696,INDEX($I$2:$I1695,ROW()-COUNTIFS($T$2:$T1695,"="&amp;$T1696,$S$2:$S1695,"&lt;&gt;"&amp;$S1696)-1)))</f>
        <v/>
      </c>
      <c r="Y1696" t="b">
        <f>IF(X1696&lt;&gt;"",VLOOKUP(X1696,game_rosters!$C$43:$E$64,3,FALSE))</f>
        <v>0</v>
      </c>
      <c r="Z1696" t="e" cm="1" vm="1">
        <f t="array" aca="1" ref="Z1696" ca="1">IFERROR(IF(_xlfn._xlws.FILTER(game_rosters!$J:$J,(game_rosters!$G:$G=events!$AN1696)*(game_rosters!$J:$J=events!$X1696))&gt;0,1,""),"")</f>
        <v>#VALUE!</v>
      </c>
      <c r="AA1696">
        <f t="shared" si="187"/>
        <v>1000</v>
      </c>
      <c r="AB1696" t="str">
        <f t="shared" si="188"/>
        <v/>
      </c>
      <c r="AC1696">
        <f t="shared" si="185"/>
        <v>1000</v>
      </c>
      <c r="AD1696" s="6"/>
    </row>
    <row r="1697" spans="1:30" x14ac:dyDescent="0.2">
      <c r="A1697" t="str">
        <f t="shared" si="186"/>
        <v/>
      </c>
      <c r="X1697" t="str" cm="1">
        <f t="array" ref="X1697">IF(S1697="","",IF($I1697&lt;&gt;"",$I1697,INDEX($I$2:$I1696,ROW()-COUNTIFS($T$2:$T1696,"="&amp;$T1697,$S$2:$S1696,"&lt;&gt;"&amp;$S1697)-1)))</f>
        <v/>
      </c>
      <c r="Y1697" t="b">
        <f>IF(X1697&lt;&gt;"",VLOOKUP(X1697,game_rosters!$C$43:$E$64,3,FALSE))</f>
        <v>0</v>
      </c>
      <c r="Z1697" t="e" cm="1" vm="1">
        <f t="array" aca="1" ref="Z1697" ca="1">IFERROR(IF(_xlfn._xlws.FILTER(game_rosters!$J:$J,(game_rosters!$G:$G=events!$AN1697)*(game_rosters!$J:$J=events!$X1697))&gt;0,1,""),"")</f>
        <v>#VALUE!</v>
      </c>
      <c r="AA1697">
        <f t="shared" si="187"/>
        <v>1000</v>
      </c>
      <c r="AB1697" t="str">
        <f t="shared" si="188"/>
        <v/>
      </c>
      <c r="AC1697">
        <f t="shared" si="185"/>
        <v>1000</v>
      </c>
      <c r="AD1697" s="6"/>
    </row>
    <row r="1698" spans="1:30" x14ac:dyDescent="0.2">
      <c r="A1698" t="str">
        <f t="shared" si="186"/>
        <v/>
      </c>
      <c r="X1698" t="str" cm="1">
        <f t="array" ref="X1698">IF(S1698="","",IF($I1698&lt;&gt;"",$I1698,INDEX($I$2:$I1697,ROW()-COUNTIFS($T$2:$T1697,"="&amp;$T1698,$S$2:$S1697,"&lt;&gt;"&amp;$S1698)-1)))</f>
        <v/>
      </c>
      <c r="Y1698" t="b">
        <f>IF(X1698&lt;&gt;"",VLOOKUP(X1698,game_rosters!$C$43:$E$64,3,FALSE))</f>
        <v>0</v>
      </c>
      <c r="Z1698" t="e" cm="1" vm="1">
        <f t="array" aca="1" ref="Z1698" ca="1">IFERROR(IF(_xlfn._xlws.FILTER(game_rosters!$J:$J,(game_rosters!$G:$G=events!$AN1698)*(game_rosters!$J:$J=events!$X1698))&gt;0,1,""),"")</f>
        <v>#VALUE!</v>
      </c>
      <c r="AA1698">
        <f t="shared" si="187"/>
        <v>1000</v>
      </c>
      <c r="AB1698" t="str">
        <f t="shared" si="188"/>
        <v/>
      </c>
      <c r="AC1698">
        <f t="shared" si="185"/>
        <v>1000</v>
      </c>
      <c r="AD1698" s="6"/>
    </row>
    <row r="1699" spans="1:30" x14ac:dyDescent="0.2">
      <c r="A1699" t="str">
        <f t="shared" si="186"/>
        <v/>
      </c>
      <c r="X1699" t="str" cm="1">
        <f t="array" ref="X1699">IF(S1699="","",IF($I1699&lt;&gt;"",$I1699,INDEX($I$2:$I1698,ROW()-COUNTIFS($T$2:$T1698,"="&amp;$T1699,$S$2:$S1698,"&lt;&gt;"&amp;$S1699)-1)))</f>
        <v/>
      </c>
      <c r="Y1699" t="b">
        <f>IF(X1699&lt;&gt;"",VLOOKUP(X1699,game_rosters!$C$43:$E$64,3,FALSE))</f>
        <v>0</v>
      </c>
      <c r="Z1699" t="e" cm="1" vm="1">
        <f t="array" aca="1" ref="Z1699" ca="1">IFERROR(IF(_xlfn._xlws.FILTER(game_rosters!$J:$J,(game_rosters!$G:$G=events!$AN1699)*(game_rosters!$J:$J=events!$X1699))&gt;0,1,""),"")</f>
        <v>#VALUE!</v>
      </c>
      <c r="AA1699">
        <f t="shared" si="187"/>
        <v>1000</v>
      </c>
      <c r="AB1699" t="str">
        <f t="shared" si="188"/>
        <v/>
      </c>
      <c r="AC1699">
        <f t="shared" si="185"/>
        <v>1000</v>
      </c>
      <c r="AD1699" s="6"/>
    </row>
    <row r="1700" spans="1:30" x14ac:dyDescent="0.2">
      <c r="A1700" t="str">
        <f t="shared" si="186"/>
        <v/>
      </c>
      <c r="X1700" t="str" cm="1">
        <f t="array" ref="X1700">IF(S1700="","",IF($I1700&lt;&gt;"",$I1700,INDEX($I$2:$I1699,ROW()-COUNTIFS($T$2:$T1699,"="&amp;$T1700,$S$2:$S1699,"&lt;&gt;"&amp;$S1700)-1)))</f>
        <v/>
      </c>
      <c r="Y1700" t="b">
        <f>IF(X1700&lt;&gt;"",VLOOKUP(X1700,game_rosters!$C$43:$E$64,3,FALSE))</f>
        <v>0</v>
      </c>
      <c r="Z1700" t="e" cm="1" vm="1">
        <f t="array" aca="1" ref="Z1700" ca="1">IFERROR(IF(_xlfn._xlws.FILTER(game_rosters!$J:$J,(game_rosters!$G:$G=events!$AN1700)*(game_rosters!$J:$J=events!$X1700))&gt;0,1,""),"")</f>
        <v>#VALUE!</v>
      </c>
      <c r="AA1700">
        <f t="shared" si="187"/>
        <v>1000</v>
      </c>
      <c r="AB1700" t="str">
        <f t="shared" si="188"/>
        <v/>
      </c>
      <c r="AC1700">
        <f t="shared" si="185"/>
        <v>1000</v>
      </c>
      <c r="AD1700" s="6"/>
    </row>
    <row r="1701" spans="1:30" x14ac:dyDescent="0.2">
      <c r="A1701" t="str">
        <f t="shared" si="186"/>
        <v/>
      </c>
      <c r="X1701" t="str" cm="1">
        <f t="array" ref="X1701">IF(S1701="","",IF($I1701&lt;&gt;"",$I1701,INDEX($I$2:$I1700,ROW()-COUNTIFS($T$2:$T1700,"="&amp;$T1701,$S$2:$S1700,"&lt;&gt;"&amp;$S1701)-1)))</f>
        <v/>
      </c>
      <c r="Y1701" t="b">
        <f>IF(X1701&lt;&gt;"",VLOOKUP(X1701,game_rosters!$C$43:$E$64,3,FALSE))</f>
        <v>0</v>
      </c>
      <c r="Z1701" t="e" cm="1" vm="1">
        <f t="array" aca="1" ref="Z1701" ca="1">IFERROR(IF(_xlfn._xlws.FILTER(game_rosters!$J:$J,(game_rosters!$G:$G=events!$AN1701)*(game_rosters!$J:$J=events!$X1701))&gt;0,1,""),"")</f>
        <v>#VALUE!</v>
      </c>
      <c r="AA1701">
        <f t="shared" si="187"/>
        <v>1000</v>
      </c>
      <c r="AB1701" t="str">
        <f t="shared" si="188"/>
        <v/>
      </c>
      <c r="AC1701">
        <f t="shared" si="185"/>
        <v>1000</v>
      </c>
      <c r="AD1701" s="6"/>
    </row>
    <row r="1702" spans="1:30" x14ac:dyDescent="0.2">
      <c r="A1702" t="str">
        <f t="shared" si="186"/>
        <v/>
      </c>
      <c r="X1702" t="str" cm="1">
        <f t="array" ref="X1702">IF(S1702="","",IF($I1702&lt;&gt;"",$I1702,INDEX($I$2:$I1701,ROW()-COUNTIFS($T$2:$T1701,"="&amp;$T1702,$S$2:$S1701,"&lt;&gt;"&amp;$S1702)-1)))</f>
        <v/>
      </c>
      <c r="Y1702" t="b">
        <f>IF(X1702&lt;&gt;"",VLOOKUP(X1702,game_rosters!$C$43:$E$64,3,FALSE))</f>
        <v>0</v>
      </c>
      <c r="Z1702" t="e" cm="1" vm="1">
        <f t="array" aca="1" ref="Z1702" ca="1">IFERROR(IF(_xlfn._xlws.FILTER(game_rosters!$J:$J,(game_rosters!$G:$G=events!$AN1702)*(game_rosters!$J:$J=events!$X1702))&gt;0,1,""),"")</f>
        <v>#VALUE!</v>
      </c>
      <c r="AA1702">
        <f t="shared" si="187"/>
        <v>1000</v>
      </c>
      <c r="AB1702" t="str">
        <f t="shared" si="188"/>
        <v/>
      </c>
      <c r="AC1702">
        <f t="shared" si="185"/>
        <v>1000</v>
      </c>
      <c r="AD1702" s="6"/>
    </row>
    <row r="1703" spans="1:30" x14ac:dyDescent="0.2">
      <c r="A1703" t="str">
        <f t="shared" si="186"/>
        <v/>
      </c>
      <c r="X1703" t="str" cm="1">
        <f t="array" ref="X1703">IF(S1703="","",IF($I1703&lt;&gt;"",$I1703,INDEX($I$2:$I1702,ROW()-COUNTIFS($T$2:$T1702,"="&amp;$T1703,$S$2:$S1702,"&lt;&gt;"&amp;$S1703)-1)))</f>
        <v/>
      </c>
      <c r="Y1703" t="b">
        <f>IF(X1703&lt;&gt;"",VLOOKUP(X1703,game_rosters!$C$43:$E$64,3,FALSE))</f>
        <v>0</v>
      </c>
      <c r="Z1703" t="e" cm="1" vm="1">
        <f t="array" aca="1" ref="Z1703" ca="1">IFERROR(IF(_xlfn._xlws.FILTER(game_rosters!$J:$J,(game_rosters!$G:$G=events!$AN1703)*(game_rosters!$J:$J=events!$X1703))&gt;0,1,""),"")</f>
        <v>#VALUE!</v>
      </c>
      <c r="AA1703">
        <f t="shared" si="187"/>
        <v>1000</v>
      </c>
      <c r="AB1703" t="str">
        <f t="shared" si="188"/>
        <v/>
      </c>
      <c r="AC1703">
        <f t="shared" si="185"/>
        <v>1000</v>
      </c>
      <c r="AD1703" s="6"/>
    </row>
    <row r="1704" spans="1:30" x14ac:dyDescent="0.2">
      <c r="A1704" t="str">
        <f t="shared" si="186"/>
        <v/>
      </c>
      <c r="X1704" t="str" cm="1">
        <f t="array" ref="X1704">IF(S1704="","",IF($I1704&lt;&gt;"",$I1704,INDEX($I$2:$I1703,ROW()-COUNTIFS($T$2:$T1703,"="&amp;$T1704,$S$2:$S1703,"&lt;&gt;"&amp;$S1704)-1)))</f>
        <v/>
      </c>
      <c r="Y1704" t="b">
        <f>IF(X1704&lt;&gt;"",VLOOKUP(X1704,game_rosters!$C$43:$E$64,3,FALSE))</f>
        <v>0</v>
      </c>
      <c r="Z1704" t="e" cm="1" vm="1">
        <f t="array" aca="1" ref="Z1704" ca="1">IFERROR(IF(_xlfn._xlws.FILTER(game_rosters!$J:$J,(game_rosters!$G:$G=events!$AN1704)*(game_rosters!$J:$J=events!$X1704))&gt;0,1,""),"")</f>
        <v>#VALUE!</v>
      </c>
      <c r="AA1704">
        <f t="shared" si="187"/>
        <v>1000</v>
      </c>
      <c r="AB1704" t="str">
        <f t="shared" si="188"/>
        <v/>
      </c>
      <c r="AC1704">
        <f t="shared" si="185"/>
        <v>1000</v>
      </c>
      <c r="AD1704" s="6"/>
    </row>
    <row r="1705" spans="1:30" x14ac:dyDescent="0.2">
      <c r="A1705" t="str">
        <f t="shared" si="186"/>
        <v/>
      </c>
      <c r="X1705" t="str" cm="1">
        <f t="array" ref="X1705">IF(S1705="","",IF($I1705&lt;&gt;"",$I1705,INDEX($I$2:$I1704,ROW()-COUNTIFS($T$2:$T1704,"="&amp;$T1705,$S$2:$S1704,"&lt;&gt;"&amp;$S1705)-1)))</f>
        <v/>
      </c>
      <c r="Y1705" t="b">
        <f>IF(X1705&lt;&gt;"",VLOOKUP(X1705,game_rosters!$C$43:$E$64,3,FALSE))</f>
        <v>0</v>
      </c>
      <c r="Z1705" t="e" cm="1" vm="1">
        <f t="array" aca="1" ref="Z1705" ca="1">IFERROR(IF(_xlfn._xlws.FILTER(game_rosters!$J:$J,(game_rosters!$G:$G=events!$AN1705)*(game_rosters!$J:$J=events!$X1705))&gt;0,1,""),"")</f>
        <v>#VALUE!</v>
      </c>
      <c r="AA1705">
        <f t="shared" si="187"/>
        <v>1000</v>
      </c>
      <c r="AB1705" t="str">
        <f t="shared" si="188"/>
        <v/>
      </c>
      <c r="AC1705">
        <f t="shared" si="185"/>
        <v>1000</v>
      </c>
      <c r="AD1705" s="6"/>
    </row>
    <row r="1706" spans="1:30" x14ac:dyDescent="0.2">
      <c r="A1706" t="str">
        <f t="shared" si="186"/>
        <v/>
      </c>
      <c r="X1706" t="str" cm="1">
        <f t="array" ref="X1706">IF(S1706="","",IF($I1706&lt;&gt;"",$I1706,INDEX($I$2:$I1705,ROW()-COUNTIFS($T$2:$T1705,"="&amp;$T1706,$S$2:$S1705,"&lt;&gt;"&amp;$S1706)-1)))</f>
        <v/>
      </c>
      <c r="Y1706" t="b">
        <f>IF(X1706&lt;&gt;"",VLOOKUP(X1706,game_rosters!$C$43:$E$64,3,FALSE))</f>
        <v>0</v>
      </c>
      <c r="Z1706" t="e" cm="1" vm="1">
        <f t="array" aca="1" ref="Z1706" ca="1">IFERROR(IF(_xlfn._xlws.FILTER(game_rosters!$J:$J,(game_rosters!$G:$G=events!$AN1706)*(game_rosters!$J:$J=events!$X1706))&gt;0,1,""),"")</f>
        <v>#VALUE!</v>
      </c>
      <c r="AA1706">
        <f t="shared" si="187"/>
        <v>1000</v>
      </c>
      <c r="AB1706" t="str">
        <f t="shared" si="188"/>
        <v/>
      </c>
      <c r="AC1706">
        <f t="shared" si="185"/>
        <v>1000</v>
      </c>
      <c r="AD1706" s="6"/>
    </row>
    <row r="1707" spans="1:30" x14ac:dyDescent="0.2">
      <c r="A1707" t="str">
        <f t="shared" si="186"/>
        <v/>
      </c>
      <c r="X1707" t="str" cm="1">
        <f t="array" ref="X1707">IF(S1707="","",IF($I1707&lt;&gt;"",$I1707,INDEX($I$2:$I1706,ROW()-COUNTIFS($T$2:$T1706,"="&amp;$T1707,$S$2:$S1706,"&lt;&gt;"&amp;$S1707)-1)))</f>
        <v/>
      </c>
      <c r="Y1707" t="b">
        <f>IF(X1707&lt;&gt;"",VLOOKUP(X1707,game_rosters!$C$43:$E$64,3,FALSE))</f>
        <v>0</v>
      </c>
      <c r="Z1707" t="e" cm="1" vm="1">
        <f t="array" aca="1" ref="Z1707" ca="1">IFERROR(IF(_xlfn._xlws.FILTER(game_rosters!$J:$J,(game_rosters!$G:$G=events!$AN1707)*(game_rosters!$J:$J=events!$X1707))&gt;0,1,""),"")</f>
        <v>#VALUE!</v>
      </c>
      <c r="AA1707">
        <f t="shared" si="187"/>
        <v>1000</v>
      </c>
      <c r="AB1707" t="str">
        <f t="shared" si="188"/>
        <v/>
      </c>
      <c r="AC1707">
        <f t="shared" si="185"/>
        <v>1000</v>
      </c>
      <c r="AD1707" s="6"/>
    </row>
    <row r="1708" spans="1:30" x14ac:dyDescent="0.2">
      <c r="A1708" t="str">
        <f t="shared" si="186"/>
        <v/>
      </c>
      <c r="X1708" t="str" cm="1">
        <f t="array" ref="X1708">IF(S1708="","",IF($I1708&lt;&gt;"",$I1708,INDEX($I$2:$I1707,ROW()-COUNTIFS($T$2:$T1707,"="&amp;$T1708,$S$2:$S1707,"&lt;&gt;"&amp;$S1708)-1)))</f>
        <v/>
      </c>
      <c r="Y1708" t="b">
        <f>IF(X1708&lt;&gt;"",VLOOKUP(X1708,game_rosters!$C$43:$E$64,3,FALSE))</f>
        <v>0</v>
      </c>
      <c r="Z1708" t="e" cm="1" vm="1">
        <f t="array" aca="1" ref="Z1708" ca="1">IFERROR(IF(_xlfn._xlws.FILTER(game_rosters!$J:$J,(game_rosters!$G:$G=events!$AN1708)*(game_rosters!$J:$J=events!$X1708))&gt;0,1,""),"")</f>
        <v>#VALUE!</v>
      </c>
      <c r="AA1708">
        <f t="shared" si="187"/>
        <v>1000</v>
      </c>
      <c r="AB1708" t="str">
        <f t="shared" si="188"/>
        <v/>
      </c>
      <c r="AC1708">
        <f t="shared" si="185"/>
        <v>1000</v>
      </c>
      <c r="AD1708" s="6"/>
    </row>
    <row r="1709" spans="1:30" x14ac:dyDescent="0.2">
      <c r="A1709" t="str">
        <f t="shared" si="186"/>
        <v/>
      </c>
      <c r="X1709" t="str" cm="1">
        <f t="array" ref="X1709">IF(S1709="","",IF($I1709&lt;&gt;"",$I1709,INDEX($I$2:$I1708,ROW()-COUNTIFS($T$2:$T1708,"="&amp;$T1709,$S$2:$S1708,"&lt;&gt;"&amp;$S1709)-1)))</f>
        <v/>
      </c>
      <c r="Y1709" t="b">
        <f>IF(X1709&lt;&gt;"",VLOOKUP(X1709,game_rosters!$C$43:$E$64,3,FALSE))</f>
        <v>0</v>
      </c>
      <c r="Z1709" t="e" cm="1" vm="1">
        <f t="array" aca="1" ref="Z1709" ca="1">IFERROR(IF(_xlfn._xlws.FILTER(game_rosters!$J:$J,(game_rosters!$G:$G=events!$AN1709)*(game_rosters!$J:$J=events!$X1709))&gt;0,1,""),"")</f>
        <v>#VALUE!</v>
      </c>
      <c r="AA1709">
        <f t="shared" si="187"/>
        <v>1000</v>
      </c>
      <c r="AB1709" t="str">
        <f t="shared" si="188"/>
        <v/>
      </c>
      <c r="AC1709">
        <f t="shared" si="185"/>
        <v>1000</v>
      </c>
      <c r="AD1709" s="6"/>
    </row>
    <row r="1710" spans="1:30" x14ac:dyDescent="0.2">
      <c r="A1710" t="str">
        <f t="shared" si="186"/>
        <v/>
      </c>
      <c r="X1710" t="str" cm="1">
        <f t="array" ref="X1710">IF(S1710="","",IF($I1710&lt;&gt;"",$I1710,INDEX($I$2:$I1709,ROW()-COUNTIFS($T$2:$T1709,"="&amp;$T1710,$S$2:$S1709,"&lt;&gt;"&amp;$S1710)-1)))</f>
        <v/>
      </c>
      <c r="Y1710" t="b">
        <f>IF(X1710&lt;&gt;"",VLOOKUP(X1710,game_rosters!$C$43:$E$64,3,FALSE))</f>
        <v>0</v>
      </c>
      <c r="Z1710" t="e" cm="1" vm="1">
        <f t="array" aca="1" ref="Z1710" ca="1">IFERROR(IF(_xlfn._xlws.FILTER(game_rosters!$J:$J,(game_rosters!$G:$G=events!$AN1710)*(game_rosters!$J:$J=events!$X1710))&gt;0,1,""),"")</f>
        <v>#VALUE!</v>
      </c>
      <c r="AA1710">
        <f t="shared" si="187"/>
        <v>1000</v>
      </c>
      <c r="AB1710" t="str">
        <f t="shared" si="188"/>
        <v/>
      </c>
      <c r="AC1710">
        <f t="shared" si="185"/>
        <v>1000</v>
      </c>
      <c r="AD1710" s="6"/>
    </row>
    <row r="1711" spans="1:30" x14ac:dyDescent="0.2">
      <c r="A1711" t="str">
        <f t="shared" si="186"/>
        <v/>
      </c>
      <c r="X1711" t="str" cm="1">
        <f t="array" ref="X1711">IF(S1711="","",IF($I1711&lt;&gt;"",$I1711,INDEX($I$2:$I1710,ROW()-COUNTIFS($T$2:$T1710,"="&amp;$T1711,$S$2:$S1710,"&lt;&gt;"&amp;$S1711)-1)))</f>
        <v/>
      </c>
      <c r="Y1711" t="b">
        <f>IF(X1711&lt;&gt;"",VLOOKUP(X1711,game_rosters!$C$43:$E$64,3,FALSE))</f>
        <v>0</v>
      </c>
      <c r="Z1711" t="e" cm="1" vm="1">
        <f t="array" aca="1" ref="Z1711" ca="1">IFERROR(IF(_xlfn._xlws.FILTER(game_rosters!$J:$J,(game_rosters!$G:$G=events!$AN1711)*(game_rosters!$J:$J=events!$X1711))&gt;0,1,""),"")</f>
        <v>#VALUE!</v>
      </c>
      <c r="AA1711">
        <f t="shared" si="187"/>
        <v>1000</v>
      </c>
      <c r="AB1711" t="str">
        <f t="shared" si="188"/>
        <v/>
      </c>
      <c r="AC1711">
        <f t="shared" si="185"/>
        <v>1000</v>
      </c>
      <c r="AD1711" s="6"/>
    </row>
    <row r="1712" spans="1:30" x14ac:dyDescent="0.2">
      <c r="A1712" t="str">
        <f t="shared" si="186"/>
        <v/>
      </c>
      <c r="X1712" t="str" cm="1">
        <f t="array" ref="X1712">IF(S1712="","",IF($I1712&lt;&gt;"",$I1712,INDEX($I$2:$I1711,ROW()-COUNTIFS($T$2:$T1711,"="&amp;$T1712,$S$2:$S1711,"&lt;&gt;"&amp;$S1712)-1)))</f>
        <v/>
      </c>
      <c r="Y1712" t="b">
        <f>IF(X1712&lt;&gt;"",VLOOKUP(X1712,game_rosters!$C$43:$E$64,3,FALSE))</f>
        <v>0</v>
      </c>
      <c r="Z1712" t="e" cm="1" vm="1">
        <f t="array" aca="1" ref="Z1712" ca="1">IFERROR(IF(_xlfn._xlws.FILTER(game_rosters!$J:$J,(game_rosters!$G:$G=events!$AN1712)*(game_rosters!$J:$J=events!$X1712))&gt;0,1,""),"")</f>
        <v>#VALUE!</v>
      </c>
      <c r="AA1712">
        <f t="shared" si="187"/>
        <v>1000</v>
      </c>
      <c r="AB1712" t="str">
        <f t="shared" si="188"/>
        <v/>
      </c>
      <c r="AC1712">
        <f t="shared" si="185"/>
        <v>1000</v>
      </c>
      <c r="AD1712" s="6"/>
    </row>
    <row r="1713" spans="1:30" x14ac:dyDescent="0.2">
      <c r="A1713" t="str">
        <f t="shared" si="186"/>
        <v/>
      </c>
      <c r="X1713" t="str" cm="1">
        <f t="array" ref="X1713">IF(S1713="","",IF($I1713&lt;&gt;"",$I1713,INDEX($I$2:$I1712,ROW()-COUNTIFS($T$2:$T1712,"="&amp;$T1713,$S$2:$S1712,"&lt;&gt;"&amp;$S1713)-1)))</f>
        <v/>
      </c>
      <c r="Y1713" t="b">
        <f>IF(X1713&lt;&gt;"",VLOOKUP(X1713,game_rosters!$C$43:$E$64,3,FALSE))</f>
        <v>0</v>
      </c>
      <c r="Z1713" t="e" cm="1" vm="1">
        <f t="array" aca="1" ref="Z1713" ca="1">IFERROR(IF(_xlfn._xlws.FILTER(game_rosters!$J:$J,(game_rosters!$G:$G=events!$AN1713)*(game_rosters!$J:$J=events!$X1713))&gt;0,1,""),"")</f>
        <v>#VALUE!</v>
      </c>
      <c r="AA1713">
        <f t="shared" si="187"/>
        <v>1000</v>
      </c>
      <c r="AB1713" t="str">
        <f t="shared" si="188"/>
        <v/>
      </c>
      <c r="AC1713">
        <f t="shared" si="185"/>
        <v>1000</v>
      </c>
      <c r="AD1713" s="6"/>
    </row>
    <row r="1714" spans="1:30" x14ac:dyDescent="0.2">
      <c r="A1714" t="str">
        <f t="shared" si="186"/>
        <v/>
      </c>
      <c r="X1714" t="str" cm="1">
        <f t="array" ref="X1714">IF(S1714="","",IF($I1714&lt;&gt;"",$I1714,INDEX($I$2:$I1713,ROW()-COUNTIFS($T$2:$T1713,"="&amp;$T1714,$S$2:$S1713,"&lt;&gt;"&amp;$S1714)-1)))</f>
        <v/>
      </c>
      <c r="Y1714" t="b">
        <f>IF(X1714&lt;&gt;"",VLOOKUP(X1714,game_rosters!$C$43:$E$64,3,FALSE))</f>
        <v>0</v>
      </c>
      <c r="Z1714" t="e" cm="1" vm="1">
        <f t="array" aca="1" ref="Z1714" ca="1">IFERROR(IF(_xlfn._xlws.FILTER(game_rosters!$J:$J,(game_rosters!$G:$G=events!$AN1714)*(game_rosters!$J:$J=events!$X1714))&gt;0,1,""),"")</f>
        <v>#VALUE!</v>
      </c>
      <c r="AA1714">
        <f t="shared" si="187"/>
        <v>1000</v>
      </c>
      <c r="AB1714" t="str">
        <f t="shared" si="188"/>
        <v/>
      </c>
      <c r="AC1714">
        <f t="shared" si="185"/>
        <v>1000</v>
      </c>
      <c r="AD1714" s="6"/>
    </row>
    <row r="1715" spans="1:30" x14ac:dyDescent="0.2">
      <c r="A1715" t="str">
        <f t="shared" si="186"/>
        <v/>
      </c>
      <c r="X1715" t="str" cm="1">
        <f t="array" ref="X1715">IF(S1715="","",IF($I1715&lt;&gt;"",$I1715,INDEX($I$2:$I1714,ROW()-COUNTIFS($T$2:$T1714,"="&amp;$T1715,$S$2:$S1714,"&lt;&gt;"&amp;$S1715)-1)))</f>
        <v/>
      </c>
      <c r="Y1715" t="b">
        <f>IF(X1715&lt;&gt;"",VLOOKUP(X1715,game_rosters!$C$43:$E$64,3,FALSE))</f>
        <v>0</v>
      </c>
      <c r="Z1715" t="e" cm="1" vm="1">
        <f t="array" aca="1" ref="Z1715" ca="1">IFERROR(IF(_xlfn._xlws.FILTER(game_rosters!$J:$J,(game_rosters!$G:$G=events!$AN1715)*(game_rosters!$J:$J=events!$X1715))&gt;0,1,""),"")</f>
        <v>#VALUE!</v>
      </c>
      <c r="AA1715">
        <f t="shared" si="187"/>
        <v>1000</v>
      </c>
      <c r="AB1715" t="str">
        <f t="shared" si="188"/>
        <v/>
      </c>
      <c r="AC1715">
        <f t="shared" si="185"/>
        <v>1000</v>
      </c>
      <c r="AD1715" s="6"/>
    </row>
    <row r="1716" spans="1:30" x14ac:dyDescent="0.2">
      <c r="A1716" t="str">
        <f t="shared" si="186"/>
        <v/>
      </c>
      <c r="X1716" t="str" cm="1">
        <f t="array" ref="X1716">IF(S1716="","",IF($I1716&lt;&gt;"",$I1716,INDEX($I$2:$I1715,ROW()-COUNTIFS($T$2:$T1715,"="&amp;$T1716,$S$2:$S1715,"&lt;&gt;"&amp;$S1716)-1)))</f>
        <v/>
      </c>
      <c r="Y1716" t="b">
        <f>IF(X1716&lt;&gt;"",VLOOKUP(X1716,game_rosters!$C$43:$E$64,3,FALSE))</f>
        <v>0</v>
      </c>
      <c r="Z1716" t="e" cm="1" vm="1">
        <f t="array" aca="1" ref="Z1716" ca="1">IFERROR(IF(_xlfn._xlws.FILTER(game_rosters!$J:$J,(game_rosters!$G:$G=events!$AN1716)*(game_rosters!$J:$J=events!$X1716))&gt;0,1,""),"")</f>
        <v>#VALUE!</v>
      </c>
      <c r="AA1716">
        <f t="shared" si="187"/>
        <v>1000</v>
      </c>
      <c r="AB1716" t="str">
        <f t="shared" si="188"/>
        <v/>
      </c>
      <c r="AC1716">
        <f t="shared" si="185"/>
        <v>1000</v>
      </c>
      <c r="AD1716" s="6"/>
    </row>
    <row r="1717" spans="1:30" x14ac:dyDescent="0.2">
      <c r="A1717" t="str">
        <f t="shared" si="186"/>
        <v/>
      </c>
      <c r="X1717" t="str" cm="1">
        <f t="array" ref="X1717">IF(S1717="","",IF($I1717&lt;&gt;"",$I1717,INDEX($I$2:$I1716,ROW()-COUNTIFS($T$2:$T1716,"="&amp;$T1717,$S$2:$S1716,"&lt;&gt;"&amp;$S1717)-1)))</f>
        <v/>
      </c>
      <c r="Y1717" t="b">
        <f>IF(X1717&lt;&gt;"",VLOOKUP(X1717,game_rosters!$C$43:$E$64,3,FALSE))</f>
        <v>0</v>
      </c>
      <c r="Z1717" t="e" cm="1" vm="1">
        <f t="array" aca="1" ref="Z1717" ca="1">IFERROR(IF(_xlfn._xlws.FILTER(game_rosters!$J:$J,(game_rosters!$G:$G=events!$AN1717)*(game_rosters!$J:$J=events!$X1717))&gt;0,1,""),"")</f>
        <v>#VALUE!</v>
      </c>
      <c r="AA1717">
        <f t="shared" si="187"/>
        <v>1000</v>
      </c>
      <c r="AB1717" t="str">
        <f t="shared" si="188"/>
        <v/>
      </c>
      <c r="AC1717">
        <f t="shared" si="185"/>
        <v>1000</v>
      </c>
      <c r="AD1717" s="6"/>
    </row>
    <row r="1718" spans="1:30" x14ac:dyDescent="0.2">
      <c r="A1718" t="str">
        <f t="shared" si="186"/>
        <v/>
      </c>
      <c r="X1718" t="str" cm="1">
        <f t="array" ref="X1718">IF(S1718="","",IF($I1718&lt;&gt;"",$I1718,INDEX($I$2:$I1717,ROW()-COUNTIFS($T$2:$T1717,"="&amp;$T1718,$S$2:$S1717,"&lt;&gt;"&amp;$S1718)-1)))</f>
        <v/>
      </c>
      <c r="Y1718" t="b">
        <f>IF(X1718&lt;&gt;"",VLOOKUP(X1718,game_rosters!$C$43:$E$64,3,FALSE))</f>
        <v>0</v>
      </c>
      <c r="Z1718" t="e" cm="1" vm="1">
        <f t="array" aca="1" ref="Z1718" ca="1">IFERROR(IF(_xlfn._xlws.FILTER(game_rosters!$J:$J,(game_rosters!$G:$G=events!$AN1718)*(game_rosters!$J:$J=events!$X1718))&gt;0,1,""),"")</f>
        <v>#VALUE!</v>
      </c>
      <c r="AA1718">
        <f t="shared" si="187"/>
        <v>1000</v>
      </c>
      <c r="AB1718" t="str">
        <f t="shared" si="188"/>
        <v/>
      </c>
      <c r="AC1718">
        <f t="shared" si="185"/>
        <v>1000</v>
      </c>
      <c r="AD1718" s="6"/>
    </row>
    <row r="1719" spans="1:30" x14ac:dyDescent="0.2">
      <c r="A1719" t="str">
        <f t="shared" si="186"/>
        <v/>
      </c>
      <c r="X1719" t="str" cm="1">
        <f t="array" ref="X1719">IF(S1719="","",IF($I1719&lt;&gt;"",$I1719,INDEX($I$2:$I1718,ROW()-COUNTIFS($T$2:$T1718,"="&amp;$T1719,$S$2:$S1718,"&lt;&gt;"&amp;$S1719)-1)))</f>
        <v/>
      </c>
      <c r="Y1719" t="b">
        <f>IF(X1719&lt;&gt;"",VLOOKUP(X1719,game_rosters!$C$43:$E$64,3,FALSE))</f>
        <v>0</v>
      </c>
      <c r="Z1719" t="e" cm="1" vm="1">
        <f t="array" aca="1" ref="Z1719" ca="1">IFERROR(IF(_xlfn._xlws.FILTER(game_rosters!$J:$J,(game_rosters!$G:$G=events!$AN1719)*(game_rosters!$J:$J=events!$X1719))&gt;0,1,""),"")</f>
        <v>#VALUE!</v>
      </c>
      <c r="AA1719">
        <f t="shared" si="187"/>
        <v>1000</v>
      </c>
      <c r="AB1719" t="str">
        <f t="shared" si="188"/>
        <v/>
      </c>
      <c r="AC1719">
        <f t="shared" si="185"/>
        <v>1000</v>
      </c>
      <c r="AD1719" s="6"/>
    </row>
    <row r="1720" spans="1:30" x14ac:dyDescent="0.2">
      <c r="A1720" t="str">
        <f t="shared" si="186"/>
        <v/>
      </c>
      <c r="X1720" t="str" cm="1">
        <f t="array" ref="X1720">IF(S1720="","",IF($I1720&lt;&gt;"",$I1720,INDEX($I$2:$I1719,ROW()-COUNTIFS($T$2:$T1719,"="&amp;$T1720,$S$2:$S1719,"&lt;&gt;"&amp;$S1720)-1)))</f>
        <v/>
      </c>
      <c r="Y1720" t="b">
        <f>IF(X1720&lt;&gt;"",VLOOKUP(X1720,game_rosters!$C$43:$E$64,3,FALSE))</f>
        <v>0</v>
      </c>
      <c r="Z1720" t="e" cm="1" vm="1">
        <f t="array" aca="1" ref="Z1720" ca="1">IFERROR(IF(_xlfn._xlws.FILTER(game_rosters!$J:$J,(game_rosters!$G:$G=events!$AN1720)*(game_rosters!$J:$J=events!$X1720))&gt;0,1,""),"")</f>
        <v>#VALUE!</v>
      </c>
      <c r="AA1720">
        <f t="shared" si="187"/>
        <v>1000</v>
      </c>
      <c r="AB1720" t="str">
        <f t="shared" si="188"/>
        <v/>
      </c>
      <c r="AC1720">
        <f t="shared" si="185"/>
        <v>1000</v>
      </c>
      <c r="AD1720" s="6"/>
    </row>
    <row r="1721" spans="1:30" x14ac:dyDescent="0.2">
      <c r="A1721" t="str">
        <f t="shared" si="186"/>
        <v/>
      </c>
      <c r="X1721" t="str" cm="1">
        <f t="array" ref="X1721">IF(S1721="","",IF($I1721&lt;&gt;"",$I1721,INDEX($I$2:$I1720,ROW()-COUNTIFS($T$2:$T1720,"="&amp;$T1721,$S$2:$S1720,"&lt;&gt;"&amp;$S1721)-1)))</f>
        <v/>
      </c>
      <c r="Y1721" t="b">
        <f>IF(X1721&lt;&gt;"",VLOOKUP(X1721,game_rosters!$C$43:$E$64,3,FALSE))</f>
        <v>0</v>
      </c>
      <c r="Z1721" t="e" cm="1" vm="1">
        <f t="array" aca="1" ref="Z1721" ca="1">IFERROR(IF(_xlfn._xlws.FILTER(game_rosters!$J:$J,(game_rosters!$G:$G=events!$AN1721)*(game_rosters!$J:$J=events!$X1721))&gt;0,1,""),"")</f>
        <v>#VALUE!</v>
      </c>
      <c r="AA1721">
        <f t="shared" si="187"/>
        <v>1000</v>
      </c>
      <c r="AB1721" t="str">
        <f t="shared" si="188"/>
        <v/>
      </c>
      <c r="AC1721">
        <f t="shared" si="185"/>
        <v>1000</v>
      </c>
      <c r="AD1721" s="6"/>
    </row>
    <row r="1722" spans="1:30" x14ac:dyDescent="0.2">
      <c r="A1722" t="str">
        <f t="shared" si="186"/>
        <v/>
      </c>
      <c r="X1722" t="str" cm="1">
        <f t="array" ref="X1722">IF(S1722="","",IF($I1722&lt;&gt;"",$I1722,INDEX($I$2:$I1721,ROW()-COUNTIFS($T$2:$T1721,"="&amp;$T1722,$S$2:$S1721,"&lt;&gt;"&amp;$S1722)-1)))</f>
        <v/>
      </c>
      <c r="Y1722" t="b">
        <f>IF(X1722&lt;&gt;"",VLOOKUP(X1722,game_rosters!$C$43:$E$64,3,FALSE))</f>
        <v>0</v>
      </c>
      <c r="Z1722" t="e" cm="1" vm="1">
        <f t="array" aca="1" ref="Z1722" ca="1">IFERROR(IF(_xlfn._xlws.FILTER(game_rosters!$J:$J,(game_rosters!$G:$G=events!$AN1722)*(game_rosters!$J:$J=events!$X1722))&gt;0,1,""),"")</f>
        <v>#VALUE!</v>
      </c>
      <c r="AA1722">
        <f t="shared" si="187"/>
        <v>1000</v>
      </c>
      <c r="AB1722" t="str">
        <f t="shared" si="188"/>
        <v/>
      </c>
      <c r="AC1722">
        <f t="shared" si="185"/>
        <v>1000</v>
      </c>
      <c r="AD1722" s="6"/>
    </row>
    <row r="1723" spans="1:30" x14ac:dyDescent="0.2">
      <c r="A1723" t="str">
        <f t="shared" si="186"/>
        <v/>
      </c>
      <c r="X1723" t="str" cm="1">
        <f t="array" ref="X1723">IF(S1723="","",IF($I1723&lt;&gt;"",$I1723,INDEX($I$2:$I1722,ROW()-COUNTIFS($T$2:$T1722,"="&amp;$T1723,$S$2:$S1722,"&lt;&gt;"&amp;$S1723)-1)))</f>
        <v/>
      </c>
      <c r="Y1723" t="b">
        <f>IF(X1723&lt;&gt;"",VLOOKUP(X1723,game_rosters!$C$43:$E$64,3,FALSE))</f>
        <v>0</v>
      </c>
      <c r="Z1723" t="e" cm="1" vm="1">
        <f t="array" aca="1" ref="Z1723" ca="1">IFERROR(IF(_xlfn._xlws.FILTER(game_rosters!$J:$J,(game_rosters!$G:$G=events!$AN1723)*(game_rosters!$J:$J=events!$X1723))&gt;0,1,""),"")</f>
        <v>#VALUE!</v>
      </c>
      <c r="AA1723">
        <f t="shared" si="187"/>
        <v>1000</v>
      </c>
      <c r="AB1723" t="str">
        <f t="shared" si="188"/>
        <v/>
      </c>
      <c r="AC1723">
        <f t="shared" si="185"/>
        <v>1000</v>
      </c>
      <c r="AD1723" s="6"/>
    </row>
    <row r="1724" spans="1:30" x14ac:dyDescent="0.2">
      <c r="A1724" t="str">
        <f t="shared" si="186"/>
        <v/>
      </c>
      <c r="X1724" t="str" cm="1">
        <f t="array" ref="X1724">IF(S1724="","",IF($I1724&lt;&gt;"",$I1724,INDEX($I$2:$I1723,ROW()-COUNTIFS($T$2:$T1723,"="&amp;$T1724,$S$2:$S1723,"&lt;&gt;"&amp;$S1724)-1)))</f>
        <v/>
      </c>
      <c r="Y1724" t="b">
        <f>IF(X1724&lt;&gt;"",VLOOKUP(X1724,game_rosters!$C$43:$E$64,3,FALSE))</f>
        <v>0</v>
      </c>
      <c r="Z1724" t="e" cm="1" vm="1">
        <f t="array" aca="1" ref="Z1724" ca="1">IFERROR(IF(_xlfn._xlws.FILTER(game_rosters!$J:$J,(game_rosters!$G:$G=events!$AN1724)*(game_rosters!$J:$J=events!$X1724))&gt;0,1,""),"")</f>
        <v>#VALUE!</v>
      </c>
      <c r="AA1724">
        <f t="shared" si="187"/>
        <v>1000</v>
      </c>
      <c r="AB1724" t="str">
        <f t="shared" si="188"/>
        <v/>
      </c>
      <c r="AC1724">
        <f t="shared" si="185"/>
        <v>1000</v>
      </c>
      <c r="AD1724" s="6"/>
    </row>
    <row r="1725" spans="1:30" x14ac:dyDescent="0.2">
      <c r="A1725" t="str">
        <f t="shared" si="186"/>
        <v/>
      </c>
      <c r="X1725" t="str" cm="1">
        <f t="array" ref="X1725">IF(S1725="","",IF($I1725&lt;&gt;"",$I1725,INDEX($I$2:$I1724,ROW()-COUNTIFS($T$2:$T1724,"="&amp;$T1725,$S$2:$S1724,"&lt;&gt;"&amp;$S1725)-1)))</f>
        <v/>
      </c>
      <c r="Y1725" t="b">
        <f>IF(X1725&lt;&gt;"",VLOOKUP(X1725,game_rosters!$C$43:$E$64,3,FALSE))</f>
        <v>0</v>
      </c>
      <c r="Z1725" t="e" cm="1" vm="1">
        <f t="array" aca="1" ref="Z1725" ca="1">IFERROR(IF(_xlfn._xlws.FILTER(game_rosters!$J:$J,(game_rosters!$G:$G=events!$AN1725)*(game_rosters!$J:$J=events!$X1725))&gt;0,1,""),"")</f>
        <v>#VALUE!</v>
      </c>
      <c r="AA1725">
        <f t="shared" si="187"/>
        <v>1000</v>
      </c>
      <c r="AB1725" t="str">
        <f t="shared" si="188"/>
        <v/>
      </c>
      <c r="AC1725">
        <f t="shared" si="185"/>
        <v>1000</v>
      </c>
      <c r="AD1725" s="6"/>
    </row>
    <row r="1726" spans="1:30" x14ac:dyDescent="0.2">
      <c r="A1726" t="str">
        <f t="shared" si="186"/>
        <v/>
      </c>
      <c r="X1726" t="str" cm="1">
        <f t="array" ref="X1726">IF(S1726="","",IF($I1726&lt;&gt;"",$I1726,INDEX($I$2:$I1725,ROW()-COUNTIFS($T$2:$T1725,"="&amp;$T1726,$S$2:$S1725,"&lt;&gt;"&amp;$S1726)-1)))</f>
        <v/>
      </c>
      <c r="Y1726" t="b">
        <f>IF(X1726&lt;&gt;"",VLOOKUP(X1726,game_rosters!$C$43:$E$64,3,FALSE))</f>
        <v>0</v>
      </c>
      <c r="Z1726" t="e" cm="1" vm="1">
        <f t="array" aca="1" ref="Z1726" ca="1">IFERROR(IF(_xlfn._xlws.FILTER(game_rosters!$J:$J,(game_rosters!$G:$G=events!$AN1726)*(game_rosters!$J:$J=events!$X1726))&gt;0,1,""),"")</f>
        <v>#VALUE!</v>
      </c>
      <c r="AA1726">
        <f t="shared" si="187"/>
        <v>1000</v>
      </c>
      <c r="AB1726" t="str">
        <f t="shared" si="188"/>
        <v/>
      </c>
      <c r="AC1726">
        <f t="shared" si="185"/>
        <v>1000</v>
      </c>
      <c r="AD1726" s="6"/>
    </row>
    <row r="1727" spans="1:30" x14ac:dyDescent="0.2">
      <c r="A1727" t="str">
        <f t="shared" si="186"/>
        <v/>
      </c>
      <c r="X1727" t="str" cm="1">
        <f t="array" ref="X1727">IF(S1727="","",IF($I1727&lt;&gt;"",$I1727,INDEX($I$2:$I1726,ROW()-COUNTIFS($T$2:$T1726,"="&amp;$T1727,$S$2:$S1726,"&lt;&gt;"&amp;$S1727)-1)))</f>
        <v/>
      </c>
      <c r="Y1727" t="b">
        <f>IF(X1727&lt;&gt;"",VLOOKUP(X1727,game_rosters!$C$43:$E$64,3,FALSE))</f>
        <v>0</v>
      </c>
      <c r="Z1727" t="e" cm="1" vm="1">
        <f t="array" aca="1" ref="Z1727" ca="1">IFERROR(IF(_xlfn._xlws.FILTER(game_rosters!$J:$J,(game_rosters!$G:$G=events!$AN1727)*(game_rosters!$J:$J=events!$X1727))&gt;0,1,""),"")</f>
        <v>#VALUE!</v>
      </c>
      <c r="AA1727">
        <f t="shared" si="187"/>
        <v>1000</v>
      </c>
      <c r="AB1727" t="str">
        <f t="shared" si="188"/>
        <v/>
      </c>
      <c r="AC1727">
        <f t="shared" si="185"/>
        <v>1000</v>
      </c>
      <c r="AD1727" s="6"/>
    </row>
    <row r="1728" spans="1:30" x14ac:dyDescent="0.2">
      <c r="A1728" t="str">
        <f t="shared" si="186"/>
        <v/>
      </c>
      <c r="X1728" t="str" cm="1">
        <f t="array" ref="X1728">IF(S1728="","",IF($I1728&lt;&gt;"",$I1728,INDEX($I$2:$I1727,ROW()-COUNTIFS($T$2:$T1727,"="&amp;$T1728,$S$2:$S1727,"&lt;&gt;"&amp;$S1728)-1)))</f>
        <v/>
      </c>
      <c r="Y1728" t="b">
        <f>IF(X1728&lt;&gt;"",VLOOKUP(X1728,game_rosters!$C$43:$E$64,3,FALSE))</f>
        <v>0</v>
      </c>
      <c r="Z1728" t="e" cm="1" vm="1">
        <f t="array" aca="1" ref="Z1728" ca="1">IFERROR(IF(_xlfn._xlws.FILTER(game_rosters!$J:$J,(game_rosters!$G:$G=events!$AN1728)*(game_rosters!$J:$J=events!$X1728))&gt;0,1,""),"")</f>
        <v>#VALUE!</v>
      </c>
      <c r="AA1728">
        <f t="shared" si="187"/>
        <v>1000</v>
      </c>
      <c r="AB1728" t="str">
        <f t="shared" si="188"/>
        <v/>
      </c>
      <c r="AC1728">
        <f t="shared" si="185"/>
        <v>1000</v>
      </c>
      <c r="AD1728" s="6"/>
    </row>
    <row r="1729" spans="1:30" x14ac:dyDescent="0.2">
      <c r="A1729" t="str">
        <f t="shared" si="186"/>
        <v/>
      </c>
      <c r="X1729" t="str" cm="1">
        <f t="array" ref="X1729">IF(S1729="","",IF($I1729&lt;&gt;"",$I1729,INDEX($I$2:$I1728,ROW()-COUNTIFS($T$2:$T1728,"="&amp;$T1729,$S$2:$S1728,"&lt;&gt;"&amp;$S1729)-1)))</f>
        <v/>
      </c>
      <c r="Y1729" t="b">
        <f>IF(X1729&lt;&gt;"",VLOOKUP(X1729,game_rosters!$C$43:$E$64,3,FALSE))</f>
        <v>0</v>
      </c>
      <c r="Z1729" t="e" cm="1" vm="1">
        <f t="array" aca="1" ref="Z1729" ca="1">IFERROR(IF(_xlfn._xlws.FILTER(game_rosters!$J:$J,(game_rosters!$G:$G=events!$AN1729)*(game_rosters!$J:$J=events!$X1729))&gt;0,1,""),"")</f>
        <v>#VALUE!</v>
      </c>
      <c r="AA1729">
        <f t="shared" si="187"/>
        <v>1000</v>
      </c>
      <c r="AB1729" t="str">
        <f t="shared" si="188"/>
        <v/>
      </c>
      <c r="AC1729">
        <f t="shared" si="185"/>
        <v>1000</v>
      </c>
      <c r="AD1729" s="6"/>
    </row>
    <row r="1730" spans="1:30" x14ac:dyDescent="0.2">
      <c r="A1730" t="str">
        <f t="shared" si="186"/>
        <v/>
      </c>
      <c r="X1730" t="str" cm="1">
        <f t="array" ref="X1730">IF(S1730="","",IF($I1730&lt;&gt;"",$I1730,INDEX($I$2:$I1729,ROW()-COUNTIFS($T$2:$T1729,"="&amp;$T1730,$S$2:$S1729,"&lt;&gt;"&amp;$S1730)-1)))</f>
        <v/>
      </c>
      <c r="Y1730" t="b">
        <f>IF(X1730&lt;&gt;"",VLOOKUP(X1730,game_rosters!$C$43:$E$64,3,FALSE))</f>
        <v>0</v>
      </c>
      <c r="Z1730" t="e" cm="1" vm="1">
        <f t="array" aca="1" ref="Z1730" ca="1">IFERROR(IF(_xlfn._xlws.FILTER(game_rosters!$J:$J,(game_rosters!$G:$G=events!$AN1730)*(game_rosters!$J:$J=events!$X1730))&gt;0,1,""),"")</f>
        <v>#VALUE!</v>
      </c>
      <c r="AA1730">
        <f t="shared" si="187"/>
        <v>1000</v>
      </c>
      <c r="AB1730" t="str">
        <f t="shared" si="188"/>
        <v/>
      </c>
      <c r="AC1730">
        <f t="shared" ref="AC1730:AC1793" si="189">IF(AB1730&lt;&gt;"",AB1730,S1730+1000)</f>
        <v>1000</v>
      </c>
      <c r="AD1730" s="6"/>
    </row>
    <row r="1731" spans="1:30" x14ac:dyDescent="0.2">
      <c r="A1731" t="str">
        <f t="shared" si="186"/>
        <v/>
      </c>
      <c r="X1731" t="str" cm="1">
        <f t="array" ref="X1731">IF(S1731="","",IF($I1731&lt;&gt;"",$I1731,INDEX($I$2:$I1730,ROW()-COUNTIFS($T$2:$T1730,"="&amp;$T1731,$S$2:$S1730,"&lt;&gt;"&amp;$S1731)-1)))</f>
        <v/>
      </c>
      <c r="Y1731" t="b">
        <f>IF(X1731&lt;&gt;"",VLOOKUP(X1731,game_rosters!$C$43:$E$64,3,FALSE))</f>
        <v>0</v>
      </c>
      <c r="Z1731" t="e" cm="1" vm="1">
        <f t="array" aca="1" ref="Z1731" ca="1">IFERROR(IF(_xlfn._xlws.FILTER(game_rosters!$J:$J,(game_rosters!$G:$G=events!$AN1731)*(game_rosters!$J:$J=events!$X1731))&gt;0,1,""),"")</f>
        <v>#VALUE!</v>
      </c>
      <c r="AA1731">
        <f t="shared" si="187"/>
        <v>1000</v>
      </c>
      <c r="AB1731" t="str">
        <f t="shared" si="188"/>
        <v/>
      </c>
      <c r="AC1731">
        <f t="shared" si="189"/>
        <v>1000</v>
      </c>
      <c r="AD1731" s="6"/>
    </row>
    <row r="1732" spans="1:30" x14ac:dyDescent="0.2">
      <c r="A1732" t="str">
        <f t="shared" si="186"/>
        <v/>
      </c>
      <c r="X1732" t="str" cm="1">
        <f t="array" ref="X1732">IF(S1732="","",IF($I1732&lt;&gt;"",$I1732,INDEX($I$2:$I1731,ROW()-COUNTIFS($T$2:$T1731,"="&amp;$T1732,$S$2:$S1731,"&lt;&gt;"&amp;$S1732)-1)))</f>
        <v/>
      </c>
      <c r="Y1732" t="b">
        <f>IF(X1732&lt;&gt;"",VLOOKUP(X1732,game_rosters!$C$43:$E$64,3,FALSE))</f>
        <v>0</v>
      </c>
      <c r="Z1732" t="e" cm="1" vm="1">
        <f t="array" aca="1" ref="Z1732" ca="1">IFERROR(IF(_xlfn._xlws.FILTER(game_rosters!$J:$J,(game_rosters!$G:$G=events!$AN1732)*(game_rosters!$J:$J=events!$X1732))&gt;0,1,""),"")</f>
        <v>#VALUE!</v>
      </c>
      <c r="AA1732">
        <f t="shared" si="187"/>
        <v>1000</v>
      </c>
      <c r="AB1732" t="str">
        <f t="shared" si="188"/>
        <v/>
      </c>
      <c r="AC1732">
        <f t="shared" si="189"/>
        <v>1000</v>
      </c>
      <c r="AD1732" s="6"/>
    </row>
    <row r="1733" spans="1:30" x14ac:dyDescent="0.2">
      <c r="A1733" t="str">
        <f t="shared" ref="A1733:A1796" si="190">IF(K1733&lt;&gt;"",1,IF(D1733="x","x",""))</f>
        <v/>
      </c>
      <c r="X1733" t="str" cm="1">
        <f t="array" ref="X1733">IF(S1733="","",IF($I1733&lt;&gt;"",$I1733,INDEX($I$2:$I1732,ROW()-COUNTIFS($T$2:$T1732,"="&amp;$T1733,$S$2:$S1732,"&lt;&gt;"&amp;$S1733)-1)))</f>
        <v/>
      </c>
      <c r="Y1733" t="b">
        <f>IF(X1733&lt;&gt;"",VLOOKUP(X1733,game_rosters!$C$43:$E$64,3,FALSE))</f>
        <v>0</v>
      </c>
      <c r="Z1733" t="e" cm="1" vm="1">
        <f t="array" aca="1" ref="Z1733" ca="1">IFERROR(IF(_xlfn._xlws.FILTER(game_rosters!$J:$J,(game_rosters!$G:$G=events!$AN1733)*(game_rosters!$J:$J=events!$X1733))&gt;0,1,""),"")</f>
        <v>#VALUE!</v>
      </c>
      <c r="AA1733">
        <f t="shared" si="187"/>
        <v>1000</v>
      </c>
      <c r="AB1733" t="str">
        <f t="shared" si="188"/>
        <v/>
      </c>
      <c r="AC1733">
        <f t="shared" si="189"/>
        <v>1000</v>
      </c>
      <c r="AD1733" s="6"/>
    </row>
    <row r="1734" spans="1:30" x14ac:dyDescent="0.2">
      <c r="A1734" t="str">
        <f t="shared" si="190"/>
        <v/>
      </c>
      <c r="X1734" t="str" cm="1">
        <f t="array" ref="X1734">IF(S1734="","",IF($I1734&lt;&gt;"",$I1734,INDEX($I$2:$I1733,ROW()-COUNTIFS($T$2:$T1733,"="&amp;$T1734,$S$2:$S1733,"&lt;&gt;"&amp;$S1734)-1)))</f>
        <v/>
      </c>
      <c r="Y1734" t="b">
        <f>IF(X1734&lt;&gt;"",VLOOKUP(X1734,game_rosters!$C$43:$E$64,3,FALSE))</f>
        <v>0</v>
      </c>
      <c r="Z1734" t="e" cm="1" vm="1">
        <f t="array" aca="1" ref="Z1734" ca="1">IFERROR(IF(_xlfn._xlws.FILTER(game_rosters!$J:$J,(game_rosters!$G:$G=events!$AN1734)*(game_rosters!$J:$J=events!$X1734))&gt;0,1,""),"")</f>
        <v>#VALUE!</v>
      </c>
      <c r="AA1734">
        <f t="shared" si="187"/>
        <v>1000</v>
      </c>
      <c r="AB1734" t="str">
        <f t="shared" si="188"/>
        <v/>
      </c>
      <c r="AC1734">
        <f t="shared" si="189"/>
        <v>1000</v>
      </c>
      <c r="AD1734" s="6"/>
    </row>
    <row r="1735" spans="1:30" x14ac:dyDescent="0.2">
      <c r="A1735" t="str">
        <f t="shared" si="190"/>
        <v/>
      </c>
      <c r="X1735" t="str" cm="1">
        <f t="array" ref="X1735">IF(S1735="","",IF($I1735&lt;&gt;"",$I1735,INDEX($I$2:$I1734,ROW()-COUNTIFS($T$2:$T1734,"="&amp;$T1735,$S$2:$S1734,"&lt;&gt;"&amp;$S1735)-1)))</f>
        <v/>
      </c>
      <c r="Y1735" t="b">
        <f>IF(X1735&lt;&gt;"",VLOOKUP(X1735,game_rosters!$C$43:$E$64,3,FALSE))</f>
        <v>0</v>
      </c>
      <c r="Z1735" t="e" cm="1" vm="1">
        <f t="array" aca="1" ref="Z1735" ca="1">IFERROR(IF(_xlfn._xlws.FILTER(game_rosters!$J:$J,(game_rosters!$G:$G=events!$AN1735)*(game_rosters!$J:$J=events!$X1735))&gt;0,1,""),"")</f>
        <v>#VALUE!</v>
      </c>
      <c r="AA1735">
        <f t="shared" si="187"/>
        <v>1000</v>
      </c>
      <c r="AB1735" t="str">
        <f t="shared" si="188"/>
        <v/>
      </c>
      <c r="AC1735">
        <f t="shared" si="189"/>
        <v>1000</v>
      </c>
      <c r="AD1735" s="6"/>
    </row>
    <row r="1736" spans="1:30" x14ac:dyDescent="0.2">
      <c r="A1736" t="str">
        <f t="shared" si="190"/>
        <v/>
      </c>
      <c r="X1736" t="str" cm="1">
        <f t="array" ref="X1736">IF(S1736="","",IF($I1736&lt;&gt;"",$I1736,INDEX($I$2:$I1735,ROW()-COUNTIFS($T$2:$T1735,"="&amp;$T1736,$S$2:$S1735,"&lt;&gt;"&amp;$S1736)-1)))</f>
        <v/>
      </c>
      <c r="Y1736" t="b">
        <f>IF(X1736&lt;&gt;"",VLOOKUP(X1736,game_rosters!$C$43:$E$64,3,FALSE))</f>
        <v>0</v>
      </c>
      <c r="Z1736" t="e" cm="1" vm="1">
        <f t="array" aca="1" ref="Z1736" ca="1">IFERROR(IF(_xlfn._xlws.FILTER(game_rosters!$J:$J,(game_rosters!$G:$G=events!$AN1736)*(game_rosters!$J:$J=events!$X1736))&gt;0,1,""),"")</f>
        <v>#VALUE!</v>
      </c>
      <c r="AA1736">
        <f t="shared" si="187"/>
        <v>1000</v>
      </c>
      <c r="AB1736" t="str">
        <f t="shared" si="188"/>
        <v/>
      </c>
      <c r="AC1736">
        <f t="shared" si="189"/>
        <v>1000</v>
      </c>
      <c r="AD1736" s="6"/>
    </row>
    <row r="1737" spans="1:30" x14ac:dyDescent="0.2">
      <c r="A1737" t="str">
        <f t="shared" si="190"/>
        <v/>
      </c>
      <c r="X1737" t="str" cm="1">
        <f t="array" ref="X1737">IF(S1737="","",IF($I1737&lt;&gt;"",$I1737,INDEX($I$2:$I1736,ROW()-COUNTIFS($T$2:$T1736,"="&amp;$T1737,$S$2:$S1736,"&lt;&gt;"&amp;$S1737)-1)))</f>
        <v/>
      </c>
      <c r="Y1737" t="b">
        <f>IF(X1737&lt;&gt;"",VLOOKUP(X1737,game_rosters!$C$43:$E$64,3,FALSE))</f>
        <v>0</v>
      </c>
      <c r="Z1737" t="e" cm="1" vm="1">
        <f t="array" aca="1" ref="Z1737" ca="1">IFERROR(IF(_xlfn._xlws.FILTER(game_rosters!$J:$J,(game_rosters!$G:$G=events!$AN1737)*(game_rosters!$J:$J=events!$X1737))&gt;0,1,""),"")</f>
        <v>#VALUE!</v>
      </c>
      <c r="AA1737">
        <f t="shared" si="187"/>
        <v>1000</v>
      </c>
      <c r="AB1737" t="str">
        <f t="shared" si="188"/>
        <v/>
      </c>
      <c r="AC1737">
        <f t="shared" si="189"/>
        <v>1000</v>
      </c>
      <c r="AD1737" s="6"/>
    </row>
    <row r="1738" spans="1:30" x14ac:dyDescent="0.2">
      <c r="A1738" t="str">
        <f t="shared" si="190"/>
        <v/>
      </c>
      <c r="X1738" t="str" cm="1">
        <f t="array" ref="X1738">IF(S1738="","",IF($I1738&lt;&gt;"",$I1738,INDEX($I$2:$I1737,ROW()-COUNTIFS($T$2:$T1737,"="&amp;$T1738,$S$2:$S1737,"&lt;&gt;"&amp;$S1738)-1)))</f>
        <v/>
      </c>
      <c r="Y1738" t="b">
        <f>IF(X1738&lt;&gt;"",VLOOKUP(X1738,game_rosters!$C$43:$E$64,3,FALSE))</f>
        <v>0</v>
      </c>
      <c r="Z1738" t="e" cm="1" vm="1">
        <f t="array" aca="1" ref="Z1738" ca="1">IFERROR(IF(_xlfn._xlws.FILTER(game_rosters!$J:$J,(game_rosters!$G:$G=events!$AN1738)*(game_rosters!$J:$J=events!$X1738))&gt;0,1,""),"")</f>
        <v>#VALUE!</v>
      </c>
      <c r="AA1738">
        <f t="shared" si="187"/>
        <v>1000</v>
      </c>
      <c r="AB1738" t="str">
        <f t="shared" si="188"/>
        <v/>
      </c>
      <c r="AC1738">
        <f t="shared" si="189"/>
        <v>1000</v>
      </c>
      <c r="AD1738" s="6"/>
    </row>
    <row r="1739" spans="1:30" x14ac:dyDescent="0.2">
      <c r="A1739" t="str">
        <f t="shared" si="190"/>
        <v/>
      </c>
      <c r="X1739" t="str" cm="1">
        <f t="array" ref="X1739">IF(S1739="","",IF($I1739&lt;&gt;"",$I1739,INDEX($I$2:$I1738,ROW()-COUNTIFS($T$2:$T1738,"="&amp;$T1739,$S$2:$S1738,"&lt;&gt;"&amp;$S1739)-1)))</f>
        <v/>
      </c>
      <c r="Y1739" t="b">
        <f>IF(X1739&lt;&gt;"",VLOOKUP(X1739,game_rosters!$C$43:$E$64,3,FALSE))</f>
        <v>0</v>
      </c>
      <c r="Z1739" t="e" cm="1" vm="1">
        <f t="array" aca="1" ref="Z1739" ca="1">IFERROR(IF(_xlfn._xlws.FILTER(game_rosters!$J:$J,(game_rosters!$G:$G=events!$AN1739)*(game_rosters!$J:$J=events!$X1739))&gt;0,1,""),"")</f>
        <v>#VALUE!</v>
      </c>
      <c r="AA1739">
        <f t="shared" si="187"/>
        <v>1000</v>
      </c>
      <c r="AB1739" t="str">
        <f t="shared" si="188"/>
        <v/>
      </c>
      <c r="AC1739">
        <f t="shared" si="189"/>
        <v>1000</v>
      </c>
      <c r="AD1739" s="6"/>
    </row>
    <row r="1740" spans="1:30" x14ac:dyDescent="0.2">
      <c r="A1740" t="str">
        <f t="shared" si="190"/>
        <v/>
      </c>
      <c r="X1740" t="str" cm="1">
        <f t="array" ref="X1740">IF(S1740="","",IF($I1740&lt;&gt;"",$I1740,INDEX($I$2:$I1739,ROW()-COUNTIFS($T$2:$T1739,"="&amp;$T1740,$S$2:$S1739,"&lt;&gt;"&amp;$S1740)-1)))</f>
        <v/>
      </c>
      <c r="Y1740" t="b">
        <f>IF(X1740&lt;&gt;"",VLOOKUP(X1740,game_rosters!$C$43:$E$64,3,FALSE))</f>
        <v>0</v>
      </c>
      <c r="Z1740" t="e" cm="1" vm="1">
        <f t="array" aca="1" ref="Z1740" ca="1">IFERROR(IF(_xlfn._xlws.FILTER(game_rosters!$J:$J,(game_rosters!$G:$G=events!$AN1740)*(game_rosters!$J:$J=events!$X1740))&gt;0,1,""),"")</f>
        <v>#VALUE!</v>
      </c>
      <c r="AA1740">
        <f t="shared" si="187"/>
        <v>1000</v>
      </c>
      <c r="AB1740" t="str">
        <f t="shared" si="188"/>
        <v/>
      </c>
      <c r="AC1740">
        <f t="shared" si="189"/>
        <v>1000</v>
      </c>
      <c r="AD1740" s="6"/>
    </row>
    <row r="1741" spans="1:30" x14ac:dyDescent="0.2">
      <c r="A1741" t="str">
        <f t="shared" si="190"/>
        <v/>
      </c>
      <c r="X1741" t="str" cm="1">
        <f t="array" ref="X1741">IF(S1741="","",IF($I1741&lt;&gt;"",$I1741,INDEX($I$2:$I1740,ROW()-COUNTIFS($T$2:$T1740,"="&amp;$T1741,$S$2:$S1740,"&lt;&gt;"&amp;$S1741)-1)))</f>
        <v/>
      </c>
      <c r="Y1741" t="b">
        <f>IF(X1741&lt;&gt;"",VLOOKUP(X1741,game_rosters!$C$43:$E$64,3,FALSE))</f>
        <v>0</v>
      </c>
      <c r="Z1741" t="e" cm="1" vm="1">
        <f t="array" aca="1" ref="Z1741" ca="1">IFERROR(IF(_xlfn._xlws.FILTER(game_rosters!$J:$J,(game_rosters!$G:$G=events!$AN1741)*(game_rosters!$J:$J=events!$X1741))&gt;0,1,""),"")</f>
        <v>#VALUE!</v>
      </c>
      <c r="AA1741">
        <f t="shared" si="187"/>
        <v>1000</v>
      </c>
      <c r="AB1741" t="str">
        <f t="shared" si="188"/>
        <v/>
      </c>
      <c r="AC1741">
        <f t="shared" si="189"/>
        <v>1000</v>
      </c>
      <c r="AD1741" s="6"/>
    </row>
    <row r="1742" spans="1:30" x14ac:dyDescent="0.2">
      <c r="A1742" t="str">
        <f t="shared" si="190"/>
        <v/>
      </c>
      <c r="X1742" t="str" cm="1">
        <f t="array" ref="X1742">IF(S1742="","",IF($I1742&lt;&gt;"",$I1742,INDEX($I$2:$I1741,ROW()-COUNTIFS($T$2:$T1741,"="&amp;$T1742,$S$2:$S1741,"&lt;&gt;"&amp;$S1742)-1)))</f>
        <v/>
      </c>
      <c r="Y1742" t="b">
        <f>IF(X1742&lt;&gt;"",VLOOKUP(X1742,game_rosters!$C$43:$E$64,3,FALSE))</f>
        <v>0</v>
      </c>
      <c r="Z1742" t="e" cm="1" vm="1">
        <f t="array" aca="1" ref="Z1742" ca="1">IFERROR(IF(_xlfn._xlws.FILTER(game_rosters!$J:$J,(game_rosters!$G:$G=events!$AN1742)*(game_rosters!$J:$J=events!$X1742))&gt;0,1,""),"")</f>
        <v>#VALUE!</v>
      </c>
      <c r="AA1742">
        <f t="shared" si="187"/>
        <v>1000</v>
      </c>
      <c r="AB1742" t="str">
        <f t="shared" si="188"/>
        <v/>
      </c>
      <c r="AC1742">
        <f t="shared" si="189"/>
        <v>1000</v>
      </c>
      <c r="AD1742" s="6"/>
    </row>
    <row r="1743" spans="1:30" x14ac:dyDescent="0.2">
      <c r="A1743" t="str">
        <f t="shared" si="190"/>
        <v/>
      </c>
      <c r="X1743" t="str" cm="1">
        <f t="array" ref="X1743">IF(S1743="","",IF($I1743&lt;&gt;"",$I1743,INDEX($I$2:$I1742,ROW()-COUNTIFS($T$2:$T1742,"="&amp;$T1743,$S$2:$S1742,"&lt;&gt;"&amp;$S1743)-1)))</f>
        <v/>
      </c>
      <c r="Y1743" t="b">
        <f>IF(X1743&lt;&gt;"",VLOOKUP(X1743,game_rosters!$C$43:$E$64,3,FALSE))</f>
        <v>0</v>
      </c>
      <c r="Z1743" t="e" cm="1" vm="1">
        <f t="array" aca="1" ref="Z1743" ca="1">IFERROR(IF(_xlfn._xlws.FILTER(game_rosters!$J:$J,(game_rosters!$G:$G=events!$AN1743)*(game_rosters!$J:$J=events!$X1743))&gt;0,1,""),"")</f>
        <v>#VALUE!</v>
      </c>
      <c r="AA1743">
        <f t="shared" si="187"/>
        <v>1000</v>
      </c>
      <c r="AB1743" t="str">
        <f t="shared" si="188"/>
        <v/>
      </c>
      <c r="AC1743">
        <f t="shared" si="189"/>
        <v>1000</v>
      </c>
      <c r="AD1743" s="6"/>
    </row>
    <row r="1744" spans="1:30" x14ac:dyDescent="0.2">
      <c r="A1744" t="str">
        <f t="shared" si="190"/>
        <v/>
      </c>
      <c r="X1744" t="str" cm="1">
        <f t="array" ref="X1744">IF(S1744="","",IF($I1744&lt;&gt;"",$I1744,INDEX($I$2:$I1743,ROW()-COUNTIFS($T$2:$T1743,"="&amp;$T1744,$S$2:$S1743,"&lt;&gt;"&amp;$S1744)-1)))</f>
        <v/>
      </c>
      <c r="Y1744" t="b">
        <f>IF(X1744&lt;&gt;"",VLOOKUP(X1744,game_rosters!$C$43:$E$64,3,FALSE))</f>
        <v>0</v>
      </c>
      <c r="Z1744" t="e" cm="1" vm="1">
        <f t="array" aca="1" ref="Z1744" ca="1">IFERROR(IF(_xlfn._xlws.FILTER(game_rosters!$J:$J,(game_rosters!$G:$G=events!$AN1744)*(game_rosters!$J:$J=events!$X1744))&gt;0,1,""),"")</f>
        <v>#VALUE!</v>
      </c>
      <c r="AA1744">
        <f t="shared" si="187"/>
        <v>1000</v>
      </c>
      <c r="AB1744" t="str">
        <f t="shared" si="188"/>
        <v/>
      </c>
      <c r="AC1744">
        <f t="shared" si="189"/>
        <v>1000</v>
      </c>
      <c r="AD1744" s="6"/>
    </row>
    <row r="1745" spans="1:30" x14ac:dyDescent="0.2">
      <c r="A1745" t="str">
        <f t="shared" si="190"/>
        <v/>
      </c>
      <c r="X1745" t="str" cm="1">
        <f t="array" ref="X1745">IF(S1745="","",IF($I1745&lt;&gt;"",$I1745,INDEX($I$2:$I1744,ROW()-COUNTIFS($T$2:$T1744,"="&amp;$T1745,$S$2:$S1744,"&lt;&gt;"&amp;$S1745)-1)))</f>
        <v/>
      </c>
      <c r="Y1745" t="b">
        <f>IF(X1745&lt;&gt;"",VLOOKUP(X1745,game_rosters!$C$43:$E$64,3,FALSE))</f>
        <v>0</v>
      </c>
      <c r="Z1745" t="e" cm="1" vm="1">
        <f t="array" aca="1" ref="Z1745" ca="1">IFERROR(IF(_xlfn._xlws.FILTER(game_rosters!$J:$J,(game_rosters!$G:$G=events!$AN1745)*(game_rosters!$J:$J=events!$X1745))&gt;0,1,""),"")</f>
        <v>#VALUE!</v>
      </c>
      <c r="AA1745">
        <f t="shared" si="187"/>
        <v>1000</v>
      </c>
      <c r="AB1745" t="str">
        <f t="shared" si="188"/>
        <v/>
      </c>
      <c r="AC1745">
        <f t="shared" si="189"/>
        <v>1000</v>
      </c>
      <c r="AD1745" s="6"/>
    </row>
    <row r="1746" spans="1:30" x14ac:dyDescent="0.2">
      <c r="A1746" t="str">
        <f t="shared" si="190"/>
        <v/>
      </c>
      <c r="X1746" t="str" cm="1">
        <f t="array" ref="X1746">IF(S1746="","",IF($I1746&lt;&gt;"",$I1746,INDEX($I$2:$I1745,ROW()-COUNTIFS($T$2:$T1745,"="&amp;$T1746,$S$2:$S1745,"&lt;&gt;"&amp;$S1746)-1)))</f>
        <v/>
      </c>
      <c r="Y1746" t="b">
        <f>IF(X1746&lt;&gt;"",VLOOKUP(X1746,game_rosters!$C$43:$E$64,3,FALSE))</f>
        <v>0</v>
      </c>
      <c r="Z1746" t="e" cm="1" vm="1">
        <f t="array" aca="1" ref="Z1746" ca="1">IFERROR(IF(_xlfn._xlws.FILTER(game_rosters!$J:$J,(game_rosters!$G:$G=events!$AN1746)*(game_rosters!$J:$J=events!$X1746))&gt;0,1,""),"")</f>
        <v>#VALUE!</v>
      </c>
      <c r="AA1746">
        <f t="shared" si="187"/>
        <v>1000</v>
      </c>
      <c r="AB1746" t="str">
        <f t="shared" si="188"/>
        <v/>
      </c>
      <c r="AC1746">
        <f t="shared" si="189"/>
        <v>1000</v>
      </c>
      <c r="AD1746" s="6"/>
    </row>
    <row r="1747" spans="1:30" x14ac:dyDescent="0.2">
      <c r="A1747" t="str">
        <f t="shared" si="190"/>
        <v/>
      </c>
      <c r="X1747" t="str" cm="1">
        <f t="array" ref="X1747">IF(S1747="","",IF($I1747&lt;&gt;"",$I1747,INDEX($I$2:$I1746,ROW()-COUNTIFS($T$2:$T1746,"="&amp;$T1747,$S$2:$S1746,"&lt;&gt;"&amp;$S1747)-1)))</f>
        <v/>
      </c>
      <c r="Y1747" t="b">
        <f>IF(X1747&lt;&gt;"",VLOOKUP(X1747,game_rosters!$C$43:$E$64,3,FALSE))</f>
        <v>0</v>
      </c>
      <c r="Z1747" t="e" cm="1" vm="1">
        <f t="array" aca="1" ref="Z1747" ca="1">IFERROR(IF(_xlfn._xlws.FILTER(game_rosters!$J:$J,(game_rosters!$G:$G=events!$AN1747)*(game_rosters!$J:$J=events!$X1747))&gt;0,1,""),"")</f>
        <v>#VALUE!</v>
      </c>
      <c r="AA1747">
        <f t="shared" si="187"/>
        <v>1000</v>
      </c>
      <c r="AB1747" t="str">
        <f t="shared" si="188"/>
        <v/>
      </c>
      <c r="AC1747">
        <f t="shared" si="189"/>
        <v>1000</v>
      </c>
      <c r="AD1747" s="6"/>
    </row>
    <row r="1748" spans="1:30" x14ac:dyDescent="0.2">
      <c r="A1748" t="str">
        <f t="shared" si="190"/>
        <v/>
      </c>
      <c r="X1748" t="str" cm="1">
        <f t="array" ref="X1748">IF(S1748="","",IF($I1748&lt;&gt;"",$I1748,INDEX($I$2:$I1747,ROW()-COUNTIFS($T$2:$T1747,"="&amp;$T1748,$S$2:$S1747,"&lt;&gt;"&amp;$S1748)-1)))</f>
        <v/>
      </c>
      <c r="Y1748" t="b">
        <f>IF(X1748&lt;&gt;"",VLOOKUP(X1748,game_rosters!$C$43:$E$64,3,FALSE))</f>
        <v>0</v>
      </c>
      <c r="Z1748" t="e" cm="1" vm="1">
        <f t="array" aca="1" ref="Z1748" ca="1">IFERROR(IF(_xlfn._xlws.FILTER(game_rosters!$J:$J,(game_rosters!$G:$G=events!$AN1748)*(game_rosters!$J:$J=events!$X1748))&gt;0,1,""),"")</f>
        <v>#VALUE!</v>
      </c>
      <c r="AA1748">
        <f t="shared" si="187"/>
        <v>1000</v>
      </c>
      <c r="AB1748" t="str">
        <f t="shared" si="188"/>
        <v/>
      </c>
      <c r="AC1748">
        <f t="shared" si="189"/>
        <v>1000</v>
      </c>
      <c r="AD1748" s="6"/>
    </row>
    <row r="1749" spans="1:30" x14ac:dyDescent="0.2">
      <c r="A1749" t="str">
        <f t="shared" si="190"/>
        <v/>
      </c>
      <c r="X1749" t="str" cm="1">
        <f t="array" ref="X1749">IF(S1749="","",IF($I1749&lt;&gt;"",$I1749,INDEX($I$2:$I1748,ROW()-COUNTIFS($T$2:$T1748,"="&amp;$T1749,$S$2:$S1748,"&lt;&gt;"&amp;$S1749)-1)))</f>
        <v/>
      </c>
      <c r="Y1749" t="b">
        <f>IF(X1749&lt;&gt;"",VLOOKUP(X1749,game_rosters!$C$43:$E$64,3,FALSE))</f>
        <v>0</v>
      </c>
      <c r="Z1749" t="e" cm="1" vm="1">
        <f t="array" aca="1" ref="Z1749" ca="1">IFERROR(IF(_xlfn._xlws.FILTER(game_rosters!$J:$J,(game_rosters!$G:$G=events!$AN1749)*(game_rosters!$J:$J=events!$X1749))&gt;0,1,""),"")</f>
        <v>#VALUE!</v>
      </c>
      <c r="AA1749">
        <f t="shared" si="187"/>
        <v>1000</v>
      </c>
      <c r="AB1749" t="str">
        <f t="shared" si="188"/>
        <v/>
      </c>
      <c r="AC1749">
        <f t="shared" si="189"/>
        <v>1000</v>
      </c>
      <c r="AD1749" s="6"/>
    </row>
    <row r="1750" spans="1:30" x14ac:dyDescent="0.2">
      <c r="A1750" t="str">
        <f t="shared" si="190"/>
        <v/>
      </c>
      <c r="X1750" t="str" cm="1">
        <f t="array" ref="X1750">IF(S1750="","",IF($I1750&lt;&gt;"",$I1750,INDEX($I$2:$I1749,ROW()-COUNTIFS($T$2:$T1749,"="&amp;$T1750,$S$2:$S1749,"&lt;&gt;"&amp;$S1750)-1)))</f>
        <v/>
      </c>
      <c r="Y1750" t="b">
        <f>IF(X1750&lt;&gt;"",VLOOKUP(X1750,game_rosters!$C$43:$E$64,3,FALSE))</f>
        <v>0</v>
      </c>
      <c r="Z1750" t="e" cm="1" vm="1">
        <f t="array" aca="1" ref="Z1750" ca="1">IFERROR(IF(_xlfn._xlws.FILTER(game_rosters!$J:$J,(game_rosters!$G:$G=events!$AN1750)*(game_rosters!$J:$J=events!$X1750))&gt;0,1,""),"")</f>
        <v>#VALUE!</v>
      </c>
      <c r="AA1750">
        <f t="shared" si="187"/>
        <v>1000</v>
      </c>
      <c r="AB1750" t="str">
        <f t="shared" si="188"/>
        <v/>
      </c>
      <c r="AC1750">
        <f t="shared" si="189"/>
        <v>1000</v>
      </c>
      <c r="AD1750" s="6"/>
    </row>
    <row r="1751" spans="1:30" x14ac:dyDescent="0.2">
      <c r="A1751" t="str">
        <f t="shared" si="190"/>
        <v/>
      </c>
      <c r="X1751" t="str" cm="1">
        <f t="array" ref="X1751">IF(S1751="","",IF($I1751&lt;&gt;"",$I1751,INDEX($I$2:$I1750,ROW()-COUNTIFS($T$2:$T1750,"="&amp;$T1751,$S$2:$S1750,"&lt;&gt;"&amp;$S1751)-1)))</f>
        <v/>
      </c>
      <c r="Y1751" t="b">
        <f>IF(X1751&lt;&gt;"",VLOOKUP(X1751,game_rosters!$C$43:$E$64,3,FALSE))</f>
        <v>0</v>
      </c>
      <c r="Z1751" t="e" cm="1" vm="1">
        <f t="array" aca="1" ref="Z1751" ca="1">IFERROR(IF(_xlfn._xlws.FILTER(game_rosters!$J:$J,(game_rosters!$G:$G=events!$AN1751)*(game_rosters!$J:$J=events!$X1751))&gt;0,1,""),"")</f>
        <v>#VALUE!</v>
      </c>
      <c r="AA1751">
        <f t="shared" si="187"/>
        <v>1000</v>
      </c>
      <c r="AB1751" t="str">
        <f t="shared" si="188"/>
        <v/>
      </c>
      <c r="AC1751">
        <f t="shared" si="189"/>
        <v>1000</v>
      </c>
      <c r="AD1751" s="6"/>
    </row>
    <row r="1752" spans="1:30" x14ac:dyDescent="0.2">
      <c r="A1752" t="str">
        <f t="shared" si="190"/>
        <v/>
      </c>
      <c r="X1752" t="str" cm="1">
        <f t="array" ref="X1752">IF(S1752="","",IF($I1752&lt;&gt;"",$I1752,INDEX($I$2:$I1751,ROW()-COUNTIFS($T$2:$T1751,"="&amp;$T1752,$S$2:$S1751,"&lt;&gt;"&amp;$S1752)-1)))</f>
        <v/>
      </c>
      <c r="Y1752" t="b">
        <f>IF(X1752&lt;&gt;"",VLOOKUP(X1752,game_rosters!$C$43:$E$64,3,FALSE))</f>
        <v>0</v>
      </c>
      <c r="Z1752" t="e" cm="1" vm="1">
        <f t="array" aca="1" ref="Z1752" ca="1">IFERROR(IF(_xlfn._xlws.FILTER(game_rosters!$J:$J,(game_rosters!$G:$G=events!$AN1752)*(game_rosters!$J:$J=events!$X1752))&gt;0,1,""),"")</f>
        <v>#VALUE!</v>
      </c>
      <c r="AA1752">
        <f t="shared" si="187"/>
        <v>1000</v>
      </c>
      <c r="AB1752" t="str">
        <f t="shared" si="188"/>
        <v/>
      </c>
      <c r="AC1752">
        <f t="shared" si="189"/>
        <v>1000</v>
      </c>
      <c r="AD1752" s="6"/>
    </row>
    <row r="1753" spans="1:30" x14ac:dyDescent="0.2">
      <c r="A1753" t="str">
        <f t="shared" si="190"/>
        <v/>
      </c>
      <c r="X1753" t="str" cm="1">
        <f t="array" ref="X1753">IF(S1753="","",IF($I1753&lt;&gt;"",$I1753,INDEX($I$2:$I1752,ROW()-COUNTIFS($T$2:$T1752,"="&amp;$T1753,$S$2:$S1752,"&lt;&gt;"&amp;$S1753)-1)))</f>
        <v/>
      </c>
      <c r="Y1753" t="b">
        <f>IF(X1753&lt;&gt;"",VLOOKUP(X1753,game_rosters!$C$43:$E$64,3,FALSE))</f>
        <v>0</v>
      </c>
      <c r="Z1753" t="e" cm="1" vm="1">
        <f t="array" aca="1" ref="Z1753" ca="1">IFERROR(IF(_xlfn._xlws.FILTER(game_rosters!$J:$J,(game_rosters!$G:$G=events!$AN1753)*(game_rosters!$J:$J=events!$X1753))&gt;0,1,""),"")</f>
        <v>#VALUE!</v>
      </c>
      <c r="AA1753">
        <f t="shared" si="187"/>
        <v>1000</v>
      </c>
      <c r="AB1753" t="str">
        <f t="shared" si="188"/>
        <v/>
      </c>
      <c r="AC1753">
        <f t="shared" si="189"/>
        <v>1000</v>
      </c>
      <c r="AD1753" s="6"/>
    </row>
    <row r="1754" spans="1:30" x14ac:dyDescent="0.2">
      <c r="A1754" t="str">
        <f t="shared" si="190"/>
        <v/>
      </c>
      <c r="X1754" t="str" cm="1">
        <f t="array" ref="X1754">IF(S1754="","",IF($I1754&lt;&gt;"",$I1754,INDEX($I$2:$I1753,ROW()-COUNTIFS($T$2:$T1753,"="&amp;$T1754,$S$2:$S1753,"&lt;&gt;"&amp;$S1754)-1)))</f>
        <v/>
      </c>
      <c r="Y1754" t="b">
        <f>IF(X1754&lt;&gt;"",VLOOKUP(X1754,game_rosters!$C$43:$E$64,3,FALSE))</f>
        <v>0</v>
      </c>
      <c r="Z1754" t="e" cm="1" vm="1">
        <f t="array" aca="1" ref="Z1754" ca="1">IFERROR(IF(_xlfn._xlws.FILTER(game_rosters!$J:$J,(game_rosters!$G:$G=events!$AN1754)*(game_rosters!$J:$J=events!$X1754))&gt;0,1,""),"")</f>
        <v>#VALUE!</v>
      </c>
      <c r="AA1754">
        <f t="shared" si="187"/>
        <v>1000</v>
      </c>
      <c r="AB1754" t="str">
        <f t="shared" si="188"/>
        <v/>
      </c>
      <c r="AC1754">
        <f t="shared" si="189"/>
        <v>1000</v>
      </c>
      <c r="AD1754" s="6"/>
    </row>
    <row r="1755" spans="1:30" x14ac:dyDescent="0.2">
      <c r="A1755" t="str">
        <f t="shared" si="190"/>
        <v/>
      </c>
      <c r="X1755" t="str" cm="1">
        <f t="array" ref="X1755">IF(S1755="","",IF($I1755&lt;&gt;"",$I1755,INDEX($I$2:$I1754,ROW()-COUNTIFS($T$2:$T1754,"="&amp;$T1755,$S$2:$S1754,"&lt;&gt;"&amp;$S1755)-1)))</f>
        <v/>
      </c>
      <c r="Y1755" t="b">
        <f>IF(X1755&lt;&gt;"",VLOOKUP(X1755,game_rosters!$C$43:$E$64,3,FALSE))</f>
        <v>0</v>
      </c>
      <c r="Z1755" t="e" cm="1" vm="1">
        <f t="array" aca="1" ref="Z1755" ca="1">IFERROR(IF(_xlfn._xlws.FILTER(game_rosters!$J:$J,(game_rosters!$G:$G=events!$AN1755)*(game_rosters!$J:$J=events!$X1755))&gt;0,1,""),"")</f>
        <v>#VALUE!</v>
      </c>
      <c r="AA1755">
        <f t="shared" si="187"/>
        <v>1000</v>
      </c>
      <c r="AB1755" t="str">
        <f t="shared" si="188"/>
        <v/>
      </c>
      <c r="AC1755">
        <f t="shared" si="189"/>
        <v>1000</v>
      </c>
      <c r="AD1755" s="6"/>
    </row>
    <row r="1756" spans="1:30" x14ac:dyDescent="0.2">
      <c r="A1756" t="str">
        <f t="shared" si="190"/>
        <v/>
      </c>
      <c r="X1756" t="str" cm="1">
        <f t="array" ref="X1756">IF(S1756="","",IF($I1756&lt;&gt;"",$I1756,INDEX($I$2:$I1755,ROW()-COUNTIFS($T$2:$T1755,"="&amp;$T1756,$S$2:$S1755,"&lt;&gt;"&amp;$S1756)-1)))</f>
        <v/>
      </c>
      <c r="Y1756" t="b">
        <f>IF(X1756&lt;&gt;"",VLOOKUP(X1756,game_rosters!$C$43:$E$64,3,FALSE))</f>
        <v>0</v>
      </c>
      <c r="Z1756" t="e" cm="1" vm="1">
        <f t="array" aca="1" ref="Z1756" ca="1">IFERROR(IF(_xlfn._xlws.FILTER(game_rosters!$J:$J,(game_rosters!$G:$G=events!$AN1756)*(game_rosters!$J:$J=events!$X1756))&gt;0,1,""),"")</f>
        <v>#VALUE!</v>
      </c>
      <c r="AA1756">
        <f t="shared" si="187"/>
        <v>1000</v>
      </c>
      <c r="AB1756" t="str">
        <f t="shared" si="188"/>
        <v/>
      </c>
      <c r="AC1756">
        <f t="shared" si="189"/>
        <v>1000</v>
      </c>
      <c r="AD1756" s="6"/>
    </row>
    <row r="1757" spans="1:30" x14ac:dyDescent="0.2">
      <c r="A1757" t="str">
        <f t="shared" si="190"/>
        <v/>
      </c>
      <c r="X1757" t="str" cm="1">
        <f t="array" ref="X1757">IF(S1757="","",IF($I1757&lt;&gt;"",$I1757,INDEX($I$2:$I1756,ROW()-COUNTIFS($T$2:$T1756,"="&amp;$T1757,$S$2:$S1756,"&lt;&gt;"&amp;$S1757)-1)))</f>
        <v/>
      </c>
      <c r="Y1757" t="b">
        <f>IF(X1757&lt;&gt;"",VLOOKUP(X1757,game_rosters!$C$43:$E$64,3,FALSE))</f>
        <v>0</v>
      </c>
      <c r="Z1757" t="e" cm="1" vm="1">
        <f t="array" aca="1" ref="Z1757" ca="1">IFERROR(IF(_xlfn._xlws.FILTER(game_rosters!$J:$J,(game_rosters!$G:$G=events!$AN1757)*(game_rosters!$J:$J=events!$X1757))&gt;0,1,""),"")</f>
        <v>#VALUE!</v>
      </c>
      <c r="AA1757">
        <f t="shared" ref="AA1757:AA1820" si="191">S1757+1000</f>
        <v>1000</v>
      </c>
      <c r="AB1757" t="str">
        <f t="shared" ref="AB1757:AB1820" si="192">IF(T1757&lt;&gt;"",9000+T1757,"")</f>
        <v/>
      </c>
      <c r="AC1757">
        <f t="shared" si="189"/>
        <v>1000</v>
      </c>
      <c r="AD1757" s="6"/>
    </row>
    <row r="1758" spans="1:30" x14ac:dyDescent="0.2">
      <c r="A1758" t="str">
        <f t="shared" si="190"/>
        <v/>
      </c>
      <c r="X1758" t="str" cm="1">
        <f t="array" ref="X1758">IF(S1758="","",IF($I1758&lt;&gt;"",$I1758,INDEX($I$2:$I1757,ROW()-COUNTIFS($T$2:$T1757,"="&amp;$T1758,$S$2:$S1757,"&lt;&gt;"&amp;$S1758)-1)))</f>
        <v/>
      </c>
      <c r="Y1758" t="b">
        <f>IF(X1758&lt;&gt;"",VLOOKUP(X1758,game_rosters!$C$43:$E$64,3,FALSE))</f>
        <v>0</v>
      </c>
      <c r="Z1758" t="e" cm="1" vm="1">
        <f t="array" aca="1" ref="Z1758" ca="1">IFERROR(IF(_xlfn._xlws.FILTER(game_rosters!$J:$J,(game_rosters!$G:$G=events!$AN1758)*(game_rosters!$J:$J=events!$X1758))&gt;0,1,""),"")</f>
        <v>#VALUE!</v>
      </c>
      <c r="AA1758">
        <f t="shared" si="191"/>
        <v>1000</v>
      </c>
      <c r="AB1758" t="str">
        <f t="shared" si="192"/>
        <v/>
      </c>
      <c r="AC1758">
        <f t="shared" si="189"/>
        <v>1000</v>
      </c>
      <c r="AD1758" s="6"/>
    </row>
    <row r="1759" spans="1:30" x14ac:dyDescent="0.2">
      <c r="A1759" t="str">
        <f t="shared" si="190"/>
        <v/>
      </c>
      <c r="X1759" t="str" cm="1">
        <f t="array" ref="X1759">IF(S1759="","",IF($I1759&lt;&gt;"",$I1759,INDEX($I$2:$I1758,ROW()-COUNTIFS($T$2:$T1758,"="&amp;$T1759,$S$2:$S1758,"&lt;&gt;"&amp;$S1759)-1)))</f>
        <v/>
      </c>
      <c r="Y1759" t="b">
        <f>IF(X1759&lt;&gt;"",VLOOKUP(X1759,game_rosters!$C$43:$E$64,3,FALSE))</f>
        <v>0</v>
      </c>
      <c r="Z1759" t="e" cm="1" vm="1">
        <f t="array" aca="1" ref="Z1759" ca="1">IFERROR(IF(_xlfn._xlws.FILTER(game_rosters!$J:$J,(game_rosters!$G:$G=events!$AN1759)*(game_rosters!$J:$J=events!$X1759))&gt;0,1,""),"")</f>
        <v>#VALUE!</v>
      </c>
      <c r="AA1759">
        <f t="shared" si="191"/>
        <v>1000</v>
      </c>
      <c r="AB1759" t="str">
        <f t="shared" si="192"/>
        <v/>
      </c>
      <c r="AC1759">
        <f t="shared" si="189"/>
        <v>1000</v>
      </c>
      <c r="AD1759" s="6"/>
    </row>
    <row r="1760" spans="1:30" x14ac:dyDescent="0.2">
      <c r="A1760" t="str">
        <f t="shared" si="190"/>
        <v/>
      </c>
      <c r="X1760" t="str" cm="1">
        <f t="array" ref="X1760">IF(S1760="","",IF($I1760&lt;&gt;"",$I1760,INDEX($I$2:$I1759,ROW()-COUNTIFS($T$2:$T1759,"="&amp;$T1760,$S$2:$S1759,"&lt;&gt;"&amp;$S1760)-1)))</f>
        <v/>
      </c>
      <c r="Y1760" t="b">
        <f>IF(X1760&lt;&gt;"",VLOOKUP(X1760,game_rosters!$C$43:$E$64,3,FALSE))</f>
        <v>0</v>
      </c>
      <c r="Z1760" t="e" cm="1" vm="1">
        <f t="array" aca="1" ref="Z1760" ca="1">IFERROR(IF(_xlfn._xlws.FILTER(game_rosters!$J:$J,(game_rosters!$G:$G=events!$AN1760)*(game_rosters!$J:$J=events!$X1760))&gt;0,1,""),"")</f>
        <v>#VALUE!</v>
      </c>
      <c r="AA1760">
        <f t="shared" si="191"/>
        <v>1000</v>
      </c>
      <c r="AB1760" t="str">
        <f t="shared" si="192"/>
        <v/>
      </c>
      <c r="AC1760">
        <f t="shared" si="189"/>
        <v>1000</v>
      </c>
      <c r="AD1760" s="6"/>
    </row>
    <row r="1761" spans="1:30" x14ac:dyDescent="0.2">
      <c r="A1761" t="str">
        <f t="shared" si="190"/>
        <v/>
      </c>
      <c r="X1761" t="str" cm="1">
        <f t="array" ref="X1761">IF(S1761="","",IF($I1761&lt;&gt;"",$I1761,INDEX($I$2:$I1760,ROW()-COUNTIFS($T$2:$T1760,"="&amp;$T1761,$S$2:$S1760,"&lt;&gt;"&amp;$S1761)-1)))</f>
        <v/>
      </c>
      <c r="Y1761" t="b">
        <f>IF(X1761&lt;&gt;"",VLOOKUP(X1761,game_rosters!$C$43:$E$64,3,FALSE))</f>
        <v>0</v>
      </c>
      <c r="Z1761" t="e" cm="1" vm="1">
        <f t="array" aca="1" ref="Z1761" ca="1">IFERROR(IF(_xlfn._xlws.FILTER(game_rosters!$J:$J,(game_rosters!$G:$G=events!$AN1761)*(game_rosters!$J:$J=events!$X1761))&gt;0,1,""),"")</f>
        <v>#VALUE!</v>
      </c>
      <c r="AA1761">
        <f t="shared" si="191"/>
        <v>1000</v>
      </c>
      <c r="AB1761" t="str">
        <f t="shared" si="192"/>
        <v/>
      </c>
      <c r="AC1761">
        <f t="shared" si="189"/>
        <v>1000</v>
      </c>
      <c r="AD1761" s="6"/>
    </row>
    <row r="1762" spans="1:30" x14ac:dyDescent="0.2">
      <c r="A1762" t="str">
        <f t="shared" si="190"/>
        <v/>
      </c>
      <c r="X1762" t="str" cm="1">
        <f t="array" ref="X1762">IF(S1762="","",IF($I1762&lt;&gt;"",$I1762,INDEX($I$2:$I1761,ROW()-COUNTIFS($T$2:$T1761,"="&amp;$T1762,$S$2:$S1761,"&lt;&gt;"&amp;$S1762)-1)))</f>
        <v/>
      </c>
      <c r="Y1762" t="b">
        <f>IF(X1762&lt;&gt;"",VLOOKUP(X1762,game_rosters!$C$43:$E$64,3,FALSE))</f>
        <v>0</v>
      </c>
      <c r="Z1762" t="e" cm="1" vm="1">
        <f t="array" aca="1" ref="Z1762" ca="1">IFERROR(IF(_xlfn._xlws.FILTER(game_rosters!$J:$J,(game_rosters!$G:$G=events!$AN1762)*(game_rosters!$J:$J=events!$X1762))&gt;0,1,""),"")</f>
        <v>#VALUE!</v>
      </c>
      <c r="AA1762">
        <f t="shared" si="191"/>
        <v>1000</v>
      </c>
      <c r="AB1762" t="str">
        <f t="shared" si="192"/>
        <v/>
      </c>
      <c r="AC1762">
        <f t="shared" si="189"/>
        <v>1000</v>
      </c>
      <c r="AD1762" s="6"/>
    </row>
    <row r="1763" spans="1:30" x14ac:dyDescent="0.2">
      <c r="A1763" t="str">
        <f t="shared" si="190"/>
        <v/>
      </c>
      <c r="X1763" t="str" cm="1">
        <f t="array" ref="X1763">IF(S1763="","",IF($I1763&lt;&gt;"",$I1763,INDEX($I$2:$I1762,ROW()-COUNTIFS($T$2:$T1762,"="&amp;$T1763,$S$2:$S1762,"&lt;&gt;"&amp;$S1763)-1)))</f>
        <v/>
      </c>
      <c r="Y1763" t="b">
        <f>IF(X1763&lt;&gt;"",VLOOKUP(X1763,game_rosters!$C$43:$E$64,3,FALSE))</f>
        <v>0</v>
      </c>
      <c r="Z1763" t="e" cm="1" vm="1">
        <f t="array" aca="1" ref="Z1763" ca="1">IFERROR(IF(_xlfn._xlws.FILTER(game_rosters!$J:$J,(game_rosters!$G:$G=events!$AN1763)*(game_rosters!$J:$J=events!$X1763))&gt;0,1,""),"")</f>
        <v>#VALUE!</v>
      </c>
      <c r="AA1763">
        <f t="shared" si="191"/>
        <v>1000</v>
      </c>
      <c r="AB1763" t="str">
        <f t="shared" si="192"/>
        <v/>
      </c>
      <c r="AC1763">
        <f t="shared" si="189"/>
        <v>1000</v>
      </c>
      <c r="AD1763" s="6"/>
    </row>
    <row r="1764" spans="1:30" x14ac:dyDescent="0.2">
      <c r="A1764" t="str">
        <f t="shared" si="190"/>
        <v/>
      </c>
      <c r="X1764" t="str" cm="1">
        <f t="array" ref="X1764">IF(S1764="","",IF($I1764&lt;&gt;"",$I1764,INDEX($I$2:$I1763,ROW()-COUNTIFS($T$2:$T1763,"="&amp;$T1764,$S$2:$S1763,"&lt;&gt;"&amp;$S1764)-1)))</f>
        <v/>
      </c>
      <c r="Y1764" t="b">
        <f>IF(X1764&lt;&gt;"",VLOOKUP(X1764,game_rosters!$C$43:$E$64,3,FALSE))</f>
        <v>0</v>
      </c>
      <c r="Z1764" t="e" cm="1" vm="1">
        <f t="array" aca="1" ref="Z1764" ca="1">IFERROR(IF(_xlfn._xlws.FILTER(game_rosters!$J:$J,(game_rosters!$G:$G=events!$AN1764)*(game_rosters!$J:$J=events!$X1764))&gt;0,1,""),"")</f>
        <v>#VALUE!</v>
      </c>
      <c r="AA1764">
        <f t="shared" si="191"/>
        <v>1000</v>
      </c>
      <c r="AB1764" t="str">
        <f t="shared" si="192"/>
        <v/>
      </c>
      <c r="AC1764">
        <f t="shared" si="189"/>
        <v>1000</v>
      </c>
      <c r="AD1764" s="6"/>
    </row>
    <row r="1765" spans="1:30" x14ac:dyDescent="0.2">
      <c r="A1765" t="str">
        <f t="shared" si="190"/>
        <v/>
      </c>
      <c r="X1765" t="str" cm="1">
        <f t="array" ref="X1765">IF(S1765="","",IF($I1765&lt;&gt;"",$I1765,INDEX($I$2:$I1764,ROW()-COUNTIFS($T$2:$T1764,"="&amp;$T1765,$S$2:$S1764,"&lt;&gt;"&amp;$S1765)-1)))</f>
        <v/>
      </c>
      <c r="Y1765" t="b">
        <f>IF(X1765&lt;&gt;"",VLOOKUP(X1765,game_rosters!$C$43:$E$64,3,FALSE))</f>
        <v>0</v>
      </c>
      <c r="Z1765" t="e" cm="1" vm="1">
        <f t="array" aca="1" ref="Z1765" ca="1">IFERROR(IF(_xlfn._xlws.FILTER(game_rosters!$J:$J,(game_rosters!$G:$G=events!$AN1765)*(game_rosters!$J:$J=events!$X1765))&gt;0,1,""),"")</f>
        <v>#VALUE!</v>
      </c>
      <c r="AA1765">
        <f t="shared" si="191"/>
        <v>1000</v>
      </c>
      <c r="AB1765" t="str">
        <f t="shared" si="192"/>
        <v/>
      </c>
      <c r="AC1765">
        <f t="shared" si="189"/>
        <v>1000</v>
      </c>
      <c r="AD1765" s="6"/>
    </row>
    <row r="1766" spans="1:30" x14ac:dyDescent="0.2">
      <c r="A1766" t="str">
        <f t="shared" si="190"/>
        <v/>
      </c>
      <c r="X1766" t="str" cm="1">
        <f t="array" ref="X1766">IF(S1766="","",IF($I1766&lt;&gt;"",$I1766,INDEX($I$2:$I1765,ROW()-COUNTIFS($T$2:$T1765,"="&amp;$T1766,$S$2:$S1765,"&lt;&gt;"&amp;$S1766)-1)))</f>
        <v/>
      </c>
      <c r="Y1766" t="b">
        <f>IF(X1766&lt;&gt;"",VLOOKUP(X1766,game_rosters!$C$43:$E$64,3,FALSE))</f>
        <v>0</v>
      </c>
      <c r="Z1766" t="e" cm="1" vm="1">
        <f t="array" aca="1" ref="Z1766" ca="1">IFERROR(IF(_xlfn._xlws.FILTER(game_rosters!$J:$J,(game_rosters!$G:$G=events!$AN1766)*(game_rosters!$J:$J=events!$X1766))&gt;0,1,""),"")</f>
        <v>#VALUE!</v>
      </c>
      <c r="AA1766">
        <f t="shared" si="191"/>
        <v>1000</v>
      </c>
      <c r="AB1766" t="str">
        <f t="shared" si="192"/>
        <v/>
      </c>
      <c r="AC1766">
        <f t="shared" si="189"/>
        <v>1000</v>
      </c>
      <c r="AD1766" s="6"/>
    </row>
    <row r="1767" spans="1:30" x14ac:dyDescent="0.2">
      <c r="A1767" t="str">
        <f t="shared" si="190"/>
        <v/>
      </c>
      <c r="X1767" t="str" cm="1">
        <f t="array" ref="X1767">IF(S1767="","",IF($I1767&lt;&gt;"",$I1767,INDEX($I$2:$I1766,ROW()-COUNTIFS($T$2:$T1766,"="&amp;$T1767,$S$2:$S1766,"&lt;&gt;"&amp;$S1767)-1)))</f>
        <v/>
      </c>
      <c r="Y1767" t="b">
        <f>IF(X1767&lt;&gt;"",VLOOKUP(X1767,game_rosters!$C$43:$E$64,3,FALSE))</f>
        <v>0</v>
      </c>
      <c r="Z1767" t="e" cm="1" vm="1">
        <f t="array" aca="1" ref="Z1767" ca="1">IFERROR(IF(_xlfn._xlws.FILTER(game_rosters!$J:$J,(game_rosters!$G:$G=events!$AN1767)*(game_rosters!$J:$J=events!$X1767))&gt;0,1,""),"")</f>
        <v>#VALUE!</v>
      </c>
      <c r="AA1767">
        <f t="shared" si="191"/>
        <v>1000</v>
      </c>
      <c r="AB1767" t="str">
        <f t="shared" si="192"/>
        <v/>
      </c>
      <c r="AC1767">
        <f t="shared" si="189"/>
        <v>1000</v>
      </c>
      <c r="AD1767" s="6"/>
    </row>
    <row r="1768" spans="1:30" x14ac:dyDescent="0.2">
      <c r="A1768" t="str">
        <f t="shared" si="190"/>
        <v/>
      </c>
      <c r="X1768" t="str" cm="1">
        <f t="array" ref="X1768">IF(S1768="","",IF($I1768&lt;&gt;"",$I1768,INDEX($I$2:$I1767,ROW()-COUNTIFS($T$2:$T1767,"="&amp;$T1768,$S$2:$S1767,"&lt;&gt;"&amp;$S1768)-1)))</f>
        <v/>
      </c>
      <c r="Y1768" t="b">
        <f>IF(X1768&lt;&gt;"",VLOOKUP(X1768,game_rosters!$C$43:$E$64,3,FALSE))</f>
        <v>0</v>
      </c>
      <c r="Z1768" t="e" cm="1" vm="1">
        <f t="array" aca="1" ref="Z1768" ca="1">IFERROR(IF(_xlfn._xlws.FILTER(game_rosters!$J:$J,(game_rosters!$G:$G=events!$AN1768)*(game_rosters!$J:$J=events!$X1768))&gt;0,1,""),"")</f>
        <v>#VALUE!</v>
      </c>
      <c r="AA1768">
        <f t="shared" si="191"/>
        <v>1000</v>
      </c>
      <c r="AB1768" t="str">
        <f t="shared" si="192"/>
        <v/>
      </c>
      <c r="AC1768">
        <f t="shared" si="189"/>
        <v>1000</v>
      </c>
      <c r="AD1768" s="6"/>
    </row>
    <row r="1769" spans="1:30" x14ac:dyDescent="0.2">
      <c r="A1769" t="str">
        <f t="shared" si="190"/>
        <v/>
      </c>
      <c r="X1769" t="str" cm="1">
        <f t="array" ref="X1769">IF(S1769="","",IF($I1769&lt;&gt;"",$I1769,INDEX($I$2:$I1768,ROW()-COUNTIFS($T$2:$T1768,"="&amp;$T1769,$S$2:$S1768,"&lt;&gt;"&amp;$S1769)-1)))</f>
        <v/>
      </c>
      <c r="Y1769" t="b">
        <f>IF(X1769&lt;&gt;"",VLOOKUP(X1769,game_rosters!$C$43:$E$64,3,FALSE))</f>
        <v>0</v>
      </c>
      <c r="Z1769" t="e" cm="1" vm="1">
        <f t="array" aca="1" ref="Z1769" ca="1">IFERROR(IF(_xlfn._xlws.FILTER(game_rosters!$J:$J,(game_rosters!$G:$G=events!$AN1769)*(game_rosters!$J:$J=events!$X1769))&gt;0,1,""),"")</f>
        <v>#VALUE!</v>
      </c>
      <c r="AA1769">
        <f t="shared" si="191"/>
        <v>1000</v>
      </c>
      <c r="AB1769" t="str">
        <f t="shared" si="192"/>
        <v/>
      </c>
      <c r="AC1769">
        <f t="shared" si="189"/>
        <v>1000</v>
      </c>
      <c r="AD1769" s="6"/>
    </row>
    <row r="1770" spans="1:30" x14ac:dyDescent="0.2">
      <c r="A1770" t="str">
        <f t="shared" si="190"/>
        <v/>
      </c>
      <c r="X1770" t="str" cm="1">
        <f t="array" ref="X1770">IF(S1770="","",IF($I1770&lt;&gt;"",$I1770,INDEX($I$2:$I1769,ROW()-COUNTIFS($T$2:$T1769,"="&amp;$T1770,$S$2:$S1769,"&lt;&gt;"&amp;$S1770)-1)))</f>
        <v/>
      </c>
      <c r="Y1770" t="b">
        <f>IF(X1770&lt;&gt;"",VLOOKUP(X1770,game_rosters!$C$43:$E$64,3,FALSE))</f>
        <v>0</v>
      </c>
      <c r="Z1770" t="e" cm="1" vm="1">
        <f t="array" aca="1" ref="Z1770" ca="1">IFERROR(IF(_xlfn._xlws.FILTER(game_rosters!$J:$J,(game_rosters!$G:$G=events!$AN1770)*(game_rosters!$J:$J=events!$X1770))&gt;0,1,""),"")</f>
        <v>#VALUE!</v>
      </c>
      <c r="AA1770">
        <f t="shared" si="191"/>
        <v>1000</v>
      </c>
      <c r="AB1770" t="str">
        <f t="shared" si="192"/>
        <v/>
      </c>
      <c r="AC1770">
        <f t="shared" si="189"/>
        <v>1000</v>
      </c>
      <c r="AD1770" s="6"/>
    </row>
    <row r="1771" spans="1:30" x14ac:dyDescent="0.2">
      <c r="A1771" t="str">
        <f t="shared" si="190"/>
        <v/>
      </c>
      <c r="X1771" t="str" cm="1">
        <f t="array" ref="X1771">IF(S1771="","",IF($I1771&lt;&gt;"",$I1771,INDEX($I$2:$I1770,ROW()-COUNTIFS($T$2:$T1770,"="&amp;$T1771,$S$2:$S1770,"&lt;&gt;"&amp;$S1771)-1)))</f>
        <v/>
      </c>
      <c r="Y1771" t="b">
        <f>IF(X1771&lt;&gt;"",VLOOKUP(X1771,game_rosters!$C$43:$E$64,3,FALSE))</f>
        <v>0</v>
      </c>
      <c r="Z1771" t="e" cm="1" vm="1">
        <f t="array" aca="1" ref="Z1771" ca="1">IFERROR(IF(_xlfn._xlws.FILTER(game_rosters!$J:$J,(game_rosters!$G:$G=events!$AN1771)*(game_rosters!$J:$J=events!$X1771))&gt;0,1,""),"")</f>
        <v>#VALUE!</v>
      </c>
      <c r="AA1771">
        <f t="shared" si="191"/>
        <v>1000</v>
      </c>
      <c r="AB1771" t="str">
        <f t="shared" si="192"/>
        <v/>
      </c>
      <c r="AC1771">
        <f t="shared" si="189"/>
        <v>1000</v>
      </c>
      <c r="AD1771" s="6"/>
    </row>
    <row r="1772" spans="1:30" x14ac:dyDescent="0.2">
      <c r="A1772" t="str">
        <f t="shared" si="190"/>
        <v/>
      </c>
      <c r="X1772" t="str" cm="1">
        <f t="array" ref="X1772">IF(S1772="","",IF($I1772&lt;&gt;"",$I1772,INDEX($I$2:$I1771,ROW()-COUNTIFS($T$2:$T1771,"="&amp;$T1772,$S$2:$S1771,"&lt;&gt;"&amp;$S1772)-1)))</f>
        <v/>
      </c>
      <c r="Y1772" t="b">
        <f>IF(X1772&lt;&gt;"",VLOOKUP(X1772,game_rosters!$C$43:$E$64,3,FALSE))</f>
        <v>0</v>
      </c>
      <c r="Z1772" t="e" cm="1" vm="1">
        <f t="array" aca="1" ref="Z1772" ca="1">IFERROR(IF(_xlfn._xlws.FILTER(game_rosters!$J:$J,(game_rosters!$G:$G=events!$AN1772)*(game_rosters!$J:$J=events!$X1772))&gt;0,1,""),"")</f>
        <v>#VALUE!</v>
      </c>
      <c r="AA1772">
        <f t="shared" si="191"/>
        <v>1000</v>
      </c>
      <c r="AB1772" t="str">
        <f t="shared" si="192"/>
        <v/>
      </c>
      <c r="AC1772">
        <f t="shared" si="189"/>
        <v>1000</v>
      </c>
      <c r="AD1772" s="6"/>
    </row>
    <row r="1773" spans="1:30" x14ac:dyDescent="0.2">
      <c r="A1773" t="str">
        <f t="shared" si="190"/>
        <v/>
      </c>
      <c r="X1773" t="str" cm="1">
        <f t="array" ref="X1773">IF(S1773="","",IF($I1773&lt;&gt;"",$I1773,INDEX($I$2:$I1772,ROW()-COUNTIFS($T$2:$T1772,"="&amp;$T1773,$S$2:$S1772,"&lt;&gt;"&amp;$S1773)-1)))</f>
        <v/>
      </c>
      <c r="Y1773" t="b">
        <f>IF(X1773&lt;&gt;"",VLOOKUP(X1773,game_rosters!$C$43:$E$64,3,FALSE))</f>
        <v>0</v>
      </c>
      <c r="Z1773" t="e" cm="1" vm="1">
        <f t="array" aca="1" ref="Z1773" ca="1">IFERROR(IF(_xlfn._xlws.FILTER(game_rosters!$J:$J,(game_rosters!$G:$G=events!$AN1773)*(game_rosters!$J:$J=events!$X1773))&gt;0,1,""),"")</f>
        <v>#VALUE!</v>
      </c>
      <c r="AA1773">
        <f t="shared" si="191"/>
        <v>1000</v>
      </c>
      <c r="AB1773" t="str">
        <f t="shared" si="192"/>
        <v/>
      </c>
      <c r="AC1773">
        <f t="shared" si="189"/>
        <v>1000</v>
      </c>
      <c r="AD1773" s="6"/>
    </row>
    <row r="1774" spans="1:30" x14ac:dyDescent="0.2">
      <c r="A1774" t="str">
        <f t="shared" si="190"/>
        <v/>
      </c>
      <c r="X1774" t="str" cm="1">
        <f t="array" ref="X1774">IF(S1774="","",IF($I1774&lt;&gt;"",$I1774,INDEX($I$2:$I1773,ROW()-COUNTIFS($T$2:$T1773,"="&amp;$T1774,$S$2:$S1773,"&lt;&gt;"&amp;$S1774)-1)))</f>
        <v/>
      </c>
      <c r="Y1774" t="b">
        <f>IF(X1774&lt;&gt;"",VLOOKUP(X1774,game_rosters!$C$43:$E$64,3,FALSE))</f>
        <v>0</v>
      </c>
      <c r="Z1774" t="e" cm="1" vm="1">
        <f t="array" aca="1" ref="Z1774" ca="1">IFERROR(IF(_xlfn._xlws.FILTER(game_rosters!$J:$J,(game_rosters!$G:$G=events!$AN1774)*(game_rosters!$J:$J=events!$X1774))&gt;0,1,""),"")</f>
        <v>#VALUE!</v>
      </c>
      <c r="AA1774">
        <f t="shared" si="191"/>
        <v>1000</v>
      </c>
      <c r="AB1774" t="str">
        <f t="shared" si="192"/>
        <v/>
      </c>
      <c r="AC1774">
        <f t="shared" si="189"/>
        <v>1000</v>
      </c>
      <c r="AD1774" s="6"/>
    </row>
    <row r="1775" spans="1:30" x14ac:dyDescent="0.2">
      <c r="A1775" t="str">
        <f t="shared" si="190"/>
        <v/>
      </c>
      <c r="X1775" t="str" cm="1">
        <f t="array" ref="X1775">IF(S1775="","",IF($I1775&lt;&gt;"",$I1775,INDEX($I$2:$I1774,ROW()-COUNTIFS($T$2:$T1774,"="&amp;$T1775,$S$2:$S1774,"&lt;&gt;"&amp;$S1775)-1)))</f>
        <v/>
      </c>
      <c r="Y1775" t="b">
        <f>IF(X1775&lt;&gt;"",VLOOKUP(X1775,game_rosters!$C$43:$E$64,3,FALSE))</f>
        <v>0</v>
      </c>
      <c r="Z1775" t="e" cm="1" vm="1">
        <f t="array" aca="1" ref="Z1775" ca="1">IFERROR(IF(_xlfn._xlws.FILTER(game_rosters!$J:$J,(game_rosters!$G:$G=events!$AN1775)*(game_rosters!$J:$J=events!$X1775))&gt;0,1,""),"")</f>
        <v>#VALUE!</v>
      </c>
      <c r="AA1775">
        <f t="shared" si="191"/>
        <v>1000</v>
      </c>
      <c r="AB1775" t="str">
        <f t="shared" si="192"/>
        <v/>
      </c>
      <c r="AC1775">
        <f t="shared" si="189"/>
        <v>1000</v>
      </c>
      <c r="AD1775" s="6"/>
    </row>
    <row r="1776" spans="1:30" x14ac:dyDescent="0.2">
      <c r="A1776" t="str">
        <f t="shared" si="190"/>
        <v/>
      </c>
      <c r="X1776" t="str" cm="1">
        <f t="array" ref="X1776">IF(S1776="","",IF($I1776&lt;&gt;"",$I1776,INDEX($I$2:$I1775,ROW()-COUNTIFS($T$2:$T1775,"="&amp;$T1776,$S$2:$S1775,"&lt;&gt;"&amp;$S1776)-1)))</f>
        <v/>
      </c>
      <c r="Y1776" t="b">
        <f>IF(X1776&lt;&gt;"",VLOOKUP(X1776,game_rosters!$C$43:$E$64,3,FALSE))</f>
        <v>0</v>
      </c>
      <c r="Z1776" t="e" cm="1" vm="1">
        <f t="array" aca="1" ref="Z1776" ca="1">IFERROR(IF(_xlfn._xlws.FILTER(game_rosters!$J:$J,(game_rosters!$G:$G=events!$AN1776)*(game_rosters!$J:$J=events!$X1776))&gt;0,1,""),"")</f>
        <v>#VALUE!</v>
      </c>
      <c r="AA1776">
        <f t="shared" si="191"/>
        <v>1000</v>
      </c>
      <c r="AB1776" t="str">
        <f t="shared" si="192"/>
        <v/>
      </c>
      <c r="AC1776">
        <f t="shared" si="189"/>
        <v>1000</v>
      </c>
      <c r="AD1776" s="6"/>
    </row>
    <row r="1777" spans="1:30" x14ac:dyDescent="0.2">
      <c r="A1777" t="str">
        <f t="shared" si="190"/>
        <v/>
      </c>
      <c r="X1777" t="str" cm="1">
        <f t="array" ref="X1777">IF(S1777="","",IF($I1777&lt;&gt;"",$I1777,INDEX($I$2:$I1776,ROW()-COUNTIFS($T$2:$T1776,"="&amp;$T1777,$S$2:$S1776,"&lt;&gt;"&amp;$S1777)-1)))</f>
        <v/>
      </c>
      <c r="Y1777" t="b">
        <f>IF(X1777&lt;&gt;"",VLOOKUP(X1777,game_rosters!$C$43:$E$64,3,FALSE))</f>
        <v>0</v>
      </c>
      <c r="Z1777" t="e" cm="1" vm="1">
        <f t="array" aca="1" ref="Z1777" ca="1">IFERROR(IF(_xlfn._xlws.FILTER(game_rosters!$J:$J,(game_rosters!$G:$G=events!$AN1777)*(game_rosters!$J:$J=events!$X1777))&gt;0,1,""),"")</f>
        <v>#VALUE!</v>
      </c>
      <c r="AA1777">
        <f t="shared" si="191"/>
        <v>1000</v>
      </c>
      <c r="AB1777" t="str">
        <f t="shared" si="192"/>
        <v/>
      </c>
      <c r="AC1777">
        <f t="shared" si="189"/>
        <v>1000</v>
      </c>
      <c r="AD1777" s="6"/>
    </row>
    <row r="1778" spans="1:30" x14ac:dyDescent="0.2">
      <c r="A1778" t="str">
        <f t="shared" si="190"/>
        <v/>
      </c>
      <c r="X1778" t="str" cm="1">
        <f t="array" ref="X1778">IF(S1778="","",IF($I1778&lt;&gt;"",$I1778,INDEX($I$2:$I1777,ROW()-COUNTIFS($T$2:$T1777,"="&amp;$T1778,$S$2:$S1777,"&lt;&gt;"&amp;$S1778)-1)))</f>
        <v/>
      </c>
      <c r="Y1778" t="b">
        <f>IF(X1778&lt;&gt;"",VLOOKUP(X1778,game_rosters!$C$43:$E$64,3,FALSE))</f>
        <v>0</v>
      </c>
      <c r="Z1778" t="e" cm="1" vm="1">
        <f t="array" aca="1" ref="Z1778" ca="1">IFERROR(IF(_xlfn._xlws.FILTER(game_rosters!$J:$J,(game_rosters!$G:$G=events!$AN1778)*(game_rosters!$J:$J=events!$X1778))&gt;0,1,""),"")</f>
        <v>#VALUE!</v>
      </c>
      <c r="AA1778">
        <f t="shared" si="191"/>
        <v>1000</v>
      </c>
      <c r="AB1778" t="str">
        <f t="shared" si="192"/>
        <v/>
      </c>
      <c r="AC1778">
        <f t="shared" si="189"/>
        <v>1000</v>
      </c>
      <c r="AD1778" s="6"/>
    </row>
    <row r="1779" spans="1:30" x14ac:dyDescent="0.2">
      <c r="A1779" t="str">
        <f t="shared" si="190"/>
        <v/>
      </c>
      <c r="X1779" t="str" cm="1">
        <f t="array" ref="X1779">IF(S1779="","",IF($I1779&lt;&gt;"",$I1779,INDEX($I$2:$I1778,ROW()-COUNTIFS($T$2:$T1778,"="&amp;$T1779,$S$2:$S1778,"&lt;&gt;"&amp;$S1779)-1)))</f>
        <v/>
      </c>
      <c r="Y1779" t="b">
        <f>IF(X1779&lt;&gt;"",VLOOKUP(X1779,game_rosters!$C$43:$E$64,3,FALSE))</f>
        <v>0</v>
      </c>
      <c r="Z1779" t="e" cm="1" vm="1">
        <f t="array" aca="1" ref="Z1779" ca="1">IFERROR(IF(_xlfn._xlws.FILTER(game_rosters!$J:$J,(game_rosters!$G:$G=events!$AN1779)*(game_rosters!$J:$J=events!$X1779))&gt;0,1,""),"")</f>
        <v>#VALUE!</v>
      </c>
      <c r="AA1779">
        <f t="shared" si="191"/>
        <v>1000</v>
      </c>
      <c r="AB1779" t="str">
        <f t="shared" si="192"/>
        <v/>
      </c>
      <c r="AC1779">
        <f t="shared" si="189"/>
        <v>1000</v>
      </c>
      <c r="AD1779" s="6"/>
    </row>
    <row r="1780" spans="1:30" x14ac:dyDescent="0.2">
      <c r="A1780" t="str">
        <f t="shared" si="190"/>
        <v/>
      </c>
      <c r="X1780" t="str" cm="1">
        <f t="array" ref="X1780">IF(S1780="","",IF($I1780&lt;&gt;"",$I1780,INDEX($I$2:$I1779,ROW()-COUNTIFS($T$2:$T1779,"="&amp;$T1780,$S$2:$S1779,"&lt;&gt;"&amp;$S1780)-1)))</f>
        <v/>
      </c>
      <c r="Y1780" t="b">
        <f>IF(X1780&lt;&gt;"",VLOOKUP(X1780,game_rosters!$C$43:$E$64,3,FALSE))</f>
        <v>0</v>
      </c>
      <c r="Z1780" t="e" cm="1" vm="1">
        <f t="array" aca="1" ref="Z1780" ca="1">IFERROR(IF(_xlfn._xlws.FILTER(game_rosters!$J:$J,(game_rosters!$G:$G=events!$AN1780)*(game_rosters!$J:$J=events!$X1780))&gt;0,1,""),"")</f>
        <v>#VALUE!</v>
      </c>
      <c r="AA1780">
        <f t="shared" si="191"/>
        <v>1000</v>
      </c>
      <c r="AB1780" t="str">
        <f t="shared" si="192"/>
        <v/>
      </c>
      <c r="AC1780">
        <f t="shared" si="189"/>
        <v>1000</v>
      </c>
      <c r="AD1780" s="6"/>
    </row>
    <row r="1781" spans="1:30" x14ac:dyDescent="0.2">
      <c r="A1781" t="str">
        <f t="shared" si="190"/>
        <v/>
      </c>
      <c r="X1781" t="str" cm="1">
        <f t="array" ref="X1781">IF(S1781="","",IF($I1781&lt;&gt;"",$I1781,INDEX($I$2:$I1780,ROW()-COUNTIFS($T$2:$T1780,"="&amp;$T1781,$S$2:$S1780,"&lt;&gt;"&amp;$S1781)-1)))</f>
        <v/>
      </c>
      <c r="Y1781" t="b">
        <f>IF(X1781&lt;&gt;"",VLOOKUP(X1781,game_rosters!$C$43:$E$64,3,FALSE))</f>
        <v>0</v>
      </c>
      <c r="Z1781" t="e" cm="1" vm="1">
        <f t="array" aca="1" ref="Z1781" ca="1">IFERROR(IF(_xlfn._xlws.FILTER(game_rosters!$J:$J,(game_rosters!$G:$G=events!$AN1781)*(game_rosters!$J:$J=events!$X1781))&gt;0,1,""),"")</f>
        <v>#VALUE!</v>
      </c>
      <c r="AA1781">
        <f t="shared" si="191"/>
        <v>1000</v>
      </c>
      <c r="AB1781" t="str">
        <f t="shared" si="192"/>
        <v/>
      </c>
      <c r="AC1781">
        <f t="shared" si="189"/>
        <v>1000</v>
      </c>
      <c r="AD1781" s="6"/>
    </row>
    <row r="1782" spans="1:30" x14ac:dyDescent="0.2">
      <c r="A1782" t="str">
        <f t="shared" si="190"/>
        <v/>
      </c>
      <c r="X1782" t="str" cm="1">
        <f t="array" ref="X1782">IF(S1782="","",IF($I1782&lt;&gt;"",$I1782,INDEX($I$2:$I1781,ROW()-COUNTIFS($T$2:$T1781,"="&amp;$T1782,$S$2:$S1781,"&lt;&gt;"&amp;$S1782)-1)))</f>
        <v/>
      </c>
      <c r="Y1782" t="b">
        <f>IF(X1782&lt;&gt;"",VLOOKUP(X1782,game_rosters!$C$43:$E$64,3,FALSE))</f>
        <v>0</v>
      </c>
      <c r="Z1782" t="e" cm="1" vm="1">
        <f t="array" aca="1" ref="Z1782" ca="1">IFERROR(IF(_xlfn._xlws.FILTER(game_rosters!$J:$J,(game_rosters!$G:$G=events!$AN1782)*(game_rosters!$J:$J=events!$X1782))&gt;0,1,""),"")</f>
        <v>#VALUE!</v>
      </c>
      <c r="AA1782">
        <f t="shared" si="191"/>
        <v>1000</v>
      </c>
      <c r="AB1782" t="str">
        <f t="shared" si="192"/>
        <v/>
      </c>
      <c r="AC1782">
        <f t="shared" si="189"/>
        <v>1000</v>
      </c>
      <c r="AD1782" s="6"/>
    </row>
    <row r="1783" spans="1:30" x14ac:dyDescent="0.2">
      <c r="A1783" t="str">
        <f t="shared" si="190"/>
        <v/>
      </c>
      <c r="X1783" t="str" cm="1">
        <f t="array" ref="X1783">IF(S1783="","",IF($I1783&lt;&gt;"",$I1783,INDEX($I$2:$I1782,ROW()-COUNTIFS($T$2:$T1782,"="&amp;$T1783,$S$2:$S1782,"&lt;&gt;"&amp;$S1783)-1)))</f>
        <v/>
      </c>
      <c r="Y1783" t="b">
        <f>IF(X1783&lt;&gt;"",VLOOKUP(X1783,game_rosters!$C$43:$E$64,3,FALSE))</f>
        <v>0</v>
      </c>
      <c r="Z1783" t="e" cm="1" vm="1">
        <f t="array" aca="1" ref="Z1783" ca="1">IFERROR(IF(_xlfn._xlws.FILTER(game_rosters!$J:$J,(game_rosters!$G:$G=events!$AN1783)*(game_rosters!$J:$J=events!$X1783))&gt;0,1,""),"")</f>
        <v>#VALUE!</v>
      </c>
      <c r="AA1783">
        <f t="shared" si="191"/>
        <v>1000</v>
      </c>
      <c r="AB1783" t="str">
        <f t="shared" si="192"/>
        <v/>
      </c>
      <c r="AC1783">
        <f t="shared" si="189"/>
        <v>1000</v>
      </c>
      <c r="AD1783" s="6"/>
    </row>
    <row r="1784" spans="1:30" x14ac:dyDescent="0.2">
      <c r="A1784" t="str">
        <f t="shared" si="190"/>
        <v/>
      </c>
      <c r="X1784" t="str" cm="1">
        <f t="array" ref="X1784">IF(S1784="","",IF($I1784&lt;&gt;"",$I1784,INDEX($I$2:$I1783,ROW()-COUNTIFS($T$2:$T1783,"="&amp;$T1784,$S$2:$S1783,"&lt;&gt;"&amp;$S1784)-1)))</f>
        <v/>
      </c>
      <c r="Y1784" t="b">
        <f>IF(X1784&lt;&gt;"",VLOOKUP(X1784,game_rosters!$C$43:$E$64,3,FALSE))</f>
        <v>0</v>
      </c>
      <c r="Z1784" t="e" cm="1" vm="1">
        <f t="array" aca="1" ref="Z1784" ca="1">IFERROR(IF(_xlfn._xlws.FILTER(game_rosters!$J:$J,(game_rosters!$G:$G=events!$AN1784)*(game_rosters!$J:$J=events!$X1784))&gt;0,1,""),"")</f>
        <v>#VALUE!</v>
      </c>
      <c r="AA1784">
        <f t="shared" si="191"/>
        <v>1000</v>
      </c>
      <c r="AB1784" t="str">
        <f t="shared" si="192"/>
        <v/>
      </c>
      <c r="AC1784">
        <f t="shared" si="189"/>
        <v>1000</v>
      </c>
      <c r="AD1784" s="6"/>
    </row>
    <row r="1785" spans="1:30" x14ac:dyDescent="0.2">
      <c r="A1785" t="str">
        <f t="shared" si="190"/>
        <v/>
      </c>
      <c r="X1785" t="str" cm="1">
        <f t="array" ref="X1785">IF(S1785="","",IF($I1785&lt;&gt;"",$I1785,INDEX($I$2:$I1784,ROW()-COUNTIFS($T$2:$T1784,"="&amp;$T1785,$S$2:$S1784,"&lt;&gt;"&amp;$S1785)-1)))</f>
        <v/>
      </c>
      <c r="Y1785" t="b">
        <f>IF(X1785&lt;&gt;"",VLOOKUP(X1785,game_rosters!$C$43:$E$64,3,FALSE))</f>
        <v>0</v>
      </c>
      <c r="Z1785" t="e" cm="1" vm="1">
        <f t="array" aca="1" ref="Z1785" ca="1">IFERROR(IF(_xlfn._xlws.FILTER(game_rosters!$J:$J,(game_rosters!$G:$G=events!$AN1785)*(game_rosters!$J:$J=events!$X1785))&gt;0,1,""),"")</f>
        <v>#VALUE!</v>
      </c>
      <c r="AA1785">
        <f t="shared" si="191"/>
        <v>1000</v>
      </c>
      <c r="AB1785" t="str">
        <f t="shared" si="192"/>
        <v/>
      </c>
      <c r="AC1785">
        <f t="shared" si="189"/>
        <v>1000</v>
      </c>
      <c r="AD1785" s="6"/>
    </row>
    <row r="1786" spans="1:30" x14ac:dyDescent="0.2">
      <c r="A1786" t="str">
        <f t="shared" si="190"/>
        <v/>
      </c>
      <c r="X1786" t="str" cm="1">
        <f t="array" ref="X1786">IF(S1786="","",IF($I1786&lt;&gt;"",$I1786,INDEX($I$2:$I1785,ROW()-COUNTIFS($T$2:$T1785,"="&amp;$T1786,$S$2:$S1785,"&lt;&gt;"&amp;$S1786)-1)))</f>
        <v/>
      </c>
      <c r="Y1786" t="b">
        <f>IF(X1786&lt;&gt;"",VLOOKUP(X1786,game_rosters!$C$43:$E$64,3,FALSE))</f>
        <v>0</v>
      </c>
      <c r="Z1786" t="e" cm="1" vm="1">
        <f t="array" aca="1" ref="Z1786" ca="1">IFERROR(IF(_xlfn._xlws.FILTER(game_rosters!$J:$J,(game_rosters!$G:$G=events!$AN1786)*(game_rosters!$J:$J=events!$X1786))&gt;0,1,""),"")</f>
        <v>#VALUE!</v>
      </c>
      <c r="AA1786">
        <f t="shared" si="191"/>
        <v>1000</v>
      </c>
      <c r="AB1786" t="str">
        <f t="shared" si="192"/>
        <v/>
      </c>
      <c r="AC1786">
        <f t="shared" si="189"/>
        <v>1000</v>
      </c>
      <c r="AD1786" s="6"/>
    </row>
    <row r="1787" spans="1:30" x14ac:dyDescent="0.2">
      <c r="A1787" t="str">
        <f t="shared" si="190"/>
        <v/>
      </c>
      <c r="X1787" t="str" cm="1">
        <f t="array" ref="X1787">IF(S1787="","",IF($I1787&lt;&gt;"",$I1787,INDEX($I$2:$I1786,ROW()-COUNTIFS($T$2:$T1786,"="&amp;$T1787,$S$2:$S1786,"&lt;&gt;"&amp;$S1787)-1)))</f>
        <v/>
      </c>
      <c r="Y1787" t="b">
        <f>IF(X1787&lt;&gt;"",VLOOKUP(X1787,game_rosters!$C$43:$E$64,3,FALSE))</f>
        <v>0</v>
      </c>
      <c r="Z1787" t="e" cm="1" vm="1">
        <f t="array" aca="1" ref="Z1787" ca="1">IFERROR(IF(_xlfn._xlws.FILTER(game_rosters!$J:$J,(game_rosters!$G:$G=events!$AN1787)*(game_rosters!$J:$J=events!$X1787))&gt;0,1,""),"")</f>
        <v>#VALUE!</v>
      </c>
      <c r="AA1787">
        <f t="shared" si="191"/>
        <v>1000</v>
      </c>
      <c r="AB1787" t="str">
        <f t="shared" si="192"/>
        <v/>
      </c>
      <c r="AC1787">
        <f t="shared" si="189"/>
        <v>1000</v>
      </c>
      <c r="AD1787" s="6"/>
    </row>
    <row r="1788" spans="1:30" x14ac:dyDescent="0.2">
      <c r="A1788" t="str">
        <f t="shared" si="190"/>
        <v/>
      </c>
      <c r="X1788" t="str" cm="1">
        <f t="array" ref="X1788">IF(S1788="","",IF($I1788&lt;&gt;"",$I1788,INDEX($I$2:$I1787,ROW()-COUNTIFS($T$2:$T1787,"="&amp;$T1788,$S$2:$S1787,"&lt;&gt;"&amp;$S1788)-1)))</f>
        <v/>
      </c>
      <c r="Y1788" t="b">
        <f>IF(X1788&lt;&gt;"",VLOOKUP(X1788,game_rosters!$C$43:$E$64,3,FALSE))</f>
        <v>0</v>
      </c>
      <c r="Z1788" t="e" cm="1" vm="1">
        <f t="array" aca="1" ref="Z1788" ca="1">IFERROR(IF(_xlfn._xlws.FILTER(game_rosters!$J:$J,(game_rosters!$G:$G=events!$AN1788)*(game_rosters!$J:$J=events!$X1788))&gt;0,1,""),"")</f>
        <v>#VALUE!</v>
      </c>
      <c r="AA1788">
        <f t="shared" si="191"/>
        <v>1000</v>
      </c>
      <c r="AB1788" t="str">
        <f t="shared" si="192"/>
        <v/>
      </c>
      <c r="AC1788">
        <f t="shared" si="189"/>
        <v>1000</v>
      </c>
      <c r="AD1788" s="6"/>
    </row>
    <row r="1789" spans="1:30" x14ac:dyDescent="0.2">
      <c r="A1789" t="str">
        <f t="shared" si="190"/>
        <v/>
      </c>
      <c r="X1789" t="str" cm="1">
        <f t="array" ref="X1789">IF(S1789="","",IF($I1789&lt;&gt;"",$I1789,INDEX($I$2:$I1788,ROW()-COUNTIFS($T$2:$T1788,"="&amp;$T1789,$S$2:$S1788,"&lt;&gt;"&amp;$S1789)-1)))</f>
        <v/>
      </c>
      <c r="Y1789" t="b">
        <f>IF(X1789&lt;&gt;"",VLOOKUP(X1789,game_rosters!$C$43:$E$64,3,FALSE))</f>
        <v>0</v>
      </c>
      <c r="Z1789" t="e" cm="1" vm="1">
        <f t="array" aca="1" ref="Z1789" ca="1">IFERROR(IF(_xlfn._xlws.FILTER(game_rosters!$J:$J,(game_rosters!$G:$G=events!$AN1789)*(game_rosters!$J:$J=events!$X1789))&gt;0,1,""),"")</f>
        <v>#VALUE!</v>
      </c>
      <c r="AA1789">
        <f t="shared" si="191"/>
        <v>1000</v>
      </c>
      <c r="AB1789" t="str">
        <f t="shared" si="192"/>
        <v/>
      </c>
      <c r="AC1789">
        <f t="shared" si="189"/>
        <v>1000</v>
      </c>
      <c r="AD1789" s="6"/>
    </row>
    <row r="1790" spans="1:30" x14ac:dyDescent="0.2">
      <c r="A1790" t="str">
        <f t="shared" si="190"/>
        <v/>
      </c>
      <c r="X1790" t="str" cm="1">
        <f t="array" ref="X1790">IF(S1790="","",IF($I1790&lt;&gt;"",$I1790,INDEX($I$2:$I1789,ROW()-COUNTIFS($T$2:$T1789,"="&amp;$T1790,$S$2:$S1789,"&lt;&gt;"&amp;$S1790)-1)))</f>
        <v/>
      </c>
      <c r="Y1790" t="b">
        <f>IF(X1790&lt;&gt;"",VLOOKUP(X1790,game_rosters!$C$43:$E$64,3,FALSE))</f>
        <v>0</v>
      </c>
      <c r="Z1790" t="e" cm="1" vm="1">
        <f t="array" aca="1" ref="Z1790" ca="1">IFERROR(IF(_xlfn._xlws.FILTER(game_rosters!$J:$J,(game_rosters!$G:$G=events!$AN1790)*(game_rosters!$J:$J=events!$X1790))&gt;0,1,""),"")</f>
        <v>#VALUE!</v>
      </c>
      <c r="AA1790">
        <f t="shared" si="191"/>
        <v>1000</v>
      </c>
      <c r="AB1790" t="str">
        <f t="shared" si="192"/>
        <v/>
      </c>
      <c r="AC1790">
        <f t="shared" si="189"/>
        <v>1000</v>
      </c>
      <c r="AD1790" s="6"/>
    </row>
    <row r="1791" spans="1:30" x14ac:dyDescent="0.2">
      <c r="A1791" t="str">
        <f t="shared" si="190"/>
        <v/>
      </c>
      <c r="X1791" t="str" cm="1">
        <f t="array" ref="X1791">IF(S1791="","",IF($I1791&lt;&gt;"",$I1791,INDEX($I$2:$I1790,ROW()-COUNTIFS($T$2:$T1790,"="&amp;$T1791,$S$2:$S1790,"&lt;&gt;"&amp;$S1791)-1)))</f>
        <v/>
      </c>
      <c r="Y1791" t="b">
        <f>IF(X1791&lt;&gt;"",VLOOKUP(X1791,game_rosters!$C$43:$E$64,3,FALSE))</f>
        <v>0</v>
      </c>
      <c r="Z1791" t="e" cm="1" vm="1">
        <f t="array" aca="1" ref="Z1791" ca="1">IFERROR(IF(_xlfn._xlws.FILTER(game_rosters!$J:$J,(game_rosters!$G:$G=events!$AN1791)*(game_rosters!$J:$J=events!$X1791))&gt;0,1,""),"")</f>
        <v>#VALUE!</v>
      </c>
      <c r="AA1791">
        <f t="shared" si="191"/>
        <v>1000</v>
      </c>
      <c r="AB1791" t="str">
        <f t="shared" si="192"/>
        <v/>
      </c>
      <c r="AC1791">
        <f t="shared" si="189"/>
        <v>1000</v>
      </c>
      <c r="AD1791" s="6"/>
    </row>
    <row r="1792" spans="1:30" x14ac:dyDescent="0.2">
      <c r="A1792" t="str">
        <f t="shared" si="190"/>
        <v/>
      </c>
      <c r="X1792" t="str" cm="1">
        <f t="array" ref="X1792">IF(S1792="","",IF($I1792&lt;&gt;"",$I1792,INDEX($I$2:$I1791,ROW()-COUNTIFS($T$2:$T1791,"="&amp;$T1792,$S$2:$S1791,"&lt;&gt;"&amp;$S1792)-1)))</f>
        <v/>
      </c>
      <c r="Y1792" t="b">
        <f>IF(X1792&lt;&gt;"",VLOOKUP(X1792,game_rosters!$C$43:$E$64,3,FALSE))</f>
        <v>0</v>
      </c>
      <c r="Z1792" t="e" cm="1" vm="1">
        <f t="array" aca="1" ref="Z1792" ca="1">IFERROR(IF(_xlfn._xlws.FILTER(game_rosters!$J:$J,(game_rosters!$G:$G=events!$AN1792)*(game_rosters!$J:$J=events!$X1792))&gt;0,1,""),"")</f>
        <v>#VALUE!</v>
      </c>
      <c r="AA1792">
        <f t="shared" si="191"/>
        <v>1000</v>
      </c>
      <c r="AB1792" t="str">
        <f t="shared" si="192"/>
        <v/>
      </c>
      <c r="AC1792">
        <f t="shared" si="189"/>
        <v>1000</v>
      </c>
      <c r="AD1792" s="6"/>
    </row>
    <row r="1793" spans="1:30" x14ac:dyDescent="0.2">
      <c r="A1793" t="str">
        <f t="shared" si="190"/>
        <v/>
      </c>
      <c r="X1793" t="str" cm="1">
        <f t="array" ref="X1793">IF(S1793="","",IF($I1793&lt;&gt;"",$I1793,INDEX($I$2:$I1792,ROW()-COUNTIFS($T$2:$T1792,"="&amp;$T1793,$S$2:$S1792,"&lt;&gt;"&amp;$S1793)-1)))</f>
        <v/>
      </c>
      <c r="Y1793" t="b">
        <f>IF(X1793&lt;&gt;"",VLOOKUP(X1793,game_rosters!$C$43:$E$64,3,FALSE))</f>
        <v>0</v>
      </c>
      <c r="Z1793" t="e" cm="1" vm="1">
        <f t="array" aca="1" ref="Z1793" ca="1">IFERROR(IF(_xlfn._xlws.FILTER(game_rosters!$J:$J,(game_rosters!$G:$G=events!$AN1793)*(game_rosters!$J:$J=events!$X1793))&gt;0,1,""),"")</f>
        <v>#VALUE!</v>
      </c>
      <c r="AA1793">
        <f t="shared" si="191"/>
        <v>1000</v>
      </c>
      <c r="AB1793" t="str">
        <f t="shared" si="192"/>
        <v/>
      </c>
      <c r="AC1793">
        <f t="shared" si="189"/>
        <v>1000</v>
      </c>
      <c r="AD1793" s="6"/>
    </row>
    <row r="1794" spans="1:30" x14ac:dyDescent="0.2">
      <c r="A1794" t="str">
        <f t="shared" si="190"/>
        <v/>
      </c>
      <c r="X1794" t="str" cm="1">
        <f t="array" ref="X1794">IF(S1794="","",IF($I1794&lt;&gt;"",$I1794,INDEX($I$2:$I1793,ROW()-COUNTIFS($T$2:$T1793,"="&amp;$T1794,$S$2:$S1793,"&lt;&gt;"&amp;$S1794)-1)))</f>
        <v/>
      </c>
      <c r="Y1794" t="b">
        <f>IF(X1794&lt;&gt;"",VLOOKUP(X1794,game_rosters!$C$43:$E$64,3,FALSE))</f>
        <v>0</v>
      </c>
      <c r="Z1794" t="e" cm="1" vm="1">
        <f t="array" aca="1" ref="Z1794" ca="1">IFERROR(IF(_xlfn._xlws.FILTER(game_rosters!$J:$J,(game_rosters!$G:$G=events!$AN1794)*(game_rosters!$J:$J=events!$X1794))&gt;0,1,""),"")</f>
        <v>#VALUE!</v>
      </c>
      <c r="AA1794">
        <f t="shared" si="191"/>
        <v>1000</v>
      </c>
      <c r="AB1794" t="str">
        <f t="shared" si="192"/>
        <v/>
      </c>
      <c r="AC1794">
        <f t="shared" ref="AC1794:AC1857" si="193">IF(AB1794&lt;&gt;"",AB1794,S1794+1000)</f>
        <v>1000</v>
      </c>
      <c r="AD1794" s="6"/>
    </row>
    <row r="1795" spans="1:30" x14ac:dyDescent="0.2">
      <c r="A1795" t="str">
        <f t="shared" si="190"/>
        <v/>
      </c>
      <c r="X1795" t="str" cm="1">
        <f t="array" ref="X1795">IF(S1795="","",IF($I1795&lt;&gt;"",$I1795,INDEX($I$2:$I1794,ROW()-COUNTIFS($T$2:$T1794,"="&amp;$T1795,$S$2:$S1794,"&lt;&gt;"&amp;$S1795)-1)))</f>
        <v/>
      </c>
      <c r="Y1795" t="b">
        <f>IF(X1795&lt;&gt;"",VLOOKUP(X1795,game_rosters!$C$43:$E$64,3,FALSE))</f>
        <v>0</v>
      </c>
      <c r="Z1795" t="e" cm="1" vm="1">
        <f t="array" aca="1" ref="Z1795" ca="1">IFERROR(IF(_xlfn._xlws.FILTER(game_rosters!$J:$J,(game_rosters!$G:$G=events!$AN1795)*(game_rosters!$J:$J=events!$X1795))&gt;0,1,""),"")</f>
        <v>#VALUE!</v>
      </c>
      <c r="AA1795">
        <f t="shared" si="191"/>
        <v>1000</v>
      </c>
      <c r="AB1795" t="str">
        <f t="shared" si="192"/>
        <v/>
      </c>
      <c r="AC1795">
        <f t="shared" si="193"/>
        <v>1000</v>
      </c>
      <c r="AD1795" s="6"/>
    </row>
    <row r="1796" spans="1:30" x14ac:dyDescent="0.2">
      <c r="A1796" t="str">
        <f t="shared" si="190"/>
        <v/>
      </c>
      <c r="X1796" t="str" cm="1">
        <f t="array" ref="X1796">IF(S1796="","",IF($I1796&lt;&gt;"",$I1796,INDEX($I$2:$I1795,ROW()-COUNTIFS($T$2:$T1795,"="&amp;$T1796,$S$2:$S1795,"&lt;&gt;"&amp;$S1796)-1)))</f>
        <v/>
      </c>
      <c r="Y1796" t="b">
        <f>IF(X1796&lt;&gt;"",VLOOKUP(X1796,game_rosters!$C$43:$E$64,3,FALSE))</f>
        <v>0</v>
      </c>
      <c r="Z1796" t="e" cm="1" vm="1">
        <f t="array" aca="1" ref="Z1796" ca="1">IFERROR(IF(_xlfn._xlws.FILTER(game_rosters!$J:$J,(game_rosters!$G:$G=events!$AN1796)*(game_rosters!$J:$J=events!$X1796))&gt;0,1,""),"")</f>
        <v>#VALUE!</v>
      </c>
      <c r="AA1796">
        <f t="shared" si="191"/>
        <v>1000</v>
      </c>
      <c r="AB1796" t="str">
        <f t="shared" si="192"/>
        <v/>
      </c>
      <c r="AC1796">
        <f t="shared" si="193"/>
        <v>1000</v>
      </c>
      <c r="AD1796" s="6"/>
    </row>
    <row r="1797" spans="1:30" x14ac:dyDescent="0.2">
      <c r="A1797" t="str">
        <f t="shared" ref="A1797:A1860" si="194">IF(K1797&lt;&gt;"",1,IF(D1797="x","x",""))</f>
        <v/>
      </c>
      <c r="X1797" t="str" cm="1">
        <f t="array" ref="X1797">IF(S1797="","",IF($I1797&lt;&gt;"",$I1797,INDEX($I$2:$I1796,ROW()-COUNTIFS($T$2:$T1796,"="&amp;$T1797,$S$2:$S1796,"&lt;&gt;"&amp;$S1797)-1)))</f>
        <v/>
      </c>
      <c r="Y1797" t="b">
        <f>IF(X1797&lt;&gt;"",VLOOKUP(X1797,game_rosters!$C$43:$E$64,3,FALSE))</f>
        <v>0</v>
      </c>
      <c r="Z1797" t="e" cm="1" vm="1">
        <f t="array" aca="1" ref="Z1797" ca="1">IFERROR(IF(_xlfn._xlws.FILTER(game_rosters!$J:$J,(game_rosters!$G:$G=events!$AN1797)*(game_rosters!$J:$J=events!$X1797))&gt;0,1,""),"")</f>
        <v>#VALUE!</v>
      </c>
      <c r="AA1797">
        <f t="shared" si="191"/>
        <v>1000</v>
      </c>
      <c r="AB1797" t="str">
        <f t="shared" si="192"/>
        <v/>
      </c>
      <c r="AC1797">
        <f t="shared" si="193"/>
        <v>1000</v>
      </c>
      <c r="AD1797" s="6"/>
    </row>
    <row r="1798" spans="1:30" x14ac:dyDescent="0.2">
      <c r="A1798" t="str">
        <f t="shared" si="194"/>
        <v/>
      </c>
      <c r="X1798" t="str" cm="1">
        <f t="array" ref="X1798">IF(S1798="","",IF($I1798&lt;&gt;"",$I1798,INDEX($I$2:$I1797,ROW()-COUNTIFS($T$2:$T1797,"="&amp;$T1798,$S$2:$S1797,"&lt;&gt;"&amp;$S1798)-1)))</f>
        <v/>
      </c>
      <c r="Y1798" t="b">
        <f>IF(X1798&lt;&gt;"",VLOOKUP(X1798,game_rosters!$C$43:$E$64,3,FALSE))</f>
        <v>0</v>
      </c>
      <c r="Z1798" t="e" cm="1" vm="1">
        <f t="array" aca="1" ref="Z1798" ca="1">IFERROR(IF(_xlfn._xlws.FILTER(game_rosters!$J:$J,(game_rosters!$G:$G=events!$AN1798)*(game_rosters!$J:$J=events!$X1798))&gt;0,1,""),"")</f>
        <v>#VALUE!</v>
      </c>
      <c r="AA1798">
        <f t="shared" si="191"/>
        <v>1000</v>
      </c>
      <c r="AB1798" t="str">
        <f t="shared" si="192"/>
        <v/>
      </c>
      <c r="AC1798">
        <f t="shared" si="193"/>
        <v>1000</v>
      </c>
      <c r="AD1798" s="6"/>
    </row>
    <row r="1799" spans="1:30" x14ac:dyDescent="0.2">
      <c r="A1799" t="str">
        <f t="shared" si="194"/>
        <v/>
      </c>
      <c r="X1799" t="str" cm="1">
        <f t="array" ref="X1799">IF(S1799="","",IF($I1799&lt;&gt;"",$I1799,INDEX($I$2:$I1798,ROW()-COUNTIFS($T$2:$T1798,"="&amp;$T1799,$S$2:$S1798,"&lt;&gt;"&amp;$S1799)-1)))</f>
        <v/>
      </c>
      <c r="Y1799" t="b">
        <f>IF(X1799&lt;&gt;"",VLOOKUP(X1799,game_rosters!$C$43:$E$64,3,FALSE))</f>
        <v>0</v>
      </c>
      <c r="Z1799" t="e" cm="1" vm="1">
        <f t="array" aca="1" ref="Z1799" ca="1">IFERROR(IF(_xlfn._xlws.FILTER(game_rosters!$J:$J,(game_rosters!$G:$G=events!$AN1799)*(game_rosters!$J:$J=events!$X1799))&gt;0,1,""),"")</f>
        <v>#VALUE!</v>
      </c>
      <c r="AA1799">
        <f t="shared" si="191"/>
        <v>1000</v>
      </c>
      <c r="AB1799" t="str">
        <f t="shared" si="192"/>
        <v/>
      </c>
      <c r="AC1799">
        <f t="shared" si="193"/>
        <v>1000</v>
      </c>
      <c r="AD1799" s="6"/>
    </row>
    <row r="1800" spans="1:30" x14ac:dyDescent="0.2">
      <c r="A1800" t="str">
        <f t="shared" si="194"/>
        <v/>
      </c>
      <c r="X1800" t="str" cm="1">
        <f t="array" ref="X1800">IF(S1800="","",IF($I1800&lt;&gt;"",$I1800,INDEX($I$2:$I1799,ROW()-COUNTIFS($T$2:$T1799,"="&amp;$T1800,$S$2:$S1799,"&lt;&gt;"&amp;$S1800)-1)))</f>
        <v/>
      </c>
      <c r="Y1800" t="b">
        <f>IF(X1800&lt;&gt;"",VLOOKUP(X1800,game_rosters!$C$43:$E$64,3,FALSE))</f>
        <v>0</v>
      </c>
      <c r="Z1800" t="e" cm="1" vm="1">
        <f t="array" aca="1" ref="Z1800" ca="1">IFERROR(IF(_xlfn._xlws.FILTER(game_rosters!$J:$J,(game_rosters!$G:$G=events!$AN1800)*(game_rosters!$J:$J=events!$X1800))&gt;0,1,""),"")</f>
        <v>#VALUE!</v>
      </c>
      <c r="AA1800">
        <f t="shared" si="191"/>
        <v>1000</v>
      </c>
      <c r="AB1800" t="str">
        <f t="shared" si="192"/>
        <v/>
      </c>
      <c r="AC1800">
        <f t="shared" si="193"/>
        <v>1000</v>
      </c>
      <c r="AD1800" s="6"/>
    </row>
    <row r="1801" spans="1:30" x14ac:dyDescent="0.2">
      <c r="A1801" t="str">
        <f t="shared" si="194"/>
        <v/>
      </c>
      <c r="X1801" t="str" cm="1">
        <f t="array" ref="X1801">IF(S1801="","",IF($I1801&lt;&gt;"",$I1801,INDEX($I$2:$I1800,ROW()-COUNTIFS($T$2:$T1800,"="&amp;$T1801,$S$2:$S1800,"&lt;&gt;"&amp;$S1801)-1)))</f>
        <v/>
      </c>
      <c r="Y1801" t="b">
        <f>IF(X1801&lt;&gt;"",VLOOKUP(X1801,game_rosters!$C$43:$E$64,3,FALSE))</f>
        <v>0</v>
      </c>
      <c r="Z1801" t="e" cm="1" vm="1">
        <f t="array" aca="1" ref="Z1801" ca="1">IFERROR(IF(_xlfn._xlws.FILTER(game_rosters!$J:$J,(game_rosters!$G:$G=events!$AN1801)*(game_rosters!$J:$J=events!$X1801))&gt;0,1,""),"")</f>
        <v>#VALUE!</v>
      </c>
      <c r="AA1801">
        <f t="shared" si="191"/>
        <v>1000</v>
      </c>
      <c r="AB1801" t="str">
        <f t="shared" si="192"/>
        <v/>
      </c>
      <c r="AC1801">
        <f t="shared" si="193"/>
        <v>1000</v>
      </c>
      <c r="AD1801" s="6"/>
    </row>
    <row r="1802" spans="1:30" x14ac:dyDescent="0.2">
      <c r="A1802" t="str">
        <f t="shared" si="194"/>
        <v/>
      </c>
      <c r="X1802" t="str" cm="1">
        <f t="array" ref="X1802">IF(S1802="","",IF($I1802&lt;&gt;"",$I1802,INDEX($I$2:$I1801,ROW()-COUNTIFS($T$2:$T1801,"="&amp;$T1802,$S$2:$S1801,"&lt;&gt;"&amp;$S1802)-1)))</f>
        <v/>
      </c>
      <c r="Y1802" t="b">
        <f>IF(X1802&lt;&gt;"",VLOOKUP(X1802,game_rosters!$C$43:$E$64,3,FALSE))</f>
        <v>0</v>
      </c>
      <c r="Z1802" t="e" cm="1" vm="1">
        <f t="array" aca="1" ref="Z1802" ca="1">IFERROR(IF(_xlfn._xlws.FILTER(game_rosters!$J:$J,(game_rosters!$G:$G=events!$AN1802)*(game_rosters!$J:$J=events!$X1802))&gt;0,1,""),"")</f>
        <v>#VALUE!</v>
      </c>
      <c r="AA1802">
        <f t="shared" si="191"/>
        <v>1000</v>
      </c>
      <c r="AB1802" t="str">
        <f t="shared" si="192"/>
        <v/>
      </c>
      <c r="AC1802">
        <f t="shared" si="193"/>
        <v>1000</v>
      </c>
      <c r="AD1802" s="6"/>
    </row>
    <row r="1803" spans="1:30" x14ac:dyDescent="0.2">
      <c r="A1803" t="str">
        <f t="shared" si="194"/>
        <v/>
      </c>
      <c r="X1803" t="str" cm="1">
        <f t="array" ref="X1803">IF(S1803="","",IF($I1803&lt;&gt;"",$I1803,INDEX($I$2:$I1802,ROW()-COUNTIFS($T$2:$T1802,"="&amp;$T1803,$S$2:$S1802,"&lt;&gt;"&amp;$S1803)-1)))</f>
        <v/>
      </c>
      <c r="Y1803" t="b">
        <f>IF(X1803&lt;&gt;"",VLOOKUP(X1803,game_rosters!$C$43:$E$64,3,FALSE))</f>
        <v>0</v>
      </c>
      <c r="Z1803" t="e" cm="1" vm="1">
        <f t="array" aca="1" ref="Z1803" ca="1">IFERROR(IF(_xlfn._xlws.FILTER(game_rosters!$J:$J,(game_rosters!$G:$G=events!$AN1803)*(game_rosters!$J:$J=events!$X1803))&gt;0,1,""),"")</f>
        <v>#VALUE!</v>
      </c>
      <c r="AA1803">
        <f t="shared" si="191"/>
        <v>1000</v>
      </c>
      <c r="AB1803" t="str">
        <f t="shared" si="192"/>
        <v/>
      </c>
      <c r="AC1803">
        <f t="shared" si="193"/>
        <v>1000</v>
      </c>
      <c r="AD1803" s="6"/>
    </row>
    <row r="1804" spans="1:30" x14ac:dyDescent="0.2">
      <c r="A1804" t="str">
        <f t="shared" si="194"/>
        <v/>
      </c>
      <c r="X1804" t="str" cm="1">
        <f t="array" ref="X1804">IF(S1804="","",IF($I1804&lt;&gt;"",$I1804,INDEX($I$2:$I1803,ROW()-COUNTIFS($T$2:$T1803,"="&amp;$T1804,$S$2:$S1803,"&lt;&gt;"&amp;$S1804)-1)))</f>
        <v/>
      </c>
      <c r="Y1804" t="b">
        <f>IF(X1804&lt;&gt;"",VLOOKUP(X1804,game_rosters!$C$43:$E$64,3,FALSE))</f>
        <v>0</v>
      </c>
      <c r="Z1804" t="e" cm="1" vm="1">
        <f t="array" aca="1" ref="Z1804" ca="1">IFERROR(IF(_xlfn._xlws.FILTER(game_rosters!$J:$J,(game_rosters!$G:$G=events!$AN1804)*(game_rosters!$J:$J=events!$X1804))&gt;0,1,""),"")</f>
        <v>#VALUE!</v>
      </c>
      <c r="AA1804">
        <f t="shared" si="191"/>
        <v>1000</v>
      </c>
      <c r="AB1804" t="str">
        <f t="shared" si="192"/>
        <v/>
      </c>
      <c r="AC1804">
        <f t="shared" si="193"/>
        <v>1000</v>
      </c>
      <c r="AD1804" s="6"/>
    </row>
    <row r="1805" spans="1:30" x14ac:dyDescent="0.2">
      <c r="A1805" t="str">
        <f t="shared" si="194"/>
        <v/>
      </c>
      <c r="X1805" t="str" cm="1">
        <f t="array" ref="X1805">IF(S1805="","",IF($I1805&lt;&gt;"",$I1805,INDEX($I$2:$I1804,ROW()-COUNTIFS($T$2:$T1804,"="&amp;$T1805,$S$2:$S1804,"&lt;&gt;"&amp;$S1805)-1)))</f>
        <v/>
      </c>
      <c r="Y1805" t="b">
        <f>IF(X1805&lt;&gt;"",VLOOKUP(X1805,game_rosters!$C$43:$E$64,3,FALSE))</f>
        <v>0</v>
      </c>
      <c r="Z1805" t="e" cm="1" vm="1">
        <f t="array" aca="1" ref="Z1805" ca="1">IFERROR(IF(_xlfn._xlws.FILTER(game_rosters!$J:$J,(game_rosters!$G:$G=events!$AN1805)*(game_rosters!$J:$J=events!$X1805))&gt;0,1,""),"")</f>
        <v>#VALUE!</v>
      </c>
      <c r="AA1805">
        <f t="shared" si="191"/>
        <v>1000</v>
      </c>
      <c r="AB1805" t="str">
        <f t="shared" si="192"/>
        <v/>
      </c>
      <c r="AC1805">
        <f t="shared" si="193"/>
        <v>1000</v>
      </c>
      <c r="AD1805" s="6"/>
    </row>
    <row r="1806" spans="1:30" x14ac:dyDescent="0.2">
      <c r="A1806" t="str">
        <f t="shared" si="194"/>
        <v/>
      </c>
      <c r="X1806" t="str" cm="1">
        <f t="array" ref="X1806">IF(S1806="","",IF($I1806&lt;&gt;"",$I1806,INDEX($I$2:$I1805,ROW()-COUNTIFS($T$2:$T1805,"="&amp;$T1806,$S$2:$S1805,"&lt;&gt;"&amp;$S1806)-1)))</f>
        <v/>
      </c>
      <c r="Y1806" t="b">
        <f>IF(X1806&lt;&gt;"",VLOOKUP(X1806,game_rosters!$C$43:$E$64,3,FALSE))</f>
        <v>0</v>
      </c>
      <c r="Z1806" t="e" cm="1" vm="1">
        <f t="array" aca="1" ref="Z1806" ca="1">IFERROR(IF(_xlfn._xlws.FILTER(game_rosters!$J:$J,(game_rosters!$G:$G=events!$AN1806)*(game_rosters!$J:$J=events!$X1806))&gt;0,1,""),"")</f>
        <v>#VALUE!</v>
      </c>
      <c r="AA1806">
        <f t="shared" si="191"/>
        <v>1000</v>
      </c>
      <c r="AB1806" t="str">
        <f t="shared" si="192"/>
        <v/>
      </c>
      <c r="AC1806">
        <f t="shared" si="193"/>
        <v>1000</v>
      </c>
      <c r="AD1806" s="6"/>
    </row>
    <row r="1807" spans="1:30" x14ac:dyDescent="0.2">
      <c r="A1807" t="str">
        <f t="shared" si="194"/>
        <v/>
      </c>
      <c r="X1807" t="str" cm="1">
        <f t="array" ref="X1807">IF(S1807="","",IF($I1807&lt;&gt;"",$I1807,INDEX($I$2:$I1806,ROW()-COUNTIFS($T$2:$T1806,"="&amp;$T1807,$S$2:$S1806,"&lt;&gt;"&amp;$S1807)-1)))</f>
        <v/>
      </c>
      <c r="Y1807" t="b">
        <f>IF(X1807&lt;&gt;"",VLOOKUP(X1807,game_rosters!$C$43:$E$64,3,FALSE))</f>
        <v>0</v>
      </c>
      <c r="Z1807" t="e" cm="1" vm="1">
        <f t="array" aca="1" ref="Z1807" ca="1">IFERROR(IF(_xlfn._xlws.FILTER(game_rosters!$J:$J,(game_rosters!$G:$G=events!$AN1807)*(game_rosters!$J:$J=events!$X1807))&gt;0,1,""),"")</f>
        <v>#VALUE!</v>
      </c>
      <c r="AA1807">
        <f t="shared" si="191"/>
        <v>1000</v>
      </c>
      <c r="AB1807" t="str">
        <f t="shared" si="192"/>
        <v/>
      </c>
      <c r="AC1807">
        <f t="shared" si="193"/>
        <v>1000</v>
      </c>
      <c r="AD1807" s="6"/>
    </row>
    <row r="1808" spans="1:30" x14ac:dyDescent="0.2">
      <c r="A1808" t="str">
        <f t="shared" si="194"/>
        <v/>
      </c>
      <c r="X1808" t="str" cm="1">
        <f t="array" ref="X1808">IF(S1808="","",IF($I1808&lt;&gt;"",$I1808,INDEX($I$2:$I1807,ROW()-COUNTIFS($T$2:$T1807,"="&amp;$T1808,$S$2:$S1807,"&lt;&gt;"&amp;$S1808)-1)))</f>
        <v/>
      </c>
      <c r="Y1808" t="b">
        <f>IF(X1808&lt;&gt;"",VLOOKUP(X1808,game_rosters!$C$43:$E$64,3,FALSE))</f>
        <v>0</v>
      </c>
      <c r="Z1808" t="e" cm="1" vm="1">
        <f t="array" aca="1" ref="Z1808" ca="1">IFERROR(IF(_xlfn._xlws.FILTER(game_rosters!$J:$J,(game_rosters!$G:$G=events!$AN1808)*(game_rosters!$J:$J=events!$X1808))&gt;0,1,""),"")</f>
        <v>#VALUE!</v>
      </c>
      <c r="AA1808">
        <f t="shared" si="191"/>
        <v>1000</v>
      </c>
      <c r="AB1808" t="str">
        <f t="shared" si="192"/>
        <v/>
      </c>
      <c r="AC1808">
        <f t="shared" si="193"/>
        <v>1000</v>
      </c>
      <c r="AD1808" s="6"/>
    </row>
    <row r="1809" spans="1:30" x14ac:dyDescent="0.2">
      <c r="A1809" t="str">
        <f t="shared" si="194"/>
        <v/>
      </c>
      <c r="X1809" t="str" cm="1">
        <f t="array" ref="X1809">IF(S1809="","",IF($I1809&lt;&gt;"",$I1809,INDEX($I$2:$I1808,ROW()-COUNTIFS($T$2:$T1808,"="&amp;$T1809,$S$2:$S1808,"&lt;&gt;"&amp;$S1809)-1)))</f>
        <v/>
      </c>
      <c r="Y1809" t="b">
        <f>IF(X1809&lt;&gt;"",VLOOKUP(X1809,game_rosters!$C$43:$E$64,3,FALSE))</f>
        <v>0</v>
      </c>
      <c r="Z1809" t="e" cm="1" vm="1">
        <f t="array" aca="1" ref="Z1809" ca="1">IFERROR(IF(_xlfn._xlws.FILTER(game_rosters!$J:$J,(game_rosters!$G:$G=events!$AN1809)*(game_rosters!$J:$J=events!$X1809))&gt;0,1,""),"")</f>
        <v>#VALUE!</v>
      </c>
      <c r="AA1809">
        <f t="shared" si="191"/>
        <v>1000</v>
      </c>
      <c r="AB1809" t="str">
        <f t="shared" si="192"/>
        <v/>
      </c>
      <c r="AC1809">
        <f t="shared" si="193"/>
        <v>1000</v>
      </c>
      <c r="AD1809" s="6"/>
    </row>
    <row r="1810" spans="1:30" x14ac:dyDescent="0.2">
      <c r="A1810" t="str">
        <f t="shared" si="194"/>
        <v/>
      </c>
      <c r="X1810" t="str" cm="1">
        <f t="array" ref="X1810">IF(S1810="","",IF($I1810&lt;&gt;"",$I1810,INDEX($I$2:$I1809,ROW()-COUNTIFS($T$2:$T1809,"="&amp;$T1810,$S$2:$S1809,"&lt;&gt;"&amp;$S1810)-1)))</f>
        <v/>
      </c>
      <c r="Y1810" t="b">
        <f>IF(X1810&lt;&gt;"",VLOOKUP(X1810,game_rosters!$C$43:$E$64,3,FALSE))</f>
        <v>0</v>
      </c>
      <c r="Z1810" t="e" cm="1" vm="1">
        <f t="array" aca="1" ref="Z1810" ca="1">IFERROR(IF(_xlfn._xlws.FILTER(game_rosters!$J:$J,(game_rosters!$G:$G=events!$AN1810)*(game_rosters!$J:$J=events!$X1810))&gt;0,1,""),"")</f>
        <v>#VALUE!</v>
      </c>
      <c r="AA1810">
        <f t="shared" si="191"/>
        <v>1000</v>
      </c>
      <c r="AB1810" t="str">
        <f t="shared" si="192"/>
        <v/>
      </c>
      <c r="AC1810">
        <f t="shared" si="193"/>
        <v>1000</v>
      </c>
      <c r="AD1810" s="6"/>
    </row>
    <row r="1811" spans="1:30" x14ac:dyDescent="0.2">
      <c r="A1811" t="str">
        <f t="shared" si="194"/>
        <v/>
      </c>
      <c r="X1811" t="str" cm="1">
        <f t="array" ref="X1811">IF(S1811="","",IF($I1811&lt;&gt;"",$I1811,INDEX($I$2:$I1810,ROW()-COUNTIFS($T$2:$T1810,"="&amp;$T1811,$S$2:$S1810,"&lt;&gt;"&amp;$S1811)-1)))</f>
        <v/>
      </c>
      <c r="Y1811" t="b">
        <f>IF(X1811&lt;&gt;"",VLOOKUP(X1811,game_rosters!$C$43:$E$64,3,FALSE))</f>
        <v>0</v>
      </c>
      <c r="Z1811" t="e" cm="1" vm="1">
        <f t="array" aca="1" ref="Z1811" ca="1">IFERROR(IF(_xlfn._xlws.FILTER(game_rosters!$J:$J,(game_rosters!$G:$G=events!$AN1811)*(game_rosters!$J:$J=events!$X1811))&gt;0,1,""),"")</f>
        <v>#VALUE!</v>
      </c>
      <c r="AA1811">
        <f t="shared" si="191"/>
        <v>1000</v>
      </c>
      <c r="AB1811" t="str">
        <f t="shared" si="192"/>
        <v/>
      </c>
      <c r="AC1811">
        <f t="shared" si="193"/>
        <v>1000</v>
      </c>
      <c r="AD1811" s="6"/>
    </row>
    <row r="1812" spans="1:30" x14ac:dyDescent="0.2">
      <c r="A1812" t="str">
        <f t="shared" si="194"/>
        <v/>
      </c>
      <c r="X1812" t="str" cm="1">
        <f t="array" ref="X1812">IF(S1812="","",IF($I1812&lt;&gt;"",$I1812,INDEX($I$2:$I1811,ROW()-COUNTIFS($T$2:$T1811,"="&amp;$T1812,$S$2:$S1811,"&lt;&gt;"&amp;$S1812)-1)))</f>
        <v/>
      </c>
      <c r="Y1812" t="b">
        <f>IF(X1812&lt;&gt;"",VLOOKUP(X1812,game_rosters!$C$43:$E$64,3,FALSE))</f>
        <v>0</v>
      </c>
      <c r="Z1812" t="e" cm="1" vm="1">
        <f t="array" aca="1" ref="Z1812" ca="1">IFERROR(IF(_xlfn._xlws.FILTER(game_rosters!$J:$J,(game_rosters!$G:$G=events!$AN1812)*(game_rosters!$J:$J=events!$X1812))&gt;0,1,""),"")</f>
        <v>#VALUE!</v>
      </c>
      <c r="AA1812">
        <f t="shared" si="191"/>
        <v>1000</v>
      </c>
      <c r="AB1812" t="str">
        <f t="shared" si="192"/>
        <v/>
      </c>
      <c r="AC1812">
        <f t="shared" si="193"/>
        <v>1000</v>
      </c>
      <c r="AD1812" s="6"/>
    </row>
    <row r="1813" spans="1:30" x14ac:dyDescent="0.2">
      <c r="A1813" t="str">
        <f t="shared" si="194"/>
        <v/>
      </c>
      <c r="X1813" t="str" cm="1">
        <f t="array" ref="X1813">IF(S1813="","",IF($I1813&lt;&gt;"",$I1813,INDEX($I$2:$I1812,ROW()-COUNTIFS($T$2:$T1812,"="&amp;$T1813,$S$2:$S1812,"&lt;&gt;"&amp;$S1813)-1)))</f>
        <v/>
      </c>
      <c r="Y1813" t="b">
        <f>IF(X1813&lt;&gt;"",VLOOKUP(X1813,game_rosters!$C$43:$E$64,3,FALSE))</f>
        <v>0</v>
      </c>
      <c r="Z1813" t="e" cm="1" vm="1">
        <f t="array" aca="1" ref="Z1813" ca="1">IFERROR(IF(_xlfn._xlws.FILTER(game_rosters!$J:$J,(game_rosters!$G:$G=events!$AN1813)*(game_rosters!$J:$J=events!$X1813))&gt;0,1,""),"")</f>
        <v>#VALUE!</v>
      </c>
      <c r="AA1813">
        <f t="shared" si="191"/>
        <v>1000</v>
      </c>
      <c r="AB1813" t="str">
        <f t="shared" si="192"/>
        <v/>
      </c>
      <c r="AC1813">
        <f t="shared" si="193"/>
        <v>1000</v>
      </c>
      <c r="AD1813" s="6"/>
    </row>
    <row r="1814" spans="1:30" x14ac:dyDescent="0.2">
      <c r="A1814" t="str">
        <f t="shared" si="194"/>
        <v/>
      </c>
      <c r="X1814" t="str" cm="1">
        <f t="array" ref="X1814">IF(S1814="","",IF($I1814&lt;&gt;"",$I1814,INDEX($I$2:$I1813,ROW()-COUNTIFS($T$2:$T1813,"="&amp;$T1814,$S$2:$S1813,"&lt;&gt;"&amp;$S1814)-1)))</f>
        <v/>
      </c>
      <c r="Y1814" t="b">
        <f>IF(X1814&lt;&gt;"",VLOOKUP(X1814,game_rosters!$C$43:$E$64,3,FALSE))</f>
        <v>0</v>
      </c>
      <c r="Z1814" t="e" cm="1" vm="1">
        <f t="array" aca="1" ref="Z1814" ca="1">IFERROR(IF(_xlfn._xlws.FILTER(game_rosters!$J:$J,(game_rosters!$G:$G=events!$AN1814)*(game_rosters!$J:$J=events!$X1814))&gt;0,1,""),"")</f>
        <v>#VALUE!</v>
      </c>
      <c r="AA1814">
        <f t="shared" si="191"/>
        <v>1000</v>
      </c>
      <c r="AB1814" t="str">
        <f t="shared" si="192"/>
        <v/>
      </c>
      <c r="AC1814">
        <f t="shared" si="193"/>
        <v>1000</v>
      </c>
      <c r="AD1814" s="6"/>
    </row>
    <row r="1815" spans="1:30" x14ac:dyDescent="0.2">
      <c r="A1815" t="str">
        <f t="shared" si="194"/>
        <v/>
      </c>
      <c r="X1815" t="str" cm="1">
        <f t="array" ref="X1815">IF(S1815="","",IF($I1815&lt;&gt;"",$I1815,INDEX($I$2:$I1814,ROW()-COUNTIFS($T$2:$T1814,"="&amp;$T1815,$S$2:$S1814,"&lt;&gt;"&amp;$S1815)-1)))</f>
        <v/>
      </c>
      <c r="Y1815" t="b">
        <f>IF(X1815&lt;&gt;"",VLOOKUP(X1815,game_rosters!$C$43:$E$64,3,FALSE))</f>
        <v>0</v>
      </c>
      <c r="Z1815" t="e" cm="1" vm="1">
        <f t="array" aca="1" ref="Z1815" ca="1">IFERROR(IF(_xlfn._xlws.FILTER(game_rosters!$J:$J,(game_rosters!$G:$G=events!$AN1815)*(game_rosters!$J:$J=events!$X1815))&gt;0,1,""),"")</f>
        <v>#VALUE!</v>
      </c>
      <c r="AA1815">
        <f t="shared" si="191"/>
        <v>1000</v>
      </c>
      <c r="AB1815" t="str">
        <f t="shared" si="192"/>
        <v/>
      </c>
      <c r="AC1815">
        <f t="shared" si="193"/>
        <v>1000</v>
      </c>
      <c r="AD1815" s="6"/>
    </row>
    <row r="1816" spans="1:30" x14ac:dyDescent="0.2">
      <c r="A1816" t="str">
        <f t="shared" si="194"/>
        <v/>
      </c>
      <c r="X1816" t="str" cm="1">
        <f t="array" ref="X1816">IF(S1816="","",IF($I1816&lt;&gt;"",$I1816,INDEX($I$2:$I1815,ROW()-COUNTIFS($T$2:$T1815,"="&amp;$T1816,$S$2:$S1815,"&lt;&gt;"&amp;$S1816)-1)))</f>
        <v/>
      </c>
      <c r="Y1816" t="b">
        <f>IF(X1816&lt;&gt;"",VLOOKUP(X1816,game_rosters!$C$43:$E$64,3,FALSE))</f>
        <v>0</v>
      </c>
      <c r="Z1816" t="e" cm="1" vm="1">
        <f t="array" aca="1" ref="Z1816" ca="1">IFERROR(IF(_xlfn._xlws.FILTER(game_rosters!$J:$J,(game_rosters!$G:$G=events!$AN1816)*(game_rosters!$J:$J=events!$X1816))&gt;0,1,""),"")</f>
        <v>#VALUE!</v>
      </c>
      <c r="AA1816">
        <f t="shared" si="191"/>
        <v>1000</v>
      </c>
      <c r="AB1816" t="str">
        <f t="shared" si="192"/>
        <v/>
      </c>
      <c r="AC1816">
        <f t="shared" si="193"/>
        <v>1000</v>
      </c>
      <c r="AD1816" s="6"/>
    </row>
    <row r="1817" spans="1:30" x14ac:dyDescent="0.2">
      <c r="A1817" t="str">
        <f t="shared" si="194"/>
        <v/>
      </c>
      <c r="X1817" t="str" cm="1">
        <f t="array" ref="X1817">IF(S1817="","",IF($I1817&lt;&gt;"",$I1817,INDEX($I$2:$I1816,ROW()-COUNTIFS($T$2:$T1816,"="&amp;$T1817,$S$2:$S1816,"&lt;&gt;"&amp;$S1817)-1)))</f>
        <v/>
      </c>
      <c r="Y1817" t="b">
        <f>IF(X1817&lt;&gt;"",VLOOKUP(X1817,game_rosters!$C$43:$E$64,3,FALSE))</f>
        <v>0</v>
      </c>
      <c r="Z1817" t="e" cm="1" vm="1">
        <f t="array" aca="1" ref="Z1817" ca="1">IFERROR(IF(_xlfn._xlws.FILTER(game_rosters!$J:$J,(game_rosters!$G:$G=events!$AN1817)*(game_rosters!$J:$J=events!$X1817))&gt;0,1,""),"")</f>
        <v>#VALUE!</v>
      </c>
      <c r="AA1817">
        <f t="shared" si="191"/>
        <v>1000</v>
      </c>
      <c r="AB1817" t="str">
        <f t="shared" si="192"/>
        <v/>
      </c>
      <c r="AC1817">
        <f t="shared" si="193"/>
        <v>1000</v>
      </c>
      <c r="AD1817" s="6"/>
    </row>
    <row r="1818" spans="1:30" x14ac:dyDescent="0.2">
      <c r="A1818" t="str">
        <f t="shared" si="194"/>
        <v/>
      </c>
      <c r="X1818" t="str" cm="1">
        <f t="array" ref="X1818">IF(S1818="","",IF($I1818&lt;&gt;"",$I1818,INDEX($I$2:$I1817,ROW()-COUNTIFS($T$2:$T1817,"="&amp;$T1818,$S$2:$S1817,"&lt;&gt;"&amp;$S1818)-1)))</f>
        <v/>
      </c>
      <c r="Y1818" t="b">
        <f>IF(X1818&lt;&gt;"",VLOOKUP(X1818,game_rosters!$C$43:$E$64,3,FALSE))</f>
        <v>0</v>
      </c>
      <c r="Z1818" t="e" cm="1" vm="1">
        <f t="array" aca="1" ref="Z1818" ca="1">IFERROR(IF(_xlfn._xlws.FILTER(game_rosters!$J:$J,(game_rosters!$G:$G=events!$AN1818)*(game_rosters!$J:$J=events!$X1818))&gt;0,1,""),"")</f>
        <v>#VALUE!</v>
      </c>
      <c r="AA1818">
        <f t="shared" si="191"/>
        <v>1000</v>
      </c>
      <c r="AB1818" t="str">
        <f t="shared" si="192"/>
        <v/>
      </c>
      <c r="AC1818">
        <f t="shared" si="193"/>
        <v>1000</v>
      </c>
      <c r="AD1818" s="6"/>
    </row>
    <row r="1819" spans="1:30" x14ac:dyDescent="0.2">
      <c r="A1819" t="str">
        <f t="shared" si="194"/>
        <v/>
      </c>
      <c r="X1819" t="str" cm="1">
        <f t="array" ref="X1819">IF(S1819="","",IF($I1819&lt;&gt;"",$I1819,INDEX($I$2:$I1818,ROW()-COUNTIFS($T$2:$T1818,"="&amp;$T1819,$S$2:$S1818,"&lt;&gt;"&amp;$S1819)-1)))</f>
        <v/>
      </c>
      <c r="Y1819" t="b">
        <f>IF(X1819&lt;&gt;"",VLOOKUP(X1819,game_rosters!$C$43:$E$64,3,FALSE))</f>
        <v>0</v>
      </c>
      <c r="Z1819" t="e" cm="1" vm="1">
        <f t="array" aca="1" ref="Z1819" ca="1">IFERROR(IF(_xlfn._xlws.FILTER(game_rosters!$J:$J,(game_rosters!$G:$G=events!$AN1819)*(game_rosters!$J:$J=events!$X1819))&gt;0,1,""),"")</f>
        <v>#VALUE!</v>
      </c>
      <c r="AA1819">
        <f t="shared" si="191"/>
        <v>1000</v>
      </c>
      <c r="AB1819" t="str">
        <f t="shared" si="192"/>
        <v/>
      </c>
      <c r="AC1819">
        <f t="shared" si="193"/>
        <v>1000</v>
      </c>
      <c r="AD1819" s="6"/>
    </row>
    <row r="1820" spans="1:30" x14ac:dyDescent="0.2">
      <c r="A1820" t="str">
        <f t="shared" si="194"/>
        <v/>
      </c>
      <c r="X1820" t="str" cm="1">
        <f t="array" ref="X1820">IF(S1820="","",IF($I1820&lt;&gt;"",$I1820,INDEX($I$2:$I1819,ROW()-COUNTIFS($T$2:$T1819,"="&amp;$T1820,$S$2:$S1819,"&lt;&gt;"&amp;$S1820)-1)))</f>
        <v/>
      </c>
      <c r="Y1820" t="b">
        <f>IF(X1820&lt;&gt;"",VLOOKUP(X1820,game_rosters!$C$43:$E$64,3,FALSE))</f>
        <v>0</v>
      </c>
      <c r="Z1820" t="e" cm="1" vm="1">
        <f t="array" aca="1" ref="Z1820" ca="1">IFERROR(IF(_xlfn._xlws.FILTER(game_rosters!$J:$J,(game_rosters!$G:$G=events!$AN1820)*(game_rosters!$J:$J=events!$X1820))&gt;0,1,""),"")</f>
        <v>#VALUE!</v>
      </c>
      <c r="AA1820">
        <f t="shared" si="191"/>
        <v>1000</v>
      </c>
      <c r="AB1820" t="str">
        <f t="shared" si="192"/>
        <v/>
      </c>
      <c r="AC1820">
        <f t="shared" si="193"/>
        <v>1000</v>
      </c>
      <c r="AD1820" s="6"/>
    </row>
    <row r="1821" spans="1:30" x14ac:dyDescent="0.2">
      <c r="A1821" t="str">
        <f t="shared" si="194"/>
        <v/>
      </c>
      <c r="X1821" t="str" cm="1">
        <f t="array" ref="X1821">IF(S1821="","",IF($I1821&lt;&gt;"",$I1821,INDEX($I$2:$I1820,ROW()-COUNTIFS($T$2:$T1820,"="&amp;$T1821,$S$2:$S1820,"&lt;&gt;"&amp;$S1821)-1)))</f>
        <v/>
      </c>
      <c r="Y1821" t="b">
        <f>IF(X1821&lt;&gt;"",VLOOKUP(X1821,game_rosters!$C$43:$E$64,3,FALSE))</f>
        <v>0</v>
      </c>
      <c r="Z1821" t="e" cm="1" vm="1">
        <f t="array" aca="1" ref="Z1821" ca="1">IFERROR(IF(_xlfn._xlws.FILTER(game_rosters!$J:$J,(game_rosters!$G:$G=events!$AN1821)*(game_rosters!$J:$J=events!$X1821))&gt;0,1,""),"")</f>
        <v>#VALUE!</v>
      </c>
      <c r="AA1821">
        <f t="shared" ref="AA1821:AA1884" si="195">S1821+1000</f>
        <v>1000</v>
      </c>
      <c r="AB1821" t="str">
        <f t="shared" ref="AB1821:AB1884" si="196">IF(T1821&lt;&gt;"",9000+T1821,"")</f>
        <v/>
      </c>
      <c r="AC1821">
        <f t="shared" si="193"/>
        <v>1000</v>
      </c>
      <c r="AD1821" s="6"/>
    </row>
    <row r="1822" spans="1:30" x14ac:dyDescent="0.2">
      <c r="A1822" t="str">
        <f t="shared" si="194"/>
        <v/>
      </c>
      <c r="X1822" t="str" cm="1">
        <f t="array" ref="X1822">IF(S1822="","",IF($I1822&lt;&gt;"",$I1822,INDEX($I$2:$I1821,ROW()-COUNTIFS($T$2:$T1821,"="&amp;$T1822,$S$2:$S1821,"&lt;&gt;"&amp;$S1822)-1)))</f>
        <v/>
      </c>
      <c r="Y1822" t="b">
        <f>IF(X1822&lt;&gt;"",VLOOKUP(X1822,game_rosters!$C$43:$E$64,3,FALSE))</f>
        <v>0</v>
      </c>
      <c r="Z1822" t="e" cm="1" vm="1">
        <f t="array" aca="1" ref="Z1822" ca="1">IFERROR(IF(_xlfn._xlws.FILTER(game_rosters!$J:$J,(game_rosters!$G:$G=events!$AN1822)*(game_rosters!$J:$J=events!$X1822))&gt;0,1,""),"")</f>
        <v>#VALUE!</v>
      </c>
      <c r="AA1822">
        <f t="shared" si="195"/>
        <v>1000</v>
      </c>
      <c r="AB1822" t="str">
        <f t="shared" si="196"/>
        <v/>
      </c>
      <c r="AC1822">
        <f t="shared" si="193"/>
        <v>1000</v>
      </c>
      <c r="AD1822" s="6"/>
    </row>
    <row r="1823" spans="1:30" x14ac:dyDescent="0.2">
      <c r="A1823" t="str">
        <f t="shared" si="194"/>
        <v/>
      </c>
      <c r="X1823" t="str" cm="1">
        <f t="array" ref="X1823">IF(S1823="","",IF($I1823&lt;&gt;"",$I1823,INDEX($I$2:$I1822,ROW()-COUNTIFS($T$2:$T1822,"="&amp;$T1823,$S$2:$S1822,"&lt;&gt;"&amp;$S1823)-1)))</f>
        <v/>
      </c>
      <c r="Y1823" t="b">
        <f>IF(X1823&lt;&gt;"",VLOOKUP(X1823,game_rosters!$C$43:$E$64,3,FALSE))</f>
        <v>0</v>
      </c>
      <c r="Z1823" t="e" cm="1" vm="1">
        <f t="array" aca="1" ref="Z1823" ca="1">IFERROR(IF(_xlfn._xlws.FILTER(game_rosters!$J:$J,(game_rosters!$G:$G=events!$AN1823)*(game_rosters!$J:$J=events!$X1823))&gt;0,1,""),"")</f>
        <v>#VALUE!</v>
      </c>
      <c r="AA1823">
        <f t="shared" si="195"/>
        <v>1000</v>
      </c>
      <c r="AB1823" t="str">
        <f t="shared" si="196"/>
        <v/>
      </c>
      <c r="AC1823">
        <f t="shared" si="193"/>
        <v>1000</v>
      </c>
      <c r="AD1823" s="6"/>
    </row>
    <row r="1824" spans="1:30" x14ac:dyDescent="0.2">
      <c r="A1824" t="str">
        <f t="shared" si="194"/>
        <v/>
      </c>
      <c r="X1824" t="str" cm="1">
        <f t="array" ref="X1824">IF(S1824="","",IF($I1824&lt;&gt;"",$I1824,INDEX($I$2:$I1823,ROW()-COUNTIFS($T$2:$T1823,"="&amp;$T1824,$S$2:$S1823,"&lt;&gt;"&amp;$S1824)-1)))</f>
        <v/>
      </c>
      <c r="Y1824" t="b">
        <f>IF(X1824&lt;&gt;"",VLOOKUP(X1824,game_rosters!$C$43:$E$64,3,FALSE))</f>
        <v>0</v>
      </c>
      <c r="Z1824" t="e" cm="1" vm="1">
        <f t="array" aca="1" ref="Z1824" ca="1">IFERROR(IF(_xlfn._xlws.FILTER(game_rosters!$J:$J,(game_rosters!$G:$G=events!$AN1824)*(game_rosters!$J:$J=events!$X1824))&gt;0,1,""),"")</f>
        <v>#VALUE!</v>
      </c>
      <c r="AA1824">
        <f t="shared" si="195"/>
        <v>1000</v>
      </c>
      <c r="AB1824" t="str">
        <f t="shared" si="196"/>
        <v/>
      </c>
      <c r="AC1824">
        <f t="shared" si="193"/>
        <v>1000</v>
      </c>
      <c r="AD1824" s="6"/>
    </row>
    <row r="1825" spans="1:30" x14ac:dyDescent="0.2">
      <c r="A1825" t="str">
        <f t="shared" si="194"/>
        <v/>
      </c>
      <c r="X1825" t="str" cm="1">
        <f t="array" ref="X1825">IF(S1825="","",IF($I1825&lt;&gt;"",$I1825,INDEX($I$2:$I1824,ROW()-COUNTIFS($T$2:$T1824,"="&amp;$T1825,$S$2:$S1824,"&lt;&gt;"&amp;$S1825)-1)))</f>
        <v/>
      </c>
      <c r="Y1825" t="b">
        <f>IF(X1825&lt;&gt;"",VLOOKUP(X1825,game_rosters!$C$43:$E$64,3,FALSE))</f>
        <v>0</v>
      </c>
      <c r="Z1825" t="e" cm="1" vm="1">
        <f t="array" aca="1" ref="Z1825" ca="1">IFERROR(IF(_xlfn._xlws.FILTER(game_rosters!$J:$J,(game_rosters!$G:$G=events!$AN1825)*(game_rosters!$J:$J=events!$X1825))&gt;0,1,""),"")</f>
        <v>#VALUE!</v>
      </c>
      <c r="AA1825">
        <f t="shared" si="195"/>
        <v>1000</v>
      </c>
      <c r="AB1825" t="str">
        <f t="shared" si="196"/>
        <v/>
      </c>
      <c r="AC1825">
        <f t="shared" si="193"/>
        <v>1000</v>
      </c>
      <c r="AD1825" s="6"/>
    </row>
    <row r="1826" spans="1:30" x14ac:dyDescent="0.2">
      <c r="A1826" t="str">
        <f t="shared" si="194"/>
        <v/>
      </c>
      <c r="X1826" t="str" cm="1">
        <f t="array" ref="X1826">IF(S1826="","",IF($I1826&lt;&gt;"",$I1826,INDEX($I$2:$I1825,ROW()-COUNTIFS($T$2:$T1825,"="&amp;$T1826,$S$2:$S1825,"&lt;&gt;"&amp;$S1826)-1)))</f>
        <v/>
      </c>
      <c r="Y1826" t="b">
        <f>IF(X1826&lt;&gt;"",VLOOKUP(X1826,game_rosters!$C$43:$E$64,3,FALSE))</f>
        <v>0</v>
      </c>
      <c r="Z1826" t="e" cm="1" vm="1">
        <f t="array" aca="1" ref="Z1826" ca="1">IFERROR(IF(_xlfn._xlws.FILTER(game_rosters!$J:$J,(game_rosters!$G:$G=events!$AN1826)*(game_rosters!$J:$J=events!$X1826))&gt;0,1,""),"")</f>
        <v>#VALUE!</v>
      </c>
      <c r="AA1826">
        <f t="shared" si="195"/>
        <v>1000</v>
      </c>
      <c r="AB1826" t="str">
        <f t="shared" si="196"/>
        <v/>
      </c>
      <c r="AC1826">
        <f t="shared" si="193"/>
        <v>1000</v>
      </c>
      <c r="AD1826" s="6"/>
    </row>
    <row r="1827" spans="1:30" x14ac:dyDescent="0.2">
      <c r="A1827" t="str">
        <f t="shared" si="194"/>
        <v/>
      </c>
      <c r="X1827" t="str" cm="1">
        <f t="array" ref="X1827">IF(S1827="","",IF($I1827&lt;&gt;"",$I1827,INDEX($I$2:$I1826,ROW()-COUNTIFS($T$2:$T1826,"="&amp;$T1827,$S$2:$S1826,"&lt;&gt;"&amp;$S1827)-1)))</f>
        <v/>
      </c>
      <c r="Y1827" t="b">
        <f>IF(X1827&lt;&gt;"",VLOOKUP(X1827,game_rosters!$C$43:$E$64,3,FALSE))</f>
        <v>0</v>
      </c>
      <c r="Z1827" t="e" cm="1" vm="1">
        <f t="array" aca="1" ref="Z1827" ca="1">IFERROR(IF(_xlfn._xlws.FILTER(game_rosters!$J:$J,(game_rosters!$G:$G=events!$AN1827)*(game_rosters!$J:$J=events!$X1827))&gt;0,1,""),"")</f>
        <v>#VALUE!</v>
      </c>
      <c r="AA1827">
        <f t="shared" si="195"/>
        <v>1000</v>
      </c>
      <c r="AB1827" t="str">
        <f t="shared" si="196"/>
        <v/>
      </c>
      <c r="AC1827">
        <f t="shared" si="193"/>
        <v>1000</v>
      </c>
      <c r="AD1827" s="6"/>
    </row>
    <row r="1828" spans="1:30" x14ac:dyDescent="0.2">
      <c r="A1828" t="str">
        <f t="shared" si="194"/>
        <v/>
      </c>
      <c r="X1828" t="str" cm="1">
        <f t="array" ref="X1828">IF(S1828="","",IF($I1828&lt;&gt;"",$I1828,INDEX($I$2:$I1827,ROW()-COUNTIFS($T$2:$T1827,"="&amp;$T1828,$S$2:$S1827,"&lt;&gt;"&amp;$S1828)-1)))</f>
        <v/>
      </c>
      <c r="Y1828" t="b">
        <f>IF(X1828&lt;&gt;"",VLOOKUP(X1828,game_rosters!$C$43:$E$64,3,FALSE))</f>
        <v>0</v>
      </c>
      <c r="Z1828" t="e" cm="1" vm="1">
        <f t="array" aca="1" ref="Z1828" ca="1">IFERROR(IF(_xlfn._xlws.FILTER(game_rosters!$J:$J,(game_rosters!$G:$G=events!$AN1828)*(game_rosters!$J:$J=events!$X1828))&gt;0,1,""),"")</f>
        <v>#VALUE!</v>
      </c>
      <c r="AA1828">
        <f t="shared" si="195"/>
        <v>1000</v>
      </c>
      <c r="AB1828" t="str">
        <f t="shared" si="196"/>
        <v/>
      </c>
      <c r="AC1828">
        <f t="shared" si="193"/>
        <v>1000</v>
      </c>
      <c r="AD1828" s="6"/>
    </row>
    <row r="1829" spans="1:30" x14ac:dyDescent="0.2">
      <c r="A1829" t="str">
        <f t="shared" si="194"/>
        <v/>
      </c>
      <c r="X1829" t="str" cm="1">
        <f t="array" ref="X1829">IF(S1829="","",IF($I1829&lt;&gt;"",$I1829,INDEX($I$2:$I1828,ROW()-COUNTIFS($T$2:$T1828,"="&amp;$T1829,$S$2:$S1828,"&lt;&gt;"&amp;$S1829)-1)))</f>
        <v/>
      </c>
      <c r="Y1829" t="b">
        <f>IF(X1829&lt;&gt;"",VLOOKUP(X1829,game_rosters!$C$43:$E$64,3,FALSE))</f>
        <v>0</v>
      </c>
      <c r="Z1829" t="e" cm="1" vm="1">
        <f t="array" aca="1" ref="Z1829" ca="1">IFERROR(IF(_xlfn._xlws.FILTER(game_rosters!$J:$J,(game_rosters!$G:$G=events!$AN1829)*(game_rosters!$J:$J=events!$X1829))&gt;0,1,""),"")</f>
        <v>#VALUE!</v>
      </c>
      <c r="AA1829">
        <f t="shared" si="195"/>
        <v>1000</v>
      </c>
      <c r="AB1829" t="str">
        <f t="shared" si="196"/>
        <v/>
      </c>
      <c r="AC1829">
        <f t="shared" si="193"/>
        <v>1000</v>
      </c>
      <c r="AD1829" s="6"/>
    </row>
    <row r="1830" spans="1:30" x14ac:dyDescent="0.2">
      <c r="A1830" t="str">
        <f t="shared" si="194"/>
        <v/>
      </c>
      <c r="X1830" t="str" cm="1">
        <f t="array" ref="X1830">IF(S1830="","",IF($I1830&lt;&gt;"",$I1830,INDEX($I$2:$I1829,ROW()-COUNTIFS($T$2:$T1829,"="&amp;$T1830,$S$2:$S1829,"&lt;&gt;"&amp;$S1830)-1)))</f>
        <v/>
      </c>
      <c r="Y1830" t="b">
        <f>IF(X1830&lt;&gt;"",VLOOKUP(X1830,game_rosters!$C$43:$E$64,3,FALSE))</f>
        <v>0</v>
      </c>
      <c r="Z1830" t="e" cm="1" vm="1">
        <f t="array" aca="1" ref="Z1830" ca="1">IFERROR(IF(_xlfn._xlws.FILTER(game_rosters!$J:$J,(game_rosters!$G:$G=events!$AN1830)*(game_rosters!$J:$J=events!$X1830))&gt;0,1,""),"")</f>
        <v>#VALUE!</v>
      </c>
      <c r="AA1830">
        <f t="shared" si="195"/>
        <v>1000</v>
      </c>
      <c r="AB1830" t="str">
        <f t="shared" si="196"/>
        <v/>
      </c>
      <c r="AC1830">
        <f t="shared" si="193"/>
        <v>1000</v>
      </c>
      <c r="AD1830" s="6"/>
    </row>
    <row r="1831" spans="1:30" x14ac:dyDescent="0.2">
      <c r="A1831" t="str">
        <f t="shared" si="194"/>
        <v/>
      </c>
      <c r="X1831" t="str" cm="1">
        <f t="array" ref="X1831">IF(S1831="","",IF($I1831&lt;&gt;"",$I1831,INDEX($I$2:$I1830,ROW()-COUNTIFS($T$2:$T1830,"="&amp;$T1831,$S$2:$S1830,"&lt;&gt;"&amp;$S1831)-1)))</f>
        <v/>
      </c>
      <c r="Y1831" t="b">
        <f>IF(X1831&lt;&gt;"",VLOOKUP(X1831,game_rosters!$C$43:$E$64,3,FALSE))</f>
        <v>0</v>
      </c>
      <c r="Z1831" t="e" cm="1" vm="1">
        <f t="array" aca="1" ref="Z1831" ca="1">IFERROR(IF(_xlfn._xlws.FILTER(game_rosters!$J:$J,(game_rosters!$G:$G=events!$AN1831)*(game_rosters!$J:$J=events!$X1831))&gt;0,1,""),"")</f>
        <v>#VALUE!</v>
      </c>
      <c r="AA1831">
        <f t="shared" si="195"/>
        <v>1000</v>
      </c>
      <c r="AB1831" t="str">
        <f t="shared" si="196"/>
        <v/>
      </c>
      <c r="AC1831">
        <f t="shared" si="193"/>
        <v>1000</v>
      </c>
      <c r="AD1831" s="6"/>
    </row>
    <row r="1832" spans="1:30" x14ac:dyDescent="0.2">
      <c r="A1832" t="str">
        <f t="shared" si="194"/>
        <v/>
      </c>
      <c r="X1832" t="str" cm="1">
        <f t="array" ref="X1832">IF(S1832="","",IF($I1832&lt;&gt;"",$I1832,INDEX($I$2:$I1831,ROW()-COUNTIFS($T$2:$T1831,"="&amp;$T1832,$S$2:$S1831,"&lt;&gt;"&amp;$S1832)-1)))</f>
        <v/>
      </c>
      <c r="Y1832" t="b">
        <f>IF(X1832&lt;&gt;"",VLOOKUP(X1832,game_rosters!$C$43:$E$64,3,FALSE))</f>
        <v>0</v>
      </c>
      <c r="Z1832" t="e" cm="1" vm="1">
        <f t="array" aca="1" ref="Z1832" ca="1">IFERROR(IF(_xlfn._xlws.FILTER(game_rosters!$J:$J,(game_rosters!$G:$G=events!$AN1832)*(game_rosters!$J:$J=events!$X1832))&gt;0,1,""),"")</f>
        <v>#VALUE!</v>
      </c>
      <c r="AA1832">
        <f t="shared" si="195"/>
        <v>1000</v>
      </c>
      <c r="AB1832" t="str">
        <f t="shared" si="196"/>
        <v/>
      </c>
      <c r="AC1832">
        <f t="shared" si="193"/>
        <v>1000</v>
      </c>
      <c r="AD1832" s="6"/>
    </row>
    <row r="1833" spans="1:30" x14ac:dyDescent="0.2">
      <c r="A1833" t="str">
        <f t="shared" si="194"/>
        <v/>
      </c>
      <c r="X1833" t="str" cm="1">
        <f t="array" ref="X1833">IF(S1833="","",IF($I1833&lt;&gt;"",$I1833,INDEX($I$2:$I1832,ROW()-COUNTIFS($T$2:$T1832,"="&amp;$T1833,$S$2:$S1832,"&lt;&gt;"&amp;$S1833)-1)))</f>
        <v/>
      </c>
      <c r="Y1833" t="b">
        <f>IF(X1833&lt;&gt;"",VLOOKUP(X1833,game_rosters!$C$43:$E$64,3,FALSE))</f>
        <v>0</v>
      </c>
      <c r="Z1833" t="e" cm="1" vm="1">
        <f t="array" aca="1" ref="Z1833" ca="1">IFERROR(IF(_xlfn._xlws.FILTER(game_rosters!$J:$J,(game_rosters!$G:$G=events!$AN1833)*(game_rosters!$J:$J=events!$X1833))&gt;0,1,""),"")</f>
        <v>#VALUE!</v>
      </c>
      <c r="AA1833">
        <f t="shared" si="195"/>
        <v>1000</v>
      </c>
      <c r="AB1833" t="str">
        <f t="shared" si="196"/>
        <v/>
      </c>
      <c r="AC1833">
        <f t="shared" si="193"/>
        <v>1000</v>
      </c>
      <c r="AD1833" s="6"/>
    </row>
    <row r="1834" spans="1:30" x14ac:dyDescent="0.2">
      <c r="A1834" t="str">
        <f t="shared" si="194"/>
        <v/>
      </c>
      <c r="X1834" t="str" cm="1">
        <f t="array" ref="X1834">IF(S1834="","",IF($I1834&lt;&gt;"",$I1834,INDEX($I$2:$I1833,ROW()-COUNTIFS($T$2:$T1833,"="&amp;$T1834,$S$2:$S1833,"&lt;&gt;"&amp;$S1834)-1)))</f>
        <v/>
      </c>
      <c r="Y1834" t="b">
        <f>IF(X1834&lt;&gt;"",VLOOKUP(X1834,game_rosters!$C$43:$E$64,3,FALSE))</f>
        <v>0</v>
      </c>
      <c r="Z1834" t="e" cm="1" vm="1">
        <f t="array" aca="1" ref="Z1834" ca="1">IFERROR(IF(_xlfn._xlws.FILTER(game_rosters!$J:$J,(game_rosters!$G:$G=events!$AN1834)*(game_rosters!$J:$J=events!$X1834))&gt;0,1,""),"")</f>
        <v>#VALUE!</v>
      </c>
      <c r="AA1834">
        <f t="shared" si="195"/>
        <v>1000</v>
      </c>
      <c r="AB1834" t="str">
        <f t="shared" si="196"/>
        <v/>
      </c>
      <c r="AC1834">
        <f t="shared" si="193"/>
        <v>1000</v>
      </c>
      <c r="AD1834" s="6"/>
    </row>
    <row r="1835" spans="1:30" x14ac:dyDescent="0.2">
      <c r="A1835" t="str">
        <f t="shared" si="194"/>
        <v/>
      </c>
      <c r="X1835" t="str" cm="1">
        <f t="array" ref="X1835">IF(S1835="","",IF($I1835&lt;&gt;"",$I1835,INDEX($I$2:$I1834,ROW()-COUNTIFS($T$2:$T1834,"="&amp;$T1835,$S$2:$S1834,"&lt;&gt;"&amp;$S1835)-1)))</f>
        <v/>
      </c>
      <c r="Y1835" t="b">
        <f>IF(X1835&lt;&gt;"",VLOOKUP(X1835,game_rosters!$C$43:$E$64,3,FALSE))</f>
        <v>0</v>
      </c>
      <c r="Z1835" t="e" cm="1" vm="1">
        <f t="array" aca="1" ref="Z1835" ca="1">IFERROR(IF(_xlfn._xlws.FILTER(game_rosters!$J:$J,(game_rosters!$G:$G=events!$AN1835)*(game_rosters!$J:$J=events!$X1835))&gt;0,1,""),"")</f>
        <v>#VALUE!</v>
      </c>
      <c r="AA1835">
        <f t="shared" si="195"/>
        <v>1000</v>
      </c>
      <c r="AB1835" t="str">
        <f t="shared" si="196"/>
        <v/>
      </c>
      <c r="AC1835">
        <f t="shared" si="193"/>
        <v>1000</v>
      </c>
      <c r="AD1835" s="6"/>
    </row>
    <row r="1836" spans="1:30" x14ac:dyDescent="0.2">
      <c r="A1836" t="str">
        <f t="shared" si="194"/>
        <v/>
      </c>
      <c r="X1836" t="str" cm="1">
        <f t="array" ref="X1836">IF(S1836="","",IF($I1836&lt;&gt;"",$I1836,INDEX($I$2:$I1835,ROW()-COUNTIFS($T$2:$T1835,"="&amp;$T1836,$S$2:$S1835,"&lt;&gt;"&amp;$S1836)-1)))</f>
        <v/>
      </c>
      <c r="Y1836" t="b">
        <f>IF(X1836&lt;&gt;"",VLOOKUP(X1836,game_rosters!$C$43:$E$64,3,FALSE))</f>
        <v>0</v>
      </c>
      <c r="Z1836" t="e" cm="1" vm="1">
        <f t="array" aca="1" ref="Z1836" ca="1">IFERROR(IF(_xlfn._xlws.FILTER(game_rosters!$J:$J,(game_rosters!$G:$G=events!$AN1836)*(game_rosters!$J:$J=events!$X1836))&gt;0,1,""),"")</f>
        <v>#VALUE!</v>
      </c>
      <c r="AA1836">
        <f t="shared" si="195"/>
        <v>1000</v>
      </c>
      <c r="AB1836" t="str">
        <f t="shared" si="196"/>
        <v/>
      </c>
      <c r="AC1836">
        <f t="shared" si="193"/>
        <v>1000</v>
      </c>
      <c r="AD1836" s="6"/>
    </row>
    <row r="1837" spans="1:30" x14ac:dyDescent="0.2">
      <c r="A1837" t="str">
        <f t="shared" si="194"/>
        <v/>
      </c>
      <c r="X1837" t="str" cm="1">
        <f t="array" ref="X1837">IF(S1837="","",IF($I1837&lt;&gt;"",$I1837,INDEX($I$2:$I1836,ROW()-COUNTIFS($T$2:$T1836,"="&amp;$T1837,$S$2:$S1836,"&lt;&gt;"&amp;$S1837)-1)))</f>
        <v/>
      </c>
      <c r="Y1837" t="b">
        <f>IF(X1837&lt;&gt;"",VLOOKUP(X1837,game_rosters!$C$43:$E$64,3,FALSE))</f>
        <v>0</v>
      </c>
      <c r="Z1837" t="e" cm="1" vm="1">
        <f t="array" aca="1" ref="Z1837" ca="1">IFERROR(IF(_xlfn._xlws.FILTER(game_rosters!$J:$J,(game_rosters!$G:$G=events!$AN1837)*(game_rosters!$J:$J=events!$X1837))&gt;0,1,""),"")</f>
        <v>#VALUE!</v>
      </c>
      <c r="AA1837">
        <f t="shared" si="195"/>
        <v>1000</v>
      </c>
      <c r="AB1837" t="str">
        <f t="shared" si="196"/>
        <v/>
      </c>
      <c r="AC1837">
        <f t="shared" si="193"/>
        <v>1000</v>
      </c>
      <c r="AD1837" s="6"/>
    </row>
    <row r="1838" spans="1:30" x14ac:dyDescent="0.2">
      <c r="A1838" t="str">
        <f t="shared" si="194"/>
        <v/>
      </c>
      <c r="X1838" t="str" cm="1">
        <f t="array" ref="X1838">IF(S1838="","",IF($I1838&lt;&gt;"",$I1838,INDEX($I$2:$I1837,ROW()-COUNTIFS($T$2:$T1837,"="&amp;$T1838,$S$2:$S1837,"&lt;&gt;"&amp;$S1838)-1)))</f>
        <v/>
      </c>
      <c r="Y1838" t="b">
        <f>IF(X1838&lt;&gt;"",VLOOKUP(X1838,game_rosters!$C$43:$E$64,3,FALSE))</f>
        <v>0</v>
      </c>
      <c r="Z1838" t="e" cm="1" vm="1">
        <f t="array" aca="1" ref="Z1838" ca="1">IFERROR(IF(_xlfn._xlws.FILTER(game_rosters!$J:$J,(game_rosters!$G:$G=events!$AN1838)*(game_rosters!$J:$J=events!$X1838))&gt;0,1,""),"")</f>
        <v>#VALUE!</v>
      </c>
      <c r="AA1838">
        <f t="shared" si="195"/>
        <v>1000</v>
      </c>
      <c r="AB1838" t="str">
        <f t="shared" si="196"/>
        <v/>
      </c>
      <c r="AC1838">
        <f t="shared" si="193"/>
        <v>1000</v>
      </c>
      <c r="AD1838" s="6"/>
    </row>
    <row r="1839" spans="1:30" x14ac:dyDescent="0.2">
      <c r="A1839" t="str">
        <f t="shared" si="194"/>
        <v/>
      </c>
      <c r="X1839" t="str" cm="1">
        <f t="array" ref="X1839">IF(S1839="","",IF($I1839&lt;&gt;"",$I1839,INDEX($I$2:$I1838,ROW()-COUNTIFS($T$2:$T1838,"="&amp;$T1839,$S$2:$S1838,"&lt;&gt;"&amp;$S1839)-1)))</f>
        <v/>
      </c>
      <c r="Y1839" t="b">
        <f>IF(X1839&lt;&gt;"",VLOOKUP(X1839,game_rosters!$C$43:$E$64,3,FALSE))</f>
        <v>0</v>
      </c>
      <c r="Z1839" t="e" cm="1" vm="1">
        <f t="array" aca="1" ref="Z1839" ca="1">IFERROR(IF(_xlfn._xlws.FILTER(game_rosters!$J:$J,(game_rosters!$G:$G=events!$AN1839)*(game_rosters!$J:$J=events!$X1839))&gt;0,1,""),"")</f>
        <v>#VALUE!</v>
      </c>
      <c r="AA1839">
        <f t="shared" si="195"/>
        <v>1000</v>
      </c>
      <c r="AB1839" t="str">
        <f t="shared" si="196"/>
        <v/>
      </c>
      <c r="AC1839">
        <f t="shared" si="193"/>
        <v>1000</v>
      </c>
      <c r="AD1839" s="6"/>
    </row>
    <row r="1840" spans="1:30" x14ac:dyDescent="0.2">
      <c r="A1840" t="str">
        <f t="shared" si="194"/>
        <v/>
      </c>
      <c r="X1840" t="str" cm="1">
        <f t="array" ref="X1840">IF(S1840="","",IF($I1840&lt;&gt;"",$I1840,INDEX($I$2:$I1839,ROW()-COUNTIFS($T$2:$T1839,"="&amp;$T1840,$S$2:$S1839,"&lt;&gt;"&amp;$S1840)-1)))</f>
        <v/>
      </c>
      <c r="Y1840" t="b">
        <f>IF(X1840&lt;&gt;"",VLOOKUP(X1840,game_rosters!$C$43:$E$64,3,FALSE))</f>
        <v>0</v>
      </c>
      <c r="Z1840" t="e" cm="1" vm="1">
        <f t="array" aca="1" ref="Z1840" ca="1">IFERROR(IF(_xlfn._xlws.FILTER(game_rosters!$J:$J,(game_rosters!$G:$G=events!$AN1840)*(game_rosters!$J:$J=events!$X1840))&gt;0,1,""),"")</f>
        <v>#VALUE!</v>
      </c>
      <c r="AA1840">
        <f t="shared" si="195"/>
        <v>1000</v>
      </c>
      <c r="AB1840" t="str">
        <f t="shared" si="196"/>
        <v/>
      </c>
      <c r="AC1840">
        <f t="shared" si="193"/>
        <v>1000</v>
      </c>
      <c r="AD1840" s="6"/>
    </row>
    <row r="1841" spans="1:30" x14ac:dyDescent="0.2">
      <c r="A1841" t="str">
        <f t="shared" si="194"/>
        <v/>
      </c>
      <c r="X1841" t="str" cm="1">
        <f t="array" ref="X1841">IF(S1841="","",IF($I1841&lt;&gt;"",$I1841,INDEX($I$2:$I1840,ROW()-COUNTIFS($T$2:$T1840,"="&amp;$T1841,$S$2:$S1840,"&lt;&gt;"&amp;$S1841)-1)))</f>
        <v/>
      </c>
      <c r="Y1841" t="b">
        <f>IF(X1841&lt;&gt;"",VLOOKUP(X1841,game_rosters!$C$43:$E$64,3,FALSE))</f>
        <v>0</v>
      </c>
      <c r="Z1841" t="e" cm="1" vm="1">
        <f t="array" aca="1" ref="Z1841" ca="1">IFERROR(IF(_xlfn._xlws.FILTER(game_rosters!$J:$J,(game_rosters!$G:$G=events!$AN1841)*(game_rosters!$J:$J=events!$X1841))&gt;0,1,""),"")</f>
        <v>#VALUE!</v>
      </c>
      <c r="AA1841">
        <f t="shared" si="195"/>
        <v>1000</v>
      </c>
      <c r="AB1841" t="str">
        <f t="shared" si="196"/>
        <v/>
      </c>
      <c r="AC1841">
        <f t="shared" si="193"/>
        <v>1000</v>
      </c>
      <c r="AD1841" s="6"/>
    </row>
    <row r="1842" spans="1:30" x14ac:dyDescent="0.2">
      <c r="A1842" t="str">
        <f t="shared" si="194"/>
        <v/>
      </c>
      <c r="X1842" t="str" cm="1">
        <f t="array" ref="X1842">IF(S1842="","",IF($I1842&lt;&gt;"",$I1842,INDEX($I$2:$I1841,ROW()-COUNTIFS($T$2:$T1841,"="&amp;$T1842,$S$2:$S1841,"&lt;&gt;"&amp;$S1842)-1)))</f>
        <v/>
      </c>
      <c r="Y1842" t="b">
        <f>IF(X1842&lt;&gt;"",VLOOKUP(X1842,game_rosters!$C$43:$E$64,3,FALSE))</f>
        <v>0</v>
      </c>
      <c r="Z1842" t="e" cm="1" vm="1">
        <f t="array" aca="1" ref="Z1842" ca="1">IFERROR(IF(_xlfn._xlws.FILTER(game_rosters!$J:$J,(game_rosters!$G:$G=events!$AN1842)*(game_rosters!$J:$J=events!$X1842))&gt;0,1,""),"")</f>
        <v>#VALUE!</v>
      </c>
      <c r="AA1842">
        <f t="shared" si="195"/>
        <v>1000</v>
      </c>
      <c r="AB1842" t="str">
        <f t="shared" si="196"/>
        <v/>
      </c>
      <c r="AC1842">
        <f t="shared" si="193"/>
        <v>1000</v>
      </c>
      <c r="AD1842" s="6"/>
    </row>
    <row r="1843" spans="1:30" x14ac:dyDescent="0.2">
      <c r="A1843" t="str">
        <f t="shared" si="194"/>
        <v/>
      </c>
      <c r="X1843" t="str" cm="1">
        <f t="array" ref="X1843">IF(S1843="","",IF($I1843&lt;&gt;"",$I1843,INDEX($I$2:$I1842,ROW()-COUNTIFS($T$2:$T1842,"="&amp;$T1843,$S$2:$S1842,"&lt;&gt;"&amp;$S1843)-1)))</f>
        <v/>
      </c>
      <c r="Y1843" t="b">
        <f>IF(X1843&lt;&gt;"",VLOOKUP(X1843,game_rosters!$C$43:$E$64,3,FALSE))</f>
        <v>0</v>
      </c>
      <c r="Z1843" t="e" cm="1" vm="1">
        <f t="array" aca="1" ref="Z1843" ca="1">IFERROR(IF(_xlfn._xlws.FILTER(game_rosters!$J:$J,(game_rosters!$G:$G=events!$AN1843)*(game_rosters!$J:$J=events!$X1843))&gt;0,1,""),"")</f>
        <v>#VALUE!</v>
      </c>
      <c r="AA1843">
        <f t="shared" si="195"/>
        <v>1000</v>
      </c>
      <c r="AB1843" t="str">
        <f t="shared" si="196"/>
        <v/>
      </c>
      <c r="AC1843">
        <f t="shared" si="193"/>
        <v>1000</v>
      </c>
      <c r="AD1843" s="6"/>
    </row>
    <row r="1844" spans="1:30" x14ac:dyDescent="0.2">
      <c r="A1844" t="str">
        <f t="shared" si="194"/>
        <v/>
      </c>
      <c r="X1844" t="str" cm="1">
        <f t="array" ref="X1844">IF(S1844="","",IF($I1844&lt;&gt;"",$I1844,INDEX($I$2:$I1843,ROW()-COUNTIFS($T$2:$T1843,"="&amp;$T1844,$S$2:$S1843,"&lt;&gt;"&amp;$S1844)-1)))</f>
        <v/>
      </c>
      <c r="Y1844" t="b">
        <f>IF(X1844&lt;&gt;"",VLOOKUP(X1844,game_rosters!$C$43:$E$64,3,FALSE))</f>
        <v>0</v>
      </c>
      <c r="Z1844" t="e" cm="1" vm="1">
        <f t="array" aca="1" ref="Z1844" ca="1">IFERROR(IF(_xlfn._xlws.FILTER(game_rosters!$J:$J,(game_rosters!$G:$G=events!$AN1844)*(game_rosters!$J:$J=events!$X1844))&gt;0,1,""),"")</f>
        <v>#VALUE!</v>
      </c>
      <c r="AA1844">
        <f t="shared" si="195"/>
        <v>1000</v>
      </c>
      <c r="AB1844" t="str">
        <f t="shared" si="196"/>
        <v/>
      </c>
      <c r="AC1844">
        <f t="shared" si="193"/>
        <v>1000</v>
      </c>
      <c r="AD1844" s="6"/>
    </row>
    <row r="1845" spans="1:30" x14ac:dyDescent="0.2">
      <c r="A1845" t="str">
        <f t="shared" si="194"/>
        <v/>
      </c>
      <c r="X1845" t="str" cm="1">
        <f t="array" ref="X1845">IF(S1845="","",IF($I1845&lt;&gt;"",$I1845,INDEX($I$2:$I1844,ROW()-COUNTIFS($T$2:$T1844,"="&amp;$T1845,$S$2:$S1844,"&lt;&gt;"&amp;$S1845)-1)))</f>
        <v/>
      </c>
      <c r="Y1845" t="b">
        <f>IF(X1845&lt;&gt;"",VLOOKUP(X1845,game_rosters!$C$43:$E$64,3,FALSE))</f>
        <v>0</v>
      </c>
      <c r="Z1845" t="e" cm="1" vm="1">
        <f t="array" aca="1" ref="Z1845" ca="1">IFERROR(IF(_xlfn._xlws.FILTER(game_rosters!$J:$J,(game_rosters!$G:$G=events!$AN1845)*(game_rosters!$J:$J=events!$X1845))&gt;0,1,""),"")</f>
        <v>#VALUE!</v>
      </c>
      <c r="AA1845">
        <f t="shared" si="195"/>
        <v>1000</v>
      </c>
      <c r="AB1845" t="str">
        <f t="shared" si="196"/>
        <v/>
      </c>
      <c r="AC1845">
        <f t="shared" si="193"/>
        <v>1000</v>
      </c>
      <c r="AD1845" s="6"/>
    </row>
    <row r="1846" spans="1:30" x14ac:dyDescent="0.2">
      <c r="A1846" t="str">
        <f t="shared" si="194"/>
        <v/>
      </c>
      <c r="X1846" t="str" cm="1">
        <f t="array" ref="X1846">IF(S1846="","",IF($I1846&lt;&gt;"",$I1846,INDEX($I$2:$I1845,ROW()-COUNTIFS($T$2:$T1845,"="&amp;$T1846,$S$2:$S1845,"&lt;&gt;"&amp;$S1846)-1)))</f>
        <v/>
      </c>
      <c r="Y1846" t="b">
        <f>IF(X1846&lt;&gt;"",VLOOKUP(X1846,game_rosters!$C$43:$E$64,3,FALSE))</f>
        <v>0</v>
      </c>
      <c r="Z1846" t="e" cm="1" vm="1">
        <f t="array" aca="1" ref="Z1846" ca="1">IFERROR(IF(_xlfn._xlws.FILTER(game_rosters!$J:$J,(game_rosters!$G:$G=events!$AN1846)*(game_rosters!$J:$J=events!$X1846))&gt;0,1,""),"")</f>
        <v>#VALUE!</v>
      </c>
      <c r="AA1846">
        <f t="shared" si="195"/>
        <v>1000</v>
      </c>
      <c r="AB1846" t="str">
        <f t="shared" si="196"/>
        <v/>
      </c>
      <c r="AC1846">
        <f t="shared" si="193"/>
        <v>1000</v>
      </c>
      <c r="AD1846" s="6"/>
    </row>
    <row r="1847" spans="1:30" x14ac:dyDescent="0.2">
      <c r="A1847" t="str">
        <f t="shared" si="194"/>
        <v/>
      </c>
      <c r="X1847" t="str" cm="1">
        <f t="array" ref="X1847">IF(S1847="","",IF($I1847&lt;&gt;"",$I1847,INDEX($I$2:$I1846,ROW()-COUNTIFS($T$2:$T1846,"="&amp;$T1847,$S$2:$S1846,"&lt;&gt;"&amp;$S1847)-1)))</f>
        <v/>
      </c>
      <c r="Y1847" t="b">
        <f>IF(X1847&lt;&gt;"",VLOOKUP(X1847,game_rosters!$C$43:$E$64,3,FALSE))</f>
        <v>0</v>
      </c>
      <c r="Z1847" t="e" cm="1" vm="1">
        <f t="array" aca="1" ref="Z1847" ca="1">IFERROR(IF(_xlfn._xlws.FILTER(game_rosters!$J:$J,(game_rosters!$G:$G=events!$AN1847)*(game_rosters!$J:$J=events!$X1847))&gt;0,1,""),"")</f>
        <v>#VALUE!</v>
      </c>
      <c r="AA1847">
        <f t="shared" si="195"/>
        <v>1000</v>
      </c>
      <c r="AB1847" t="str">
        <f t="shared" si="196"/>
        <v/>
      </c>
      <c r="AC1847">
        <f t="shared" si="193"/>
        <v>1000</v>
      </c>
      <c r="AD1847" s="6"/>
    </row>
    <row r="1848" spans="1:30" x14ac:dyDescent="0.2">
      <c r="A1848" t="str">
        <f t="shared" si="194"/>
        <v/>
      </c>
      <c r="X1848" t="str" cm="1">
        <f t="array" ref="X1848">IF(S1848="","",IF($I1848&lt;&gt;"",$I1848,INDEX($I$2:$I1847,ROW()-COUNTIFS($T$2:$T1847,"="&amp;$T1848,$S$2:$S1847,"&lt;&gt;"&amp;$S1848)-1)))</f>
        <v/>
      </c>
      <c r="Y1848" t="b">
        <f>IF(X1848&lt;&gt;"",VLOOKUP(X1848,game_rosters!$C$43:$E$64,3,FALSE))</f>
        <v>0</v>
      </c>
      <c r="Z1848" t="e" cm="1" vm="1">
        <f t="array" aca="1" ref="Z1848" ca="1">IFERROR(IF(_xlfn._xlws.FILTER(game_rosters!$J:$J,(game_rosters!$G:$G=events!$AN1848)*(game_rosters!$J:$J=events!$X1848))&gt;0,1,""),"")</f>
        <v>#VALUE!</v>
      </c>
      <c r="AA1848">
        <f t="shared" si="195"/>
        <v>1000</v>
      </c>
      <c r="AB1848" t="str">
        <f t="shared" si="196"/>
        <v/>
      </c>
      <c r="AC1848">
        <f t="shared" si="193"/>
        <v>1000</v>
      </c>
      <c r="AD1848" s="6"/>
    </row>
    <row r="1849" spans="1:30" x14ac:dyDescent="0.2">
      <c r="A1849" t="str">
        <f t="shared" si="194"/>
        <v/>
      </c>
      <c r="X1849" t="str" cm="1">
        <f t="array" ref="X1849">IF(S1849="","",IF($I1849&lt;&gt;"",$I1849,INDEX($I$2:$I1848,ROW()-COUNTIFS($T$2:$T1848,"="&amp;$T1849,$S$2:$S1848,"&lt;&gt;"&amp;$S1849)-1)))</f>
        <v/>
      </c>
      <c r="Y1849" t="b">
        <f>IF(X1849&lt;&gt;"",VLOOKUP(X1849,game_rosters!$C$43:$E$64,3,FALSE))</f>
        <v>0</v>
      </c>
      <c r="Z1849" t="e" cm="1" vm="1">
        <f t="array" aca="1" ref="Z1849" ca="1">IFERROR(IF(_xlfn._xlws.FILTER(game_rosters!$J:$J,(game_rosters!$G:$G=events!$AN1849)*(game_rosters!$J:$J=events!$X1849))&gt;0,1,""),"")</f>
        <v>#VALUE!</v>
      </c>
      <c r="AA1849">
        <f t="shared" si="195"/>
        <v>1000</v>
      </c>
      <c r="AB1849" t="str">
        <f t="shared" si="196"/>
        <v/>
      </c>
      <c r="AC1849">
        <f t="shared" si="193"/>
        <v>1000</v>
      </c>
      <c r="AD1849" s="6"/>
    </row>
    <row r="1850" spans="1:30" x14ac:dyDescent="0.2">
      <c r="A1850" t="str">
        <f t="shared" si="194"/>
        <v/>
      </c>
      <c r="X1850" t="str" cm="1">
        <f t="array" ref="X1850">IF(S1850="","",IF($I1850&lt;&gt;"",$I1850,INDEX($I$2:$I1849,ROW()-COUNTIFS($T$2:$T1849,"="&amp;$T1850,$S$2:$S1849,"&lt;&gt;"&amp;$S1850)-1)))</f>
        <v/>
      </c>
      <c r="Y1850" t="b">
        <f>IF(X1850&lt;&gt;"",VLOOKUP(X1850,game_rosters!$C$43:$E$64,3,FALSE))</f>
        <v>0</v>
      </c>
      <c r="Z1850" t="e" cm="1" vm="1">
        <f t="array" aca="1" ref="Z1850" ca="1">IFERROR(IF(_xlfn._xlws.FILTER(game_rosters!$J:$J,(game_rosters!$G:$G=events!$AN1850)*(game_rosters!$J:$J=events!$X1850))&gt;0,1,""),"")</f>
        <v>#VALUE!</v>
      </c>
      <c r="AA1850">
        <f t="shared" si="195"/>
        <v>1000</v>
      </c>
      <c r="AB1850" t="str">
        <f t="shared" si="196"/>
        <v/>
      </c>
      <c r="AC1850">
        <f t="shared" si="193"/>
        <v>1000</v>
      </c>
      <c r="AD1850" s="6"/>
    </row>
    <row r="1851" spans="1:30" x14ac:dyDescent="0.2">
      <c r="A1851" t="str">
        <f t="shared" si="194"/>
        <v/>
      </c>
      <c r="X1851" t="str" cm="1">
        <f t="array" ref="X1851">IF(S1851="","",IF($I1851&lt;&gt;"",$I1851,INDEX($I$2:$I1850,ROW()-COUNTIFS($T$2:$T1850,"="&amp;$T1851,$S$2:$S1850,"&lt;&gt;"&amp;$S1851)-1)))</f>
        <v/>
      </c>
      <c r="Y1851" t="b">
        <f>IF(X1851&lt;&gt;"",VLOOKUP(X1851,game_rosters!$C$43:$E$64,3,FALSE))</f>
        <v>0</v>
      </c>
      <c r="Z1851" t="e" cm="1" vm="1">
        <f t="array" aca="1" ref="Z1851" ca="1">IFERROR(IF(_xlfn._xlws.FILTER(game_rosters!$J:$J,(game_rosters!$G:$G=events!$AN1851)*(game_rosters!$J:$J=events!$X1851))&gt;0,1,""),"")</f>
        <v>#VALUE!</v>
      </c>
      <c r="AA1851">
        <f t="shared" si="195"/>
        <v>1000</v>
      </c>
      <c r="AB1851" t="str">
        <f t="shared" si="196"/>
        <v/>
      </c>
      <c r="AC1851">
        <f t="shared" si="193"/>
        <v>1000</v>
      </c>
      <c r="AD1851" s="6"/>
    </row>
    <row r="1852" spans="1:30" x14ac:dyDescent="0.2">
      <c r="A1852" t="str">
        <f t="shared" si="194"/>
        <v/>
      </c>
      <c r="X1852" t="str" cm="1">
        <f t="array" ref="X1852">IF(S1852="","",IF($I1852&lt;&gt;"",$I1852,INDEX($I$2:$I1851,ROW()-COUNTIFS($T$2:$T1851,"="&amp;$T1852,$S$2:$S1851,"&lt;&gt;"&amp;$S1852)-1)))</f>
        <v/>
      </c>
      <c r="Y1852" t="b">
        <f>IF(X1852&lt;&gt;"",VLOOKUP(X1852,game_rosters!$C$43:$E$64,3,FALSE))</f>
        <v>0</v>
      </c>
      <c r="Z1852" t="e" cm="1" vm="1">
        <f t="array" aca="1" ref="Z1852" ca="1">IFERROR(IF(_xlfn._xlws.FILTER(game_rosters!$J:$J,(game_rosters!$G:$G=events!$AN1852)*(game_rosters!$J:$J=events!$X1852))&gt;0,1,""),"")</f>
        <v>#VALUE!</v>
      </c>
      <c r="AA1852">
        <f t="shared" si="195"/>
        <v>1000</v>
      </c>
      <c r="AB1852" t="str">
        <f t="shared" si="196"/>
        <v/>
      </c>
      <c r="AC1852">
        <f t="shared" si="193"/>
        <v>1000</v>
      </c>
      <c r="AD1852" s="6"/>
    </row>
    <row r="1853" spans="1:30" x14ac:dyDescent="0.2">
      <c r="A1853" t="str">
        <f t="shared" si="194"/>
        <v/>
      </c>
      <c r="X1853" t="str" cm="1">
        <f t="array" ref="X1853">IF(S1853="","",IF($I1853&lt;&gt;"",$I1853,INDEX($I$2:$I1852,ROW()-COUNTIFS($T$2:$T1852,"="&amp;$T1853,$S$2:$S1852,"&lt;&gt;"&amp;$S1853)-1)))</f>
        <v/>
      </c>
      <c r="Y1853" t="b">
        <f>IF(X1853&lt;&gt;"",VLOOKUP(X1853,game_rosters!$C$43:$E$64,3,FALSE))</f>
        <v>0</v>
      </c>
      <c r="Z1853" t="e" cm="1" vm="1">
        <f t="array" aca="1" ref="Z1853" ca="1">IFERROR(IF(_xlfn._xlws.FILTER(game_rosters!$J:$J,(game_rosters!$G:$G=events!$AN1853)*(game_rosters!$J:$J=events!$X1853))&gt;0,1,""),"")</f>
        <v>#VALUE!</v>
      </c>
      <c r="AA1853">
        <f t="shared" si="195"/>
        <v>1000</v>
      </c>
      <c r="AB1853" t="str">
        <f t="shared" si="196"/>
        <v/>
      </c>
      <c r="AC1853">
        <f t="shared" si="193"/>
        <v>1000</v>
      </c>
      <c r="AD1853" s="6"/>
    </row>
    <row r="1854" spans="1:30" x14ac:dyDescent="0.2">
      <c r="A1854" t="str">
        <f t="shared" si="194"/>
        <v/>
      </c>
      <c r="X1854" t="str" cm="1">
        <f t="array" ref="X1854">IF(S1854="","",IF($I1854&lt;&gt;"",$I1854,INDEX($I$2:$I1853,ROW()-COUNTIFS($T$2:$T1853,"="&amp;$T1854,$S$2:$S1853,"&lt;&gt;"&amp;$S1854)-1)))</f>
        <v/>
      </c>
      <c r="Y1854" t="b">
        <f>IF(X1854&lt;&gt;"",VLOOKUP(X1854,game_rosters!$C$43:$E$64,3,FALSE))</f>
        <v>0</v>
      </c>
      <c r="Z1854" t="e" cm="1" vm="1">
        <f t="array" aca="1" ref="Z1854" ca="1">IFERROR(IF(_xlfn._xlws.FILTER(game_rosters!$J:$J,(game_rosters!$G:$G=events!$AN1854)*(game_rosters!$J:$J=events!$X1854))&gt;0,1,""),"")</f>
        <v>#VALUE!</v>
      </c>
      <c r="AA1854">
        <f t="shared" si="195"/>
        <v>1000</v>
      </c>
      <c r="AB1854" t="str">
        <f t="shared" si="196"/>
        <v/>
      </c>
      <c r="AC1854">
        <f t="shared" si="193"/>
        <v>1000</v>
      </c>
      <c r="AD1854" s="6"/>
    </row>
    <row r="1855" spans="1:30" x14ac:dyDescent="0.2">
      <c r="A1855" t="str">
        <f t="shared" si="194"/>
        <v/>
      </c>
      <c r="X1855" t="str" cm="1">
        <f t="array" ref="X1855">IF(S1855="","",IF($I1855&lt;&gt;"",$I1855,INDEX($I$2:$I1854,ROW()-COUNTIFS($T$2:$T1854,"="&amp;$T1855,$S$2:$S1854,"&lt;&gt;"&amp;$S1855)-1)))</f>
        <v/>
      </c>
      <c r="Y1855" t="b">
        <f>IF(X1855&lt;&gt;"",VLOOKUP(X1855,game_rosters!$C$43:$E$64,3,FALSE))</f>
        <v>0</v>
      </c>
      <c r="Z1855" t="e" cm="1" vm="1">
        <f t="array" aca="1" ref="Z1855" ca="1">IFERROR(IF(_xlfn._xlws.FILTER(game_rosters!$J:$J,(game_rosters!$G:$G=events!$AN1855)*(game_rosters!$J:$J=events!$X1855))&gt;0,1,""),"")</f>
        <v>#VALUE!</v>
      </c>
      <c r="AA1855">
        <f t="shared" si="195"/>
        <v>1000</v>
      </c>
      <c r="AB1855" t="str">
        <f t="shared" si="196"/>
        <v/>
      </c>
      <c r="AC1855">
        <f t="shared" si="193"/>
        <v>1000</v>
      </c>
      <c r="AD1855" s="6"/>
    </row>
    <row r="1856" spans="1:30" x14ac:dyDescent="0.2">
      <c r="A1856" t="str">
        <f t="shared" si="194"/>
        <v/>
      </c>
      <c r="X1856" t="str" cm="1">
        <f t="array" ref="X1856">IF(S1856="","",IF($I1856&lt;&gt;"",$I1856,INDEX($I$2:$I1855,ROW()-COUNTIFS($T$2:$T1855,"="&amp;$T1856,$S$2:$S1855,"&lt;&gt;"&amp;$S1856)-1)))</f>
        <v/>
      </c>
      <c r="Y1856" t="b">
        <f>IF(X1856&lt;&gt;"",VLOOKUP(X1856,game_rosters!$C$43:$E$64,3,FALSE))</f>
        <v>0</v>
      </c>
      <c r="Z1856" t="e" cm="1" vm="1">
        <f t="array" aca="1" ref="Z1856" ca="1">IFERROR(IF(_xlfn._xlws.FILTER(game_rosters!$J:$J,(game_rosters!$G:$G=events!$AN1856)*(game_rosters!$J:$J=events!$X1856))&gt;0,1,""),"")</f>
        <v>#VALUE!</v>
      </c>
      <c r="AA1856">
        <f t="shared" si="195"/>
        <v>1000</v>
      </c>
      <c r="AB1856" t="str">
        <f t="shared" si="196"/>
        <v/>
      </c>
      <c r="AC1856">
        <f t="shared" si="193"/>
        <v>1000</v>
      </c>
      <c r="AD1856" s="6"/>
    </row>
    <row r="1857" spans="1:30" x14ac:dyDescent="0.2">
      <c r="A1857" t="str">
        <f t="shared" si="194"/>
        <v/>
      </c>
      <c r="X1857" t="str" cm="1">
        <f t="array" ref="X1857">IF(S1857="","",IF($I1857&lt;&gt;"",$I1857,INDEX($I$2:$I1856,ROW()-COUNTIFS($T$2:$T1856,"="&amp;$T1857,$S$2:$S1856,"&lt;&gt;"&amp;$S1857)-1)))</f>
        <v/>
      </c>
      <c r="Y1857" t="b">
        <f>IF(X1857&lt;&gt;"",VLOOKUP(X1857,game_rosters!$C$43:$E$64,3,FALSE))</f>
        <v>0</v>
      </c>
      <c r="Z1857" t="e" cm="1" vm="1">
        <f t="array" aca="1" ref="Z1857" ca="1">IFERROR(IF(_xlfn._xlws.FILTER(game_rosters!$J:$J,(game_rosters!$G:$G=events!$AN1857)*(game_rosters!$J:$J=events!$X1857))&gt;0,1,""),"")</f>
        <v>#VALUE!</v>
      </c>
      <c r="AA1857">
        <f t="shared" si="195"/>
        <v>1000</v>
      </c>
      <c r="AB1857" t="str">
        <f t="shared" si="196"/>
        <v/>
      </c>
      <c r="AC1857">
        <f t="shared" si="193"/>
        <v>1000</v>
      </c>
      <c r="AD1857" s="6"/>
    </row>
    <row r="1858" spans="1:30" x14ac:dyDescent="0.2">
      <c r="A1858" t="str">
        <f t="shared" si="194"/>
        <v/>
      </c>
      <c r="X1858" t="str" cm="1">
        <f t="array" ref="X1858">IF(S1858="","",IF($I1858&lt;&gt;"",$I1858,INDEX($I$2:$I1857,ROW()-COUNTIFS($T$2:$T1857,"="&amp;$T1858,$S$2:$S1857,"&lt;&gt;"&amp;$S1858)-1)))</f>
        <v/>
      </c>
      <c r="Y1858" t="b">
        <f>IF(X1858&lt;&gt;"",VLOOKUP(X1858,game_rosters!$C$43:$E$64,3,FALSE))</f>
        <v>0</v>
      </c>
      <c r="Z1858" t="e" cm="1" vm="1">
        <f t="array" aca="1" ref="Z1858" ca="1">IFERROR(IF(_xlfn._xlws.FILTER(game_rosters!$J:$J,(game_rosters!$G:$G=events!$AN1858)*(game_rosters!$J:$J=events!$X1858))&gt;0,1,""),"")</f>
        <v>#VALUE!</v>
      </c>
      <c r="AA1858">
        <f t="shared" si="195"/>
        <v>1000</v>
      </c>
      <c r="AB1858" t="str">
        <f t="shared" si="196"/>
        <v/>
      </c>
      <c r="AC1858">
        <f t="shared" ref="AC1858:AC1921" si="197">IF(AB1858&lt;&gt;"",AB1858,S1858+1000)</f>
        <v>1000</v>
      </c>
      <c r="AD1858" s="6"/>
    </row>
    <row r="1859" spans="1:30" x14ac:dyDescent="0.2">
      <c r="A1859" t="str">
        <f t="shared" si="194"/>
        <v/>
      </c>
      <c r="X1859" t="str" cm="1">
        <f t="array" ref="X1859">IF(S1859="","",IF($I1859&lt;&gt;"",$I1859,INDEX($I$2:$I1858,ROW()-COUNTIFS($T$2:$T1858,"="&amp;$T1859,$S$2:$S1858,"&lt;&gt;"&amp;$S1859)-1)))</f>
        <v/>
      </c>
      <c r="Y1859" t="b">
        <f>IF(X1859&lt;&gt;"",VLOOKUP(X1859,game_rosters!$C$43:$E$64,3,FALSE))</f>
        <v>0</v>
      </c>
      <c r="Z1859" t="e" cm="1" vm="1">
        <f t="array" aca="1" ref="Z1859" ca="1">IFERROR(IF(_xlfn._xlws.FILTER(game_rosters!$J:$J,(game_rosters!$G:$G=events!$AN1859)*(game_rosters!$J:$J=events!$X1859))&gt;0,1,""),"")</f>
        <v>#VALUE!</v>
      </c>
      <c r="AA1859">
        <f t="shared" si="195"/>
        <v>1000</v>
      </c>
      <c r="AB1859" t="str">
        <f t="shared" si="196"/>
        <v/>
      </c>
      <c r="AC1859">
        <f t="shared" si="197"/>
        <v>1000</v>
      </c>
      <c r="AD1859" s="6"/>
    </row>
    <row r="1860" spans="1:30" x14ac:dyDescent="0.2">
      <c r="A1860" t="str">
        <f t="shared" si="194"/>
        <v/>
      </c>
      <c r="X1860" t="str" cm="1">
        <f t="array" ref="X1860">IF(S1860="","",IF($I1860&lt;&gt;"",$I1860,INDEX($I$2:$I1859,ROW()-COUNTIFS($T$2:$T1859,"="&amp;$T1860,$S$2:$S1859,"&lt;&gt;"&amp;$S1860)-1)))</f>
        <v/>
      </c>
      <c r="Y1860" t="b">
        <f>IF(X1860&lt;&gt;"",VLOOKUP(X1860,game_rosters!$C$43:$E$64,3,FALSE))</f>
        <v>0</v>
      </c>
      <c r="Z1860" t="e" cm="1" vm="1">
        <f t="array" aca="1" ref="Z1860" ca="1">IFERROR(IF(_xlfn._xlws.FILTER(game_rosters!$J:$J,(game_rosters!$G:$G=events!$AN1860)*(game_rosters!$J:$J=events!$X1860))&gt;0,1,""),"")</f>
        <v>#VALUE!</v>
      </c>
      <c r="AA1860">
        <f t="shared" si="195"/>
        <v>1000</v>
      </c>
      <c r="AB1860" t="str">
        <f t="shared" si="196"/>
        <v/>
      </c>
      <c r="AC1860">
        <f t="shared" si="197"/>
        <v>1000</v>
      </c>
      <c r="AD1860" s="6"/>
    </row>
    <row r="1861" spans="1:30" x14ac:dyDescent="0.2">
      <c r="A1861" t="str">
        <f t="shared" ref="A1861:A1924" si="198">IF(K1861&lt;&gt;"",1,IF(D1861="x","x",""))</f>
        <v/>
      </c>
      <c r="X1861" t="str" cm="1">
        <f t="array" ref="X1861">IF(S1861="","",IF($I1861&lt;&gt;"",$I1861,INDEX($I$2:$I1860,ROW()-COUNTIFS($T$2:$T1860,"="&amp;$T1861,$S$2:$S1860,"&lt;&gt;"&amp;$S1861)-1)))</f>
        <v/>
      </c>
      <c r="Y1861" t="b">
        <f>IF(X1861&lt;&gt;"",VLOOKUP(X1861,game_rosters!$C$43:$E$64,3,FALSE))</f>
        <v>0</v>
      </c>
      <c r="Z1861" t="e" cm="1" vm="1">
        <f t="array" aca="1" ref="Z1861" ca="1">IFERROR(IF(_xlfn._xlws.FILTER(game_rosters!$J:$J,(game_rosters!$G:$G=events!$AN1861)*(game_rosters!$J:$J=events!$X1861))&gt;0,1,""),"")</f>
        <v>#VALUE!</v>
      </c>
      <c r="AA1861">
        <f t="shared" si="195"/>
        <v>1000</v>
      </c>
      <c r="AB1861" t="str">
        <f t="shared" si="196"/>
        <v/>
      </c>
      <c r="AC1861">
        <f t="shared" si="197"/>
        <v>1000</v>
      </c>
      <c r="AD1861" s="6"/>
    </row>
    <row r="1862" spans="1:30" x14ac:dyDescent="0.2">
      <c r="A1862" t="str">
        <f t="shared" si="198"/>
        <v/>
      </c>
      <c r="X1862" t="str" cm="1">
        <f t="array" ref="X1862">IF(S1862="","",IF($I1862&lt;&gt;"",$I1862,INDEX($I$2:$I1861,ROW()-COUNTIFS($T$2:$T1861,"="&amp;$T1862,$S$2:$S1861,"&lt;&gt;"&amp;$S1862)-1)))</f>
        <v/>
      </c>
      <c r="Y1862" t="b">
        <f>IF(X1862&lt;&gt;"",VLOOKUP(X1862,game_rosters!$C$43:$E$64,3,FALSE))</f>
        <v>0</v>
      </c>
      <c r="Z1862" t="e" cm="1" vm="1">
        <f t="array" aca="1" ref="Z1862" ca="1">IFERROR(IF(_xlfn._xlws.FILTER(game_rosters!$J:$J,(game_rosters!$G:$G=events!$AN1862)*(game_rosters!$J:$J=events!$X1862))&gt;0,1,""),"")</f>
        <v>#VALUE!</v>
      </c>
      <c r="AA1862">
        <f t="shared" si="195"/>
        <v>1000</v>
      </c>
      <c r="AB1862" t="str">
        <f t="shared" si="196"/>
        <v/>
      </c>
      <c r="AC1862">
        <f t="shared" si="197"/>
        <v>1000</v>
      </c>
      <c r="AD1862" s="6"/>
    </row>
    <row r="1863" spans="1:30" x14ac:dyDescent="0.2">
      <c r="A1863" t="str">
        <f t="shared" si="198"/>
        <v/>
      </c>
      <c r="X1863" t="str" cm="1">
        <f t="array" ref="X1863">IF(S1863="","",IF($I1863&lt;&gt;"",$I1863,INDEX($I$2:$I1862,ROW()-COUNTIFS($T$2:$T1862,"="&amp;$T1863,$S$2:$S1862,"&lt;&gt;"&amp;$S1863)-1)))</f>
        <v/>
      </c>
      <c r="Y1863" t="b">
        <f>IF(X1863&lt;&gt;"",VLOOKUP(X1863,game_rosters!$C$43:$E$64,3,FALSE))</f>
        <v>0</v>
      </c>
      <c r="Z1863" t="e" cm="1" vm="1">
        <f t="array" aca="1" ref="Z1863" ca="1">IFERROR(IF(_xlfn._xlws.FILTER(game_rosters!$J:$J,(game_rosters!$G:$G=events!$AN1863)*(game_rosters!$J:$J=events!$X1863))&gt;0,1,""),"")</f>
        <v>#VALUE!</v>
      </c>
      <c r="AA1863">
        <f t="shared" si="195"/>
        <v>1000</v>
      </c>
      <c r="AB1863" t="str">
        <f t="shared" si="196"/>
        <v/>
      </c>
      <c r="AC1863">
        <f t="shared" si="197"/>
        <v>1000</v>
      </c>
      <c r="AD1863" s="6"/>
    </row>
    <row r="1864" spans="1:30" x14ac:dyDescent="0.2">
      <c r="A1864" t="str">
        <f t="shared" si="198"/>
        <v/>
      </c>
      <c r="X1864" t="str" cm="1">
        <f t="array" ref="X1864">IF(S1864="","",IF($I1864&lt;&gt;"",$I1864,INDEX($I$2:$I1863,ROW()-COUNTIFS($T$2:$T1863,"="&amp;$T1864,$S$2:$S1863,"&lt;&gt;"&amp;$S1864)-1)))</f>
        <v/>
      </c>
      <c r="Y1864" t="b">
        <f>IF(X1864&lt;&gt;"",VLOOKUP(X1864,game_rosters!$C$43:$E$64,3,FALSE))</f>
        <v>0</v>
      </c>
      <c r="Z1864" t="e" cm="1" vm="1">
        <f t="array" aca="1" ref="Z1864" ca="1">IFERROR(IF(_xlfn._xlws.FILTER(game_rosters!$J:$J,(game_rosters!$G:$G=events!$AN1864)*(game_rosters!$J:$J=events!$X1864))&gt;0,1,""),"")</f>
        <v>#VALUE!</v>
      </c>
      <c r="AA1864">
        <f t="shared" si="195"/>
        <v>1000</v>
      </c>
      <c r="AB1864" t="str">
        <f t="shared" si="196"/>
        <v/>
      </c>
      <c r="AC1864">
        <f t="shared" si="197"/>
        <v>1000</v>
      </c>
      <c r="AD1864" s="6"/>
    </row>
    <row r="1865" spans="1:30" x14ac:dyDescent="0.2">
      <c r="A1865" t="str">
        <f t="shared" si="198"/>
        <v/>
      </c>
      <c r="X1865" t="str" cm="1">
        <f t="array" ref="X1865">IF(S1865="","",IF($I1865&lt;&gt;"",$I1865,INDEX($I$2:$I1864,ROW()-COUNTIFS($T$2:$T1864,"="&amp;$T1865,$S$2:$S1864,"&lt;&gt;"&amp;$S1865)-1)))</f>
        <v/>
      </c>
      <c r="Y1865" t="b">
        <f>IF(X1865&lt;&gt;"",VLOOKUP(X1865,game_rosters!$C$43:$E$64,3,FALSE))</f>
        <v>0</v>
      </c>
      <c r="Z1865" t="e" cm="1" vm="1">
        <f t="array" aca="1" ref="Z1865" ca="1">IFERROR(IF(_xlfn._xlws.FILTER(game_rosters!$J:$J,(game_rosters!$G:$G=events!$AN1865)*(game_rosters!$J:$J=events!$X1865))&gt;0,1,""),"")</f>
        <v>#VALUE!</v>
      </c>
      <c r="AA1865">
        <f t="shared" si="195"/>
        <v>1000</v>
      </c>
      <c r="AB1865" t="str">
        <f t="shared" si="196"/>
        <v/>
      </c>
      <c r="AC1865">
        <f t="shared" si="197"/>
        <v>1000</v>
      </c>
      <c r="AD1865" s="6"/>
    </row>
    <row r="1866" spans="1:30" x14ac:dyDescent="0.2">
      <c r="A1866" t="str">
        <f t="shared" si="198"/>
        <v/>
      </c>
      <c r="X1866" t="str" cm="1">
        <f t="array" ref="X1866">IF(S1866="","",IF($I1866&lt;&gt;"",$I1866,INDEX($I$2:$I1865,ROW()-COUNTIFS($T$2:$T1865,"="&amp;$T1866,$S$2:$S1865,"&lt;&gt;"&amp;$S1866)-1)))</f>
        <v/>
      </c>
      <c r="Y1866" t="b">
        <f>IF(X1866&lt;&gt;"",VLOOKUP(X1866,game_rosters!$C$43:$E$64,3,FALSE))</f>
        <v>0</v>
      </c>
      <c r="Z1866" t="e" cm="1" vm="1">
        <f t="array" aca="1" ref="Z1866" ca="1">IFERROR(IF(_xlfn._xlws.FILTER(game_rosters!$J:$J,(game_rosters!$G:$G=events!$AN1866)*(game_rosters!$J:$J=events!$X1866))&gt;0,1,""),"")</f>
        <v>#VALUE!</v>
      </c>
      <c r="AA1866">
        <f t="shared" si="195"/>
        <v>1000</v>
      </c>
      <c r="AB1866" t="str">
        <f t="shared" si="196"/>
        <v/>
      </c>
      <c r="AC1866">
        <f t="shared" si="197"/>
        <v>1000</v>
      </c>
      <c r="AD1866" s="6"/>
    </row>
    <row r="1867" spans="1:30" x14ac:dyDescent="0.2">
      <c r="A1867" t="str">
        <f t="shared" si="198"/>
        <v/>
      </c>
      <c r="X1867" t="str" cm="1">
        <f t="array" ref="X1867">IF(S1867="","",IF($I1867&lt;&gt;"",$I1867,INDEX($I$2:$I1866,ROW()-COUNTIFS($T$2:$T1866,"="&amp;$T1867,$S$2:$S1866,"&lt;&gt;"&amp;$S1867)-1)))</f>
        <v/>
      </c>
      <c r="Y1867" t="b">
        <f>IF(X1867&lt;&gt;"",VLOOKUP(X1867,game_rosters!$C$43:$E$64,3,FALSE))</f>
        <v>0</v>
      </c>
      <c r="Z1867" t="e" cm="1" vm="1">
        <f t="array" aca="1" ref="Z1867" ca="1">IFERROR(IF(_xlfn._xlws.FILTER(game_rosters!$J:$J,(game_rosters!$G:$G=events!$AN1867)*(game_rosters!$J:$J=events!$X1867))&gt;0,1,""),"")</f>
        <v>#VALUE!</v>
      </c>
      <c r="AA1867">
        <f t="shared" si="195"/>
        <v>1000</v>
      </c>
      <c r="AB1867" t="str">
        <f t="shared" si="196"/>
        <v/>
      </c>
      <c r="AC1867">
        <f t="shared" si="197"/>
        <v>1000</v>
      </c>
      <c r="AD1867" s="6"/>
    </row>
    <row r="1868" spans="1:30" x14ac:dyDescent="0.2">
      <c r="A1868" t="str">
        <f t="shared" si="198"/>
        <v/>
      </c>
      <c r="X1868" t="str" cm="1">
        <f t="array" ref="X1868">IF(S1868="","",IF($I1868&lt;&gt;"",$I1868,INDEX($I$2:$I1867,ROW()-COUNTIFS($T$2:$T1867,"="&amp;$T1868,$S$2:$S1867,"&lt;&gt;"&amp;$S1868)-1)))</f>
        <v/>
      </c>
      <c r="Y1868" t="b">
        <f>IF(X1868&lt;&gt;"",VLOOKUP(X1868,game_rosters!$C$43:$E$64,3,FALSE))</f>
        <v>0</v>
      </c>
      <c r="Z1868" t="e" cm="1" vm="1">
        <f t="array" aca="1" ref="Z1868" ca="1">IFERROR(IF(_xlfn._xlws.FILTER(game_rosters!$J:$J,(game_rosters!$G:$G=events!$AN1868)*(game_rosters!$J:$J=events!$X1868))&gt;0,1,""),"")</f>
        <v>#VALUE!</v>
      </c>
      <c r="AA1868">
        <f t="shared" si="195"/>
        <v>1000</v>
      </c>
      <c r="AB1868" t="str">
        <f t="shared" si="196"/>
        <v/>
      </c>
      <c r="AC1868">
        <f t="shared" si="197"/>
        <v>1000</v>
      </c>
      <c r="AD1868" s="6"/>
    </row>
    <row r="1869" spans="1:30" x14ac:dyDescent="0.2">
      <c r="A1869" t="str">
        <f t="shared" si="198"/>
        <v/>
      </c>
      <c r="X1869" t="str" cm="1">
        <f t="array" ref="X1869">IF(S1869="","",IF($I1869&lt;&gt;"",$I1869,INDEX($I$2:$I1868,ROW()-COUNTIFS($T$2:$T1868,"="&amp;$T1869,$S$2:$S1868,"&lt;&gt;"&amp;$S1869)-1)))</f>
        <v/>
      </c>
      <c r="Y1869" t="b">
        <f>IF(X1869&lt;&gt;"",VLOOKUP(X1869,game_rosters!$C$43:$E$64,3,FALSE))</f>
        <v>0</v>
      </c>
      <c r="Z1869" t="e" cm="1" vm="1">
        <f t="array" aca="1" ref="Z1869" ca="1">IFERROR(IF(_xlfn._xlws.FILTER(game_rosters!$J:$J,(game_rosters!$G:$G=events!$AN1869)*(game_rosters!$J:$J=events!$X1869))&gt;0,1,""),"")</f>
        <v>#VALUE!</v>
      </c>
      <c r="AA1869">
        <f t="shared" si="195"/>
        <v>1000</v>
      </c>
      <c r="AB1869" t="str">
        <f t="shared" si="196"/>
        <v/>
      </c>
      <c r="AC1869">
        <f t="shared" si="197"/>
        <v>1000</v>
      </c>
      <c r="AD1869" s="6"/>
    </row>
    <row r="1870" spans="1:30" x14ac:dyDescent="0.2">
      <c r="A1870" t="str">
        <f t="shared" si="198"/>
        <v/>
      </c>
      <c r="X1870" t="str" cm="1">
        <f t="array" ref="X1870">IF(S1870="","",IF($I1870&lt;&gt;"",$I1870,INDEX($I$2:$I1869,ROW()-COUNTIFS($T$2:$T1869,"="&amp;$T1870,$S$2:$S1869,"&lt;&gt;"&amp;$S1870)-1)))</f>
        <v/>
      </c>
      <c r="Y1870" t="b">
        <f>IF(X1870&lt;&gt;"",VLOOKUP(X1870,game_rosters!$C$43:$E$64,3,FALSE))</f>
        <v>0</v>
      </c>
      <c r="Z1870" t="e" cm="1" vm="1">
        <f t="array" aca="1" ref="Z1870" ca="1">IFERROR(IF(_xlfn._xlws.FILTER(game_rosters!$J:$J,(game_rosters!$G:$G=events!$AN1870)*(game_rosters!$J:$J=events!$X1870))&gt;0,1,""),"")</f>
        <v>#VALUE!</v>
      </c>
      <c r="AA1870">
        <f t="shared" si="195"/>
        <v>1000</v>
      </c>
      <c r="AB1870" t="str">
        <f t="shared" si="196"/>
        <v/>
      </c>
      <c r="AC1870">
        <f t="shared" si="197"/>
        <v>1000</v>
      </c>
      <c r="AD1870" s="6"/>
    </row>
    <row r="1871" spans="1:30" x14ac:dyDescent="0.2">
      <c r="A1871" t="str">
        <f t="shared" si="198"/>
        <v/>
      </c>
      <c r="X1871" t="str" cm="1">
        <f t="array" ref="X1871">IF(S1871="","",IF($I1871&lt;&gt;"",$I1871,INDEX($I$2:$I1870,ROW()-COUNTIFS($T$2:$T1870,"="&amp;$T1871,$S$2:$S1870,"&lt;&gt;"&amp;$S1871)-1)))</f>
        <v/>
      </c>
      <c r="Y1871" t="b">
        <f>IF(X1871&lt;&gt;"",VLOOKUP(X1871,game_rosters!$C$43:$E$64,3,FALSE))</f>
        <v>0</v>
      </c>
      <c r="Z1871" t="e" cm="1" vm="1">
        <f t="array" aca="1" ref="Z1871" ca="1">IFERROR(IF(_xlfn._xlws.FILTER(game_rosters!$J:$J,(game_rosters!$G:$G=events!$AN1871)*(game_rosters!$J:$J=events!$X1871))&gt;0,1,""),"")</f>
        <v>#VALUE!</v>
      </c>
      <c r="AA1871">
        <f t="shared" si="195"/>
        <v>1000</v>
      </c>
      <c r="AB1871" t="str">
        <f t="shared" si="196"/>
        <v/>
      </c>
      <c r="AC1871">
        <f t="shared" si="197"/>
        <v>1000</v>
      </c>
      <c r="AD1871" s="6"/>
    </row>
    <row r="1872" spans="1:30" x14ac:dyDescent="0.2">
      <c r="A1872" t="str">
        <f t="shared" si="198"/>
        <v/>
      </c>
      <c r="X1872" t="str" cm="1">
        <f t="array" ref="X1872">IF(S1872="","",IF($I1872&lt;&gt;"",$I1872,INDEX($I$2:$I1871,ROW()-COUNTIFS($T$2:$T1871,"="&amp;$T1872,$S$2:$S1871,"&lt;&gt;"&amp;$S1872)-1)))</f>
        <v/>
      </c>
      <c r="Y1872" t="b">
        <f>IF(X1872&lt;&gt;"",VLOOKUP(X1872,game_rosters!$C$43:$E$64,3,FALSE))</f>
        <v>0</v>
      </c>
      <c r="Z1872" t="e" cm="1" vm="1">
        <f t="array" aca="1" ref="Z1872" ca="1">IFERROR(IF(_xlfn._xlws.FILTER(game_rosters!$J:$J,(game_rosters!$G:$G=events!$AN1872)*(game_rosters!$J:$J=events!$X1872))&gt;0,1,""),"")</f>
        <v>#VALUE!</v>
      </c>
      <c r="AA1872">
        <f t="shared" si="195"/>
        <v>1000</v>
      </c>
      <c r="AB1872" t="str">
        <f t="shared" si="196"/>
        <v/>
      </c>
      <c r="AC1872">
        <f t="shared" si="197"/>
        <v>1000</v>
      </c>
      <c r="AD1872" s="6"/>
    </row>
    <row r="1873" spans="1:30" x14ac:dyDescent="0.2">
      <c r="A1873" t="str">
        <f t="shared" si="198"/>
        <v/>
      </c>
      <c r="X1873" t="str" cm="1">
        <f t="array" ref="X1873">IF(S1873="","",IF($I1873&lt;&gt;"",$I1873,INDEX($I$2:$I1872,ROW()-COUNTIFS($T$2:$T1872,"="&amp;$T1873,$S$2:$S1872,"&lt;&gt;"&amp;$S1873)-1)))</f>
        <v/>
      </c>
      <c r="Y1873" t="b">
        <f>IF(X1873&lt;&gt;"",VLOOKUP(X1873,game_rosters!$C$43:$E$64,3,FALSE))</f>
        <v>0</v>
      </c>
      <c r="Z1873" t="e" cm="1" vm="1">
        <f t="array" aca="1" ref="Z1873" ca="1">IFERROR(IF(_xlfn._xlws.FILTER(game_rosters!$J:$J,(game_rosters!$G:$G=events!$AN1873)*(game_rosters!$J:$J=events!$X1873))&gt;0,1,""),"")</f>
        <v>#VALUE!</v>
      </c>
      <c r="AA1873">
        <f t="shared" si="195"/>
        <v>1000</v>
      </c>
      <c r="AB1873" t="str">
        <f t="shared" si="196"/>
        <v/>
      </c>
      <c r="AC1873">
        <f t="shared" si="197"/>
        <v>1000</v>
      </c>
      <c r="AD1873" s="6"/>
    </row>
    <row r="1874" spans="1:30" x14ac:dyDescent="0.2">
      <c r="A1874" t="str">
        <f t="shared" si="198"/>
        <v/>
      </c>
      <c r="X1874" t="str" cm="1">
        <f t="array" ref="X1874">IF(S1874="","",IF($I1874&lt;&gt;"",$I1874,INDEX($I$2:$I1873,ROW()-COUNTIFS($T$2:$T1873,"="&amp;$T1874,$S$2:$S1873,"&lt;&gt;"&amp;$S1874)-1)))</f>
        <v/>
      </c>
      <c r="Y1874" t="b">
        <f>IF(X1874&lt;&gt;"",VLOOKUP(X1874,game_rosters!$C$43:$E$64,3,FALSE))</f>
        <v>0</v>
      </c>
      <c r="Z1874" t="e" cm="1" vm="1">
        <f t="array" aca="1" ref="Z1874" ca="1">IFERROR(IF(_xlfn._xlws.FILTER(game_rosters!$J:$J,(game_rosters!$G:$G=events!$AN1874)*(game_rosters!$J:$J=events!$X1874))&gt;0,1,""),"")</f>
        <v>#VALUE!</v>
      </c>
      <c r="AA1874">
        <f t="shared" si="195"/>
        <v>1000</v>
      </c>
      <c r="AB1874" t="str">
        <f t="shared" si="196"/>
        <v/>
      </c>
      <c r="AC1874">
        <f t="shared" si="197"/>
        <v>1000</v>
      </c>
      <c r="AD1874" s="6"/>
    </row>
    <row r="1875" spans="1:30" x14ac:dyDescent="0.2">
      <c r="A1875" t="str">
        <f t="shared" si="198"/>
        <v/>
      </c>
      <c r="X1875" t="str" cm="1">
        <f t="array" ref="X1875">IF(S1875="","",IF($I1875&lt;&gt;"",$I1875,INDEX($I$2:$I1874,ROW()-COUNTIFS($T$2:$T1874,"="&amp;$T1875,$S$2:$S1874,"&lt;&gt;"&amp;$S1875)-1)))</f>
        <v/>
      </c>
      <c r="Y1875" t="b">
        <f>IF(X1875&lt;&gt;"",VLOOKUP(X1875,game_rosters!$C$43:$E$64,3,FALSE))</f>
        <v>0</v>
      </c>
      <c r="Z1875" t="e" cm="1" vm="1">
        <f t="array" aca="1" ref="Z1875" ca="1">IFERROR(IF(_xlfn._xlws.FILTER(game_rosters!$J:$J,(game_rosters!$G:$G=events!$AN1875)*(game_rosters!$J:$J=events!$X1875))&gt;0,1,""),"")</f>
        <v>#VALUE!</v>
      </c>
      <c r="AA1875">
        <f t="shared" si="195"/>
        <v>1000</v>
      </c>
      <c r="AB1875" t="str">
        <f t="shared" si="196"/>
        <v/>
      </c>
      <c r="AC1875">
        <f t="shared" si="197"/>
        <v>1000</v>
      </c>
      <c r="AD1875" s="6"/>
    </row>
    <row r="1876" spans="1:30" x14ac:dyDescent="0.2">
      <c r="A1876" t="str">
        <f t="shared" si="198"/>
        <v/>
      </c>
      <c r="X1876" t="str" cm="1">
        <f t="array" ref="X1876">IF(S1876="","",IF($I1876&lt;&gt;"",$I1876,INDEX($I$2:$I1875,ROW()-COUNTIFS($T$2:$T1875,"="&amp;$T1876,$S$2:$S1875,"&lt;&gt;"&amp;$S1876)-1)))</f>
        <v/>
      </c>
      <c r="Y1876" t="b">
        <f>IF(X1876&lt;&gt;"",VLOOKUP(X1876,game_rosters!$C$43:$E$64,3,FALSE))</f>
        <v>0</v>
      </c>
      <c r="Z1876" t="e" cm="1" vm="1">
        <f t="array" aca="1" ref="Z1876" ca="1">IFERROR(IF(_xlfn._xlws.FILTER(game_rosters!$J:$J,(game_rosters!$G:$G=events!$AN1876)*(game_rosters!$J:$J=events!$X1876))&gt;0,1,""),"")</f>
        <v>#VALUE!</v>
      </c>
      <c r="AA1876">
        <f t="shared" si="195"/>
        <v>1000</v>
      </c>
      <c r="AB1876" t="str">
        <f t="shared" si="196"/>
        <v/>
      </c>
      <c r="AC1876">
        <f t="shared" si="197"/>
        <v>1000</v>
      </c>
      <c r="AD1876" s="6"/>
    </row>
    <row r="1877" spans="1:30" x14ac:dyDescent="0.2">
      <c r="A1877" t="str">
        <f t="shared" si="198"/>
        <v/>
      </c>
      <c r="X1877" t="str" cm="1">
        <f t="array" ref="X1877">IF(S1877="","",IF($I1877&lt;&gt;"",$I1877,INDEX($I$2:$I1876,ROW()-COUNTIFS($T$2:$T1876,"="&amp;$T1877,$S$2:$S1876,"&lt;&gt;"&amp;$S1877)-1)))</f>
        <v/>
      </c>
      <c r="Y1877" t="b">
        <f>IF(X1877&lt;&gt;"",VLOOKUP(X1877,game_rosters!$C$43:$E$64,3,FALSE))</f>
        <v>0</v>
      </c>
      <c r="Z1877" t="e" cm="1" vm="1">
        <f t="array" aca="1" ref="Z1877" ca="1">IFERROR(IF(_xlfn._xlws.FILTER(game_rosters!$J:$J,(game_rosters!$G:$G=events!$AN1877)*(game_rosters!$J:$J=events!$X1877))&gt;0,1,""),"")</f>
        <v>#VALUE!</v>
      </c>
      <c r="AA1877">
        <f t="shared" si="195"/>
        <v>1000</v>
      </c>
      <c r="AB1877" t="str">
        <f t="shared" si="196"/>
        <v/>
      </c>
      <c r="AC1877">
        <f t="shared" si="197"/>
        <v>1000</v>
      </c>
      <c r="AD1877" s="6"/>
    </row>
    <row r="1878" spans="1:30" x14ac:dyDescent="0.2">
      <c r="A1878" t="str">
        <f t="shared" si="198"/>
        <v/>
      </c>
      <c r="X1878" t="str" cm="1">
        <f t="array" ref="X1878">IF(S1878="","",IF($I1878&lt;&gt;"",$I1878,INDEX($I$2:$I1877,ROW()-COUNTIFS($T$2:$T1877,"="&amp;$T1878,$S$2:$S1877,"&lt;&gt;"&amp;$S1878)-1)))</f>
        <v/>
      </c>
      <c r="Y1878" t="b">
        <f>IF(X1878&lt;&gt;"",VLOOKUP(X1878,game_rosters!$C$43:$E$64,3,FALSE))</f>
        <v>0</v>
      </c>
      <c r="Z1878" t="e" cm="1" vm="1">
        <f t="array" aca="1" ref="Z1878" ca="1">IFERROR(IF(_xlfn._xlws.FILTER(game_rosters!$J:$J,(game_rosters!$G:$G=events!$AN1878)*(game_rosters!$J:$J=events!$X1878))&gt;0,1,""),"")</f>
        <v>#VALUE!</v>
      </c>
      <c r="AA1878">
        <f t="shared" si="195"/>
        <v>1000</v>
      </c>
      <c r="AB1878" t="str">
        <f t="shared" si="196"/>
        <v/>
      </c>
      <c r="AC1878">
        <f t="shared" si="197"/>
        <v>1000</v>
      </c>
      <c r="AD1878" s="6"/>
    </row>
    <row r="1879" spans="1:30" x14ac:dyDescent="0.2">
      <c r="A1879" t="str">
        <f t="shared" si="198"/>
        <v/>
      </c>
      <c r="X1879" t="str" cm="1">
        <f t="array" ref="X1879">IF(S1879="","",IF($I1879&lt;&gt;"",$I1879,INDEX($I$2:$I1878,ROW()-COUNTIFS($T$2:$T1878,"="&amp;$T1879,$S$2:$S1878,"&lt;&gt;"&amp;$S1879)-1)))</f>
        <v/>
      </c>
      <c r="Y1879" t="b">
        <f>IF(X1879&lt;&gt;"",VLOOKUP(X1879,game_rosters!$C$43:$E$64,3,FALSE))</f>
        <v>0</v>
      </c>
      <c r="Z1879" t="e" cm="1" vm="1">
        <f t="array" aca="1" ref="Z1879" ca="1">IFERROR(IF(_xlfn._xlws.FILTER(game_rosters!$J:$J,(game_rosters!$G:$G=events!$AN1879)*(game_rosters!$J:$J=events!$X1879))&gt;0,1,""),"")</f>
        <v>#VALUE!</v>
      </c>
      <c r="AA1879">
        <f t="shared" si="195"/>
        <v>1000</v>
      </c>
      <c r="AB1879" t="str">
        <f t="shared" si="196"/>
        <v/>
      </c>
      <c r="AC1879">
        <f t="shared" si="197"/>
        <v>1000</v>
      </c>
      <c r="AD1879" s="6"/>
    </row>
    <row r="1880" spans="1:30" x14ac:dyDescent="0.2">
      <c r="A1880" t="str">
        <f t="shared" si="198"/>
        <v/>
      </c>
      <c r="X1880" t="str" cm="1">
        <f t="array" ref="X1880">IF(S1880="","",IF($I1880&lt;&gt;"",$I1880,INDEX($I$2:$I1879,ROW()-COUNTIFS($T$2:$T1879,"="&amp;$T1880,$S$2:$S1879,"&lt;&gt;"&amp;$S1880)-1)))</f>
        <v/>
      </c>
      <c r="Y1880" t="b">
        <f>IF(X1880&lt;&gt;"",VLOOKUP(X1880,game_rosters!$C$43:$E$64,3,FALSE))</f>
        <v>0</v>
      </c>
      <c r="Z1880" t="e" cm="1" vm="1">
        <f t="array" aca="1" ref="Z1880" ca="1">IFERROR(IF(_xlfn._xlws.FILTER(game_rosters!$J:$J,(game_rosters!$G:$G=events!$AN1880)*(game_rosters!$J:$J=events!$X1880))&gt;0,1,""),"")</f>
        <v>#VALUE!</v>
      </c>
      <c r="AA1880">
        <f t="shared" si="195"/>
        <v>1000</v>
      </c>
      <c r="AB1880" t="str">
        <f t="shared" si="196"/>
        <v/>
      </c>
      <c r="AC1880">
        <f t="shared" si="197"/>
        <v>1000</v>
      </c>
      <c r="AD1880" s="6"/>
    </row>
    <row r="1881" spans="1:30" x14ac:dyDescent="0.2">
      <c r="A1881" t="str">
        <f t="shared" si="198"/>
        <v/>
      </c>
      <c r="X1881" t="str" cm="1">
        <f t="array" ref="X1881">IF(S1881="","",IF($I1881&lt;&gt;"",$I1881,INDEX($I$2:$I1880,ROW()-COUNTIFS($T$2:$T1880,"="&amp;$T1881,$S$2:$S1880,"&lt;&gt;"&amp;$S1881)-1)))</f>
        <v/>
      </c>
      <c r="Y1881" t="b">
        <f>IF(X1881&lt;&gt;"",VLOOKUP(X1881,game_rosters!$C$43:$E$64,3,FALSE))</f>
        <v>0</v>
      </c>
      <c r="Z1881" t="e" cm="1" vm="1">
        <f t="array" aca="1" ref="Z1881" ca="1">IFERROR(IF(_xlfn._xlws.FILTER(game_rosters!$J:$J,(game_rosters!$G:$G=events!$AN1881)*(game_rosters!$J:$J=events!$X1881))&gt;0,1,""),"")</f>
        <v>#VALUE!</v>
      </c>
      <c r="AA1881">
        <f t="shared" si="195"/>
        <v>1000</v>
      </c>
      <c r="AB1881" t="str">
        <f t="shared" si="196"/>
        <v/>
      </c>
      <c r="AC1881">
        <f t="shared" si="197"/>
        <v>1000</v>
      </c>
      <c r="AD1881" s="6"/>
    </row>
    <row r="1882" spans="1:30" x14ac:dyDescent="0.2">
      <c r="A1882" t="str">
        <f t="shared" si="198"/>
        <v/>
      </c>
      <c r="X1882" t="str" cm="1">
        <f t="array" ref="X1882">IF(S1882="","",IF($I1882&lt;&gt;"",$I1882,INDEX($I$2:$I1881,ROW()-COUNTIFS($T$2:$T1881,"="&amp;$T1882,$S$2:$S1881,"&lt;&gt;"&amp;$S1882)-1)))</f>
        <v/>
      </c>
      <c r="Y1882" t="b">
        <f>IF(X1882&lt;&gt;"",VLOOKUP(X1882,game_rosters!$C$43:$E$64,3,FALSE))</f>
        <v>0</v>
      </c>
      <c r="Z1882" t="e" cm="1" vm="1">
        <f t="array" aca="1" ref="Z1882" ca="1">IFERROR(IF(_xlfn._xlws.FILTER(game_rosters!$J:$J,(game_rosters!$G:$G=events!$AN1882)*(game_rosters!$J:$J=events!$X1882))&gt;0,1,""),"")</f>
        <v>#VALUE!</v>
      </c>
      <c r="AA1882">
        <f t="shared" si="195"/>
        <v>1000</v>
      </c>
      <c r="AB1882" t="str">
        <f t="shared" si="196"/>
        <v/>
      </c>
      <c r="AC1882">
        <f t="shared" si="197"/>
        <v>1000</v>
      </c>
      <c r="AD1882" s="6"/>
    </row>
    <row r="1883" spans="1:30" x14ac:dyDescent="0.2">
      <c r="A1883" t="str">
        <f t="shared" si="198"/>
        <v/>
      </c>
      <c r="X1883" t="str" cm="1">
        <f t="array" ref="X1883">IF(S1883="","",IF($I1883&lt;&gt;"",$I1883,INDEX($I$2:$I1882,ROW()-COUNTIFS($T$2:$T1882,"="&amp;$T1883,$S$2:$S1882,"&lt;&gt;"&amp;$S1883)-1)))</f>
        <v/>
      </c>
      <c r="Y1883" t="b">
        <f>IF(X1883&lt;&gt;"",VLOOKUP(X1883,game_rosters!$C$43:$E$64,3,FALSE))</f>
        <v>0</v>
      </c>
      <c r="Z1883" t="e" cm="1" vm="1">
        <f t="array" aca="1" ref="Z1883" ca="1">IFERROR(IF(_xlfn._xlws.FILTER(game_rosters!$J:$J,(game_rosters!$G:$G=events!$AN1883)*(game_rosters!$J:$J=events!$X1883))&gt;0,1,""),"")</f>
        <v>#VALUE!</v>
      </c>
      <c r="AA1883">
        <f t="shared" si="195"/>
        <v>1000</v>
      </c>
      <c r="AB1883" t="str">
        <f t="shared" si="196"/>
        <v/>
      </c>
      <c r="AC1883">
        <f t="shared" si="197"/>
        <v>1000</v>
      </c>
      <c r="AD1883" s="6"/>
    </row>
    <row r="1884" spans="1:30" x14ac:dyDescent="0.2">
      <c r="A1884" t="str">
        <f t="shared" si="198"/>
        <v/>
      </c>
      <c r="X1884" t="str" cm="1">
        <f t="array" ref="X1884">IF(S1884="","",IF($I1884&lt;&gt;"",$I1884,INDEX($I$2:$I1883,ROW()-COUNTIFS($T$2:$T1883,"="&amp;$T1884,$S$2:$S1883,"&lt;&gt;"&amp;$S1884)-1)))</f>
        <v/>
      </c>
      <c r="Y1884" t="b">
        <f>IF(X1884&lt;&gt;"",VLOOKUP(X1884,game_rosters!$C$43:$E$64,3,FALSE))</f>
        <v>0</v>
      </c>
      <c r="Z1884" t="e" cm="1" vm="1">
        <f t="array" aca="1" ref="Z1884" ca="1">IFERROR(IF(_xlfn._xlws.FILTER(game_rosters!$J:$J,(game_rosters!$G:$G=events!$AN1884)*(game_rosters!$J:$J=events!$X1884))&gt;0,1,""),"")</f>
        <v>#VALUE!</v>
      </c>
      <c r="AA1884">
        <f t="shared" si="195"/>
        <v>1000</v>
      </c>
      <c r="AB1884" t="str">
        <f t="shared" si="196"/>
        <v/>
      </c>
      <c r="AC1884">
        <f t="shared" si="197"/>
        <v>1000</v>
      </c>
      <c r="AD1884" s="6"/>
    </row>
    <row r="1885" spans="1:30" x14ac:dyDescent="0.2">
      <c r="A1885" t="str">
        <f t="shared" si="198"/>
        <v/>
      </c>
      <c r="X1885" t="str" cm="1">
        <f t="array" ref="X1885">IF(S1885="","",IF($I1885&lt;&gt;"",$I1885,INDEX($I$2:$I1884,ROW()-COUNTIFS($T$2:$T1884,"="&amp;$T1885,$S$2:$S1884,"&lt;&gt;"&amp;$S1885)-1)))</f>
        <v/>
      </c>
      <c r="Y1885" t="b">
        <f>IF(X1885&lt;&gt;"",VLOOKUP(X1885,game_rosters!$C$43:$E$64,3,FALSE))</f>
        <v>0</v>
      </c>
      <c r="Z1885" t="e" cm="1" vm="1">
        <f t="array" aca="1" ref="Z1885" ca="1">IFERROR(IF(_xlfn._xlws.FILTER(game_rosters!$J:$J,(game_rosters!$G:$G=events!$AN1885)*(game_rosters!$J:$J=events!$X1885))&gt;0,1,""),"")</f>
        <v>#VALUE!</v>
      </c>
      <c r="AA1885">
        <f t="shared" ref="AA1885:AA1948" si="199">S1885+1000</f>
        <v>1000</v>
      </c>
      <c r="AB1885" t="str">
        <f t="shared" ref="AB1885:AB1948" si="200">IF(T1885&lt;&gt;"",9000+T1885,"")</f>
        <v/>
      </c>
      <c r="AC1885">
        <f t="shared" si="197"/>
        <v>1000</v>
      </c>
      <c r="AD1885" s="6"/>
    </row>
    <row r="1886" spans="1:30" x14ac:dyDescent="0.2">
      <c r="A1886" t="str">
        <f t="shared" si="198"/>
        <v/>
      </c>
      <c r="X1886" t="str" cm="1">
        <f t="array" ref="X1886">IF(S1886="","",IF($I1886&lt;&gt;"",$I1886,INDEX($I$2:$I1885,ROW()-COUNTIFS($T$2:$T1885,"="&amp;$T1886,$S$2:$S1885,"&lt;&gt;"&amp;$S1886)-1)))</f>
        <v/>
      </c>
      <c r="Y1886" t="b">
        <f>IF(X1886&lt;&gt;"",VLOOKUP(X1886,game_rosters!$C$43:$E$64,3,FALSE))</f>
        <v>0</v>
      </c>
      <c r="Z1886" t="e" cm="1" vm="1">
        <f t="array" aca="1" ref="Z1886" ca="1">IFERROR(IF(_xlfn._xlws.FILTER(game_rosters!$J:$J,(game_rosters!$G:$G=events!$AN1886)*(game_rosters!$J:$J=events!$X1886))&gt;0,1,""),"")</f>
        <v>#VALUE!</v>
      </c>
      <c r="AA1886">
        <f t="shared" si="199"/>
        <v>1000</v>
      </c>
      <c r="AB1886" t="str">
        <f t="shared" si="200"/>
        <v/>
      </c>
      <c r="AC1886">
        <f t="shared" si="197"/>
        <v>1000</v>
      </c>
      <c r="AD1886" s="6"/>
    </row>
    <row r="1887" spans="1:30" x14ac:dyDescent="0.2">
      <c r="A1887" t="str">
        <f t="shared" si="198"/>
        <v/>
      </c>
      <c r="X1887" t="str" cm="1">
        <f t="array" ref="X1887">IF(S1887="","",IF($I1887&lt;&gt;"",$I1887,INDEX($I$2:$I1886,ROW()-COUNTIFS($T$2:$T1886,"="&amp;$T1887,$S$2:$S1886,"&lt;&gt;"&amp;$S1887)-1)))</f>
        <v/>
      </c>
      <c r="Y1887" t="b">
        <f>IF(X1887&lt;&gt;"",VLOOKUP(X1887,game_rosters!$C$43:$E$64,3,FALSE))</f>
        <v>0</v>
      </c>
      <c r="Z1887" t="e" cm="1" vm="1">
        <f t="array" aca="1" ref="Z1887" ca="1">IFERROR(IF(_xlfn._xlws.FILTER(game_rosters!$J:$J,(game_rosters!$G:$G=events!$AN1887)*(game_rosters!$J:$J=events!$X1887))&gt;0,1,""),"")</f>
        <v>#VALUE!</v>
      </c>
      <c r="AA1887">
        <f t="shared" si="199"/>
        <v>1000</v>
      </c>
      <c r="AB1887" t="str">
        <f t="shared" si="200"/>
        <v/>
      </c>
      <c r="AC1887">
        <f t="shared" si="197"/>
        <v>1000</v>
      </c>
      <c r="AD1887" s="6"/>
    </row>
    <row r="1888" spans="1:30" x14ac:dyDescent="0.2">
      <c r="A1888" t="str">
        <f t="shared" si="198"/>
        <v/>
      </c>
      <c r="X1888" t="str" cm="1">
        <f t="array" ref="X1888">IF(S1888="","",IF($I1888&lt;&gt;"",$I1888,INDEX($I$2:$I1887,ROW()-COUNTIFS($T$2:$T1887,"="&amp;$T1888,$S$2:$S1887,"&lt;&gt;"&amp;$S1888)-1)))</f>
        <v/>
      </c>
      <c r="Y1888" t="b">
        <f>IF(X1888&lt;&gt;"",VLOOKUP(X1888,game_rosters!$C$43:$E$64,3,FALSE))</f>
        <v>0</v>
      </c>
      <c r="Z1888" t="e" cm="1" vm="1">
        <f t="array" aca="1" ref="Z1888" ca="1">IFERROR(IF(_xlfn._xlws.FILTER(game_rosters!$J:$J,(game_rosters!$G:$G=events!$AN1888)*(game_rosters!$J:$J=events!$X1888))&gt;0,1,""),"")</f>
        <v>#VALUE!</v>
      </c>
      <c r="AA1888">
        <f t="shared" si="199"/>
        <v>1000</v>
      </c>
      <c r="AB1888" t="str">
        <f t="shared" si="200"/>
        <v/>
      </c>
      <c r="AC1888">
        <f t="shared" si="197"/>
        <v>1000</v>
      </c>
      <c r="AD1888" s="6"/>
    </row>
    <row r="1889" spans="1:30" x14ac:dyDescent="0.2">
      <c r="A1889" t="str">
        <f t="shared" si="198"/>
        <v/>
      </c>
      <c r="X1889" t="str" cm="1">
        <f t="array" ref="X1889">IF(S1889="","",IF($I1889&lt;&gt;"",$I1889,INDEX($I$2:$I1888,ROW()-COUNTIFS($T$2:$T1888,"="&amp;$T1889,$S$2:$S1888,"&lt;&gt;"&amp;$S1889)-1)))</f>
        <v/>
      </c>
      <c r="Y1889" t="b">
        <f>IF(X1889&lt;&gt;"",VLOOKUP(X1889,game_rosters!$C$43:$E$64,3,FALSE))</f>
        <v>0</v>
      </c>
      <c r="Z1889" t="e" cm="1" vm="1">
        <f t="array" aca="1" ref="Z1889" ca="1">IFERROR(IF(_xlfn._xlws.FILTER(game_rosters!$J:$J,(game_rosters!$G:$G=events!$AN1889)*(game_rosters!$J:$J=events!$X1889))&gt;0,1,""),"")</f>
        <v>#VALUE!</v>
      </c>
      <c r="AA1889">
        <f t="shared" si="199"/>
        <v>1000</v>
      </c>
      <c r="AB1889" t="str">
        <f t="shared" si="200"/>
        <v/>
      </c>
      <c r="AC1889">
        <f t="shared" si="197"/>
        <v>1000</v>
      </c>
      <c r="AD1889" s="6"/>
    </row>
    <row r="1890" spans="1:30" x14ac:dyDescent="0.2">
      <c r="A1890" t="str">
        <f t="shared" si="198"/>
        <v/>
      </c>
      <c r="X1890" t="str" cm="1">
        <f t="array" ref="X1890">IF(S1890="","",IF($I1890&lt;&gt;"",$I1890,INDEX($I$2:$I1889,ROW()-COUNTIFS($T$2:$T1889,"="&amp;$T1890,$S$2:$S1889,"&lt;&gt;"&amp;$S1890)-1)))</f>
        <v/>
      </c>
      <c r="Y1890" t="b">
        <f>IF(X1890&lt;&gt;"",VLOOKUP(X1890,game_rosters!$C$43:$E$64,3,FALSE))</f>
        <v>0</v>
      </c>
      <c r="Z1890" t="e" cm="1" vm="1">
        <f t="array" aca="1" ref="Z1890" ca="1">IFERROR(IF(_xlfn._xlws.FILTER(game_rosters!$J:$J,(game_rosters!$G:$G=events!$AN1890)*(game_rosters!$J:$J=events!$X1890))&gt;0,1,""),"")</f>
        <v>#VALUE!</v>
      </c>
      <c r="AA1890">
        <f t="shared" si="199"/>
        <v>1000</v>
      </c>
      <c r="AB1890" t="str">
        <f t="shared" si="200"/>
        <v/>
      </c>
      <c r="AC1890">
        <f t="shared" si="197"/>
        <v>1000</v>
      </c>
      <c r="AD1890" s="6"/>
    </row>
    <row r="1891" spans="1:30" x14ac:dyDescent="0.2">
      <c r="A1891" t="str">
        <f t="shared" si="198"/>
        <v/>
      </c>
      <c r="X1891" t="str" cm="1">
        <f t="array" ref="X1891">IF(S1891="","",IF($I1891&lt;&gt;"",$I1891,INDEX($I$2:$I1890,ROW()-COUNTIFS($T$2:$T1890,"="&amp;$T1891,$S$2:$S1890,"&lt;&gt;"&amp;$S1891)-1)))</f>
        <v/>
      </c>
      <c r="Y1891" t="b">
        <f>IF(X1891&lt;&gt;"",VLOOKUP(X1891,game_rosters!$C$43:$E$64,3,FALSE))</f>
        <v>0</v>
      </c>
      <c r="Z1891" t="e" cm="1" vm="1">
        <f t="array" aca="1" ref="Z1891" ca="1">IFERROR(IF(_xlfn._xlws.FILTER(game_rosters!$J:$J,(game_rosters!$G:$G=events!$AN1891)*(game_rosters!$J:$J=events!$X1891))&gt;0,1,""),"")</f>
        <v>#VALUE!</v>
      </c>
      <c r="AA1891">
        <f t="shared" si="199"/>
        <v>1000</v>
      </c>
      <c r="AB1891" t="str">
        <f t="shared" si="200"/>
        <v/>
      </c>
      <c r="AC1891">
        <f t="shared" si="197"/>
        <v>1000</v>
      </c>
      <c r="AD1891" s="6"/>
    </row>
    <row r="1892" spans="1:30" x14ac:dyDescent="0.2">
      <c r="A1892" t="str">
        <f t="shared" si="198"/>
        <v/>
      </c>
      <c r="X1892" t="str" cm="1">
        <f t="array" ref="X1892">IF(S1892="","",IF($I1892&lt;&gt;"",$I1892,INDEX($I$2:$I1891,ROW()-COUNTIFS($T$2:$T1891,"="&amp;$T1892,$S$2:$S1891,"&lt;&gt;"&amp;$S1892)-1)))</f>
        <v/>
      </c>
      <c r="Y1892" t="b">
        <f>IF(X1892&lt;&gt;"",VLOOKUP(X1892,game_rosters!$C$43:$E$64,3,FALSE))</f>
        <v>0</v>
      </c>
      <c r="Z1892" t="e" cm="1" vm="1">
        <f t="array" aca="1" ref="Z1892" ca="1">IFERROR(IF(_xlfn._xlws.FILTER(game_rosters!$J:$J,(game_rosters!$G:$G=events!$AN1892)*(game_rosters!$J:$J=events!$X1892))&gt;0,1,""),"")</f>
        <v>#VALUE!</v>
      </c>
      <c r="AA1892">
        <f t="shared" si="199"/>
        <v>1000</v>
      </c>
      <c r="AB1892" t="str">
        <f t="shared" si="200"/>
        <v/>
      </c>
      <c r="AC1892">
        <f t="shared" si="197"/>
        <v>1000</v>
      </c>
      <c r="AD1892" s="6"/>
    </row>
    <row r="1893" spans="1:30" x14ac:dyDescent="0.2">
      <c r="A1893" t="str">
        <f t="shared" si="198"/>
        <v/>
      </c>
      <c r="X1893" t="str" cm="1">
        <f t="array" ref="X1893">IF(S1893="","",IF($I1893&lt;&gt;"",$I1893,INDEX($I$2:$I1892,ROW()-COUNTIFS($T$2:$T1892,"="&amp;$T1893,$S$2:$S1892,"&lt;&gt;"&amp;$S1893)-1)))</f>
        <v/>
      </c>
      <c r="Y1893" t="b">
        <f>IF(X1893&lt;&gt;"",VLOOKUP(X1893,game_rosters!$C$43:$E$64,3,FALSE))</f>
        <v>0</v>
      </c>
      <c r="Z1893" t="e" cm="1" vm="1">
        <f t="array" aca="1" ref="Z1893" ca="1">IFERROR(IF(_xlfn._xlws.FILTER(game_rosters!$J:$J,(game_rosters!$G:$G=events!$AN1893)*(game_rosters!$J:$J=events!$X1893))&gt;0,1,""),"")</f>
        <v>#VALUE!</v>
      </c>
      <c r="AA1893">
        <f t="shared" si="199"/>
        <v>1000</v>
      </c>
      <c r="AB1893" t="str">
        <f t="shared" si="200"/>
        <v/>
      </c>
      <c r="AC1893">
        <f t="shared" si="197"/>
        <v>1000</v>
      </c>
      <c r="AD1893" s="6"/>
    </row>
    <row r="1894" spans="1:30" x14ac:dyDescent="0.2">
      <c r="A1894" t="str">
        <f t="shared" si="198"/>
        <v/>
      </c>
      <c r="X1894" t="str" cm="1">
        <f t="array" ref="X1894">IF(S1894="","",IF($I1894&lt;&gt;"",$I1894,INDEX($I$2:$I1893,ROW()-COUNTIFS($T$2:$T1893,"="&amp;$T1894,$S$2:$S1893,"&lt;&gt;"&amp;$S1894)-1)))</f>
        <v/>
      </c>
      <c r="Y1894" t="b">
        <f>IF(X1894&lt;&gt;"",VLOOKUP(X1894,game_rosters!$C$43:$E$64,3,FALSE))</f>
        <v>0</v>
      </c>
      <c r="Z1894" t="e" cm="1" vm="1">
        <f t="array" aca="1" ref="Z1894" ca="1">IFERROR(IF(_xlfn._xlws.FILTER(game_rosters!$J:$J,(game_rosters!$G:$G=events!$AN1894)*(game_rosters!$J:$J=events!$X1894))&gt;0,1,""),"")</f>
        <v>#VALUE!</v>
      </c>
      <c r="AA1894">
        <f t="shared" si="199"/>
        <v>1000</v>
      </c>
      <c r="AB1894" t="str">
        <f t="shared" si="200"/>
        <v/>
      </c>
      <c r="AC1894">
        <f t="shared" si="197"/>
        <v>1000</v>
      </c>
      <c r="AD1894" s="6"/>
    </row>
    <row r="1895" spans="1:30" x14ac:dyDescent="0.2">
      <c r="A1895" t="str">
        <f t="shared" si="198"/>
        <v/>
      </c>
      <c r="X1895" t="str" cm="1">
        <f t="array" ref="X1895">IF(S1895="","",IF($I1895&lt;&gt;"",$I1895,INDEX($I$2:$I1894,ROW()-COUNTIFS($T$2:$T1894,"="&amp;$T1895,$S$2:$S1894,"&lt;&gt;"&amp;$S1895)-1)))</f>
        <v/>
      </c>
      <c r="Y1895" t="b">
        <f>IF(X1895&lt;&gt;"",VLOOKUP(X1895,game_rosters!$C$43:$E$64,3,FALSE))</f>
        <v>0</v>
      </c>
      <c r="Z1895" t="e" cm="1" vm="1">
        <f t="array" aca="1" ref="Z1895" ca="1">IFERROR(IF(_xlfn._xlws.FILTER(game_rosters!$J:$J,(game_rosters!$G:$G=events!$AN1895)*(game_rosters!$J:$J=events!$X1895))&gt;0,1,""),"")</f>
        <v>#VALUE!</v>
      </c>
      <c r="AA1895">
        <f t="shared" si="199"/>
        <v>1000</v>
      </c>
      <c r="AB1895" t="str">
        <f t="shared" si="200"/>
        <v/>
      </c>
      <c r="AC1895">
        <f t="shared" si="197"/>
        <v>1000</v>
      </c>
      <c r="AD1895" s="6"/>
    </row>
    <row r="1896" spans="1:30" x14ac:dyDescent="0.2">
      <c r="A1896" t="str">
        <f t="shared" si="198"/>
        <v/>
      </c>
      <c r="X1896" t="str" cm="1">
        <f t="array" ref="X1896">IF(S1896="","",IF($I1896&lt;&gt;"",$I1896,INDEX($I$2:$I1895,ROW()-COUNTIFS($T$2:$T1895,"="&amp;$T1896,$S$2:$S1895,"&lt;&gt;"&amp;$S1896)-1)))</f>
        <v/>
      </c>
      <c r="Y1896" t="b">
        <f>IF(X1896&lt;&gt;"",VLOOKUP(X1896,game_rosters!$C$43:$E$64,3,FALSE))</f>
        <v>0</v>
      </c>
      <c r="Z1896" t="e" cm="1" vm="1">
        <f t="array" aca="1" ref="Z1896" ca="1">IFERROR(IF(_xlfn._xlws.FILTER(game_rosters!$J:$J,(game_rosters!$G:$G=events!$AN1896)*(game_rosters!$J:$J=events!$X1896))&gt;0,1,""),"")</f>
        <v>#VALUE!</v>
      </c>
      <c r="AA1896">
        <f t="shared" si="199"/>
        <v>1000</v>
      </c>
      <c r="AB1896" t="str">
        <f t="shared" si="200"/>
        <v/>
      </c>
      <c r="AC1896">
        <f t="shared" si="197"/>
        <v>1000</v>
      </c>
      <c r="AD1896" s="6"/>
    </row>
    <row r="1897" spans="1:30" x14ac:dyDescent="0.2">
      <c r="A1897" t="str">
        <f t="shared" si="198"/>
        <v/>
      </c>
      <c r="X1897" t="str" cm="1">
        <f t="array" ref="X1897">IF(S1897="","",IF($I1897&lt;&gt;"",$I1897,INDEX($I$2:$I1896,ROW()-COUNTIFS($T$2:$T1896,"="&amp;$T1897,$S$2:$S1896,"&lt;&gt;"&amp;$S1897)-1)))</f>
        <v/>
      </c>
      <c r="Y1897" t="b">
        <f>IF(X1897&lt;&gt;"",VLOOKUP(X1897,game_rosters!$C$43:$E$64,3,FALSE))</f>
        <v>0</v>
      </c>
      <c r="Z1897" t="e" cm="1" vm="1">
        <f t="array" aca="1" ref="Z1897" ca="1">IFERROR(IF(_xlfn._xlws.FILTER(game_rosters!$J:$J,(game_rosters!$G:$G=events!$AN1897)*(game_rosters!$J:$J=events!$X1897))&gt;0,1,""),"")</f>
        <v>#VALUE!</v>
      </c>
      <c r="AA1897">
        <f t="shared" si="199"/>
        <v>1000</v>
      </c>
      <c r="AB1897" t="str">
        <f t="shared" si="200"/>
        <v/>
      </c>
      <c r="AC1897">
        <f t="shared" si="197"/>
        <v>1000</v>
      </c>
      <c r="AD1897" s="6"/>
    </row>
    <row r="1898" spans="1:30" x14ac:dyDescent="0.2">
      <c r="A1898" t="str">
        <f t="shared" si="198"/>
        <v/>
      </c>
      <c r="X1898" t="str" cm="1">
        <f t="array" ref="X1898">IF(S1898="","",IF($I1898&lt;&gt;"",$I1898,INDEX($I$2:$I1897,ROW()-COUNTIFS($T$2:$T1897,"="&amp;$T1898,$S$2:$S1897,"&lt;&gt;"&amp;$S1898)-1)))</f>
        <v/>
      </c>
      <c r="Y1898" t="b">
        <f>IF(X1898&lt;&gt;"",VLOOKUP(X1898,game_rosters!$C$43:$E$64,3,FALSE))</f>
        <v>0</v>
      </c>
      <c r="Z1898" t="e" cm="1" vm="1">
        <f t="array" aca="1" ref="Z1898" ca="1">IFERROR(IF(_xlfn._xlws.FILTER(game_rosters!$J:$J,(game_rosters!$G:$G=events!$AN1898)*(game_rosters!$J:$J=events!$X1898))&gt;0,1,""),"")</f>
        <v>#VALUE!</v>
      </c>
      <c r="AA1898">
        <f t="shared" si="199"/>
        <v>1000</v>
      </c>
      <c r="AB1898" t="str">
        <f t="shared" si="200"/>
        <v/>
      </c>
      <c r="AC1898">
        <f t="shared" si="197"/>
        <v>1000</v>
      </c>
      <c r="AD1898" s="6"/>
    </row>
    <row r="1899" spans="1:30" x14ac:dyDescent="0.2">
      <c r="A1899" t="str">
        <f t="shared" si="198"/>
        <v/>
      </c>
      <c r="X1899" t="str" cm="1">
        <f t="array" ref="X1899">IF(S1899="","",IF($I1899&lt;&gt;"",$I1899,INDEX($I$2:$I1898,ROW()-COUNTIFS($T$2:$T1898,"="&amp;$T1899,$S$2:$S1898,"&lt;&gt;"&amp;$S1899)-1)))</f>
        <v/>
      </c>
      <c r="Y1899" t="b">
        <f>IF(X1899&lt;&gt;"",VLOOKUP(X1899,game_rosters!$C$43:$E$64,3,FALSE))</f>
        <v>0</v>
      </c>
      <c r="Z1899" t="e" cm="1" vm="1">
        <f t="array" aca="1" ref="Z1899" ca="1">IFERROR(IF(_xlfn._xlws.FILTER(game_rosters!$J:$J,(game_rosters!$G:$G=events!$AN1899)*(game_rosters!$J:$J=events!$X1899))&gt;0,1,""),"")</f>
        <v>#VALUE!</v>
      </c>
      <c r="AA1899">
        <f t="shared" si="199"/>
        <v>1000</v>
      </c>
      <c r="AB1899" t="str">
        <f t="shared" si="200"/>
        <v/>
      </c>
      <c r="AC1899">
        <f t="shared" si="197"/>
        <v>1000</v>
      </c>
      <c r="AD1899" s="6"/>
    </row>
    <row r="1900" spans="1:30" x14ac:dyDescent="0.2">
      <c r="A1900" t="str">
        <f t="shared" si="198"/>
        <v/>
      </c>
      <c r="X1900" t="str" cm="1">
        <f t="array" ref="X1900">IF(S1900="","",IF($I1900&lt;&gt;"",$I1900,INDEX($I$2:$I1899,ROW()-COUNTIFS($T$2:$T1899,"="&amp;$T1900,$S$2:$S1899,"&lt;&gt;"&amp;$S1900)-1)))</f>
        <v/>
      </c>
      <c r="Y1900" t="b">
        <f>IF(X1900&lt;&gt;"",VLOOKUP(X1900,game_rosters!$C$43:$E$64,3,FALSE))</f>
        <v>0</v>
      </c>
      <c r="Z1900" t="e" cm="1" vm="1">
        <f t="array" aca="1" ref="Z1900" ca="1">IFERROR(IF(_xlfn._xlws.FILTER(game_rosters!$J:$J,(game_rosters!$G:$G=events!$AN1900)*(game_rosters!$J:$J=events!$X1900))&gt;0,1,""),"")</f>
        <v>#VALUE!</v>
      </c>
      <c r="AA1900">
        <f t="shared" si="199"/>
        <v>1000</v>
      </c>
      <c r="AB1900" t="str">
        <f t="shared" si="200"/>
        <v/>
      </c>
      <c r="AC1900">
        <f t="shared" si="197"/>
        <v>1000</v>
      </c>
      <c r="AD1900" s="6"/>
    </row>
    <row r="1901" spans="1:30" x14ac:dyDescent="0.2">
      <c r="A1901" t="str">
        <f t="shared" si="198"/>
        <v/>
      </c>
      <c r="X1901" t="str" cm="1">
        <f t="array" ref="X1901">IF(S1901="","",IF($I1901&lt;&gt;"",$I1901,INDEX($I$2:$I1900,ROW()-COUNTIFS($T$2:$T1900,"="&amp;$T1901,$S$2:$S1900,"&lt;&gt;"&amp;$S1901)-1)))</f>
        <v/>
      </c>
      <c r="Y1901" t="b">
        <f>IF(X1901&lt;&gt;"",VLOOKUP(X1901,game_rosters!$C$43:$E$64,3,FALSE))</f>
        <v>0</v>
      </c>
      <c r="Z1901" t="e" cm="1" vm="1">
        <f t="array" aca="1" ref="Z1901" ca="1">IFERROR(IF(_xlfn._xlws.FILTER(game_rosters!$J:$J,(game_rosters!$G:$G=events!$AN1901)*(game_rosters!$J:$J=events!$X1901))&gt;0,1,""),"")</f>
        <v>#VALUE!</v>
      </c>
      <c r="AA1901">
        <f t="shared" si="199"/>
        <v>1000</v>
      </c>
      <c r="AB1901" t="str">
        <f t="shared" si="200"/>
        <v/>
      </c>
      <c r="AC1901">
        <f t="shared" si="197"/>
        <v>1000</v>
      </c>
      <c r="AD1901" s="6"/>
    </row>
    <row r="1902" spans="1:30" x14ac:dyDescent="0.2">
      <c r="A1902" t="str">
        <f t="shared" si="198"/>
        <v/>
      </c>
      <c r="X1902" t="str" cm="1">
        <f t="array" ref="X1902">IF(S1902="","",IF($I1902&lt;&gt;"",$I1902,INDEX($I$2:$I1901,ROW()-COUNTIFS($T$2:$T1901,"="&amp;$T1902,$S$2:$S1901,"&lt;&gt;"&amp;$S1902)-1)))</f>
        <v/>
      </c>
      <c r="Y1902" t="b">
        <f>IF(X1902&lt;&gt;"",VLOOKUP(X1902,game_rosters!$C$43:$E$64,3,FALSE))</f>
        <v>0</v>
      </c>
      <c r="Z1902" t="e" cm="1" vm="1">
        <f t="array" aca="1" ref="Z1902" ca="1">IFERROR(IF(_xlfn._xlws.FILTER(game_rosters!$J:$J,(game_rosters!$G:$G=events!$AN1902)*(game_rosters!$J:$J=events!$X1902))&gt;0,1,""),"")</f>
        <v>#VALUE!</v>
      </c>
      <c r="AA1902">
        <f t="shared" si="199"/>
        <v>1000</v>
      </c>
      <c r="AB1902" t="str">
        <f t="shared" si="200"/>
        <v/>
      </c>
      <c r="AC1902">
        <f t="shared" si="197"/>
        <v>1000</v>
      </c>
      <c r="AD1902" s="6"/>
    </row>
    <row r="1903" spans="1:30" x14ac:dyDescent="0.2">
      <c r="A1903" t="str">
        <f t="shared" si="198"/>
        <v/>
      </c>
      <c r="X1903" t="str" cm="1">
        <f t="array" ref="X1903">IF(S1903="","",IF($I1903&lt;&gt;"",$I1903,INDEX($I$2:$I1902,ROW()-COUNTIFS($T$2:$T1902,"="&amp;$T1903,$S$2:$S1902,"&lt;&gt;"&amp;$S1903)-1)))</f>
        <v/>
      </c>
      <c r="Y1903" t="b">
        <f>IF(X1903&lt;&gt;"",VLOOKUP(X1903,game_rosters!$C$43:$E$64,3,FALSE))</f>
        <v>0</v>
      </c>
      <c r="Z1903" t="e" cm="1" vm="1">
        <f t="array" aca="1" ref="Z1903" ca="1">IFERROR(IF(_xlfn._xlws.FILTER(game_rosters!$J:$J,(game_rosters!$G:$G=events!$AN1903)*(game_rosters!$J:$J=events!$X1903))&gt;0,1,""),"")</f>
        <v>#VALUE!</v>
      </c>
      <c r="AA1903">
        <f t="shared" si="199"/>
        <v>1000</v>
      </c>
      <c r="AB1903" t="str">
        <f t="shared" si="200"/>
        <v/>
      </c>
      <c r="AC1903">
        <f t="shared" si="197"/>
        <v>1000</v>
      </c>
      <c r="AD1903" s="6"/>
    </row>
    <row r="1904" spans="1:30" x14ac:dyDescent="0.2">
      <c r="A1904" t="str">
        <f t="shared" si="198"/>
        <v/>
      </c>
      <c r="X1904" t="str" cm="1">
        <f t="array" ref="X1904">IF(S1904="","",IF($I1904&lt;&gt;"",$I1904,INDEX($I$2:$I1903,ROW()-COUNTIFS($T$2:$T1903,"="&amp;$T1904,$S$2:$S1903,"&lt;&gt;"&amp;$S1904)-1)))</f>
        <v/>
      </c>
      <c r="Y1904" t="b">
        <f>IF(X1904&lt;&gt;"",VLOOKUP(X1904,game_rosters!$C$43:$E$64,3,FALSE))</f>
        <v>0</v>
      </c>
      <c r="Z1904" t="e" cm="1" vm="1">
        <f t="array" aca="1" ref="Z1904" ca="1">IFERROR(IF(_xlfn._xlws.FILTER(game_rosters!$J:$J,(game_rosters!$G:$G=events!$AN1904)*(game_rosters!$J:$J=events!$X1904))&gt;0,1,""),"")</f>
        <v>#VALUE!</v>
      </c>
      <c r="AA1904">
        <f t="shared" si="199"/>
        <v>1000</v>
      </c>
      <c r="AB1904" t="str">
        <f t="shared" si="200"/>
        <v/>
      </c>
      <c r="AC1904">
        <f t="shared" si="197"/>
        <v>1000</v>
      </c>
      <c r="AD1904" s="6"/>
    </row>
    <row r="1905" spans="1:30" x14ac:dyDescent="0.2">
      <c r="A1905" t="str">
        <f t="shared" si="198"/>
        <v/>
      </c>
      <c r="X1905" t="str" cm="1">
        <f t="array" ref="X1905">IF(S1905="","",IF($I1905&lt;&gt;"",$I1905,INDEX($I$2:$I1904,ROW()-COUNTIFS($T$2:$T1904,"="&amp;$T1905,$S$2:$S1904,"&lt;&gt;"&amp;$S1905)-1)))</f>
        <v/>
      </c>
      <c r="Y1905" t="b">
        <f>IF(X1905&lt;&gt;"",VLOOKUP(X1905,game_rosters!$C$43:$E$64,3,FALSE))</f>
        <v>0</v>
      </c>
      <c r="Z1905" t="e" cm="1" vm="1">
        <f t="array" aca="1" ref="Z1905" ca="1">IFERROR(IF(_xlfn._xlws.FILTER(game_rosters!$J:$J,(game_rosters!$G:$G=events!$AN1905)*(game_rosters!$J:$J=events!$X1905))&gt;0,1,""),"")</f>
        <v>#VALUE!</v>
      </c>
      <c r="AA1905">
        <f t="shared" si="199"/>
        <v>1000</v>
      </c>
      <c r="AB1905" t="str">
        <f t="shared" si="200"/>
        <v/>
      </c>
      <c r="AC1905">
        <f t="shared" si="197"/>
        <v>1000</v>
      </c>
      <c r="AD1905" s="6"/>
    </row>
    <row r="1906" spans="1:30" x14ac:dyDescent="0.2">
      <c r="A1906" t="str">
        <f t="shared" si="198"/>
        <v/>
      </c>
      <c r="X1906" t="str" cm="1">
        <f t="array" ref="X1906">IF(S1906="","",IF($I1906&lt;&gt;"",$I1906,INDEX($I$2:$I1905,ROW()-COUNTIFS($T$2:$T1905,"="&amp;$T1906,$S$2:$S1905,"&lt;&gt;"&amp;$S1906)-1)))</f>
        <v/>
      </c>
      <c r="Y1906" t="b">
        <f>IF(X1906&lt;&gt;"",VLOOKUP(X1906,game_rosters!$C$43:$E$64,3,FALSE))</f>
        <v>0</v>
      </c>
      <c r="Z1906" t="e" cm="1" vm="1">
        <f t="array" aca="1" ref="Z1906" ca="1">IFERROR(IF(_xlfn._xlws.FILTER(game_rosters!$J:$J,(game_rosters!$G:$G=events!$AN1906)*(game_rosters!$J:$J=events!$X1906))&gt;0,1,""),"")</f>
        <v>#VALUE!</v>
      </c>
      <c r="AA1906">
        <f t="shared" si="199"/>
        <v>1000</v>
      </c>
      <c r="AB1906" t="str">
        <f t="shared" si="200"/>
        <v/>
      </c>
      <c r="AC1906">
        <f t="shared" si="197"/>
        <v>1000</v>
      </c>
      <c r="AD1906" s="6"/>
    </row>
    <row r="1907" spans="1:30" x14ac:dyDescent="0.2">
      <c r="A1907" t="str">
        <f t="shared" si="198"/>
        <v/>
      </c>
      <c r="X1907" t="str" cm="1">
        <f t="array" ref="X1907">IF(S1907="","",IF($I1907&lt;&gt;"",$I1907,INDEX($I$2:$I1906,ROW()-COUNTIFS($T$2:$T1906,"="&amp;$T1907,$S$2:$S1906,"&lt;&gt;"&amp;$S1907)-1)))</f>
        <v/>
      </c>
      <c r="Y1907" t="b">
        <f>IF(X1907&lt;&gt;"",VLOOKUP(X1907,game_rosters!$C$43:$E$64,3,FALSE))</f>
        <v>0</v>
      </c>
      <c r="Z1907" t="e" cm="1" vm="1">
        <f t="array" aca="1" ref="Z1907" ca="1">IFERROR(IF(_xlfn._xlws.FILTER(game_rosters!$J:$J,(game_rosters!$G:$G=events!$AN1907)*(game_rosters!$J:$J=events!$X1907))&gt;0,1,""),"")</f>
        <v>#VALUE!</v>
      </c>
      <c r="AA1907">
        <f t="shared" si="199"/>
        <v>1000</v>
      </c>
      <c r="AB1907" t="str">
        <f t="shared" si="200"/>
        <v/>
      </c>
      <c r="AC1907">
        <f t="shared" si="197"/>
        <v>1000</v>
      </c>
      <c r="AD1907" s="6"/>
    </row>
    <row r="1908" spans="1:30" x14ac:dyDescent="0.2">
      <c r="A1908" t="str">
        <f t="shared" si="198"/>
        <v/>
      </c>
      <c r="X1908" t="str" cm="1">
        <f t="array" ref="X1908">IF(S1908="","",IF($I1908&lt;&gt;"",$I1908,INDEX($I$2:$I1907,ROW()-COUNTIFS($T$2:$T1907,"="&amp;$T1908,$S$2:$S1907,"&lt;&gt;"&amp;$S1908)-1)))</f>
        <v/>
      </c>
      <c r="Y1908" t="b">
        <f>IF(X1908&lt;&gt;"",VLOOKUP(X1908,game_rosters!$C$43:$E$64,3,FALSE))</f>
        <v>0</v>
      </c>
      <c r="Z1908" t="e" cm="1" vm="1">
        <f t="array" aca="1" ref="Z1908" ca="1">IFERROR(IF(_xlfn._xlws.FILTER(game_rosters!$J:$J,(game_rosters!$G:$G=events!$AN1908)*(game_rosters!$J:$J=events!$X1908))&gt;0,1,""),"")</f>
        <v>#VALUE!</v>
      </c>
      <c r="AA1908">
        <f t="shared" si="199"/>
        <v>1000</v>
      </c>
      <c r="AB1908" t="str">
        <f t="shared" si="200"/>
        <v/>
      </c>
      <c r="AC1908">
        <f t="shared" si="197"/>
        <v>1000</v>
      </c>
      <c r="AD1908" s="6"/>
    </row>
    <row r="1909" spans="1:30" x14ac:dyDescent="0.2">
      <c r="A1909" t="str">
        <f t="shared" si="198"/>
        <v/>
      </c>
      <c r="X1909" t="str" cm="1">
        <f t="array" ref="X1909">IF(S1909="","",IF($I1909&lt;&gt;"",$I1909,INDEX($I$2:$I1908,ROW()-COUNTIFS($T$2:$T1908,"="&amp;$T1909,$S$2:$S1908,"&lt;&gt;"&amp;$S1909)-1)))</f>
        <v/>
      </c>
      <c r="Y1909" t="b">
        <f>IF(X1909&lt;&gt;"",VLOOKUP(X1909,game_rosters!$C$43:$E$64,3,FALSE))</f>
        <v>0</v>
      </c>
      <c r="Z1909" t="e" cm="1" vm="1">
        <f t="array" aca="1" ref="Z1909" ca="1">IFERROR(IF(_xlfn._xlws.FILTER(game_rosters!$J:$J,(game_rosters!$G:$G=events!$AN1909)*(game_rosters!$J:$J=events!$X1909))&gt;0,1,""),"")</f>
        <v>#VALUE!</v>
      </c>
      <c r="AA1909">
        <f t="shared" si="199"/>
        <v>1000</v>
      </c>
      <c r="AB1909" t="str">
        <f t="shared" si="200"/>
        <v/>
      </c>
      <c r="AC1909">
        <f t="shared" si="197"/>
        <v>1000</v>
      </c>
      <c r="AD1909" s="6"/>
    </row>
    <row r="1910" spans="1:30" x14ac:dyDescent="0.2">
      <c r="A1910" t="str">
        <f t="shared" si="198"/>
        <v/>
      </c>
      <c r="X1910" t="str" cm="1">
        <f t="array" ref="X1910">IF(S1910="","",IF($I1910&lt;&gt;"",$I1910,INDEX($I$2:$I1909,ROW()-COUNTIFS($T$2:$T1909,"="&amp;$T1910,$S$2:$S1909,"&lt;&gt;"&amp;$S1910)-1)))</f>
        <v/>
      </c>
      <c r="Y1910" t="b">
        <f>IF(X1910&lt;&gt;"",VLOOKUP(X1910,game_rosters!$C$43:$E$64,3,FALSE))</f>
        <v>0</v>
      </c>
      <c r="Z1910" t="e" cm="1" vm="1">
        <f t="array" aca="1" ref="Z1910" ca="1">IFERROR(IF(_xlfn._xlws.FILTER(game_rosters!$J:$J,(game_rosters!$G:$G=events!$AN1910)*(game_rosters!$J:$J=events!$X1910))&gt;0,1,""),"")</f>
        <v>#VALUE!</v>
      </c>
      <c r="AA1910">
        <f t="shared" si="199"/>
        <v>1000</v>
      </c>
      <c r="AB1910" t="str">
        <f t="shared" si="200"/>
        <v/>
      </c>
      <c r="AC1910">
        <f t="shared" si="197"/>
        <v>1000</v>
      </c>
      <c r="AD1910" s="6"/>
    </row>
    <row r="1911" spans="1:30" x14ac:dyDescent="0.2">
      <c r="A1911" t="str">
        <f t="shared" si="198"/>
        <v/>
      </c>
      <c r="X1911" t="str" cm="1">
        <f t="array" ref="X1911">IF(S1911="","",IF($I1911&lt;&gt;"",$I1911,INDEX($I$2:$I1910,ROW()-COUNTIFS($T$2:$T1910,"="&amp;$T1911,$S$2:$S1910,"&lt;&gt;"&amp;$S1911)-1)))</f>
        <v/>
      </c>
      <c r="Y1911" t="b">
        <f>IF(X1911&lt;&gt;"",VLOOKUP(X1911,game_rosters!$C$43:$E$64,3,FALSE))</f>
        <v>0</v>
      </c>
      <c r="Z1911" t="e" cm="1" vm="1">
        <f t="array" aca="1" ref="Z1911" ca="1">IFERROR(IF(_xlfn._xlws.FILTER(game_rosters!$J:$J,(game_rosters!$G:$G=events!$AN1911)*(game_rosters!$J:$J=events!$X1911))&gt;0,1,""),"")</f>
        <v>#VALUE!</v>
      </c>
      <c r="AA1911">
        <f t="shared" si="199"/>
        <v>1000</v>
      </c>
      <c r="AB1911" t="str">
        <f t="shared" si="200"/>
        <v/>
      </c>
      <c r="AC1911">
        <f t="shared" si="197"/>
        <v>1000</v>
      </c>
      <c r="AD1911" s="6"/>
    </row>
    <row r="1912" spans="1:30" x14ac:dyDescent="0.2">
      <c r="A1912" t="str">
        <f t="shared" si="198"/>
        <v/>
      </c>
      <c r="X1912" t="str" cm="1">
        <f t="array" ref="X1912">IF(S1912="","",IF($I1912&lt;&gt;"",$I1912,INDEX($I$2:$I1911,ROW()-COUNTIFS($T$2:$T1911,"="&amp;$T1912,$S$2:$S1911,"&lt;&gt;"&amp;$S1912)-1)))</f>
        <v/>
      </c>
      <c r="Y1912" t="b">
        <f>IF(X1912&lt;&gt;"",VLOOKUP(X1912,game_rosters!$C$43:$E$64,3,FALSE))</f>
        <v>0</v>
      </c>
      <c r="Z1912" t="e" cm="1" vm="1">
        <f t="array" aca="1" ref="Z1912" ca="1">IFERROR(IF(_xlfn._xlws.FILTER(game_rosters!$J:$J,(game_rosters!$G:$G=events!$AN1912)*(game_rosters!$J:$J=events!$X1912))&gt;0,1,""),"")</f>
        <v>#VALUE!</v>
      </c>
      <c r="AA1912">
        <f t="shared" si="199"/>
        <v>1000</v>
      </c>
      <c r="AB1912" t="str">
        <f t="shared" si="200"/>
        <v/>
      </c>
      <c r="AC1912">
        <f t="shared" si="197"/>
        <v>1000</v>
      </c>
      <c r="AD1912" s="6"/>
    </row>
    <row r="1913" spans="1:30" x14ac:dyDescent="0.2">
      <c r="A1913" t="str">
        <f t="shared" si="198"/>
        <v/>
      </c>
      <c r="X1913" t="str" cm="1">
        <f t="array" ref="X1913">IF(S1913="","",IF($I1913&lt;&gt;"",$I1913,INDEX($I$2:$I1912,ROW()-COUNTIFS($T$2:$T1912,"="&amp;$T1913,$S$2:$S1912,"&lt;&gt;"&amp;$S1913)-1)))</f>
        <v/>
      </c>
      <c r="Y1913" t="b">
        <f>IF(X1913&lt;&gt;"",VLOOKUP(X1913,game_rosters!$C$43:$E$64,3,FALSE))</f>
        <v>0</v>
      </c>
      <c r="Z1913" t="e" cm="1" vm="1">
        <f t="array" aca="1" ref="Z1913" ca="1">IFERROR(IF(_xlfn._xlws.FILTER(game_rosters!$J:$J,(game_rosters!$G:$G=events!$AN1913)*(game_rosters!$J:$J=events!$X1913))&gt;0,1,""),"")</f>
        <v>#VALUE!</v>
      </c>
      <c r="AA1913">
        <f t="shared" si="199"/>
        <v>1000</v>
      </c>
      <c r="AB1913" t="str">
        <f t="shared" si="200"/>
        <v/>
      </c>
      <c r="AC1913">
        <f t="shared" si="197"/>
        <v>1000</v>
      </c>
      <c r="AD1913" s="6"/>
    </row>
    <row r="1914" spans="1:30" x14ac:dyDescent="0.2">
      <c r="A1914" t="str">
        <f t="shared" si="198"/>
        <v/>
      </c>
      <c r="X1914" t="str" cm="1">
        <f t="array" ref="X1914">IF(S1914="","",IF($I1914&lt;&gt;"",$I1914,INDEX($I$2:$I1913,ROW()-COUNTIFS($T$2:$T1913,"="&amp;$T1914,$S$2:$S1913,"&lt;&gt;"&amp;$S1914)-1)))</f>
        <v/>
      </c>
      <c r="Y1914" t="b">
        <f>IF(X1914&lt;&gt;"",VLOOKUP(X1914,game_rosters!$C$43:$E$64,3,FALSE))</f>
        <v>0</v>
      </c>
      <c r="Z1914" t="e" cm="1" vm="1">
        <f t="array" aca="1" ref="Z1914" ca="1">IFERROR(IF(_xlfn._xlws.FILTER(game_rosters!$J:$J,(game_rosters!$G:$G=events!$AN1914)*(game_rosters!$J:$J=events!$X1914))&gt;0,1,""),"")</f>
        <v>#VALUE!</v>
      </c>
      <c r="AA1914">
        <f t="shared" si="199"/>
        <v>1000</v>
      </c>
      <c r="AB1914" t="str">
        <f t="shared" si="200"/>
        <v/>
      </c>
      <c r="AC1914">
        <f t="shared" si="197"/>
        <v>1000</v>
      </c>
      <c r="AD1914" s="6"/>
    </row>
    <row r="1915" spans="1:30" x14ac:dyDescent="0.2">
      <c r="A1915" t="str">
        <f t="shared" si="198"/>
        <v/>
      </c>
      <c r="X1915" t="str" cm="1">
        <f t="array" ref="X1915">IF(S1915="","",IF($I1915&lt;&gt;"",$I1915,INDEX($I$2:$I1914,ROW()-COUNTIFS($T$2:$T1914,"="&amp;$T1915,$S$2:$S1914,"&lt;&gt;"&amp;$S1915)-1)))</f>
        <v/>
      </c>
      <c r="Y1915" t="b">
        <f>IF(X1915&lt;&gt;"",VLOOKUP(X1915,game_rosters!$C$43:$E$64,3,FALSE))</f>
        <v>0</v>
      </c>
      <c r="Z1915" t="e" cm="1" vm="1">
        <f t="array" aca="1" ref="Z1915" ca="1">IFERROR(IF(_xlfn._xlws.FILTER(game_rosters!$J:$J,(game_rosters!$G:$G=events!$AN1915)*(game_rosters!$J:$J=events!$X1915))&gt;0,1,""),"")</f>
        <v>#VALUE!</v>
      </c>
      <c r="AA1915">
        <f t="shared" si="199"/>
        <v>1000</v>
      </c>
      <c r="AB1915" t="str">
        <f t="shared" si="200"/>
        <v/>
      </c>
      <c r="AC1915">
        <f t="shared" si="197"/>
        <v>1000</v>
      </c>
      <c r="AD1915" s="6"/>
    </row>
    <row r="1916" spans="1:30" x14ac:dyDescent="0.2">
      <c r="A1916" t="str">
        <f t="shared" si="198"/>
        <v/>
      </c>
      <c r="X1916" t="str" cm="1">
        <f t="array" ref="X1916">IF(S1916="","",IF($I1916&lt;&gt;"",$I1916,INDEX($I$2:$I1915,ROW()-COUNTIFS($T$2:$T1915,"="&amp;$T1916,$S$2:$S1915,"&lt;&gt;"&amp;$S1916)-1)))</f>
        <v/>
      </c>
      <c r="Y1916" t="b">
        <f>IF(X1916&lt;&gt;"",VLOOKUP(X1916,game_rosters!$C$43:$E$64,3,FALSE))</f>
        <v>0</v>
      </c>
      <c r="Z1916" t="e" cm="1" vm="1">
        <f t="array" aca="1" ref="Z1916" ca="1">IFERROR(IF(_xlfn._xlws.FILTER(game_rosters!$J:$J,(game_rosters!$G:$G=events!$AN1916)*(game_rosters!$J:$J=events!$X1916))&gt;0,1,""),"")</f>
        <v>#VALUE!</v>
      </c>
      <c r="AA1916">
        <f t="shared" si="199"/>
        <v>1000</v>
      </c>
      <c r="AB1916" t="str">
        <f t="shared" si="200"/>
        <v/>
      </c>
      <c r="AC1916">
        <f t="shared" si="197"/>
        <v>1000</v>
      </c>
      <c r="AD1916" s="6"/>
    </row>
    <row r="1917" spans="1:30" x14ac:dyDescent="0.2">
      <c r="A1917" t="str">
        <f t="shared" si="198"/>
        <v/>
      </c>
      <c r="X1917" t="str" cm="1">
        <f t="array" ref="X1917">IF(S1917="","",IF($I1917&lt;&gt;"",$I1917,INDEX($I$2:$I1916,ROW()-COUNTIFS($T$2:$T1916,"="&amp;$T1917,$S$2:$S1916,"&lt;&gt;"&amp;$S1917)-1)))</f>
        <v/>
      </c>
      <c r="Y1917" t="b">
        <f>IF(X1917&lt;&gt;"",VLOOKUP(X1917,game_rosters!$C$43:$E$64,3,FALSE))</f>
        <v>0</v>
      </c>
      <c r="Z1917" t="e" cm="1" vm="1">
        <f t="array" aca="1" ref="Z1917" ca="1">IFERROR(IF(_xlfn._xlws.FILTER(game_rosters!$J:$J,(game_rosters!$G:$G=events!$AN1917)*(game_rosters!$J:$J=events!$X1917))&gt;0,1,""),"")</f>
        <v>#VALUE!</v>
      </c>
      <c r="AA1917">
        <f t="shared" si="199"/>
        <v>1000</v>
      </c>
      <c r="AB1917" t="str">
        <f t="shared" si="200"/>
        <v/>
      </c>
      <c r="AC1917">
        <f t="shared" si="197"/>
        <v>1000</v>
      </c>
      <c r="AD1917" s="6"/>
    </row>
    <row r="1918" spans="1:30" x14ac:dyDescent="0.2">
      <c r="A1918" t="str">
        <f t="shared" si="198"/>
        <v/>
      </c>
      <c r="X1918" t="str" cm="1">
        <f t="array" ref="X1918">IF(S1918="","",IF($I1918&lt;&gt;"",$I1918,INDEX($I$2:$I1917,ROW()-COUNTIFS($T$2:$T1917,"="&amp;$T1918,$S$2:$S1917,"&lt;&gt;"&amp;$S1918)-1)))</f>
        <v/>
      </c>
      <c r="Y1918" t="b">
        <f>IF(X1918&lt;&gt;"",VLOOKUP(X1918,game_rosters!$C$43:$E$64,3,FALSE))</f>
        <v>0</v>
      </c>
      <c r="Z1918" t="e" cm="1" vm="1">
        <f t="array" aca="1" ref="Z1918" ca="1">IFERROR(IF(_xlfn._xlws.FILTER(game_rosters!$J:$J,(game_rosters!$G:$G=events!$AN1918)*(game_rosters!$J:$J=events!$X1918))&gt;0,1,""),"")</f>
        <v>#VALUE!</v>
      </c>
      <c r="AA1918">
        <f t="shared" si="199"/>
        <v>1000</v>
      </c>
      <c r="AB1918" t="str">
        <f t="shared" si="200"/>
        <v/>
      </c>
      <c r="AC1918">
        <f t="shared" si="197"/>
        <v>1000</v>
      </c>
      <c r="AD1918" s="6"/>
    </row>
    <row r="1919" spans="1:30" x14ac:dyDescent="0.2">
      <c r="A1919" t="str">
        <f t="shared" si="198"/>
        <v/>
      </c>
      <c r="X1919" t="str" cm="1">
        <f t="array" ref="X1919">IF(S1919="","",IF($I1919&lt;&gt;"",$I1919,INDEX($I$2:$I1918,ROW()-COUNTIFS($T$2:$T1918,"="&amp;$T1919,$S$2:$S1918,"&lt;&gt;"&amp;$S1919)-1)))</f>
        <v/>
      </c>
      <c r="Y1919" t="b">
        <f>IF(X1919&lt;&gt;"",VLOOKUP(X1919,game_rosters!$C$43:$E$64,3,FALSE))</f>
        <v>0</v>
      </c>
      <c r="Z1919" t="e" cm="1" vm="1">
        <f t="array" aca="1" ref="Z1919" ca="1">IFERROR(IF(_xlfn._xlws.FILTER(game_rosters!$J:$J,(game_rosters!$G:$G=events!$AN1919)*(game_rosters!$J:$J=events!$X1919))&gt;0,1,""),"")</f>
        <v>#VALUE!</v>
      </c>
      <c r="AA1919">
        <f t="shared" si="199"/>
        <v>1000</v>
      </c>
      <c r="AB1919" t="str">
        <f t="shared" si="200"/>
        <v/>
      </c>
      <c r="AC1919">
        <f t="shared" si="197"/>
        <v>1000</v>
      </c>
      <c r="AD1919" s="6"/>
    </row>
    <row r="1920" spans="1:30" x14ac:dyDescent="0.2">
      <c r="A1920" t="str">
        <f t="shared" si="198"/>
        <v/>
      </c>
      <c r="X1920" t="str" cm="1">
        <f t="array" ref="X1920">IF(S1920="","",IF($I1920&lt;&gt;"",$I1920,INDEX($I$2:$I1919,ROW()-COUNTIFS($T$2:$T1919,"="&amp;$T1920,$S$2:$S1919,"&lt;&gt;"&amp;$S1920)-1)))</f>
        <v/>
      </c>
      <c r="Y1920" t="b">
        <f>IF(X1920&lt;&gt;"",VLOOKUP(X1920,game_rosters!$C$43:$E$64,3,FALSE))</f>
        <v>0</v>
      </c>
      <c r="Z1920" t="e" cm="1" vm="1">
        <f t="array" aca="1" ref="Z1920" ca="1">IFERROR(IF(_xlfn._xlws.FILTER(game_rosters!$J:$J,(game_rosters!$G:$G=events!$AN1920)*(game_rosters!$J:$J=events!$X1920))&gt;0,1,""),"")</f>
        <v>#VALUE!</v>
      </c>
      <c r="AA1920">
        <f t="shared" si="199"/>
        <v>1000</v>
      </c>
      <c r="AB1920" t="str">
        <f t="shared" si="200"/>
        <v/>
      </c>
      <c r="AC1920">
        <f t="shared" si="197"/>
        <v>1000</v>
      </c>
      <c r="AD1920" s="6"/>
    </row>
    <row r="1921" spans="1:30" x14ac:dyDescent="0.2">
      <c r="A1921" t="str">
        <f t="shared" si="198"/>
        <v/>
      </c>
      <c r="X1921" t="str" cm="1">
        <f t="array" ref="X1921">IF(S1921="","",IF($I1921&lt;&gt;"",$I1921,INDEX($I$2:$I1920,ROW()-COUNTIFS($T$2:$T1920,"="&amp;$T1921,$S$2:$S1920,"&lt;&gt;"&amp;$S1921)-1)))</f>
        <v/>
      </c>
      <c r="Y1921" t="b">
        <f>IF(X1921&lt;&gt;"",VLOOKUP(X1921,game_rosters!$C$43:$E$64,3,FALSE))</f>
        <v>0</v>
      </c>
      <c r="Z1921" t="e" cm="1" vm="1">
        <f t="array" aca="1" ref="Z1921" ca="1">IFERROR(IF(_xlfn._xlws.FILTER(game_rosters!$J:$J,(game_rosters!$G:$G=events!$AN1921)*(game_rosters!$J:$J=events!$X1921))&gt;0,1,""),"")</f>
        <v>#VALUE!</v>
      </c>
      <c r="AA1921">
        <f t="shared" si="199"/>
        <v>1000</v>
      </c>
      <c r="AB1921" t="str">
        <f t="shared" si="200"/>
        <v/>
      </c>
      <c r="AC1921">
        <f t="shared" si="197"/>
        <v>1000</v>
      </c>
      <c r="AD1921" s="6"/>
    </row>
    <row r="1922" spans="1:30" x14ac:dyDescent="0.2">
      <c r="A1922" t="str">
        <f t="shared" si="198"/>
        <v/>
      </c>
      <c r="X1922" t="str" cm="1">
        <f t="array" ref="X1922">IF(S1922="","",IF($I1922&lt;&gt;"",$I1922,INDEX($I$2:$I1921,ROW()-COUNTIFS($T$2:$T1921,"="&amp;$T1922,$S$2:$S1921,"&lt;&gt;"&amp;$S1922)-1)))</f>
        <v/>
      </c>
      <c r="Y1922" t="b">
        <f>IF(X1922&lt;&gt;"",VLOOKUP(X1922,game_rosters!$C$43:$E$64,3,FALSE))</f>
        <v>0</v>
      </c>
      <c r="Z1922" t="e" cm="1" vm="1">
        <f t="array" aca="1" ref="Z1922" ca="1">IFERROR(IF(_xlfn._xlws.FILTER(game_rosters!$J:$J,(game_rosters!$G:$G=events!$AN1922)*(game_rosters!$J:$J=events!$X1922))&gt;0,1,""),"")</f>
        <v>#VALUE!</v>
      </c>
      <c r="AA1922">
        <f t="shared" si="199"/>
        <v>1000</v>
      </c>
      <c r="AB1922" t="str">
        <f t="shared" si="200"/>
        <v/>
      </c>
      <c r="AC1922">
        <f t="shared" ref="AC1922:AC1985" si="201">IF(AB1922&lt;&gt;"",AB1922,S1922+1000)</f>
        <v>1000</v>
      </c>
      <c r="AD1922" s="6"/>
    </row>
    <row r="1923" spans="1:30" x14ac:dyDescent="0.2">
      <c r="A1923" t="str">
        <f t="shared" si="198"/>
        <v/>
      </c>
      <c r="X1923" t="str" cm="1">
        <f t="array" ref="X1923">IF(S1923="","",IF($I1923&lt;&gt;"",$I1923,INDEX($I$2:$I1922,ROW()-COUNTIFS($T$2:$T1922,"="&amp;$T1923,$S$2:$S1922,"&lt;&gt;"&amp;$S1923)-1)))</f>
        <v/>
      </c>
      <c r="Y1923" t="b">
        <f>IF(X1923&lt;&gt;"",VLOOKUP(X1923,game_rosters!$C$43:$E$64,3,FALSE))</f>
        <v>0</v>
      </c>
      <c r="Z1923" t="e" cm="1" vm="1">
        <f t="array" aca="1" ref="Z1923" ca="1">IFERROR(IF(_xlfn._xlws.FILTER(game_rosters!$J:$J,(game_rosters!$G:$G=events!$AN1923)*(game_rosters!$J:$J=events!$X1923))&gt;0,1,""),"")</f>
        <v>#VALUE!</v>
      </c>
      <c r="AA1923">
        <f t="shared" si="199"/>
        <v>1000</v>
      </c>
      <c r="AB1923" t="str">
        <f t="shared" si="200"/>
        <v/>
      </c>
      <c r="AC1923">
        <f t="shared" si="201"/>
        <v>1000</v>
      </c>
      <c r="AD1923" s="6"/>
    </row>
    <row r="1924" spans="1:30" x14ac:dyDescent="0.2">
      <c r="A1924" t="str">
        <f t="shared" si="198"/>
        <v/>
      </c>
      <c r="X1924" t="str" cm="1">
        <f t="array" ref="X1924">IF(S1924="","",IF($I1924&lt;&gt;"",$I1924,INDEX($I$2:$I1923,ROW()-COUNTIFS($T$2:$T1923,"="&amp;$T1924,$S$2:$S1923,"&lt;&gt;"&amp;$S1924)-1)))</f>
        <v/>
      </c>
      <c r="Y1924" t="b">
        <f>IF(X1924&lt;&gt;"",VLOOKUP(X1924,game_rosters!$C$43:$E$64,3,FALSE))</f>
        <v>0</v>
      </c>
      <c r="Z1924" t="e" cm="1" vm="1">
        <f t="array" aca="1" ref="Z1924" ca="1">IFERROR(IF(_xlfn._xlws.FILTER(game_rosters!$J:$J,(game_rosters!$G:$G=events!$AN1924)*(game_rosters!$J:$J=events!$X1924))&gt;0,1,""),"")</f>
        <v>#VALUE!</v>
      </c>
      <c r="AA1924">
        <f t="shared" si="199"/>
        <v>1000</v>
      </c>
      <c r="AB1924" t="str">
        <f t="shared" si="200"/>
        <v/>
      </c>
      <c r="AC1924">
        <f t="shared" si="201"/>
        <v>1000</v>
      </c>
      <c r="AD1924" s="6"/>
    </row>
    <row r="1925" spans="1:30" x14ac:dyDescent="0.2">
      <c r="A1925" t="str">
        <f t="shared" ref="A1925:A1988" si="202">IF(K1925&lt;&gt;"",1,IF(D1925="x","x",""))</f>
        <v/>
      </c>
      <c r="X1925" t="str" cm="1">
        <f t="array" ref="X1925">IF(S1925="","",IF($I1925&lt;&gt;"",$I1925,INDEX($I$2:$I1924,ROW()-COUNTIFS($T$2:$T1924,"="&amp;$T1925,$S$2:$S1924,"&lt;&gt;"&amp;$S1925)-1)))</f>
        <v/>
      </c>
      <c r="Y1925" t="b">
        <f>IF(X1925&lt;&gt;"",VLOOKUP(X1925,game_rosters!$C$43:$E$64,3,FALSE))</f>
        <v>0</v>
      </c>
      <c r="Z1925" t="e" cm="1" vm="1">
        <f t="array" aca="1" ref="Z1925" ca="1">IFERROR(IF(_xlfn._xlws.FILTER(game_rosters!$J:$J,(game_rosters!$G:$G=events!$AN1925)*(game_rosters!$J:$J=events!$X1925))&gt;0,1,""),"")</f>
        <v>#VALUE!</v>
      </c>
      <c r="AA1925">
        <f t="shared" si="199"/>
        <v>1000</v>
      </c>
      <c r="AB1925" t="str">
        <f t="shared" si="200"/>
        <v/>
      </c>
      <c r="AC1925">
        <f t="shared" si="201"/>
        <v>1000</v>
      </c>
      <c r="AD1925" s="6"/>
    </row>
    <row r="1926" spans="1:30" x14ac:dyDescent="0.2">
      <c r="A1926" t="str">
        <f t="shared" si="202"/>
        <v/>
      </c>
      <c r="X1926" t="str" cm="1">
        <f t="array" ref="X1926">IF(S1926="","",IF($I1926&lt;&gt;"",$I1926,INDEX($I$2:$I1925,ROW()-COUNTIFS($T$2:$T1925,"="&amp;$T1926,$S$2:$S1925,"&lt;&gt;"&amp;$S1926)-1)))</f>
        <v/>
      </c>
      <c r="Y1926" t="b">
        <f>IF(X1926&lt;&gt;"",VLOOKUP(X1926,game_rosters!$C$43:$E$64,3,FALSE))</f>
        <v>0</v>
      </c>
      <c r="Z1926" t="e" cm="1" vm="1">
        <f t="array" aca="1" ref="Z1926" ca="1">IFERROR(IF(_xlfn._xlws.FILTER(game_rosters!$J:$J,(game_rosters!$G:$G=events!$AN1926)*(game_rosters!$J:$J=events!$X1926))&gt;0,1,""),"")</f>
        <v>#VALUE!</v>
      </c>
      <c r="AA1926">
        <f t="shared" si="199"/>
        <v>1000</v>
      </c>
      <c r="AB1926" t="str">
        <f t="shared" si="200"/>
        <v/>
      </c>
      <c r="AC1926">
        <f t="shared" si="201"/>
        <v>1000</v>
      </c>
      <c r="AD1926" s="6"/>
    </row>
    <row r="1927" spans="1:30" x14ac:dyDescent="0.2">
      <c r="A1927" t="str">
        <f t="shared" si="202"/>
        <v/>
      </c>
      <c r="X1927" t="str" cm="1">
        <f t="array" ref="X1927">IF(S1927="","",IF($I1927&lt;&gt;"",$I1927,INDEX($I$2:$I1926,ROW()-COUNTIFS($T$2:$T1926,"="&amp;$T1927,$S$2:$S1926,"&lt;&gt;"&amp;$S1927)-1)))</f>
        <v/>
      </c>
      <c r="Y1927" t="b">
        <f>IF(X1927&lt;&gt;"",VLOOKUP(X1927,game_rosters!$C$43:$E$64,3,FALSE))</f>
        <v>0</v>
      </c>
      <c r="Z1927" t="e" cm="1" vm="1">
        <f t="array" aca="1" ref="Z1927" ca="1">IFERROR(IF(_xlfn._xlws.FILTER(game_rosters!$J:$J,(game_rosters!$G:$G=events!$AN1927)*(game_rosters!$J:$J=events!$X1927))&gt;0,1,""),"")</f>
        <v>#VALUE!</v>
      </c>
      <c r="AA1927">
        <f t="shared" si="199"/>
        <v>1000</v>
      </c>
      <c r="AB1927" t="str">
        <f t="shared" si="200"/>
        <v/>
      </c>
      <c r="AC1927">
        <f t="shared" si="201"/>
        <v>1000</v>
      </c>
      <c r="AD1927" s="6"/>
    </row>
    <row r="1928" spans="1:30" x14ac:dyDescent="0.2">
      <c r="A1928" t="str">
        <f t="shared" si="202"/>
        <v/>
      </c>
      <c r="X1928" t="str" cm="1">
        <f t="array" ref="X1928">IF(S1928="","",IF($I1928&lt;&gt;"",$I1928,INDEX($I$2:$I1927,ROW()-COUNTIFS($T$2:$T1927,"="&amp;$T1928,$S$2:$S1927,"&lt;&gt;"&amp;$S1928)-1)))</f>
        <v/>
      </c>
      <c r="Y1928" t="b">
        <f>IF(X1928&lt;&gt;"",VLOOKUP(X1928,game_rosters!$C$43:$E$64,3,FALSE))</f>
        <v>0</v>
      </c>
      <c r="Z1928" t="e" cm="1" vm="1">
        <f t="array" aca="1" ref="Z1928" ca="1">IFERROR(IF(_xlfn._xlws.FILTER(game_rosters!$J:$J,(game_rosters!$G:$G=events!$AN1928)*(game_rosters!$J:$J=events!$X1928))&gt;0,1,""),"")</f>
        <v>#VALUE!</v>
      </c>
      <c r="AA1928">
        <f t="shared" si="199"/>
        <v>1000</v>
      </c>
      <c r="AB1928" t="str">
        <f t="shared" si="200"/>
        <v/>
      </c>
      <c r="AC1928">
        <f t="shared" si="201"/>
        <v>1000</v>
      </c>
      <c r="AD1928" s="6"/>
    </row>
    <row r="1929" spans="1:30" x14ac:dyDescent="0.2">
      <c r="A1929" t="str">
        <f t="shared" si="202"/>
        <v/>
      </c>
      <c r="X1929" t="str" cm="1">
        <f t="array" ref="X1929">IF(S1929="","",IF($I1929&lt;&gt;"",$I1929,INDEX($I$2:$I1928,ROW()-COUNTIFS($T$2:$T1928,"="&amp;$T1929,$S$2:$S1928,"&lt;&gt;"&amp;$S1929)-1)))</f>
        <v/>
      </c>
      <c r="Y1929" t="b">
        <f>IF(X1929&lt;&gt;"",VLOOKUP(X1929,game_rosters!$C$43:$E$64,3,FALSE))</f>
        <v>0</v>
      </c>
      <c r="Z1929" t="e" cm="1" vm="1">
        <f t="array" aca="1" ref="Z1929" ca="1">IFERROR(IF(_xlfn._xlws.FILTER(game_rosters!$J:$J,(game_rosters!$G:$G=events!$AN1929)*(game_rosters!$J:$J=events!$X1929))&gt;0,1,""),"")</f>
        <v>#VALUE!</v>
      </c>
      <c r="AA1929">
        <f t="shared" si="199"/>
        <v>1000</v>
      </c>
      <c r="AB1929" t="str">
        <f t="shared" si="200"/>
        <v/>
      </c>
      <c r="AC1929">
        <f t="shared" si="201"/>
        <v>1000</v>
      </c>
      <c r="AD1929" s="6"/>
    </row>
    <row r="1930" spans="1:30" x14ac:dyDescent="0.2">
      <c r="A1930" t="str">
        <f t="shared" si="202"/>
        <v/>
      </c>
      <c r="X1930" t="str" cm="1">
        <f t="array" ref="X1930">IF(S1930="","",IF($I1930&lt;&gt;"",$I1930,INDEX($I$2:$I1929,ROW()-COUNTIFS($T$2:$T1929,"="&amp;$T1930,$S$2:$S1929,"&lt;&gt;"&amp;$S1930)-1)))</f>
        <v/>
      </c>
      <c r="Y1930" t="b">
        <f>IF(X1930&lt;&gt;"",VLOOKUP(X1930,game_rosters!$C$43:$E$64,3,FALSE))</f>
        <v>0</v>
      </c>
      <c r="Z1930" t="e" cm="1" vm="1">
        <f t="array" aca="1" ref="Z1930" ca="1">IFERROR(IF(_xlfn._xlws.FILTER(game_rosters!$J:$J,(game_rosters!$G:$G=events!$AN1930)*(game_rosters!$J:$J=events!$X1930))&gt;0,1,""),"")</f>
        <v>#VALUE!</v>
      </c>
      <c r="AA1930">
        <f t="shared" si="199"/>
        <v>1000</v>
      </c>
      <c r="AB1930" t="str">
        <f t="shared" si="200"/>
        <v/>
      </c>
      <c r="AC1930">
        <f t="shared" si="201"/>
        <v>1000</v>
      </c>
      <c r="AD1930" s="6"/>
    </row>
    <row r="1931" spans="1:30" x14ac:dyDescent="0.2">
      <c r="A1931" t="str">
        <f t="shared" si="202"/>
        <v/>
      </c>
      <c r="X1931" t="str" cm="1">
        <f t="array" ref="X1931">IF(S1931="","",IF($I1931&lt;&gt;"",$I1931,INDEX($I$2:$I1930,ROW()-COUNTIFS($T$2:$T1930,"="&amp;$T1931,$S$2:$S1930,"&lt;&gt;"&amp;$S1931)-1)))</f>
        <v/>
      </c>
      <c r="Y1931" t="b">
        <f>IF(X1931&lt;&gt;"",VLOOKUP(X1931,game_rosters!$C$43:$E$64,3,FALSE))</f>
        <v>0</v>
      </c>
      <c r="Z1931" t="e" cm="1" vm="1">
        <f t="array" aca="1" ref="Z1931" ca="1">IFERROR(IF(_xlfn._xlws.FILTER(game_rosters!$J:$J,(game_rosters!$G:$G=events!$AN1931)*(game_rosters!$J:$J=events!$X1931))&gt;0,1,""),"")</f>
        <v>#VALUE!</v>
      </c>
      <c r="AA1931">
        <f t="shared" si="199"/>
        <v>1000</v>
      </c>
      <c r="AB1931" t="str">
        <f t="shared" si="200"/>
        <v/>
      </c>
      <c r="AC1931">
        <f t="shared" si="201"/>
        <v>1000</v>
      </c>
      <c r="AD1931" s="6"/>
    </row>
    <row r="1932" spans="1:30" x14ac:dyDescent="0.2">
      <c r="A1932" t="str">
        <f t="shared" si="202"/>
        <v/>
      </c>
      <c r="X1932" t="str" cm="1">
        <f t="array" ref="X1932">IF(S1932="","",IF($I1932&lt;&gt;"",$I1932,INDEX($I$2:$I1931,ROW()-COUNTIFS($T$2:$T1931,"="&amp;$T1932,$S$2:$S1931,"&lt;&gt;"&amp;$S1932)-1)))</f>
        <v/>
      </c>
      <c r="Y1932" t="b">
        <f>IF(X1932&lt;&gt;"",VLOOKUP(X1932,game_rosters!$C$43:$E$64,3,FALSE))</f>
        <v>0</v>
      </c>
      <c r="Z1932" t="e" cm="1" vm="1">
        <f t="array" aca="1" ref="Z1932" ca="1">IFERROR(IF(_xlfn._xlws.FILTER(game_rosters!$J:$J,(game_rosters!$G:$G=events!$AN1932)*(game_rosters!$J:$J=events!$X1932))&gt;0,1,""),"")</f>
        <v>#VALUE!</v>
      </c>
      <c r="AA1932">
        <f t="shared" si="199"/>
        <v>1000</v>
      </c>
      <c r="AB1932" t="str">
        <f t="shared" si="200"/>
        <v/>
      </c>
      <c r="AC1932">
        <f t="shared" si="201"/>
        <v>1000</v>
      </c>
      <c r="AD1932" s="6"/>
    </row>
    <row r="1933" spans="1:30" x14ac:dyDescent="0.2">
      <c r="A1933" t="str">
        <f t="shared" si="202"/>
        <v/>
      </c>
      <c r="X1933" t="str" cm="1">
        <f t="array" ref="X1933">IF(S1933="","",IF($I1933&lt;&gt;"",$I1933,INDEX($I$2:$I1932,ROW()-COUNTIFS($T$2:$T1932,"="&amp;$T1933,$S$2:$S1932,"&lt;&gt;"&amp;$S1933)-1)))</f>
        <v/>
      </c>
      <c r="Y1933" t="b">
        <f>IF(X1933&lt;&gt;"",VLOOKUP(X1933,game_rosters!$C$43:$E$64,3,FALSE))</f>
        <v>0</v>
      </c>
      <c r="Z1933" t="e" cm="1" vm="1">
        <f t="array" aca="1" ref="Z1933" ca="1">IFERROR(IF(_xlfn._xlws.FILTER(game_rosters!$J:$J,(game_rosters!$G:$G=events!$AN1933)*(game_rosters!$J:$J=events!$X1933))&gt;0,1,""),"")</f>
        <v>#VALUE!</v>
      </c>
      <c r="AA1933">
        <f t="shared" si="199"/>
        <v>1000</v>
      </c>
      <c r="AB1933" t="str">
        <f t="shared" si="200"/>
        <v/>
      </c>
      <c r="AC1933">
        <f t="shared" si="201"/>
        <v>1000</v>
      </c>
      <c r="AD1933" s="6"/>
    </row>
    <row r="1934" spans="1:30" x14ac:dyDescent="0.2">
      <c r="A1934" t="str">
        <f t="shared" si="202"/>
        <v/>
      </c>
      <c r="X1934" t="str" cm="1">
        <f t="array" ref="X1934">IF(S1934="","",IF($I1934&lt;&gt;"",$I1934,INDEX($I$2:$I1933,ROW()-COUNTIFS($T$2:$T1933,"="&amp;$T1934,$S$2:$S1933,"&lt;&gt;"&amp;$S1934)-1)))</f>
        <v/>
      </c>
      <c r="Y1934" t="b">
        <f>IF(X1934&lt;&gt;"",VLOOKUP(X1934,game_rosters!$C$43:$E$64,3,FALSE))</f>
        <v>0</v>
      </c>
      <c r="Z1934" t="e" cm="1" vm="1">
        <f t="array" aca="1" ref="Z1934" ca="1">IFERROR(IF(_xlfn._xlws.FILTER(game_rosters!$J:$J,(game_rosters!$G:$G=events!$AN1934)*(game_rosters!$J:$J=events!$X1934))&gt;0,1,""),"")</f>
        <v>#VALUE!</v>
      </c>
      <c r="AA1934">
        <f t="shared" si="199"/>
        <v>1000</v>
      </c>
      <c r="AB1934" t="str">
        <f t="shared" si="200"/>
        <v/>
      </c>
      <c r="AC1934">
        <f t="shared" si="201"/>
        <v>1000</v>
      </c>
      <c r="AD1934" s="6"/>
    </row>
    <row r="1935" spans="1:30" x14ac:dyDescent="0.2">
      <c r="A1935" t="str">
        <f t="shared" si="202"/>
        <v/>
      </c>
      <c r="X1935" t="str" cm="1">
        <f t="array" ref="X1935">IF(S1935="","",IF($I1935&lt;&gt;"",$I1935,INDEX($I$2:$I1934,ROW()-COUNTIFS($T$2:$T1934,"="&amp;$T1935,$S$2:$S1934,"&lt;&gt;"&amp;$S1935)-1)))</f>
        <v/>
      </c>
      <c r="Y1935" t="b">
        <f>IF(X1935&lt;&gt;"",VLOOKUP(X1935,game_rosters!$C$43:$E$64,3,FALSE))</f>
        <v>0</v>
      </c>
      <c r="Z1935" t="e" cm="1" vm="1">
        <f t="array" aca="1" ref="Z1935" ca="1">IFERROR(IF(_xlfn._xlws.FILTER(game_rosters!$J:$J,(game_rosters!$G:$G=events!$AN1935)*(game_rosters!$J:$J=events!$X1935))&gt;0,1,""),"")</f>
        <v>#VALUE!</v>
      </c>
      <c r="AA1935">
        <f t="shared" si="199"/>
        <v>1000</v>
      </c>
      <c r="AB1935" t="str">
        <f t="shared" si="200"/>
        <v/>
      </c>
      <c r="AC1935">
        <f t="shared" si="201"/>
        <v>1000</v>
      </c>
      <c r="AD1935" s="6"/>
    </row>
    <row r="1936" spans="1:30" x14ac:dyDescent="0.2">
      <c r="A1936" t="str">
        <f t="shared" si="202"/>
        <v/>
      </c>
      <c r="X1936" t="str" cm="1">
        <f t="array" ref="X1936">IF(S1936="","",IF($I1936&lt;&gt;"",$I1936,INDEX($I$2:$I1935,ROW()-COUNTIFS($T$2:$T1935,"="&amp;$T1936,$S$2:$S1935,"&lt;&gt;"&amp;$S1936)-1)))</f>
        <v/>
      </c>
      <c r="Y1936" t="b">
        <f>IF(X1936&lt;&gt;"",VLOOKUP(X1936,game_rosters!$C$43:$E$64,3,FALSE))</f>
        <v>0</v>
      </c>
      <c r="Z1936" t="e" cm="1" vm="1">
        <f t="array" aca="1" ref="Z1936" ca="1">IFERROR(IF(_xlfn._xlws.FILTER(game_rosters!$J:$J,(game_rosters!$G:$G=events!$AN1936)*(game_rosters!$J:$J=events!$X1936))&gt;0,1,""),"")</f>
        <v>#VALUE!</v>
      </c>
      <c r="AA1936">
        <f t="shared" si="199"/>
        <v>1000</v>
      </c>
      <c r="AB1936" t="str">
        <f t="shared" si="200"/>
        <v/>
      </c>
      <c r="AC1936">
        <f t="shared" si="201"/>
        <v>1000</v>
      </c>
      <c r="AD1936" s="6"/>
    </row>
    <row r="1937" spans="1:30" x14ac:dyDescent="0.2">
      <c r="A1937" t="str">
        <f t="shared" si="202"/>
        <v/>
      </c>
      <c r="X1937" t="str" cm="1">
        <f t="array" ref="X1937">IF(S1937="","",IF($I1937&lt;&gt;"",$I1937,INDEX($I$2:$I1936,ROW()-COUNTIFS($T$2:$T1936,"="&amp;$T1937,$S$2:$S1936,"&lt;&gt;"&amp;$S1937)-1)))</f>
        <v/>
      </c>
      <c r="Y1937" t="b">
        <f>IF(X1937&lt;&gt;"",VLOOKUP(X1937,game_rosters!$C$43:$E$64,3,FALSE))</f>
        <v>0</v>
      </c>
      <c r="Z1937" t="e" cm="1" vm="1">
        <f t="array" aca="1" ref="Z1937" ca="1">IFERROR(IF(_xlfn._xlws.FILTER(game_rosters!$J:$J,(game_rosters!$G:$G=events!$AN1937)*(game_rosters!$J:$J=events!$X1937))&gt;0,1,""),"")</f>
        <v>#VALUE!</v>
      </c>
      <c r="AA1937">
        <f t="shared" si="199"/>
        <v>1000</v>
      </c>
      <c r="AB1937" t="str">
        <f t="shared" si="200"/>
        <v/>
      </c>
      <c r="AC1937">
        <f t="shared" si="201"/>
        <v>1000</v>
      </c>
      <c r="AD1937" s="6"/>
    </row>
    <row r="1938" spans="1:30" x14ac:dyDescent="0.2">
      <c r="A1938" t="str">
        <f t="shared" si="202"/>
        <v/>
      </c>
      <c r="X1938" t="str" cm="1">
        <f t="array" ref="X1938">IF(S1938="","",IF($I1938&lt;&gt;"",$I1938,INDEX($I$2:$I1937,ROW()-COUNTIFS($T$2:$T1937,"="&amp;$T1938,$S$2:$S1937,"&lt;&gt;"&amp;$S1938)-1)))</f>
        <v/>
      </c>
      <c r="Y1938" t="b">
        <f>IF(X1938&lt;&gt;"",VLOOKUP(X1938,game_rosters!$C$43:$E$64,3,FALSE))</f>
        <v>0</v>
      </c>
      <c r="Z1938" t="e" cm="1" vm="1">
        <f t="array" aca="1" ref="Z1938" ca="1">IFERROR(IF(_xlfn._xlws.FILTER(game_rosters!$J:$J,(game_rosters!$G:$G=events!$AN1938)*(game_rosters!$J:$J=events!$X1938))&gt;0,1,""),"")</f>
        <v>#VALUE!</v>
      </c>
      <c r="AA1938">
        <f t="shared" si="199"/>
        <v>1000</v>
      </c>
      <c r="AB1938" t="str">
        <f t="shared" si="200"/>
        <v/>
      </c>
      <c r="AC1938">
        <f t="shared" si="201"/>
        <v>1000</v>
      </c>
      <c r="AD1938" s="6"/>
    </row>
    <row r="1939" spans="1:30" x14ac:dyDescent="0.2">
      <c r="A1939" t="str">
        <f t="shared" si="202"/>
        <v/>
      </c>
      <c r="X1939" t="str" cm="1">
        <f t="array" ref="X1939">IF(S1939="","",IF($I1939&lt;&gt;"",$I1939,INDEX($I$2:$I1938,ROW()-COUNTIFS($T$2:$T1938,"="&amp;$T1939,$S$2:$S1938,"&lt;&gt;"&amp;$S1939)-1)))</f>
        <v/>
      </c>
      <c r="Y1939" t="b">
        <f>IF(X1939&lt;&gt;"",VLOOKUP(X1939,game_rosters!$C$43:$E$64,3,FALSE))</f>
        <v>0</v>
      </c>
      <c r="Z1939" t="e" cm="1" vm="1">
        <f t="array" aca="1" ref="Z1939" ca="1">IFERROR(IF(_xlfn._xlws.FILTER(game_rosters!$J:$J,(game_rosters!$G:$G=events!$AN1939)*(game_rosters!$J:$J=events!$X1939))&gt;0,1,""),"")</f>
        <v>#VALUE!</v>
      </c>
      <c r="AA1939">
        <f t="shared" si="199"/>
        <v>1000</v>
      </c>
      <c r="AB1939" t="str">
        <f t="shared" si="200"/>
        <v/>
      </c>
      <c r="AC1939">
        <f t="shared" si="201"/>
        <v>1000</v>
      </c>
      <c r="AD1939" s="6"/>
    </row>
    <row r="1940" spans="1:30" x14ac:dyDescent="0.2">
      <c r="A1940" t="str">
        <f t="shared" si="202"/>
        <v/>
      </c>
      <c r="X1940" t="str" cm="1">
        <f t="array" ref="X1940">IF(S1940="","",IF($I1940&lt;&gt;"",$I1940,INDEX($I$2:$I1939,ROW()-COUNTIFS($T$2:$T1939,"="&amp;$T1940,$S$2:$S1939,"&lt;&gt;"&amp;$S1940)-1)))</f>
        <v/>
      </c>
      <c r="Y1940" t="b">
        <f>IF(X1940&lt;&gt;"",VLOOKUP(X1940,game_rosters!$C$43:$E$64,3,FALSE))</f>
        <v>0</v>
      </c>
      <c r="Z1940" t="e" cm="1" vm="1">
        <f t="array" aca="1" ref="Z1940" ca="1">IFERROR(IF(_xlfn._xlws.FILTER(game_rosters!$J:$J,(game_rosters!$G:$G=events!$AN1940)*(game_rosters!$J:$J=events!$X1940))&gt;0,1,""),"")</f>
        <v>#VALUE!</v>
      </c>
      <c r="AA1940">
        <f t="shared" si="199"/>
        <v>1000</v>
      </c>
      <c r="AB1940" t="str">
        <f t="shared" si="200"/>
        <v/>
      </c>
      <c r="AC1940">
        <f t="shared" si="201"/>
        <v>1000</v>
      </c>
      <c r="AD1940" s="6"/>
    </row>
    <row r="1941" spans="1:30" x14ac:dyDescent="0.2">
      <c r="A1941" t="str">
        <f t="shared" si="202"/>
        <v/>
      </c>
      <c r="X1941" t="str" cm="1">
        <f t="array" ref="X1941">IF(S1941="","",IF($I1941&lt;&gt;"",$I1941,INDEX($I$2:$I1940,ROW()-COUNTIFS($T$2:$T1940,"="&amp;$T1941,$S$2:$S1940,"&lt;&gt;"&amp;$S1941)-1)))</f>
        <v/>
      </c>
      <c r="Y1941" t="b">
        <f>IF(X1941&lt;&gt;"",VLOOKUP(X1941,game_rosters!$C$43:$E$64,3,FALSE))</f>
        <v>0</v>
      </c>
      <c r="Z1941" t="e" cm="1" vm="1">
        <f t="array" aca="1" ref="Z1941" ca="1">IFERROR(IF(_xlfn._xlws.FILTER(game_rosters!$J:$J,(game_rosters!$G:$G=events!$AN1941)*(game_rosters!$J:$J=events!$X1941))&gt;0,1,""),"")</f>
        <v>#VALUE!</v>
      </c>
      <c r="AA1941">
        <f t="shared" si="199"/>
        <v>1000</v>
      </c>
      <c r="AB1941" t="str">
        <f t="shared" si="200"/>
        <v/>
      </c>
      <c r="AC1941">
        <f t="shared" si="201"/>
        <v>1000</v>
      </c>
      <c r="AD1941" s="6"/>
    </row>
    <row r="1942" spans="1:30" x14ac:dyDescent="0.2">
      <c r="A1942" t="str">
        <f t="shared" si="202"/>
        <v/>
      </c>
      <c r="X1942" t="str" cm="1">
        <f t="array" ref="X1942">IF(S1942="","",IF($I1942&lt;&gt;"",$I1942,INDEX($I$2:$I1941,ROW()-COUNTIFS($T$2:$T1941,"="&amp;$T1942,$S$2:$S1941,"&lt;&gt;"&amp;$S1942)-1)))</f>
        <v/>
      </c>
      <c r="Y1942" t="b">
        <f>IF(X1942&lt;&gt;"",VLOOKUP(X1942,game_rosters!$C$43:$E$64,3,FALSE))</f>
        <v>0</v>
      </c>
      <c r="Z1942" t="e" cm="1" vm="1">
        <f t="array" aca="1" ref="Z1942" ca="1">IFERROR(IF(_xlfn._xlws.FILTER(game_rosters!$J:$J,(game_rosters!$G:$G=events!$AN1942)*(game_rosters!$J:$J=events!$X1942))&gt;0,1,""),"")</f>
        <v>#VALUE!</v>
      </c>
      <c r="AA1942">
        <f t="shared" si="199"/>
        <v>1000</v>
      </c>
      <c r="AB1942" t="str">
        <f t="shared" si="200"/>
        <v/>
      </c>
      <c r="AC1942">
        <f t="shared" si="201"/>
        <v>1000</v>
      </c>
      <c r="AD1942" s="6"/>
    </row>
    <row r="1943" spans="1:30" x14ac:dyDescent="0.2">
      <c r="A1943" t="str">
        <f t="shared" si="202"/>
        <v/>
      </c>
      <c r="X1943" t="str" cm="1">
        <f t="array" ref="X1943">IF(S1943="","",IF($I1943&lt;&gt;"",$I1943,INDEX($I$2:$I1942,ROW()-COUNTIFS($T$2:$T1942,"="&amp;$T1943,$S$2:$S1942,"&lt;&gt;"&amp;$S1943)-1)))</f>
        <v/>
      </c>
      <c r="Y1943" t="b">
        <f>IF(X1943&lt;&gt;"",VLOOKUP(X1943,game_rosters!$C$43:$E$64,3,FALSE))</f>
        <v>0</v>
      </c>
      <c r="Z1943" t="e" cm="1" vm="1">
        <f t="array" aca="1" ref="Z1943" ca="1">IFERROR(IF(_xlfn._xlws.FILTER(game_rosters!$J:$J,(game_rosters!$G:$G=events!$AN1943)*(game_rosters!$J:$J=events!$X1943))&gt;0,1,""),"")</f>
        <v>#VALUE!</v>
      </c>
      <c r="AA1943">
        <f t="shared" si="199"/>
        <v>1000</v>
      </c>
      <c r="AB1943" t="str">
        <f t="shared" si="200"/>
        <v/>
      </c>
      <c r="AC1943">
        <f t="shared" si="201"/>
        <v>1000</v>
      </c>
      <c r="AD1943" s="6"/>
    </row>
    <row r="1944" spans="1:30" x14ac:dyDescent="0.2">
      <c r="A1944" t="str">
        <f t="shared" si="202"/>
        <v/>
      </c>
      <c r="X1944" t="str" cm="1">
        <f t="array" ref="X1944">IF(S1944="","",IF($I1944&lt;&gt;"",$I1944,INDEX($I$2:$I1943,ROW()-COUNTIFS($T$2:$T1943,"="&amp;$T1944,$S$2:$S1943,"&lt;&gt;"&amp;$S1944)-1)))</f>
        <v/>
      </c>
      <c r="Y1944" t="b">
        <f>IF(X1944&lt;&gt;"",VLOOKUP(X1944,game_rosters!$C$43:$E$64,3,FALSE))</f>
        <v>0</v>
      </c>
      <c r="Z1944" t="e" cm="1" vm="1">
        <f t="array" aca="1" ref="Z1944" ca="1">IFERROR(IF(_xlfn._xlws.FILTER(game_rosters!$J:$J,(game_rosters!$G:$G=events!$AN1944)*(game_rosters!$J:$J=events!$X1944))&gt;0,1,""),"")</f>
        <v>#VALUE!</v>
      </c>
      <c r="AA1944">
        <f t="shared" si="199"/>
        <v>1000</v>
      </c>
      <c r="AB1944" t="str">
        <f t="shared" si="200"/>
        <v/>
      </c>
      <c r="AC1944">
        <f t="shared" si="201"/>
        <v>1000</v>
      </c>
      <c r="AD1944" s="6"/>
    </row>
    <row r="1945" spans="1:30" x14ac:dyDescent="0.2">
      <c r="A1945" t="str">
        <f t="shared" si="202"/>
        <v/>
      </c>
      <c r="X1945" t="str" cm="1">
        <f t="array" ref="X1945">IF(S1945="","",IF($I1945&lt;&gt;"",$I1945,INDEX($I$2:$I1944,ROW()-COUNTIFS($T$2:$T1944,"="&amp;$T1945,$S$2:$S1944,"&lt;&gt;"&amp;$S1945)-1)))</f>
        <v/>
      </c>
      <c r="Y1945" t="b">
        <f>IF(X1945&lt;&gt;"",VLOOKUP(X1945,game_rosters!$C$43:$E$64,3,FALSE))</f>
        <v>0</v>
      </c>
      <c r="Z1945" t="e" cm="1" vm="1">
        <f t="array" aca="1" ref="Z1945" ca="1">IFERROR(IF(_xlfn._xlws.FILTER(game_rosters!$J:$J,(game_rosters!$G:$G=events!$AN1945)*(game_rosters!$J:$J=events!$X1945))&gt;0,1,""),"")</f>
        <v>#VALUE!</v>
      </c>
      <c r="AA1945">
        <f t="shared" si="199"/>
        <v>1000</v>
      </c>
      <c r="AB1945" t="str">
        <f t="shared" si="200"/>
        <v/>
      </c>
      <c r="AC1945">
        <f t="shared" si="201"/>
        <v>1000</v>
      </c>
      <c r="AD1945" s="6"/>
    </row>
    <row r="1946" spans="1:30" x14ac:dyDescent="0.2">
      <c r="A1946" t="str">
        <f t="shared" si="202"/>
        <v/>
      </c>
      <c r="X1946" t="str" cm="1">
        <f t="array" ref="X1946">IF(S1946="","",IF($I1946&lt;&gt;"",$I1946,INDEX($I$2:$I1945,ROW()-COUNTIFS($T$2:$T1945,"="&amp;$T1946,$S$2:$S1945,"&lt;&gt;"&amp;$S1946)-1)))</f>
        <v/>
      </c>
      <c r="Y1946" t="b">
        <f>IF(X1946&lt;&gt;"",VLOOKUP(X1946,game_rosters!$C$43:$E$64,3,FALSE))</f>
        <v>0</v>
      </c>
      <c r="Z1946" t="e" cm="1" vm="1">
        <f t="array" aca="1" ref="Z1946" ca="1">IFERROR(IF(_xlfn._xlws.FILTER(game_rosters!$J:$J,(game_rosters!$G:$G=events!$AN1946)*(game_rosters!$J:$J=events!$X1946))&gt;0,1,""),"")</f>
        <v>#VALUE!</v>
      </c>
      <c r="AA1946">
        <f t="shared" si="199"/>
        <v>1000</v>
      </c>
      <c r="AB1946" t="str">
        <f t="shared" si="200"/>
        <v/>
      </c>
      <c r="AC1946">
        <f t="shared" si="201"/>
        <v>1000</v>
      </c>
      <c r="AD1946" s="6"/>
    </row>
    <row r="1947" spans="1:30" x14ac:dyDescent="0.2">
      <c r="A1947" t="str">
        <f t="shared" si="202"/>
        <v/>
      </c>
      <c r="X1947" t="str" cm="1">
        <f t="array" ref="X1947">IF(S1947="","",IF($I1947&lt;&gt;"",$I1947,INDEX($I$2:$I1946,ROW()-COUNTIFS($T$2:$T1946,"="&amp;$T1947,$S$2:$S1946,"&lt;&gt;"&amp;$S1947)-1)))</f>
        <v/>
      </c>
      <c r="Y1947" t="b">
        <f>IF(X1947&lt;&gt;"",VLOOKUP(X1947,game_rosters!$C$43:$E$64,3,FALSE))</f>
        <v>0</v>
      </c>
      <c r="Z1947" t="e" cm="1" vm="1">
        <f t="array" aca="1" ref="Z1947" ca="1">IFERROR(IF(_xlfn._xlws.FILTER(game_rosters!$J:$J,(game_rosters!$G:$G=events!$AN1947)*(game_rosters!$J:$J=events!$X1947))&gt;0,1,""),"")</f>
        <v>#VALUE!</v>
      </c>
      <c r="AA1947">
        <f t="shared" si="199"/>
        <v>1000</v>
      </c>
      <c r="AB1947" t="str">
        <f t="shared" si="200"/>
        <v/>
      </c>
      <c r="AC1947">
        <f t="shared" si="201"/>
        <v>1000</v>
      </c>
      <c r="AD1947" s="6"/>
    </row>
    <row r="1948" spans="1:30" x14ac:dyDescent="0.2">
      <c r="A1948" t="str">
        <f t="shared" si="202"/>
        <v/>
      </c>
      <c r="X1948" t="str" cm="1">
        <f t="array" ref="X1948">IF(S1948="","",IF($I1948&lt;&gt;"",$I1948,INDEX($I$2:$I1947,ROW()-COUNTIFS($T$2:$T1947,"="&amp;$T1948,$S$2:$S1947,"&lt;&gt;"&amp;$S1948)-1)))</f>
        <v/>
      </c>
      <c r="Y1948" t="b">
        <f>IF(X1948&lt;&gt;"",VLOOKUP(X1948,game_rosters!$C$43:$E$64,3,FALSE))</f>
        <v>0</v>
      </c>
      <c r="Z1948" t="e" cm="1" vm="1">
        <f t="array" aca="1" ref="Z1948" ca="1">IFERROR(IF(_xlfn._xlws.FILTER(game_rosters!$J:$J,(game_rosters!$G:$G=events!$AN1948)*(game_rosters!$J:$J=events!$X1948))&gt;0,1,""),"")</f>
        <v>#VALUE!</v>
      </c>
      <c r="AA1948">
        <f t="shared" si="199"/>
        <v>1000</v>
      </c>
      <c r="AB1948" t="str">
        <f t="shared" si="200"/>
        <v/>
      </c>
      <c r="AC1948">
        <f t="shared" si="201"/>
        <v>1000</v>
      </c>
      <c r="AD1948" s="6"/>
    </row>
    <row r="1949" spans="1:30" x14ac:dyDescent="0.2">
      <c r="A1949" t="str">
        <f t="shared" si="202"/>
        <v/>
      </c>
      <c r="X1949" t="str" cm="1">
        <f t="array" ref="X1949">IF(S1949="","",IF($I1949&lt;&gt;"",$I1949,INDEX($I$2:$I1948,ROW()-COUNTIFS($T$2:$T1948,"="&amp;$T1949,$S$2:$S1948,"&lt;&gt;"&amp;$S1949)-1)))</f>
        <v/>
      </c>
      <c r="Y1949" t="b">
        <f>IF(X1949&lt;&gt;"",VLOOKUP(X1949,game_rosters!$C$43:$E$64,3,FALSE))</f>
        <v>0</v>
      </c>
      <c r="Z1949" t="e" cm="1" vm="1">
        <f t="array" aca="1" ref="Z1949" ca="1">IFERROR(IF(_xlfn._xlws.FILTER(game_rosters!$J:$J,(game_rosters!$G:$G=events!$AN1949)*(game_rosters!$J:$J=events!$X1949))&gt;0,1,""),"")</f>
        <v>#VALUE!</v>
      </c>
      <c r="AA1949">
        <f t="shared" ref="AA1949:AA2012" si="203">S1949+1000</f>
        <v>1000</v>
      </c>
      <c r="AB1949" t="str">
        <f t="shared" ref="AB1949:AB2012" si="204">IF(T1949&lt;&gt;"",9000+T1949,"")</f>
        <v/>
      </c>
      <c r="AC1949">
        <f t="shared" si="201"/>
        <v>1000</v>
      </c>
      <c r="AD1949" s="6"/>
    </row>
    <row r="1950" spans="1:30" x14ac:dyDescent="0.2">
      <c r="A1950" t="str">
        <f t="shared" si="202"/>
        <v/>
      </c>
      <c r="X1950" t="str" cm="1">
        <f t="array" ref="X1950">IF(S1950="","",IF($I1950&lt;&gt;"",$I1950,INDEX($I$2:$I1949,ROW()-COUNTIFS($T$2:$T1949,"="&amp;$T1950,$S$2:$S1949,"&lt;&gt;"&amp;$S1950)-1)))</f>
        <v/>
      </c>
      <c r="Y1950" t="b">
        <f>IF(X1950&lt;&gt;"",VLOOKUP(X1950,game_rosters!$C$43:$E$64,3,FALSE))</f>
        <v>0</v>
      </c>
      <c r="Z1950" t="e" cm="1" vm="1">
        <f t="array" aca="1" ref="Z1950" ca="1">IFERROR(IF(_xlfn._xlws.FILTER(game_rosters!$J:$J,(game_rosters!$G:$G=events!$AN1950)*(game_rosters!$J:$J=events!$X1950))&gt;0,1,""),"")</f>
        <v>#VALUE!</v>
      </c>
      <c r="AA1950">
        <f t="shared" si="203"/>
        <v>1000</v>
      </c>
      <c r="AB1950" t="str">
        <f t="shared" si="204"/>
        <v/>
      </c>
      <c r="AC1950">
        <f t="shared" si="201"/>
        <v>1000</v>
      </c>
      <c r="AD1950" s="6"/>
    </row>
    <row r="1951" spans="1:30" x14ac:dyDescent="0.2">
      <c r="A1951" t="str">
        <f t="shared" si="202"/>
        <v/>
      </c>
      <c r="X1951" t="str" cm="1">
        <f t="array" ref="X1951">IF(S1951="","",IF($I1951&lt;&gt;"",$I1951,INDEX($I$2:$I1950,ROW()-COUNTIFS($T$2:$T1950,"="&amp;$T1951,$S$2:$S1950,"&lt;&gt;"&amp;$S1951)-1)))</f>
        <v/>
      </c>
      <c r="Y1951" t="b">
        <f>IF(X1951&lt;&gt;"",VLOOKUP(X1951,game_rosters!$C$43:$E$64,3,FALSE))</f>
        <v>0</v>
      </c>
      <c r="Z1951" t="e" cm="1" vm="1">
        <f t="array" aca="1" ref="Z1951" ca="1">IFERROR(IF(_xlfn._xlws.FILTER(game_rosters!$J:$J,(game_rosters!$G:$G=events!$AN1951)*(game_rosters!$J:$J=events!$X1951))&gt;0,1,""),"")</f>
        <v>#VALUE!</v>
      </c>
      <c r="AA1951">
        <f t="shared" si="203"/>
        <v>1000</v>
      </c>
      <c r="AB1951" t="str">
        <f t="shared" si="204"/>
        <v/>
      </c>
      <c r="AC1951">
        <f t="shared" si="201"/>
        <v>1000</v>
      </c>
      <c r="AD1951" s="6"/>
    </row>
    <row r="1952" spans="1:30" x14ac:dyDescent="0.2">
      <c r="A1952" t="str">
        <f t="shared" si="202"/>
        <v/>
      </c>
      <c r="X1952" t="str" cm="1">
        <f t="array" ref="X1952">IF(S1952="","",IF($I1952&lt;&gt;"",$I1952,INDEX($I$2:$I1951,ROW()-COUNTIFS($T$2:$T1951,"="&amp;$T1952,$S$2:$S1951,"&lt;&gt;"&amp;$S1952)-1)))</f>
        <v/>
      </c>
      <c r="Y1952" t="b">
        <f>IF(X1952&lt;&gt;"",VLOOKUP(X1952,game_rosters!$C$43:$E$64,3,FALSE))</f>
        <v>0</v>
      </c>
      <c r="Z1952" t="e" cm="1" vm="1">
        <f t="array" aca="1" ref="Z1952" ca="1">IFERROR(IF(_xlfn._xlws.FILTER(game_rosters!$J:$J,(game_rosters!$G:$G=events!$AN1952)*(game_rosters!$J:$J=events!$X1952))&gt;0,1,""),"")</f>
        <v>#VALUE!</v>
      </c>
      <c r="AA1952">
        <f t="shared" si="203"/>
        <v>1000</v>
      </c>
      <c r="AB1952" t="str">
        <f t="shared" si="204"/>
        <v/>
      </c>
      <c r="AC1952">
        <f t="shared" si="201"/>
        <v>1000</v>
      </c>
      <c r="AD1952" s="6"/>
    </row>
    <row r="1953" spans="1:30" x14ac:dyDescent="0.2">
      <c r="A1953" t="str">
        <f t="shared" si="202"/>
        <v/>
      </c>
      <c r="X1953" t="str" cm="1">
        <f t="array" ref="X1953">IF(S1953="","",IF($I1953&lt;&gt;"",$I1953,INDEX($I$2:$I1952,ROW()-COUNTIFS($T$2:$T1952,"="&amp;$T1953,$S$2:$S1952,"&lt;&gt;"&amp;$S1953)-1)))</f>
        <v/>
      </c>
      <c r="Y1953" t="b">
        <f>IF(X1953&lt;&gt;"",VLOOKUP(X1953,game_rosters!$C$43:$E$64,3,FALSE))</f>
        <v>0</v>
      </c>
      <c r="Z1953" t="e" cm="1" vm="1">
        <f t="array" aca="1" ref="Z1953" ca="1">IFERROR(IF(_xlfn._xlws.FILTER(game_rosters!$J:$J,(game_rosters!$G:$G=events!$AN1953)*(game_rosters!$J:$J=events!$X1953))&gt;0,1,""),"")</f>
        <v>#VALUE!</v>
      </c>
      <c r="AA1953">
        <f t="shared" si="203"/>
        <v>1000</v>
      </c>
      <c r="AB1953" t="str">
        <f t="shared" si="204"/>
        <v/>
      </c>
      <c r="AC1953">
        <f t="shared" si="201"/>
        <v>1000</v>
      </c>
      <c r="AD1953" s="6"/>
    </row>
    <row r="1954" spans="1:30" x14ac:dyDescent="0.2">
      <c r="A1954" t="str">
        <f t="shared" si="202"/>
        <v/>
      </c>
      <c r="X1954" t="str" cm="1">
        <f t="array" ref="X1954">IF(S1954="","",IF($I1954&lt;&gt;"",$I1954,INDEX($I$2:$I1953,ROW()-COUNTIFS($T$2:$T1953,"="&amp;$T1954,$S$2:$S1953,"&lt;&gt;"&amp;$S1954)-1)))</f>
        <v/>
      </c>
      <c r="Y1954" t="b">
        <f>IF(X1954&lt;&gt;"",VLOOKUP(X1954,game_rosters!$C$43:$E$64,3,FALSE))</f>
        <v>0</v>
      </c>
      <c r="Z1954" t="e" cm="1" vm="1">
        <f t="array" aca="1" ref="Z1954" ca="1">IFERROR(IF(_xlfn._xlws.FILTER(game_rosters!$J:$J,(game_rosters!$G:$G=events!$AN1954)*(game_rosters!$J:$J=events!$X1954))&gt;0,1,""),"")</f>
        <v>#VALUE!</v>
      </c>
      <c r="AA1954">
        <f t="shared" si="203"/>
        <v>1000</v>
      </c>
      <c r="AB1954" t="str">
        <f t="shared" si="204"/>
        <v/>
      </c>
      <c r="AC1954">
        <f t="shared" si="201"/>
        <v>1000</v>
      </c>
      <c r="AD1954" s="6"/>
    </row>
    <row r="1955" spans="1:30" x14ac:dyDescent="0.2">
      <c r="A1955" t="str">
        <f t="shared" si="202"/>
        <v/>
      </c>
      <c r="X1955" t="str" cm="1">
        <f t="array" ref="X1955">IF(S1955="","",IF($I1955&lt;&gt;"",$I1955,INDEX($I$2:$I1954,ROW()-COUNTIFS($T$2:$T1954,"="&amp;$T1955,$S$2:$S1954,"&lt;&gt;"&amp;$S1955)-1)))</f>
        <v/>
      </c>
      <c r="Y1955" t="b">
        <f>IF(X1955&lt;&gt;"",VLOOKUP(X1955,game_rosters!$C$43:$E$64,3,FALSE))</f>
        <v>0</v>
      </c>
      <c r="Z1955" t="e" cm="1" vm="1">
        <f t="array" aca="1" ref="Z1955" ca="1">IFERROR(IF(_xlfn._xlws.FILTER(game_rosters!$J:$J,(game_rosters!$G:$G=events!$AN1955)*(game_rosters!$J:$J=events!$X1955))&gt;0,1,""),"")</f>
        <v>#VALUE!</v>
      </c>
      <c r="AA1955">
        <f t="shared" si="203"/>
        <v>1000</v>
      </c>
      <c r="AB1955" t="str">
        <f t="shared" si="204"/>
        <v/>
      </c>
      <c r="AC1955">
        <f t="shared" si="201"/>
        <v>1000</v>
      </c>
      <c r="AD1955" s="6"/>
    </row>
    <row r="1956" spans="1:30" x14ac:dyDescent="0.2">
      <c r="A1956" t="str">
        <f t="shared" si="202"/>
        <v/>
      </c>
      <c r="X1956" t="str" cm="1">
        <f t="array" ref="X1956">IF(S1956="","",IF($I1956&lt;&gt;"",$I1956,INDEX($I$2:$I1955,ROW()-COUNTIFS($T$2:$T1955,"="&amp;$T1956,$S$2:$S1955,"&lt;&gt;"&amp;$S1956)-1)))</f>
        <v/>
      </c>
      <c r="Y1956" t="b">
        <f>IF(X1956&lt;&gt;"",VLOOKUP(X1956,game_rosters!$C$43:$E$64,3,FALSE))</f>
        <v>0</v>
      </c>
      <c r="Z1956" t="e" cm="1" vm="1">
        <f t="array" aca="1" ref="Z1956" ca="1">IFERROR(IF(_xlfn._xlws.FILTER(game_rosters!$J:$J,(game_rosters!$G:$G=events!$AN1956)*(game_rosters!$J:$J=events!$X1956))&gt;0,1,""),"")</f>
        <v>#VALUE!</v>
      </c>
      <c r="AA1956">
        <f t="shared" si="203"/>
        <v>1000</v>
      </c>
      <c r="AB1956" t="str">
        <f t="shared" si="204"/>
        <v/>
      </c>
      <c r="AC1956">
        <f t="shared" si="201"/>
        <v>1000</v>
      </c>
      <c r="AD1956" s="6"/>
    </row>
    <row r="1957" spans="1:30" x14ac:dyDescent="0.2">
      <c r="A1957" t="str">
        <f t="shared" si="202"/>
        <v/>
      </c>
      <c r="X1957" t="str" cm="1">
        <f t="array" ref="X1957">IF(S1957="","",IF($I1957&lt;&gt;"",$I1957,INDEX($I$2:$I1956,ROW()-COUNTIFS($T$2:$T1956,"="&amp;$T1957,$S$2:$S1956,"&lt;&gt;"&amp;$S1957)-1)))</f>
        <v/>
      </c>
      <c r="Y1957" t="b">
        <f>IF(X1957&lt;&gt;"",VLOOKUP(X1957,game_rosters!$C$43:$E$64,3,FALSE))</f>
        <v>0</v>
      </c>
      <c r="Z1957" t="e" cm="1" vm="1">
        <f t="array" aca="1" ref="Z1957" ca="1">IFERROR(IF(_xlfn._xlws.FILTER(game_rosters!$J:$J,(game_rosters!$G:$G=events!$AN1957)*(game_rosters!$J:$J=events!$X1957))&gt;0,1,""),"")</f>
        <v>#VALUE!</v>
      </c>
      <c r="AA1957">
        <f t="shared" si="203"/>
        <v>1000</v>
      </c>
      <c r="AB1957" t="str">
        <f t="shared" si="204"/>
        <v/>
      </c>
      <c r="AC1957">
        <f t="shared" si="201"/>
        <v>1000</v>
      </c>
      <c r="AD1957" s="6"/>
    </row>
    <row r="1958" spans="1:30" x14ac:dyDescent="0.2">
      <c r="A1958" t="str">
        <f t="shared" si="202"/>
        <v/>
      </c>
      <c r="X1958" t="str" cm="1">
        <f t="array" ref="X1958">IF(S1958="","",IF($I1958&lt;&gt;"",$I1958,INDEX($I$2:$I1957,ROW()-COUNTIFS($T$2:$T1957,"="&amp;$T1958,$S$2:$S1957,"&lt;&gt;"&amp;$S1958)-1)))</f>
        <v/>
      </c>
      <c r="Y1958" t="b">
        <f>IF(X1958&lt;&gt;"",VLOOKUP(X1958,game_rosters!$C$43:$E$64,3,FALSE))</f>
        <v>0</v>
      </c>
      <c r="Z1958" t="e" cm="1" vm="1">
        <f t="array" aca="1" ref="Z1958" ca="1">IFERROR(IF(_xlfn._xlws.FILTER(game_rosters!$J:$J,(game_rosters!$G:$G=events!$AN1958)*(game_rosters!$J:$J=events!$X1958))&gt;0,1,""),"")</f>
        <v>#VALUE!</v>
      </c>
      <c r="AA1958">
        <f t="shared" si="203"/>
        <v>1000</v>
      </c>
      <c r="AB1958" t="str">
        <f t="shared" si="204"/>
        <v/>
      </c>
      <c r="AC1958">
        <f t="shared" si="201"/>
        <v>1000</v>
      </c>
      <c r="AD1958" s="6"/>
    </row>
    <row r="1959" spans="1:30" x14ac:dyDescent="0.2">
      <c r="A1959" t="str">
        <f t="shared" si="202"/>
        <v/>
      </c>
      <c r="X1959" t="str" cm="1">
        <f t="array" ref="X1959">IF(S1959="","",IF($I1959&lt;&gt;"",$I1959,INDEX($I$2:$I1958,ROW()-COUNTIFS($T$2:$T1958,"="&amp;$T1959,$S$2:$S1958,"&lt;&gt;"&amp;$S1959)-1)))</f>
        <v/>
      </c>
      <c r="Y1959" t="b">
        <f>IF(X1959&lt;&gt;"",VLOOKUP(X1959,game_rosters!$C$43:$E$64,3,FALSE))</f>
        <v>0</v>
      </c>
      <c r="Z1959" t="e" cm="1" vm="1">
        <f t="array" aca="1" ref="Z1959" ca="1">IFERROR(IF(_xlfn._xlws.FILTER(game_rosters!$J:$J,(game_rosters!$G:$G=events!$AN1959)*(game_rosters!$J:$J=events!$X1959))&gt;0,1,""),"")</f>
        <v>#VALUE!</v>
      </c>
      <c r="AA1959">
        <f t="shared" si="203"/>
        <v>1000</v>
      </c>
      <c r="AB1959" t="str">
        <f t="shared" si="204"/>
        <v/>
      </c>
      <c r="AC1959">
        <f t="shared" si="201"/>
        <v>1000</v>
      </c>
      <c r="AD1959" s="6"/>
    </row>
    <row r="1960" spans="1:30" x14ac:dyDescent="0.2">
      <c r="A1960" t="str">
        <f t="shared" si="202"/>
        <v/>
      </c>
      <c r="X1960" t="str" cm="1">
        <f t="array" ref="X1960">IF(S1960="","",IF($I1960&lt;&gt;"",$I1960,INDEX($I$2:$I1959,ROW()-COUNTIFS($T$2:$T1959,"="&amp;$T1960,$S$2:$S1959,"&lt;&gt;"&amp;$S1960)-1)))</f>
        <v/>
      </c>
      <c r="Y1960" t="b">
        <f>IF(X1960&lt;&gt;"",VLOOKUP(X1960,game_rosters!$C$43:$E$64,3,FALSE))</f>
        <v>0</v>
      </c>
      <c r="Z1960" t="e" cm="1" vm="1">
        <f t="array" aca="1" ref="Z1960" ca="1">IFERROR(IF(_xlfn._xlws.FILTER(game_rosters!$J:$J,(game_rosters!$G:$G=events!$AN1960)*(game_rosters!$J:$J=events!$X1960))&gt;0,1,""),"")</f>
        <v>#VALUE!</v>
      </c>
      <c r="AA1960">
        <f t="shared" si="203"/>
        <v>1000</v>
      </c>
      <c r="AB1960" t="str">
        <f t="shared" si="204"/>
        <v/>
      </c>
      <c r="AC1960">
        <f t="shared" si="201"/>
        <v>1000</v>
      </c>
      <c r="AD1960" s="6"/>
    </row>
    <row r="1961" spans="1:30" x14ac:dyDescent="0.2">
      <c r="A1961" t="str">
        <f t="shared" si="202"/>
        <v/>
      </c>
      <c r="X1961" t="str" cm="1">
        <f t="array" ref="X1961">IF(S1961="","",IF($I1961&lt;&gt;"",$I1961,INDEX($I$2:$I1960,ROW()-COUNTIFS($T$2:$T1960,"="&amp;$T1961,$S$2:$S1960,"&lt;&gt;"&amp;$S1961)-1)))</f>
        <v/>
      </c>
      <c r="Y1961" t="b">
        <f>IF(X1961&lt;&gt;"",VLOOKUP(X1961,game_rosters!$C$43:$E$64,3,FALSE))</f>
        <v>0</v>
      </c>
      <c r="Z1961" t="e" cm="1" vm="1">
        <f t="array" aca="1" ref="Z1961" ca="1">IFERROR(IF(_xlfn._xlws.FILTER(game_rosters!$J:$J,(game_rosters!$G:$G=events!$AN1961)*(game_rosters!$J:$J=events!$X1961))&gt;0,1,""),"")</f>
        <v>#VALUE!</v>
      </c>
      <c r="AA1961">
        <f t="shared" si="203"/>
        <v>1000</v>
      </c>
      <c r="AB1961" t="str">
        <f t="shared" si="204"/>
        <v/>
      </c>
      <c r="AC1961">
        <f t="shared" si="201"/>
        <v>1000</v>
      </c>
      <c r="AD1961" s="6"/>
    </row>
    <row r="1962" spans="1:30" x14ac:dyDescent="0.2">
      <c r="A1962" t="str">
        <f t="shared" si="202"/>
        <v/>
      </c>
      <c r="X1962" t="str" cm="1">
        <f t="array" ref="X1962">IF(S1962="","",IF($I1962&lt;&gt;"",$I1962,INDEX($I$2:$I1961,ROW()-COUNTIFS($T$2:$T1961,"="&amp;$T1962,$S$2:$S1961,"&lt;&gt;"&amp;$S1962)-1)))</f>
        <v/>
      </c>
      <c r="Y1962" t="b">
        <f>IF(X1962&lt;&gt;"",VLOOKUP(X1962,game_rosters!$C$43:$E$64,3,FALSE))</f>
        <v>0</v>
      </c>
      <c r="Z1962" t="e" cm="1" vm="1">
        <f t="array" aca="1" ref="Z1962" ca="1">IFERROR(IF(_xlfn._xlws.FILTER(game_rosters!$J:$J,(game_rosters!$G:$G=events!$AN1962)*(game_rosters!$J:$J=events!$X1962))&gt;0,1,""),"")</f>
        <v>#VALUE!</v>
      </c>
      <c r="AA1962">
        <f t="shared" si="203"/>
        <v>1000</v>
      </c>
      <c r="AB1962" t="str">
        <f t="shared" si="204"/>
        <v/>
      </c>
      <c r="AC1962">
        <f t="shared" si="201"/>
        <v>1000</v>
      </c>
      <c r="AD1962" s="6"/>
    </row>
    <row r="1963" spans="1:30" x14ac:dyDescent="0.2">
      <c r="A1963" t="str">
        <f t="shared" si="202"/>
        <v/>
      </c>
      <c r="X1963" t="str" cm="1">
        <f t="array" ref="X1963">IF(S1963="","",IF($I1963&lt;&gt;"",$I1963,INDEX($I$2:$I1962,ROW()-COUNTIFS($T$2:$T1962,"="&amp;$T1963,$S$2:$S1962,"&lt;&gt;"&amp;$S1963)-1)))</f>
        <v/>
      </c>
      <c r="Y1963" t="b">
        <f>IF(X1963&lt;&gt;"",VLOOKUP(X1963,game_rosters!$C$43:$E$64,3,FALSE))</f>
        <v>0</v>
      </c>
      <c r="Z1963" t="e" cm="1" vm="1">
        <f t="array" aca="1" ref="Z1963" ca="1">IFERROR(IF(_xlfn._xlws.FILTER(game_rosters!$J:$J,(game_rosters!$G:$G=events!$AN1963)*(game_rosters!$J:$J=events!$X1963))&gt;0,1,""),"")</f>
        <v>#VALUE!</v>
      </c>
      <c r="AA1963">
        <f t="shared" si="203"/>
        <v>1000</v>
      </c>
      <c r="AB1963" t="str">
        <f t="shared" si="204"/>
        <v/>
      </c>
      <c r="AC1963">
        <f t="shared" si="201"/>
        <v>1000</v>
      </c>
      <c r="AD1963" s="6"/>
    </row>
    <row r="1964" spans="1:30" x14ac:dyDescent="0.2">
      <c r="A1964" t="str">
        <f t="shared" si="202"/>
        <v/>
      </c>
      <c r="X1964" t="str" cm="1">
        <f t="array" ref="X1964">IF(S1964="","",IF($I1964&lt;&gt;"",$I1964,INDEX($I$2:$I1963,ROW()-COUNTIFS($T$2:$T1963,"="&amp;$T1964,$S$2:$S1963,"&lt;&gt;"&amp;$S1964)-1)))</f>
        <v/>
      </c>
      <c r="Y1964" t="b">
        <f>IF(X1964&lt;&gt;"",VLOOKUP(X1964,game_rosters!$C$43:$E$64,3,FALSE))</f>
        <v>0</v>
      </c>
      <c r="Z1964" t="e" cm="1" vm="1">
        <f t="array" aca="1" ref="Z1964" ca="1">IFERROR(IF(_xlfn._xlws.FILTER(game_rosters!$J:$J,(game_rosters!$G:$G=events!$AN1964)*(game_rosters!$J:$J=events!$X1964))&gt;0,1,""),"")</f>
        <v>#VALUE!</v>
      </c>
      <c r="AA1964">
        <f t="shared" si="203"/>
        <v>1000</v>
      </c>
      <c r="AB1964" t="str">
        <f t="shared" si="204"/>
        <v/>
      </c>
      <c r="AC1964">
        <f t="shared" si="201"/>
        <v>1000</v>
      </c>
      <c r="AD1964" s="6"/>
    </row>
    <row r="1965" spans="1:30" x14ac:dyDescent="0.2">
      <c r="A1965" t="str">
        <f t="shared" si="202"/>
        <v/>
      </c>
      <c r="X1965" t="str" cm="1">
        <f t="array" ref="X1965">IF(S1965="","",IF($I1965&lt;&gt;"",$I1965,INDEX($I$2:$I1964,ROW()-COUNTIFS($T$2:$T1964,"="&amp;$T1965,$S$2:$S1964,"&lt;&gt;"&amp;$S1965)-1)))</f>
        <v/>
      </c>
      <c r="Y1965" t="b">
        <f>IF(X1965&lt;&gt;"",VLOOKUP(X1965,game_rosters!$C$43:$E$64,3,FALSE))</f>
        <v>0</v>
      </c>
      <c r="Z1965" t="e" cm="1" vm="1">
        <f t="array" aca="1" ref="Z1965" ca="1">IFERROR(IF(_xlfn._xlws.FILTER(game_rosters!$J:$J,(game_rosters!$G:$G=events!$AN1965)*(game_rosters!$J:$J=events!$X1965))&gt;0,1,""),"")</f>
        <v>#VALUE!</v>
      </c>
      <c r="AA1965">
        <f t="shared" si="203"/>
        <v>1000</v>
      </c>
      <c r="AB1965" t="str">
        <f t="shared" si="204"/>
        <v/>
      </c>
      <c r="AC1965">
        <f t="shared" si="201"/>
        <v>1000</v>
      </c>
      <c r="AD1965" s="6"/>
    </row>
    <row r="1966" spans="1:30" x14ac:dyDescent="0.2">
      <c r="A1966" t="str">
        <f t="shared" si="202"/>
        <v/>
      </c>
      <c r="X1966" t="str" cm="1">
        <f t="array" ref="X1966">IF(S1966="","",IF($I1966&lt;&gt;"",$I1966,INDEX($I$2:$I1965,ROW()-COUNTIFS($T$2:$T1965,"="&amp;$T1966,$S$2:$S1965,"&lt;&gt;"&amp;$S1966)-1)))</f>
        <v/>
      </c>
      <c r="Y1966" t="b">
        <f>IF(X1966&lt;&gt;"",VLOOKUP(X1966,game_rosters!$C$43:$E$64,3,FALSE))</f>
        <v>0</v>
      </c>
      <c r="Z1966" t="e" cm="1" vm="1">
        <f t="array" aca="1" ref="Z1966" ca="1">IFERROR(IF(_xlfn._xlws.FILTER(game_rosters!$J:$J,(game_rosters!$G:$G=events!$AN1966)*(game_rosters!$J:$J=events!$X1966))&gt;0,1,""),"")</f>
        <v>#VALUE!</v>
      </c>
      <c r="AA1966">
        <f t="shared" si="203"/>
        <v>1000</v>
      </c>
      <c r="AB1966" t="str">
        <f t="shared" si="204"/>
        <v/>
      </c>
      <c r="AC1966">
        <f t="shared" si="201"/>
        <v>1000</v>
      </c>
      <c r="AD1966" s="6"/>
    </row>
    <row r="1967" spans="1:30" x14ac:dyDescent="0.2">
      <c r="A1967" t="str">
        <f t="shared" si="202"/>
        <v/>
      </c>
      <c r="X1967" t="str" cm="1">
        <f t="array" ref="X1967">IF(S1967="","",IF($I1967&lt;&gt;"",$I1967,INDEX($I$2:$I1966,ROW()-COUNTIFS($T$2:$T1966,"="&amp;$T1967,$S$2:$S1966,"&lt;&gt;"&amp;$S1967)-1)))</f>
        <v/>
      </c>
      <c r="Y1967" t="b">
        <f>IF(X1967&lt;&gt;"",VLOOKUP(X1967,game_rosters!$C$43:$E$64,3,FALSE))</f>
        <v>0</v>
      </c>
      <c r="Z1967" t="e" cm="1" vm="1">
        <f t="array" aca="1" ref="Z1967" ca="1">IFERROR(IF(_xlfn._xlws.FILTER(game_rosters!$J:$J,(game_rosters!$G:$G=events!$AN1967)*(game_rosters!$J:$J=events!$X1967))&gt;0,1,""),"")</f>
        <v>#VALUE!</v>
      </c>
      <c r="AA1967">
        <f t="shared" si="203"/>
        <v>1000</v>
      </c>
      <c r="AB1967" t="str">
        <f t="shared" si="204"/>
        <v/>
      </c>
      <c r="AC1967">
        <f t="shared" si="201"/>
        <v>1000</v>
      </c>
      <c r="AD1967" s="6"/>
    </row>
    <row r="1968" spans="1:30" x14ac:dyDescent="0.2">
      <c r="A1968" t="str">
        <f t="shared" si="202"/>
        <v/>
      </c>
      <c r="X1968" t="str" cm="1">
        <f t="array" ref="X1968">IF(S1968="","",IF($I1968&lt;&gt;"",$I1968,INDEX($I$2:$I1967,ROW()-COUNTIFS($T$2:$T1967,"="&amp;$T1968,$S$2:$S1967,"&lt;&gt;"&amp;$S1968)-1)))</f>
        <v/>
      </c>
      <c r="Y1968" t="b">
        <f>IF(X1968&lt;&gt;"",VLOOKUP(X1968,game_rosters!$C$43:$E$64,3,FALSE))</f>
        <v>0</v>
      </c>
      <c r="Z1968" t="e" cm="1" vm="1">
        <f t="array" aca="1" ref="Z1968" ca="1">IFERROR(IF(_xlfn._xlws.FILTER(game_rosters!$J:$J,(game_rosters!$G:$G=events!$AN1968)*(game_rosters!$J:$J=events!$X1968))&gt;0,1,""),"")</f>
        <v>#VALUE!</v>
      </c>
      <c r="AA1968">
        <f t="shared" si="203"/>
        <v>1000</v>
      </c>
      <c r="AB1968" t="str">
        <f t="shared" si="204"/>
        <v/>
      </c>
      <c r="AC1968">
        <f t="shared" si="201"/>
        <v>1000</v>
      </c>
      <c r="AD1968" s="6"/>
    </row>
    <row r="1969" spans="1:30" x14ac:dyDescent="0.2">
      <c r="A1969" t="str">
        <f t="shared" si="202"/>
        <v/>
      </c>
      <c r="X1969" t="str" cm="1">
        <f t="array" ref="X1969">IF(S1969="","",IF($I1969&lt;&gt;"",$I1969,INDEX($I$2:$I1968,ROW()-COUNTIFS($T$2:$T1968,"="&amp;$T1969,$S$2:$S1968,"&lt;&gt;"&amp;$S1969)-1)))</f>
        <v/>
      </c>
      <c r="Y1969" t="b">
        <f>IF(X1969&lt;&gt;"",VLOOKUP(X1969,game_rosters!$C$43:$E$64,3,FALSE))</f>
        <v>0</v>
      </c>
      <c r="Z1969" t="e" cm="1" vm="1">
        <f t="array" aca="1" ref="Z1969" ca="1">IFERROR(IF(_xlfn._xlws.FILTER(game_rosters!$J:$J,(game_rosters!$G:$G=events!$AN1969)*(game_rosters!$J:$J=events!$X1969))&gt;0,1,""),"")</f>
        <v>#VALUE!</v>
      </c>
      <c r="AA1969">
        <f t="shared" si="203"/>
        <v>1000</v>
      </c>
      <c r="AB1969" t="str">
        <f t="shared" si="204"/>
        <v/>
      </c>
      <c r="AC1969">
        <f t="shared" si="201"/>
        <v>1000</v>
      </c>
      <c r="AD1969" s="6"/>
    </row>
    <row r="1970" spans="1:30" x14ac:dyDescent="0.2">
      <c r="A1970" t="str">
        <f t="shared" si="202"/>
        <v/>
      </c>
      <c r="X1970" t="str" cm="1">
        <f t="array" ref="X1970">IF(S1970="","",IF($I1970&lt;&gt;"",$I1970,INDEX($I$2:$I1969,ROW()-COUNTIFS($T$2:$T1969,"="&amp;$T1970,$S$2:$S1969,"&lt;&gt;"&amp;$S1970)-1)))</f>
        <v/>
      </c>
      <c r="Y1970" t="b">
        <f>IF(X1970&lt;&gt;"",VLOOKUP(X1970,game_rosters!$C$43:$E$64,3,FALSE))</f>
        <v>0</v>
      </c>
      <c r="Z1970" t="e" cm="1" vm="1">
        <f t="array" aca="1" ref="Z1970" ca="1">IFERROR(IF(_xlfn._xlws.FILTER(game_rosters!$J:$J,(game_rosters!$G:$G=events!$AN1970)*(game_rosters!$J:$J=events!$X1970))&gt;0,1,""),"")</f>
        <v>#VALUE!</v>
      </c>
      <c r="AA1970">
        <f t="shared" si="203"/>
        <v>1000</v>
      </c>
      <c r="AB1970" t="str">
        <f t="shared" si="204"/>
        <v/>
      </c>
      <c r="AC1970">
        <f t="shared" si="201"/>
        <v>1000</v>
      </c>
      <c r="AD1970" s="6"/>
    </row>
    <row r="1971" spans="1:30" x14ac:dyDescent="0.2">
      <c r="A1971" t="str">
        <f t="shared" si="202"/>
        <v/>
      </c>
      <c r="X1971" t="str" cm="1">
        <f t="array" ref="X1971">IF(S1971="","",IF($I1971&lt;&gt;"",$I1971,INDEX($I$2:$I1970,ROW()-COUNTIFS($T$2:$T1970,"="&amp;$T1971,$S$2:$S1970,"&lt;&gt;"&amp;$S1971)-1)))</f>
        <v/>
      </c>
      <c r="Y1971" t="b">
        <f>IF(X1971&lt;&gt;"",VLOOKUP(X1971,game_rosters!$C$43:$E$64,3,FALSE))</f>
        <v>0</v>
      </c>
      <c r="Z1971" t="e" cm="1" vm="1">
        <f t="array" aca="1" ref="Z1971" ca="1">IFERROR(IF(_xlfn._xlws.FILTER(game_rosters!$J:$J,(game_rosters!$G:$G=events!$AN1971)*(game_rosters!$J:$J=events!$X1971))&gt;0,1,""),"")</f>
        <v>#VALUE!</v>
      </c>
      <c r="AA1971">
        <f t="shared" si="203"/>
        <v>1000</v>
      </c>
      <c r="AB1971" t="str">
        <f t="shared" si="204"/>
        <v/>
      </c>
      <c r="AC1971">
        <f t="shared" si="201"/>
        <v>1000</v>
      </c>
      <c r="AD1971" s="6"/>
    </row>
    <row r="1972" spans="1:30" x14ac:dyDescent="0.2">
      <c r="A1972" t="str">
        <f t="shared" si="202"/>
        <v/>
      </c>
      <c r="X1972" t="str" cm="1">
        <f t="array" ref="X1972">IF(S1972="","",IF($I1972&lt;&gt;"",$I1972,INDEX($I$2:$I1971,ROW()-COUNTIFS($T$2:$T1971,"="&amp;$T1972,$S$2:$S1971,"&lt;&gt;"&amp;$S1972)-1)))</f>
        <v/>
      </c>
      <c r="Y1972" t="b">
        <f>IF(X1972&lt;&gt;"",VLOOKUP(X1972,game_rosters!$C$43:$E$64,3,FALSE))</f>
        <v>0</v>
      </c>
      <c r="Z1972" t="e" cm="1" vm="1">
        <f t="array" aca="1" ref="Z1972" ca="1">IFERROR(IF(_xlfn._xlws.FILTER(game_rosters!$J:$J,(game_rosters!$G:$G=events!$AN1972)*(game_rosters!$J:$J=events!$X1972))&gt;0,1,""),"")</f>
        <v>#VALUE!</v>
      </c>
      <c r="AA1972">
        <f t="shared" si="203"/>
        <v>1000</v>
      </c>
      <c r="AB1972" t="str">
        <f t="shared" si="204"/>
        <v/>
      </c>
      <c r="AC1972">
        <f t="shared" si="201"/>
        <v>1000</v>
      </c>
      <c r="AD1972" s="6"/>
    </row>
    <row r="1973" spans="1:30" x14ac:dyDescent="0.2">
      <c r="A1973" t="str">
        <f t="shared" si="202"/>
        <v/>
      </c>
      <c r="X1973" t="str" cm="1">
        <f t="array" ref="X1973">IF(S1973="","",IF($I1973&lt;&gt;"",$I1973,INDEX($I$2:$I1972,ROW()-COUNTIFS($T$2:$T1972,"="&amp;$T1973,$S$2:$S1972,"&lt;&gt;"&amp;$S1973)-1)))</f>
        <v/>
      </c>
      <c r="Y1973" t="b">
        <f>IF(X1973&lt;&gt;"",VLOOKUP(X1973,game_rosters!$C$43:$E$64,3,FALSE))</f>
        <v>0</v>
      </c>
      <c r="Z1973" t="e" cm="1" vm="1">
        <f t="array" aca="1" ref="Z1973" ca="1">IFERROR(IF(_xlfn._xlws.FILTER(game_rosters!$J:$J,(game_rosters!$G:$G=events!$AN1973)*(game_rosters!$J:$J=events!$X1973))&gt;0,1,""),"")</f>
        <v>#VALUE!</v>
      </c>
      <c r="AA1973">
        <f t="shared" si="203"/>
        <v>1000</v>
      </c>
      <c r="AB1973" t="str">
        <f t="shared" si="204"/>
        <v/>
      </c>
      <c r="AC1973">
        <f t="shared" si="201"/>
        <v>1000</v>
      </c>
      <c r="AD1973" s="6"/>
    </row>
    <row r="1974" spans="1:30" x14ac:dyDescent="0.2">
      <c r="A1974" t="str">
        <f t="shared" si="202"/>
        <v/>
      </c>
      <c r="X1974" t="str" cm="1">
        <f t="array" ref="X1974">IF(S1974="","",IF($I1974&lt;&gt;"",$I1974,INDEX($I$2:$I1973,ROW()-COUNTIFS($T$2:$T1973,"="&amp;$T1974,$S$2:$S1973,"&lt;&gt;"&amp;$S1974)-1)))</f>
        <v/>
      </c>
      <c r="Y1974" t="b">
        <f>IF(X1974&lt;&gt;"",VLOOKUP(X1974,game_rosters!$C$43:$E$64,3,FALSE))</f>
        <v>0</v>
      </c>
      <c r="Z1974" t="e" cm="1" vm="1">
        <f t="array" aca="1" ref="Z1974" ca="1">IFERROR(IF(_xlfn._xlws.FILTER(game_rosters!$J:$J,(game_rosters!$G:$G=events!$AN1974)*(game_rosters!$J:$J=events!$X1974))&gt;0,1,""),"")</f>
        <v>#VALUE!</v>
      </c>
      <c r="AA1974">
        <f t="shared" si="203"/>
        <v>1000</v>
      </c>
      <c r="AB1974" t="str">
        <f t="shared" si="204"/>
        <v/>
      </c>
      <c r="AC1974">
        <f t="shared" si="201"/>
        <v>1000</v>
      </c>
      <c r="AD1974" s="6"/>
    </row>
    <row r="1975" spans="1:30" x14ac:dyDescent="0.2">
      <c r="A1975" t="str">
        <f t="shared" si="202"/>
        <v/>
      </c>
      <c r="X1975" t="str" cm="1">
        <f t="array" ref="X1975">IF(S1975="","",IF($I1975&lt;&gt;"",$I1975,INDEX($I$2:$I1974,ROW()-COUNTIFS($T$2:$T1974,"="&amp;$T1975,$S$2:$S1974,"&lt;&gt;"&amp;$S1975)-1)))</f>
        <v/>
      </c>
      <c r="Y1975" t="b">
        <f>IF(X1975&lt;&gt;"",VLOOKUP(X1975,game_rosters!$C$43:$E$64,3,FALSE))</f>
        <v>0</v>
      </c>
      <c r="Z1975" t="e" cm="1" vm="1">
        <f t="array" aca="1" ref="Z1975" ca="1">IFERROR(IF(_xlfn._xlws.FILTER(game_rosters!$J:$J,(game_rosters!$G:$G=events!$AN1975)*(game_rosters!$J:$J=events!$X1975))&gt;0,1,""),"")</f>
        <v>#VALUE!</v>
      </c>
      <c r="AA1975">
        <f t="shared" si="203"/>
        <v>1000</v>
      </c>
      <c r="AB1975" t="str">
        <f t="shared" si="204"/>
        <v/>
      </c>
      <c r="AC1975">
        <f t="shared" si="201"/>
        <v>1000</v>
      </c>
      <c r="AD1975" s="6"/>
    </row>
    <row r="1976" spans="1:30" x14ac:dyDescent="0.2">
      <c r="A1976" t="str">
        <f t="shared" si="202"/>
        <v/>
      </c>
      <c r="X1976" t="str" cm="1">
        <f t="array" ref="X1976">IF(S1976="","",IF($I1976&lt;&gt;"",$I1976,INDEX($I$2:$I1975,ROW()-COUNTIFS($T$2:$T1975,"="&amp;$T1976,$S$2:$S1975,"&lt;&gt;"&amp;$S1976)-1)))</f>
        <v/>
      </c>
      <c r="Y1976" t="b">
        <f>IF(X1976&lt;&gt;"",VLOOKUP(X1976,game_rosters!$C$43:$E$64,3,FALSE))</f>
        <v>0</v>
      </c>
      <c r="Z1976" t="e" cm="1" vm="1">
        <f t="array" aca="1" ref="Z1976" ca="1">IFERROR(IF(_xlfn._xlws.FILTER(game_rosters!$J:$J,(game_rosters!$G:$G=events!$AN1976)*(game_rosters!$J:$J=events!$X1976))&gt;0,1,""),"")</f>
        <v>#VALUE!</v>
      </c>
      <c r="AA1976">
        <f t="shared" si="203"/>
        <v>1000</v>
      </c>
      <c r="AB1976" t="str">
        <f t="shared" si="204"/>
        <v/>
      </c>
      <c r="AC1976">
        <f t="shared" si="201"/>
        <v>1000</v>
      </c>
      <c r="AD1976" s="6"/>
    </row>
    <row r="1977" spans="1:30" x14ac:dyDescent="0.2">
      <c r="A1977" t="str">
        <f t="shared" si="202"/>
        <v/>
      </c>
      <c r="X1977" t="str" cm="1">
        <f t="array" ref="X1977">IF(S1977="","",IF($I1977&lt;&gt;"",$I1977,INDEX($I$2:$I1976,ROW()-COUNTIFS($T$2:$T1976,"="&amp;$T1977,$S$2:$S1976,"&lt;&gt;"&amp;$S1977)-1)))</f>
        <v/>
      </c>
      <c r="Y1977" t="b">
        <f>IF(X1977&lt;&gt;"",VLOOKUP(X1977,game_rosters!$C$43:$E$64,3,FALSE))</f>
        <v>0</v>
      </c>
      <c r="Z1977" t="e" cm="1" vm="1">
        <f t="array" aca="1" ref="Z1977" ca="1">IFERROR(IF(_xlfn._xlws.FILTER(game_rosters!$J:$J,(game_rosters!$G:$G=events!$AN1977)*(game_rosters!$J:$J=events!$X1977))&gt;0,1,""),"")</f>
        <v>#VALUE!</v>
      </c>
      <c r="AA1977">
        <f t="shared" si="203"/>
        <v>1000</v>
      </c>
      <c r="AB1977" t="str">
        <f t="shared" si="204"/>
        <v/>
      </c>
      <c r="AC1977">
        <f t="shared" si="201"/>
        <v>1000</v>
      </c>
      <c r="AD1977" s="6"/>
    </row>
    <row r="1978" spans="1:30" x14ac:dyDescent="0.2">
      <c r="A1978" t="str">
        <f t="shared" si="202"/>
        <v/>
      </c>
      <c r="X1978" t="str" cm="1">
        <f t="array" ref="X1978">IF(S1978="","",IF($I1978&lt;&gt;"",$I1978,INDEX($I$2:$I1977,ROW()-COUNTIFS($T$2:$T1977,"="&amp;$T1978,$S$2:$S1977,"&lt;&gt;"&amp;$S1978)-1)))</f>
        <v/>
      </c>
      <c r="Y1978" t="b">
        <f>IF(X1978&lt;&gt;"",VLOOKUP(X1978,game_rosters!$C$43:$E$64,3,FALSE))</f>
        <v>0</v>
      </c>
      <c r="Z1978" t="e" cm="1" vm="1">
        <f t="array" aca="1" ref="Z1978" ca="1">IFERROR(IF(_xlfn._xlws.FILTER(game_rosters!$J:$J,(game_rosters!$G:$G=events!$AN1978)*(game_rosters!$J:$J=events!$X1978))&gt;0,1,""),"")</f>
        <v>#VALUE!</v>
      </c>
      <c r="AA1978">
        <f t="shared" si="203"/>
        <v>1000</v>
      </c>
      <c r="AB1978" t="str">
        <f t="shared" si="204"/>
        <v/>
      </c>
      <c r="AC1978">
        <f t="shared" si="201"/>
        <v>1000</v>
      </c>
      <c r="AD1978" s="6"/>
    </row>
    <row r="1979" spans="1:30" x14ac:dyDescent="0.2">
      <c r="A1979" t="str">
        <f t="shared" si="202"/>
        <v/>
      </c>
      <c r="X1979" t="str" cm="1">
        <f t="array" ref="X1979">IF(S1979="","",IF($I1979&lt;&gt;"",$I1979,INDEX($I$2:$I1978,ROW()-COUNTIFS($T$2:$T1978,"="&amp;$T1979,$S$2:$S1978,"&lt;&gt;"&amp;$S1979)-1)))</f>
        <v/>
      </c>
      <c r="Y1979" t="b">
        <f>IF(X1979&lt;&gt;"",VLOOKUP(X1979,game_rosters!$C$43:$E$64,3,FALSE))</f>
        <v>0</v>
      </c>
      <c r="Z1979" t="e" cm="1" vm="1">
        <f t="array" aca="1" ref="Z1979" ca="1">IFERROR(IF(_xlfn._xlws.FILTER(game_rosters!$J:$J,(game_rosters!$G:$G=events!$AN1979)*(game_rosters!$J:$J=events!$X1979))&gt;0,1,""),"")</f>
        <v>#VALUE!</v>
      </c>
      <c r="AA1979">
        <f t="shared" si="203"/>
        <v>1000</v>
      </c>
      <c r="AB1979" t="str">
        <f t="shared" si="204"/>
        <v/>
      </c>
      <c r="AC1979">
        <f t="shared" si="201"/>
        <v>1000</v>
      </c>
      <c r="AD1979" s="6"/>
    </row>
    <row r="1980" spans="1:30" x14ac:dyDescent="0.2">
      <c r="A1980" t="str">
        <f t="shared" si="202"/>
        <v/>
      </c>
      <c r="X1980" t="str" cm="1">
        <f t="array" ref="X1980">IF(S1980="","",IF($I1980&lt;&gt;"",$I1980,INDEX($I$2:$I1979,ROW()-COUNTIFS($T$2:$T1979,"="&amp;$T1980,$S$2:$S1979,"&lt;&gt;"&amp;$S1980)-1)))</f>
        <v/>
      </c>
      <c r="Y1980" t="b">
        <f>IF(X1980&lt;&gt;"",VLOOKUP(X1980,game_rosters!$C$43:$E$64,3,FALSE))</f>
        <v>0</v>
      </c>
      <c r="Z1980" t="e" cm="1" vm="1">
        <f t="array" aca="1" ref="Z1980" ca="1">IFERROR(IF(_xlfn._xlws.FILTER(game_rosters!$J:$J,(game_rosters!$G:$G=events!$AN1980)*(game_rosters!$J:$J=events!$X1980))&gt;0,1,""),"")</f>
        <v>#VALUE!</v>
      </c>
      <c r="AA1980">
        <f t="shared" si="203"/>
        <v>1000</v>
      </c>
      <c r="AB1980" t="str">
        <f t="shared" si="204"/>
        <v/>
      </c>
      <c r="AC1980">
        <f t="shared" si="201"/>
        <v>1000</v>
      </c>
      <c r="AD1980" s="6"/>
    </row>
    <row r="1981" spans="1:30" x14ac:dyDescent="0.2">
      <c r="A1981" t="str">
        <f t="shared" si="202"/>
        <v/>
      </c>
      <c r="X1981" t="str" cm="1">
        <f t="array" ref="X1981">IF(S1981="","",IF($I1981&lt;&gt;"",$I1981,INDEX($I$2:$I1980,ROW()-COUNTIFS($T$2:$T1980,"="&amp;$T1981,$S$2:$S1980,"&lt;&gt;"&amp;$S1981)-1)))</f>
        <v/>
      </c>
      <c r="Y1981" t="b">
        <f>IF(X1981&lt;&gt;"",VLOOKUP(X1981,game_rosters!$C$43:$E$64,3,FALSE))</f>
        <v>0</v>
      </c>
      <c r="Z1981" t="e" cm="1" vm="1">
        <f t="array" aca="1" ref="Z1981" ca="1">IFERROR(IF(_xlfn._xlws.FILTER(game_rosters!$J:$J,(game_rosters!$G:$G=events!$AN1981)*(game_rosters!$J:$J=events!$X1981))&gt;0,1,""),"")</f>
        <v>#VALUE!</v>
      </c>
      <c r="AA1981">
        <f t="shared" si="203"/>
        <v>1000</v>
      </c>
      <c r="AB1981" t="str">
        <f t="shared" si="204"/>
        <v/>
      </c>
      <c r="AC1981">
        <f t="shared" si="201"/>
        <v>1000</v>
      </c>
      <c r="AD1981" s="6"/>
    </row>
    <row r="1982" spans="1:30" x14ac:dyDescent="0.2">
      <c r="A1982" t="str">
        <f t="shared" si="202"/>
        <v/>
      </c>
      <c r="X1982" t="str" cm="1">
        <f t="array" ref="X1982">IF(S1982="","",IF($I1982&lt;&gt;"",$I1982,INDEX($I$2:$I1981,ROW()-COUNTIFS($T$2:$T1981,"="&amp;$T1982,$S$2:$S1981,"&lt;&gt;"&amp;$S1982)-1)))</f>
        <v/>
      </c>
      <c r="Y1982" t="b">
        <f>IF(X1982&lt;&gt;"",VLOOKUP(X1982,game_rosters!$C$43:$E$64,3,FALSE))</f>
        <v>0</v>
      </c>
      <c r="Z1982" t="e" cm="1" vm="1">
        <f t="array" aca="1" ref="Z1982" ca="1">IFERROR(IF(_xlfn._xlws.FILTER(game_rosters!$J:$J,(game_rosters!$G:$G=events!$AN1982)*(game_rosters!$J:$J=events!$X1982))&gt;0,1,""),"")</f>
        <v>#VALUE!</v>
      </c>
      <c r="AA1982">
        <f t="shared" si="203"/>
        <v>1000</v>
      </c>
      <c r="AB1982" t="str">
        <f t="shared" si="204"/>
        <v/>
      </c>
      <c r="AC1982">
        <f t="shared" si="201"/>
        <v>1000</v>
      </c>
      <c r="AD1982" s="6"/>
    </row>
    <row r="1983" spans="1:30" x14ac:dyDescent="0.2">
      <c r="A1983" t="str">
        <f t="shared" si="202"/>
        <v/>
      </c>
      <c r="X1983" t="str" cm="1">
        <f t="array" ref="X1983">IF(S1983="","",IF($I1983&lt;&gt;"",$I1983,INDEX($I$2:$I1982,ROW()-COUNTIFS($T$2:$T1982,"="&amp;$T1983,$S$2:$S1982,"&lt;&gt;"&amp;$S1983)-1)))</f>
        <v/>
      </c>
      <c r="Y1983" t="b">
        <f>IF(X1983&lt;&gt;"",VLOOKUP(X1983,game_rosters!$C$43:$E$64,3,FALSE))</f>
        <v>0</v>
      </c>
      <c r="Z1983" t="e" cm="1" vm="1">
        <f t="array" aca="1" ref="Z1983" ca="1">IFERROR(IF(_xlfn._xlws.FILTER(game_rosters!$J:$J,(game_rosters!$G:$G=events!$AN1983)*(game_rosters!$J:$J=events!$X1983))&gt;0,1,""),"")</f>
        <v>#VALUE!</v>
      </c>
      <c r="AA1983">
        <f t="shared" si="203"/>
        <v>1000</v>
      </c>
      <c r="AB1983" t="str">
        <f t="shared" si="204"/>
        <v/>
      </c>
      <c r="AC1983">
        <f t="shared" si="201"/>
        <v>1000</v>
      </c>
      <c r="AD1983" s="6"/>
    </row>
    <row r="1984" spans="1:30" x14ac:dyDescent="0.2">
      <c r="A1984" t="str">
        <f t="shared" si="202"/>
        <v/>
      </c>
      <c r="X1984" t="str" cm="1">
        <f t="array" ref="X1984">IF(S1984="","",IF($I1984&lt;&gt;"",$I1984,INDEX($I$2:$I1983,ROW()-COUNTIFS($T$2:$T1983,"="&amp;$T1984,$S$2:$S1983,"&lt;&gt;"&amp;$S1984)-1)))</f>
        <v/>
      </c>
      <c r="Y1984" t="b">
        <f>IF(X1984&lt;&gt;"",VLOOKUP(X1984,game_rosters!$C$43:$E$64,3,FALSE))</f>
        <v>0</v>
      </c>
      <c r="Z1984" t="e" cm="1" vm="1">
        <f t="array" aca="1" ref="Z1984" ca="1">IFERROR(IF(_xlfn._xlws.FILTER(game_rosters!$J:$J,(game_rosters!$G:$G=events!$AN1984)*(game_rosters!$J:$J=events!$X1984))&gt;0,1,""),"")</f>
        <v>#VALUE!</v>
      </c>
      <c r="AA1984">
        <f t="shared" si="203"/>
        <v>1000</v>
      </c>
      <c r="AB1984" t="str">
        <f t="shared" si="204"/>
        <v/>
      </c>
      <c r="AC1984">
        <f t="shared" si="201"/>
        <v>1000</v>
      </c>
      <c r="AD1984" s="6"/>
    </row>
    <row r="1985" spans="1:30" x14ac:dyDescent="0.2">
      <c r="A1985" t="str">
        <f t="shared" si="202"/>
        <v/>
      </c>
      <c r="X1985" t="str" cm="1">
        <f t="array" ref="X1985">IF(S1985="","",IF($I1985&lt;&gt;"",$I1985,INDEX($I$2:$I1984,ROW()-COUNTIFS($T$2:$T1984,"="&amp;$T1985,$S$2:$S1984,"&lt;&gt;"&amp;$S1985)-1)))</f>
        <v/>
      </c>
      <c r="Y1985" t="b">
        <f>IF(X1985&lt;&gt;"",VLOOKUP(X1985,game_rosters!$C$43:$E$64,3,FALSE))</f>
        <v>0</v>
      </c>
      <c r="Z1985" t="e" cm="1" vm="1">
        <f t="array" aca="1" ref="Z1985" ca="1">IFERROR(IF(_xlfn._xlws.FILTER(game_rosters!$J:$J,(game_rosters!$G:$G=events!$AN1985)*(game_rosters!$J:$J=events!$X1985))&gt;0,1,""),"")</f>
        <v>#VALUE!</v>
      </c>
      <c r="AA1985">
        <f t="shared" si="203"/>
        <v>1000</v>
      </c>
      <c r="AB1985" t="str">
        <f t="shared" si="204"/>
        <v/>
      </c>
      <c r="AC1985">
        <f t="shared" si="201"/>
        <v>1000</v>
      </c>
      <c r="AD1985" s="6"/>
    </row>
    <row r="1986" spans="1:30" x14ac:dyDescent="0.2">
      <c r="A1986" t="str">
        <f t="shared" si="202"/>
        <v/>
      </c>
      <c r="X1986" t="str" cm="1">
        <f t="array" ref="X1986">IF(S1986="","",IF($I1986&lt;&gt;"",$I1986,INDEX($I$2:$I1985,ROW()-COUNTIFS($T$2:$T1985,"="&amp;$T1986,$S$2:$S1985,"&lt;&gt;"&amp;$S1986)-1)))</f>
        <v/>
      </c>
      <c r="Y1986" t="b">
        <f>IF(X1986&lt;&gt;"",VLOOKUP(X1986,game_rosters!$C$43:$E$64,3,FALSE))</f>
        <v>0</v>
      </c>
      <c r="Z1986" t="e" cm="1" vm="1">
        <f t="array" aca="1" ref="Z1986" ca="1">IFERROR(IF(_xlfn._xlws.FILTER(game_rosters!$J:$J,(game_rosters!$G:$G=events!$AN1986)*(game_rosters!$J:$J=events!$X1986))&gt;0,1,""),"")</f>
        <v>#VALUE!</v>
      </c>
      <c r="AA1986">
        <f t="shared" si="203"/>
        <v>1000</v>
      </c>
      <c r="AB1986" t="str">
        <f t="shared" si="204"/>
        <v/>
      </c>
      <c r="AC1986">
        <f t="shared" ref="AC1986:AC2049" si="205">IF(AB1986&lt;&gt;"",AB1986,S1986+1000)</f>
        <v>1000</v>
      </c>
      <c r="AD1986" s="6"/>
    </row>
    <row r="1987" spans="1:30" x14ac:dyDescent="0.2">
      <c r="A1987" t="str">
        <f t="shared" si="202"/>
        <v/>
      </c>
      <c r="X1987" t="str" cm="1">
        <f t="array" ref="X1987">IF(S1987="","",IF($I1987&lt;&gt;"",$I1987,INDEX($I$2:$I1986,ROW()-COUNTIFS($T$2:$T1986,"="&amp;$T1987,$S$2:$S1986,"&lt;&gt;"&amp;$S1987)-1)))</f>
        <v/>
      </c>
      <c r="Y1987" t="b">
        <f>IF(X1987&lt;&gt;"",VLOOKUP(X1987,game_rosters!$C$43:$E$64,3,FALSE))</f>
        <v>0</v>
      </c>
      <c r="Z1987" t="e" cm="1" vm="1">
        <f t="array" aca="1" ref="Z1987" ca="1">IFERROR(IF(_xlfn._xlws.FILTER(game_rosters!$J:$J,(game_rosters!$G:$G=events!$AN1987)*(game_rosters!$J:$J=events!$X1987))&gt;0,1,""),"")</f>
        <v>#VALUE!</v>
      </c>
      <c r="AA1987">
        <f t="shared" si="203"/>
        <v>1000</v>
      </c>
      <c r="AB1987" t="str">
        <f t="shared" si="204"/>
        <v/>
      </c>
      <c r="AC1987">
        <f t="shared" si="205"/>
        <v>1000</v>
      </c>
      <c r="AD1987" s="6"/>
    </row>
    <row r="1988" spans="1:30" x14ac:dyDescent="0.2">
      <c r="A1988" t="str">
        <f t="shared" si="202"/>
        <v/>
      </c>
      <c r="X1988" t="str" cm="1">
        <f t="array" ref="X1988">IF(S1988="","",IF($I1988&lt;&gt;"",$I1988,INDEX($I$2:$I1987,ROW()-COUNTIFS($T$2:$T1987,"="&amp;$T1988,$S$2:$S1987,"&lt;&gt;"&amp;$S1988)-1)))</f>
        <v/>
      </c>
      <c r="Y1988" t="b">
        <f>IF(X1988&lt;&gt;"",VLOOKUP(X1988,game_rosters!$C$43:$E$64,3,FALSE))</f>
        <v>0</v>
      </c>
      <c r="Z1988" t="e" cm="1" vm="1">
        <f t="array" aca="1" ref="Z1988" ca="1">IFERROR(IF(_xlfn._xlws.FILTER(game_rosters!$J:$J,(game_rosters!$G:$G=events!$AN1988)*(game_rosters!$J:$J=events!$X1988))&gt;0,1,""),"")</f>
        <v>#VALUE!</v>
      </c>
      <c r="AA1988">
        <f t="shared" si="203"/>
        <v>1000</v>
      </c>
      <c r="AB1988" t="str">
        <f t="shared" si="204"/>
        <v/>
      </c>
      <c r="AC1988">
        <f t="shared" si="205"/>
        <v>1000</v>
      </c>
      <c r="AD1988" s="6"/>
    </row>
    <row r="1989" spans="1:30" x14ac:dyDescent="0.2">
      <c r="A1989" t="str">
        <f t="shared" ref="A1989:A2052" si="206">IF(K1989&lt;&gt;"",1,IF(D1989="x","x",""))</f>
        <v/>
      </c>
      <c r="X1989" t="str" cm="1">
        <f t="array" ref="X1989">IF(S1989="","",IF($I1989&lt;&gt;"",$I1989,INDEX($I$2:$I1988,ROW()-COUNTIFS($T$2:$T1988,"="&amp;$T1989,$S$2:$S1988,"&lt;&gt;"&amp;$S1989)-1)))</f>
        <v/>
      </c>
      <c r="Y1989" t="b">
        <f>IF(X1989&lt;&gt;"",VLOOKUP(X1989,game_rosters!$C$43:$E$64,3,FALSE))</f>
        <v>0</v>
      </c>
      <c r="Z1989" t="e" cm="1" vm="1">
        <f t="array" aca="1" ref="Z1989" ca="1">IFERROR(IF(_xlfn._xlws.FILTER(game_rosters!$J:$J,(game_rosters!$G:$G=events!$AN1989)*(game_rosters!$J:$J=events!$X1989))&gt;0,1,""),"")</f>
        <v>#VALUE!</v>
      </c>
      <c r="AA1989">
        <f t="shared" si="203"/>
        <v>1000</v>
      </c>
      <c r="AB1989" t="str">
        <f t="shared" si="204"/>
        <v/>
      </c>
      <c r="AC1989">
        <f t="shared" si="205"/>
        <v>1000</v>
      </c>
      <c r="AD1989" s="6"/>
    </row>
    <row r="1990" spans="1:30" x14ac:dyDescent="0.2">
      <c r="A1990" t="str">
        <f t="shared" si="206"/>
        <v/>
      </c>
      <c r="X1990" t="str" cm="1">
        <f t="array" ref="X1990">IF(S1990="","",IF($I1990&lt;&gt;"",$I1990,INDEX($I$2:$I1989,ROW()-COUNTIFS($T$2:$T1989,"="&amp;$T1990,$S$2:$S1989,"&lt;&gt;"&amp;$S1990)-1)))</f>
        <v/>
      </c>
      <c r="Y1990" t="b">
        <f>IF(X1990&lt;&gt;"",VLOOKUP(X1990,game_rosters!$C$43:$E$64,3,FALSE))</f>
        <v>0</v>
      </c>
      <c r="Z1990" t="e" cm="1" vm="1">
        <f t="array" aca="1" ref="Z1990" ca="1">IFERROR(IF(_xlfn._xlws.FILTER(game_rosters!$J:$J,(game_rosters!$G:$G=events!$AN1990)*(game_rosters!$J:$J=events!$X1990))&gt;0,1,""),"")</f>
        <v>#VALUE!</v>
      </c>
      <c r="AA1990">
        <f t="shared" si="203"/>
        <v>1000</v>
      </c>
      <c r="AB1990" t="str">
        <f t="shared" si="204"/>
        <v/>
      </c>
      <c r="AC1990">
        <f t="shared" si="205"/>
        <v>1000</v>
      </c>
      <c r="AD1990" s="6"/>
    </row>
    <row r="1991" spans="1:30" x14ac:dyDescent="0.2">
      <c r="A1991" t="str">
        <f t="shared" si="206"/>
        <v/>
      </c>
      <c r="X1991" t="str" cm="1">
        <f t="array" ref="X1991">IF(S1991="","",IF($I1991&lt;&gt;"",$I1991,INDEX($I$2:$I1990,ROW()-COUNTIFS($T$2:$T1990,"="&amp;$T1991,$S$2:$S1990,"&lt;&gt;"&amp;$S1991)-1)))</f>
        <v/>
      </c>
      <c r="Y1991" t="b">
        <f>IF(X1991&lt;&gt;"",VLOOKUP(X1991,game_rosters!$C$43:$E$64,3,FALSE))</f>
        <v>0</v>
      </c>
      <c r="Z1991" t="e" cm="1" vm="1">
        <f t="array" aca="1" ref="Z1991" ca="1">IFERROR(IF(_xlfn._xlws.FILTER(game_rosters!$J:$J,(game_rosters!$G:$G=events!$AN1991)*(game_rosters!$J:$J=events!$X1991))&gt;0,1,""),"")</f>
        <v>#VALUE!</v>
      </c>
      <c r="AA1991">
        <f t="shared" si="203"/>
        <v>1000</v>
      </c>
      <c r="AB1991" t="str">
        <f t="shared" si="204"/>
        <v/>
      </c>
      <c r="AC1991">
        <f t="shared" si="205"/>
        <v>1000</v>
      </c>
      <c r="AD1991" s="6"/>
    </row>
    <row r="1992" spans="1:30" x14ac:dyDescent="0.2">
      <c r="A1992" t="str">
        <f t="shared" si="206"/>
        <v/>
      </c>
      <c r="X1992" t="str" cm="1">
        <f t="array" ref="X1992">IF(S1992="","",IF($I1992&lt;&gt;"",$I1992,INDEX($I$2:$I1991,ROW()-COUNTIFS($T$2:$T1991,"="&amp;$T1992,$S$2:$S1991,"&lt;&gt;"&amp;$S1992)-1)))</f>
        <v/>
      </c>
      <c r="Y1992" t="b">
        <f>IF(X1992&lt;&gt;"",VLOOKUP(X1992,game_rosters!$C$43:$E$64,3,FALSE))</f>
        <v>0</v>
      </c>
      <c r="Z1992" t="e" cm="1" vm="1">
        <f t="array" aca="1" ref="Z1992" ca="1">IFERROR(IF(_xlfn._xlws.FILTER(game_rosters!$J:$J,(game_rosters!$G:$G=events!$AN1992)*(game_rosters!$J:$J=events!$X1992))&gt;0,1,""),"")</f>
        <v>#VALUE!</v>
      </c>
      <c r="AA1992">
        <f t="shared" si="203"/>
        <v>1000</v>
      </c>
      <c r="AB1992" t="str">
        <f t="shared" si="204"/>
        <v/>
      </c>
      <c r="AC1992">
        <f t="shared" si="205"/>
        <v>1000</v>
      </c>
      <c r="AD1992" s="6"/>
    </row>
    <row r="1993" spans="1:30" x14ac:dyDescent="0.2">
      <c r="A1993" t="str">
        <f t="shared" si="206"/>
        <v/>
      </c>
      <c r="X1993" t="str" cm="1">
        <f t="array" ref="X1993">IF(S1993="","",IF($I1993&lt;&gt;"",$I1993,INDEX($I$2:$I1992,ROW()-COUNTIFS($T$2:$T1992,"="&amp;$T1993,$S$2:$S1992,"&lt;&gt;"&amp;$S1993)-1)))</f>
        <v/>
      </c>
      <c r="Y1993" t="b">
        <f>IF(X1993&lt;&gt;"",VLOOKUP(X1993,game_rosters!$C$43:$E$64,3,FALSE))</f>
        <v>0</v>
      </c>
      <c r="Z1993" t="e" cm="1" vm="1">
        <f t="array" aca="1" ref="Z1993" ca="1">IFERROR(IF(_xlfn._xlws.FILTER(game_rosters!$J:$J,(game_rosters!$G:$G=events!$AN1993)*(game_rosters!$J:$J=events!$X1993))&gt;0,1,""),"")</f>
        <v>#VALUE!</v>
      </c>
      <c r="AA1993">
        <f t="shared" si="203"/>
        <v>1000</v>
      </c>
      <c r="AB1993" t="str">
        <f t="shared" si="204"/>
        <v/>
      </c>
      <c r="AC1993">
        <f t="shared" si="205"/>
        <v>1000</v>
      </c>
      <c r="AD1993" s="6"/>
    </row>
    <row r="1994" spans="1:30" x14ac:dyDescent="0.2">
      <c r="A1994" t="str">
        <f t="shared" si="206"/>
        <v/>
      </c>
      <c r="X1994" t="str" cm="1">
        <f t="array" ref="X1994">IF(S1994="","",IF($I1994&lt;&gt;"",$I1994,INDEX($I$2:$I1993,ROW()-COUNTIFS($T$2:$T1993,"="&amp;$T1994,$S$2:$S1993,"&lt;&gt;"&amp;$S1994)-1)))</f>
        <v/>
      </c>
      <c r="Y1994" t="b">
        <f>IF(X1994&lt;&gt;"",VLOOKUP(X1994,game_rosters!$C$43:$E$64,3,FALSE))</f>
        <v>0</v>
      </c>
      <c r="Z1994" t="e" cm="1" vm="1">
        <f t="array" aca="1" ref="Z1994" ca="1">IFERROR(IF(_xlfn._xlws.FILTER(game_rosters!$J:$J,(game_rosters!$G:$G=events!$AN1994)*(game_rosters!$J:$J=events!$X1994))&gt;0,1,""),"")</f>
        <v>#VALUE!</v>
      </c>
      <c r="AA1994">
        <f t="shared" si="203"/>
        <v>1000</v>
      </c>
      <c r="AB1994" t="str">
        <f t="shared" si="204"/>
        <v/>
      </c>
      <c r="AC1994">
        <f t="shared" si="205"/>
        <v>1000</v>
      </c>
      <c r="AD1994" s="6"/>
    </row>
    <row r="1995" spans="1:30" x14ac:dyDescent="0.2">
      <c r="A1995" t="str">
        <f t="shared" si="206"/>
        <v/>
      </c>
      <c r="X1995" t="str" cm="1">
        <f t="array" ref="X1995">IF(S1995="","",IF($I1995&lt;&gt;"",$I1995,INDEX($I$2:$I1994,ROW()-COUNTIFS($T$2:$T1994,"="&amp;$T1995,$S$2:$S1994,"&lt;&gt;"&amp;$S1995)-1)))</f>
        <v/>
      </c>
      <c r="Y1995" t="b">
        <f>IF(X1995&lt;&gt;"",VLOOKUP(X1995,game_rosters!$C$43:$E$64,3,FALSE))</f>
        <v>0</v>
      </c>
      <c r="Z1995" t="e" cm="1" vm="1">
        <f t="array" aca="1" ref="Z1995" ca="1">IFERROR(IF(_xlfn._xlws.FILTER(game_rosters!$J:$J,(game_rosters!$G:$G=events!$AN1995)*(game_rosters!$J:$J=events!$X1995))&gt;0,1,""),"")</f>
        <v>#VALUE!</v>
      </c>
      <c r="AA1995">
        <f t="shared" si="203"/>
        <v>1000</v>
      </c>
      <c r="AB1995" t="str">
        <f t="shared" si="204"/>
        <v/>
      </c>
      <c r="AC1995">
        <f t="shared" si="205"/>
        <v>1000</v>
      </c>
      <c r="AD1995" s="6"/>
    </row>
    <row r="1996" spans="1:30" x14ac:dyDescent="0.2">
      <c r="A1996" t="str">
        <f t="shared" si="206"/>
        <v/>
      </c>
      <c r="X1996" t="str" cm="1">
        <f t="array" ref="X1996">IF(S1996="","",IF($I1996&lt;&gt;"",$I1996,INDEX($I$2:$I1995,ROW()-COUNTIFS($T$2:$T1995,"="&amp;$T1996,$S$2:$S1995,"&lt;&gt;"&amp;$S1996)-1)))</f>
        <v/>
      </c>
      <c r="Y1996" t="b">
        <f>IF(X1996&lt;&gt;"",VLOOKUP(X1996,game_rosters!$C$43:$E$64,3,FALSE))</f>
        <v>0</v>
      </c>
      <c r="Z1996" t="e" cm="1" vm="1">
        <f t="array" aca="1" ref="Z1996" ca="1">IFERROR(IF(_xlfn._xlws.FILTER(game_rosters!$J:$J,(game_rosters!$G:$G=events!$AN1996)*(game_rosters!$J:$J=events!$X1996))&gt;0,1,""),"")</f>
        <v>#VALUE!</v>
      </c>
      <c r="AA1996">
        <f t="shared" si="203"/>
        <v>1000</v>
      </c>
      <c r="AB1996" t="str">
        <f t="shared" si="204"/>
        <v/>
      </c>
      <c r="AC1996">
        <f t="shared" si="205"/>
        <v>1000</v>
      </c>
      <c r="AD1996" s="6"/>
    </row>
    <row r="1997" spans="1:30" x14ac:dyDescent="0.2">
      <c r="A1997" t="str">
        <f t="shared" si="206"/>
        <v/>
      </c>
      <c r="X1997" t="str" cm="1">
        <f t="array" ref="X1997">IF(S1997="","",IF($I1997&lt;&gt;"",$I1997,INDEX($I$2:$I1996,ROW()-COUNTIFS($T$2:$T1996,"="&amp;$T1997,$S$2:$S1996,"&lt;&gt;"&amp;$S1997)-1)))</f>
        <v/>
      </c>
      <c r="Y1997" t="b">
        <f>IF(X1997&lt;&gt;"",VLOOKUP(X1997,game_rosters!$C$43:$E$64,3,FALSE))</f>
        <v>0</v>
      </c>
      <c r="Z1997" t="e" cm="1" vm="1">
        <f t="array" aca="1" ref="Z1997" ca="1">IFERROR(IF(_xlfn._xlws.FILTER(game_rosters!$J:$J,(game_rosters!$G:$G=events!$AN1997)*(game_rosters!$J:$J=events!$X1997))&gt;0,1,""),"")</f>
        <v>#VALUE!</v>
      </c>
      <c r="AA1997">
        <f t="shared" si="203"/>
        <v>1000</v>
      </c>
      <c r="AB1997" t="str">
        <f t="shared" si="204"/>
        <v/>
      </c>
      <c r="AC1997">
        <f t="shared" si="205"/>
        <v>1000</v>
      </c>
      <c r="AD1997" s="6"/>
    </row>
    <row r="1998" spans="1:30" x14ac:dyDescent="0.2">
      <c r="A1998" t="str">
        <f t="shared" si="206"/>
        <v/>
      </c>
      <c r="X1998" t="str" cm="1">
        <f t="array" ref="X1998">IF(S1998="","",IF($I1998&lt;&gt;"",$I1998,INDEX($I$2:$I1997,ROW()-COUNTIFS($T$2:$T1997,"="&amp;$T1998,$S$2:$S1997,"&lt;&gt;"&amp;$S1998)-1)))</f>
        <v/>
      </c>
      <c r="Y1998" t="b">
        <f>IF(X1998&lt;&gt;"",VLOOKUP(X1998,game_rosters!$C$43:$E$64,3,FALSE))</f>
        <v>0</v>
      </c>
      <c r="Z1998" t="e" cm="1" vm="1">
        <f t="array" aca="1" ref="Z1998" ca="1">IFERROR(IF(_xlfn._xlws.FILTER(game_rosters!$J:$J,(game_rosters!$G:$G=events!$AN1998)*(game_rosters!$J:$J=events!$X1998))&gt;0,1,""),"")</f>
        <v>#VALUE!</v>
      </c>
      <c r="AA1998">
        <f t="shared" si="203"/>
        <v>1000</v>
      </c>
      <c r="AB1998" t="str">
        <f t="shared" si="204"/>
        <v/>
      </c>
      <c r="AC1998">
        <f t="shared" si="205"/>
        <v>1000</v>
      </c>
      <c r="AD1998" s="6"/>
    </row>
    <row r="1999" spans="1:30" x14ac:dyDescent="0.2">
      <c r="A1999" t="str">
        <f t="shared" si="206"/>
        <v/>
      </c>
      <c r="X1999" t="str" cm="1">
        <f t="array" ref="X1999">IF(S1999="","",IF($I1999&lt;&gt;"",$I1999,INDEX($I$2:$I1998,ROW()-COUNTIFS($T$2:$T1998,"="&amp;$T1999,$S$2:$S1998,"&lt;&gt;"&amp;$S1999)-1)))</f>
        <v/>
      </c>
      <c r="Y1999" t="b">
        <f>IF(X1999&lt;&gt;"",VLOOKUP(X1999,game_rosters!$C$43:$E$64,3,FALSE))</f>
        <v>0</v>
      </c>
      <c r="Z1999" t="e" cm="1" vm="1">
        <f t="array" aca="1" ref="Z1999" ca="1">IFERROR(IF(_xlfn._xlws.FILTER(game_rosters!$J:$J,(game_rosters!$G:$G=events!$AN1999)*(game_rosters!$J:$J=events!$X1999))&gt;0,1,""),"")</f>
        <v>#VALUE!</v>
      </c>
      <c r="AA1999">
        <f t="shared" si="203"/>
        <v>1000</v>
      </c>
      <c r="AB1999" t="str">
        <f t="shared" si="204"/>
        <v/>
      </c>
      <c r="AC1999">
        <f t="shared" si="205"/>
        <v>1000</v>
      </c>
      <c r="AD1999" s="6"/>
    </row>
    <row r="2000" spans="1:30" x14ac:dyDescent="0.2">
      <c r="A2000" t="str">
        <f t="shared" si="206"/>
        <v/>
      </c>
      <c r="X2000" t="str" cm="1">
        <f t="array" ref="X2000">IF(S2000="","",IF($I2000&lt;&gt;"",$I2000,INDEX($I$2:$I1999,ROW()-COUNTIFS($T$2:$T1999,"="&amp;$T2000,$S$2:$S1999,"&lt;&gt;"&amp;$S2000)-1)))</f>
        <v/>
      </c>
      <c r="Y2000" t="b">
        <f>IF(X2000&lt;&gt;"",VLOOKUP(X2000,game_rosters!$C$43:$E$64,3,FALSE))</f>
        <v>0</v>
      </c>
      <c r="Z2000" t="e" cm="1" vm="1">
        <f t="array" aca="1" ref="Z2000" ca="1">IFERROR(IF(_xlfn._xlws.FILTER(game_rosters!$J:$J,(game_rosters!$G:$G=events!$AN2000)*(game_rosters!$J:$J=events!$X2000))&gt;0,1,""),"")</f>
        <v>#VALUE!</v>
      </c>
      <c r="AA2000">
        <f t="shared" si="203"/>
        <v>1000</v>
      </c>
      <c r="AB2000" t="str">
        <f t="shared" si="204"/>
        <v/>
      </c>
      <c r="AC2000">
        <f t="shared" si="205"/>
        <v>1000</v>
      </c>
      <c r="AD2000" s="6"/>
    </row>
    <row r="2001" spans="1:30" x14ac:dyDescent="0.2">
      <c r="A2001" t="str">
        <f t="shared" si="206"/>
        <v/>
      </c>
      <c r="X2001" t="str" cm="1">
        <f t="array" ref="X2001">IF(S2001="","",IF($I2001&lt;&gt;"",$I2001,INDEX($I$2:$I2000,ROW()-COUNTIFS($T$2:$T2000,"="&amp;$T2001,$S$2:$S2000,"&lt;&gt;"&amp;$S2001)-1)))</f>
        <v/>
      </c>
      <c r="Y2001" t="b">
        <f>IF(X2001&lt;&gt;"",VLOOKUP(X2001,game_rosters!$C$43:$E$64,3,FALSE))</f>
        <v>0</v>
      </c>
      <c r="Z2001" t="e" cm="1" vm="1">
        <f t="array" aca="1" ref="Z2001" ca="1">IFERROR(IF(_xlfn._xlws.FILTER(game_rosters!$J:$J,(game_rosters!$G:$G=events!$AN2001)*(game_rosters!$J:$J=events!$X2001))&gt;0,1,""),"")</f>
        <v>#VALUE!</v>
      </c>
      <c r="AA2001">
        <f t="shared" si="203"/>
        <v>1000</v>
      </c>
      <c r="AB2001" t="str">
        <f t="shared" si="204"/>
        <v/>
      </c>
      <c r="AC2001">
        <f t="shared" si="205"/>
        <v>1000</v>
      </c>
      <c r="AD2001" s="6"/>
    </row>
    <row r="2002" spans="1:30" x14ac:dyDescent="0.2">
      <c r="A2002" t="str">
        <f t="shared" si="206"/>
        <v/>
      </c>
      <c r="X2002" t="str" cm="1">
        <f t="array" ref="X2002">IF(S2002="","",IF($I2002&lt;&gt;"",$I2002,INDEX($I$2:$I2001,ROW()-COUNTIFS($T$2:$T2001,"="&amp;$T2002,$S$2:$S2001,"&lt;&gt;"&amp;$S2002)-1)))</f>
        <v/>
      </c>
      <c r="Y2002" t="b">
        <f>IF(X2002&lt;&gt;"",VLOOKUP(X2002,game_rosters!$C$43:$E$64,3,FALSE))</f>
        <v>0</v>
      </c>
      <c r="Z2002" t="e" cm="1" vm="1">
        <f t="array" aca="1" ref="Z2002" ca="1">IFERROR(IF(_xlfn._xlws.FILTER(game_rosters!$J:$J,(game_rosters!$G:$G=events!$AN2002)*(game_rosters!$J:$J=events!$X2002))&gt;0,1,""),"")</f>
        <v>#VALUE!</v>
      </c>
      <c r="AA2002">
        <f t="shared" si="203"/>
        <v>1000</v>
      </c>
      <c r="AB2002" t="str">
        <f t="shared" si="204"/>
        <v/>
      </c>
      <c r="AC2002">
        <f t="shared" si="205"/>
        <v>1000</v>
      </c>
      <c r="AD2002" s="6"/>
    </row>
    <row r="2003" spans="1:30" x14ac:dyDescent="0.2">
      <c r="A2003" t="str">
        <f t="shared" si="206"/>
        <v/>
      </c>
      <c r="X2003" t="str" cm="1">
        <f t="array" ref="X2003">IF(S2003="","",IF($I2003&lt;&gt;"",$I2003,INDEX($I$2:$I2002,ROW()-COUNTIFS($T$2:$T2002,"="&amp;$T2003,$S$2:$S2002,"&lt;&gt;"&amp;$S2003)-1)))</f>
        <v/>
      </c>
      <c r="Y2003" t="b">
        <f>IF(X2003&lt;&gt;"",VLOOKUP(X2003,game_rosters!$C$43:$E$64,3,FALSE))</f>
        <v>0</v>
      </c>
      <c r="Z2003" t="e" cm="1" vm="1">
        <f t="array" aca="1" ref="Z2003" ca="1">IFERROR(IF(_xlfn._xlws.FILTER(game_rosters!$J:$J,(game_rosters!$G:$G=events!$AN2003)*(game_rosters!$J:$J=events!$X2003))&gt;0,1,""),"")</f>
        <v>#VALUE!</v>
      </c>
      <c r="AA2003">
        <f t="shared" si="203"/>
        <v>1000</v>
      </c>
      <c r="AB2003" t="str">
        <f t="shared" si="204"/>
        <v/>
      </c>
      <c r="AC2003">
        <f t="shared" si="205"/>
        <v>1000</v>
      </c>
      <c r="AD2003" s="6"/>
    </row>
    <row r="2004" spans="1:30" x14ac:dyDescent="0.2">
      <c r="A2004" t="str">
        <f t="shared" si="206"/>
        <v/>
      </c>
      <c r="X2004" t="str" cm="1">
        <f t="array" ref="X2004">IF(S2004="","",IF($I2004&lt;&gt;"",$I2004,INDEX($I$2:$I2003,ROW()-COUNTIFS($T$2:$T2003,"="&amp;$T2004,$S$2:$S2003,"&lt;&gt;"&amp;$S2004)-1)))</f>
        <v/>
      </c>
      <c r="Y2004" t="b">
        <f>IF(X2004&lt;&gt;"",VLOOKUP(X2004,game_rosters!$C$43:$E$64,3,FALSE))</f>
        <v>0</v>
      </c>
      <c r="Z2004" t="e" cm="1" vm="1">
        <f t="array" aca="1" ref="Z2004" ca="1">IFERROR(IF(_xlfn._xlws.FILTER(game_rosters!$J:$J,(game_rosters!$G:$G=events!$AN2004)*(game_rosters!$J:$J=events!$X2004))&gt;0,1,""),"")</f>
        <v>#VALUE!</v>
      </c>
      <c r="AA2004">
        <f t="shared" si="203"/>
        <v>1000</v>
      </c>
      <c r="AB2004" t="str">
        <f t="shared" si="204"/>
        <v/>
      </c>
      <c r="AC2004">
        <f t="shared" si="205"/>
        <v>1000</v>
      </c>
      <c r="AD2004" s="6"/>
    </row>
    <row r="2005" spans="1:30" x14ac:dyDescent="0.2">
      <c r="A2005" t="str">
        <f t="shared" si="206"/>
        <v/>
      </c>
      <c r="X2005" t="str" cm="1">
        <f t="array" ref="X2005">IF(S2005="","",IF($I2005&lt;&gt;"",$I2005,INDEX($I$2:$I2004,ROW()-COUNTIFS($T$2:$T2004,"="&amp;$T2005,$S$2:$S2004,"&lt;&gt;"&amp;$S2005)-1)))</f>
        <v/>
      </c>
      <c r="Y2005" t="b">
        <f>IF(X2005&lt;&gt;"",VLOOKUP(X2005,game_rosters!$C$43:$E$64,3,FALSE))</f>
        <v>0</v>
      </c>
      <c r="Z2005" t="e" cm="1" vm="1">
        <f t="array" aca="1" ref="Z2005" ca="1">IFERROR(IF(_xlfn._xlws.FILTER(game_rosters!$J:$J,(game_rosters!$G:$G=events!$AN2005)*(game_rosters!$J:$J=events!$X2005))&gt;0,1,""),"")</f>
        <v>#VALUE!</v>
      </c>
      <c r="AA2005">
        <f t="shared" si="203"/>
        <v>1000</v>
      </c>
      <c r="AB2005" t="str">
        <f t="shared" si="204"/>
        <v/>
      </c>
      <c r="AC2005">
        <f t="shared" si="205"/>
        <v>1000</v>
      </c>
      <c r="AD2005" s="6"/>
    </row>
    <row r="2006" spans="1:30" x14ac:dyDescent="0.2">
      <c r="A2006" t="str">
        <f t="shared" si="206"/>
        <v/>
      </c>
      <c r="X2006" t="str" cm="1">
        <f t="array" ref="X2006">IF(S2006="","",IF($I2006&lt;&gt;"",$I2006,INDEX($I$2:$I2005,ROW()-COUNTIFS($T$2:$T2005,"="&amp;$T2006,$S$2:$S2005,"&lt;&gt;"&amp;$S2006)-1)))</f>
        <v/>
      </c>
      <c r="Y2006" t="b">
        <f>IF(X2006&lt;&gt;"",VLOOKUP(X2006,game_rosters!$C$43:$E$64,3,FALSE))</f>
        <v>0</v>
      </c>
      <c r="Z2006" t="e" cm="1" vm="1">
        <f t="array" aca="1" ref="Z2006" ca="1">IFERROR(IF(_xlfn._xlws.FILTER(game_rosters!$J:$J,(game_rosters!$G:$G=events!$AN2006)*(game_rosters!$J:$J=events!$X2006))&gt;0,1,""),"")</f>
        <v>#VALUE!</v>
      </c>
      <c r="AA2006">
        <f t="shared" si="203"/>
        <v>1000</v>
      </c>
      <c r="AB2006" t="str">
        <f t="shared" si="204"/>
        <v/>
      </c>
      <c r="AC2006">
        <f t="shared" si="205"/>
        <v>1000</v>
      </c>
      <c r="AD2006" s="6"/>
    </row>
    <row r="2007" spans="1:30" x14ac:dyDescent="0.2">
      <c r="A2007" t="str">
        <f t="shared" si="206"/>
        <v/>
      </c>
      <c r="X2007" t="str" cm="1">
        <f t="array" ref="X2007">IF(S2007="","",IF($I2007&lt;&gt;"",$I2007,INDEX($I$2:$I2006,ROW()-COUNTIFS($T$2:$T2006,"="&amp;$T2007,$S$2:$S2006,"&lt;&gt;"&amp;$S2007)-1)))</f>
        <v/>
      </c>
      <c r="Y2007" t="b">
        <f>IF(X2007&lt;&gt;"",VLOOKUP(X2007,game_rosters!$C$43:$E$64,3,FALSE))</f>
        <v>0</v>
      </c>
      <c r="Z2007" t="e" cm="1" vm="1">
        <f t="array" aca="1" ref="Z2007" ca="1">IFERROR(IF(_xlfn._xlws.FILTER(game_rosters!$J:$J,(game_rosters!$G:$G=events!$AN2007)*(game_rosters!$J:$J=events!$X2007))&gt;0,1,""),"")</f>
        <v>#VALUE!</v>
      </c>
      <c r="AA2007">
        <f t="shared" si="203"/>
        <v>1000</v>
      </c>
      <c r="AB2007" t="str">
        <f t="shared" si="204"/>
        <v/>
      </c>
      <c r="AC2007">
        <f t="shared" si="205"/>
        <v>1000</v>
      </c>
      <c r="AD2007" s="6"/>
    </row>
    <row r="2008" spans="1:30" x14ac:dyDescent="0.2">
      <c r="A2008" t="str">
        <f t="shared" si="206"/>
        <v/>
      </c>
      <c r="X2008" t="str" cm="1">
        <f t="array" ref="X2008">IF(S2008="","",IF($I2008&lt;&gt;"",$I2008,INDEX($I$2:$I2007,ROW()-COUNTIFS($T$2:$T2007,"="&amp;$T2008,$S$2:$S2007,"&lt;&gt;"&amp;$S2008)-1)))</f>
        <v/>
      </c>
      <c r="Y2008" t="b">
        <f>IF(X2008&lt;&gt;"",VLOOKUP(X2008,game_rosters!$C$43:$E$64,3,FALSE))</f>
        <v>0</v>
      </c>
      <c r="Z2008" t="e" cm="1" vm="1">
        <f t="array" aca="1" ref="Z2008" ca="1">IFERROR(IF(_xlfn._xlws.FILTER(game_rosters!$J:$J,(game_rosters!$G:$G=events!$AN2008)*(game_rosters!$J:$J=events!$X2008))&gt;0,1,""),"")</f>
        <v>#VALUE!</v>
      </c>
      <c r="AA2008">
        <f t="shared" si="203"/>
        <v>1000</v>
      </c>
      <c r="AB2008" t="str">
        <f t="shared" si="204"/>
        <v/>
      </c>
      <c r="AC2008">
        <f t="shared" si="205"/>
        <v>1000</v>
      </c>
      <c r="AD2008" s="6"/>
    </row>
    <row r="2009" spans="1:30" x14ac:dyDescent="0.2">
      <c r="A2009" t="str">
        <f t="shared" si="206"/>
        <v/>
      </c>
      <c r="X2009" t="str" cm="1">
        <f t="array" ref="X2009">IF(S2009="","",IF($I2009&lt;&gt;"",$I2009,INDEX($I$2:$I2008,ROW()-COUNTIFS($T$2:$T2008,"="&amp;$T2009,$S$2:$S2008,"&lt;&gt;"&amp;$S2009)-1)))</f>
        <v/>
      </c>
      <c r="Y2009" t="b">
        <f>IF(X2009&lt;&gt;"",VLOOKUP(X2009,game_rosters!$C$43:$E$64,3,FALSE))</f>
        <v>0</v>
      </c>
      <c r="Z2009" t="e" cm="1" vm="1">
        <f t="array" aca="1" ref="Z2009" ca="1">IFERROR(IF(_xlfn._xlws.FILTER(game_rosters!$J:$J,(game_rosters!$G:$G=events!$AN2009)*(game_rosters!$J:$J=events!$X2009))&gt;0,1,""),"")</f>
        <v>#VALUE!</v>
      </c>
      <c r="AA2009">
        <f t="shared" si="203"/>
        <v>1000</v>
      </c>
      <c r="AB2009" t="str">
        <f t="shared" si="204"/>
        <v/>
      </c>
      <c r="AC2009">
        <f t="shared" si="205"/>
        <v>1000</v>
      </c>
      <c r="AD2009" s="6"/>
    </row>
    <row r="2010" spans="1:30" x14ac:dyDescent="0.2">
      <c r="A2010" t="str">
        <f t="shared" si="206"/>
        <v/>
      </c>
      <c r="X2010" t="str" cm="1">
        <f t="array" ref="X2010">IF(S2010="","",IF($I2010&lt;&gt;"",$I2010,INDEX($I$2:$I2009,ROW()-COUNTIFS($T$2:$T2009,"="&amp;$T2010,$S$2:$S2009,"&lt;&gt;"&amp;$S2010)-1)))</f>
        <v/>
      </c>
      <c r="Y2010" t="b">
        <f>IF(X2010&lt;&gt;"",VLOOKUP(X2010,game_rosters!$C$43:$E$64,3,FALSE))</f>
        <v>0</v>
      </c>
      <c r="Z2010" t="e" cm="1" vm="1">
        <f t="array" aca="1" ref="Z2010" ca="1">IFERROR(IF(_xlfn._xlws.FILTER(game_rosters!$J:$J,(game_rosters!$G:$G=events!$AN2010)*(game_rosters!$J:$J=events!$X2010))&gt;0,1,""),"")</f>
        <v>#VALUE!</v>
      </c>
      <c r="AA2010">
        <f t="shared" si="203"/>
        <v>1000</v>
      </c>
      <c r="AB2010" t="str">
        <f t="shared" si="204"/>
        <v/>
      </c>
      <c r="AC2010">
        <f t="shared" si="205"/>
        <v>1000</v>
      </c>
      <c r="AD2010" s="6"/>
    </row>
    <row r="2011" spans="1:30" x14ac:dyDescent="0.2">
      <c r="A2011" t="str">
        <f t="shared" si="206"/>
        <v/>
      </c>
      <c r="X2011" t="str" cm="1">
        <f t="array" ref="X2011">IF(S2011="","",IF($I2011&lt;&gt;"",$I2011,INDEX($I$2:$I2010,ROW()-COUNTIFS($T$2:$T2010,"="&amp;$T2011,$S$2:$S2010,"&lt;&gt;"&amp;$S2011)-1)))</f>
        <v/>
      </c>
      <c r="Y2011" t="b">
        <f>IF(X2011&lt;&gt;"",VLOOKUP(X2011,game_rosters!$C$43:$E$64,3,FALSE))</f>
        <v>0</v>
      </c>
      <c r="Z2011" t="e" cm="1" vm="1">
        <f t="array" aca="1" ref="Z2011" ca="1">IFERROR(IF(_xlfn._xlws.FILTER(game_rosters!$J:$J,(game_rosters!$G:$G=events!$AN2011)*(game_rosters!$J:$J=events!$X2011))&gt;0,1,""),"")</f>
        <v>#VALUE!</v>
      </c>
      <c r="AA2011">
        <f t="shared" si="203"/>
        <v>1000</v>
      </c>
      <c r="AB2011" t="str">
        <f t="shared" si="204"/>
        <v/>
      </c>
      <c r="AC2011">
        <f t="shared" si="205"/>
        <v>1000</v>
      </c>
      <c r="AD2011" s="6"/>
    </row>
    <row r="2012" spans="1:30" x14ac:dyDescent="0.2">
      <c r="A2012" t="str">
        <f t="shared" si="206"/>
        <v/>
      </c>
      <c r="X2012" t="str" cm="1">
        <f t="array" ref="X2012">IF(S2012="","",IF($I2012&lt;&gt;"",$I2012,INDEX($I$2:$I2011,ROW()-COUNTIFS($T$2:$T2011,"="&amp;$T2012,$S$2:$S2011,"&lt;&gt;"&amp;$S2012)-1)))</f>
        <v/>
      </c>
      <c r="Y2012" t="b">
        <f>IF(X2012&lt;&gt;"",VLOOKUP(X2012,game_rosters!$C$43:$E$64,3,FALSE))</f>
        <v>0</v>
      </c>
      <c r="Z2012" t="e" cm="1" vm="1">
        <f t="array" aca="1" ref="Z2012" ca="1">IFERROR(IF(_xlfn._xlws.FILTER(game_rosters!$J:$J,(game_rosters!$G:$G=events!$AN2012)*(game_rosters!$J:$J=events!$X2012))&gt;0,1,""),"")</f>
        <v>#VALUE!</v>
      </c>
      <c r="AA2012">
        <f t="shared" si="203"/>
        <v>1000</v>
      </c>
      <c r="AB2012" t="str">
        <f t="shared" si="204"/>
        <v/>
      </c>
      <c r="AC2012">
        <f t="shared" si="205"/>
        <v>1000</v>
      </c>
      <c r="AD2012" s="6"/>
    </row>
    <row r="2013" spans="1:30" x14ac:dyDescent="0.2">
      <c r="A2013" t="str">
        <f t="shared" si="206"/>
        <v/>
      </c>
      <c r="X2013" t="str" cm="1">
        <f t="array" ref="X2013">IF(S2013="","",IF($I2013&lt;&gt;"",$I2013,INDEX($I$2:$I2012,ROW()-COUNTIFS($T$2:$T2012,"="&amp;$T2013,$S$2:$S2012,"&lt;&gt;"&amp;$S2013)-1)))</f>
        <v/>
      </c>
      <c r="Y2013" t="b">
        <f>IF(X2013&lt;&gt;"",VLOOKUP(X2013,game_rosters!$C$43:$E$64,3,FALSE))</f>
        <v>0</v>
      </c>
      <c r="Z2013" t="e" cm="1" vm="1">
        <f t="array" aca="1" ref="Z2013" ca="1">IFERROR(IF(_xlfn._xlws.FILTER(game_rosters!$J:$J,(game_rosters!$G:$G=events!$AN2013)*(game_rosters!$J:$J=events!$X2013))&gt;0,1,""),"")</f>
        <v>#VALUE!</v>
      </c>
      <c r="AA2013">
        <f t="shared" ref="AA2013:AA2076" si="207">S2013+1000</f>
        <v>1000</v>
      </c>
      <c r="AB2013" t="str">
        <f t="shared" ref="AB2013:AB2076" si="208">IF(T2013&lt;&gt;"",9000+T2013,"")</f>
        <v/>
      </c>
      <c r="AC2013">
        <f t="shared" si="205"/>
        <v>1000</v>
      </c>
      <c r="AD2013" s="6"/>
    </row>
    <row r="2014" spans="1:30" x14ac:dyDescent="0.2">
      <c r="A2014" t="str">
        <f t="shared" si="206"/>
        <v/>
      </c>
      <c r="X2014" t="str" cm="1">
        <f t="array" ref="X2014">IF(S2014="","",IF($I2014&lt;&gt;"",$I2014,INDEX($I$2:$I2013,ROW()-COUNTIFS($T$2:$T2013,"="&amp;$T2014,$S$2:$S2013,"&lt;&gt;"&amp;$S2014)-1)))</f>
        <v/>
      </c>
      <c r="Y2014" t="b">
        <f>IF(X2014&lt;&gt;"",VLOOKUP(X2014,game_rosters!$C$43:$E$64,3,FALSE))</f>
        <v>0</v>
      </c>
      <c r="Z2014" t="e" cm="1" vm="1">
        <f t="array" aca="1" ref="Z2014" ca="1">IFERROR(IF(_xlfn._xlws.FILTER(game_rosters!$J:$J,(game_rosters!$G:$G=events!$AN2014)*(game_rosters!$J:$J=events!$X2014))&gt;0,1,""),"")</f>
        <v>#VALUE!</v>
      </c>
      <c r="AA2014">
        <f t="shared" si="207"/>
        <v>1000</v>
      </c>
      <c r="AB2014" t="str">
        <f t="shared" si="208"/>
        <v/>
      </c>
      <c r="AC2014">
        <f t="shared" si="205"/>
        <v>1000</v>
      </c>
      <c r="AD2014" s="6"/>
    </row>
    <row r="2015" spans="1:30" x14ac:dyDescent="0.2">
      <c r="A2015" t="str">
        <f t="shared" si="206"/>
        <v/>
      </c>
      <c r="X2015" t="str" cm="1">
        <f t="array" ref="X2015">IF(S2015="","",IF($I2015&lt;&gt;"",$I2015,INDEX($I$2:$I2014,ROW()-COUNTIFS($T$2:$T2014,"="&amp;$T2015,$S$2:$S2014,"&lt;&gt;"&amp;$S2015)-1)))</f>
        <v/>
      </c>
      <c r="Y2015" t="b">
        <f>IF(X2015&lt;&gt;"",VLOOKUP(X2015,game_rosters!$C$43:$E$64,3,FALSE))</f>
        <v>0</v>
      </c>
      <c r="Z2015" t="e" cm="1" vm="1">
        <f t="array" aca="1" ref="Z2015" ca="1">IFERROR(IF(_xlfn._xlws.FILTER(game_rosters!$J:$J,(game_rosters!$G:$G=events!$AN2015)*(game_rosters!$J:$J=events!$X2015))&gt;0,1,""),"")</f>
        <v>#VALUE!</v>
      </c>
      <c r="AA2015">
        <f t="shared" si="207"/>
        <v>1000</v>
      </c>
      <c r="AB2015" t="str">
        <f t="shared" si="208"/>
        <v/>
      </c>
      <c r="AC2015">
        <f t="shared" si="205"/>
        <v>1000</v>
      </c>
      <c r="AD2015" s="6"/>
    </row>
    <row r="2016" spans="1:30" x14ac:dyDescent="0.2">
      <c r="A2016" t="str">
        <f t="shared" si="206"/>
        <v/>
      </c>
      <c r="X2016" t="str" cm="1">
        <f t="array" ref="X2016">IF(S2016="","",IF($I2016&lt;&gt;"",$I2016,INDEX($I$2:$I2015,ROW()-COUNTIFS($T$2:$T2015,"="&amp;$T2016,$S$2:$S2015,"&lt;&gt;"&amp;$S2016)-1)))</f>
        <v/>
      </c>
      <c r="Y2016" t="b">
        <f>IF(X2016&lt;&gt;"",VLOOKUP(X2016,game_rosters!$C$43:$E$64,3,FALSE))</f>
        <v>0</v>
      </c>
      <c r="Z2016" t="e" cm="1" vm="1">
        <f t="array" aca="1" ref="Z2016" ca="1">IFERROR(IF(_xlfn._xlws.FILTER(game_rosters!$J:$J,(game_rosters!$G:$G=events!$AN2016)*(game_rosters!$J:$J=events!$X2016))&gt;0,1,""),"")</f>
        <v>#VALUE!</v>
      </c>
      <c r="AA2016">
        <f t="shared" si="207"/>
        <v>1000</v>
      </c>
      <c r="AB2016" t="str">
        <f t="shared" si="208"/>
        <v/>
      </c>
      <c r="AC2016">
        <f t="shared" si="205"/>
        <v>1000</v>
      </c>
      <c r="AD2016" s="6"/>
    </row>
    <row r="2017" spans="1:30" x14ac:dyDescent="0.2">
      <c r="A2017" t="str">
        <f t="shared" si="206"/>
        <v/>
      </c>
      <c r="X2017" t="str" cm="1">
        <f t="array" ref="X2017">IF(S2017="","",IF($I2017&lt;&gt;"",$I2017,INDEX($I$2:$I2016,ROW()-COUNTIFS($T$2:$T2016,"="&amp;$T2017,$S$2:$S2016,"&lt;&gt;"&amp;$S2017)-1)))</f>
        <v/>
      </c>
      <c r="Y2017" t="b">
        <f>IF(X2017&lt;&gt;"",VLOOKUP(X2017,game_rosters!$C$43:$E$64,3,FALSE))</f>
        <v>0</v>
      </c>
      <c r="Z2017" t="e" cm="1" vm="1">
        <f t="array" aca="1" ref="Z2017" ca="1">IFERROR(IF(_xlfn._xlws.FILTER(game_rosters!$J:$J,(game_rosters!$G:$G=events!$AN2017)*(game_rosters!$J:$J=events!$X2017))&gt;0,1,""),"")</f>
        <v>#VALUE!</v>
      </c>
      <c r="AA2017">
        <f t="shared" si="207"/>
        <v>1000</v>
      </c>
      <c r="AB2017" t="str">
        <f t="shared" si="208"/>
        <v/>
      </c>
      <c r="AC2017">
        <f t="shared" si="205"/>
        <v>1000</v>
      </c>
      <c r="AD2017" s="6"/>
    </row>
    <row r="2018" spans="1:30" x14ac:dyDescent="0.2">
      <c r="A2018" t="str">
        <f t="shared" si="206"/>
        <v/>
      </c>
      <c r="X2018" t="str" cm="1">
        <f t="array" ref="X2018">IF(S2018="","",IF($I2018&lt;&gt;"",$I2018,INDEX($I$2:$I2017,ROW()-COUNTIFS($T$2:$T2017,"="&amp;$T2018,$S$2:$S2017,"&lt;&gt;"&amp;$S2018)-1)))</f>
        <v/>
      </c>
      <c r="Y2018" t="b">
        <f>IF(X2018&lt;&gt;"",VLOOKUP(X2018,game_rosters!$C$43:$E$64,3,FALSE))</f>
        <v>0</v>
      </c>
      <c r="Z2018" t="e" cm="1" vm="1">
        <f t="array" aca="1" ref="Z2018" ca="1">IFERROR(IF(_xlfn._xlws.FILTER(game_rosters!$J:$J,(game_rosters!$G:$G=events!$AN2018)*(game_rosters!$J:$J=events!$X2018))&gt;0,1,""),"")</f>
        <v>#VALUE!</v>
      </c>
      <c r="AA2018">
        <f t="shared" si="207"/>
        <v>1000</v>
      </c>
      <c r="AB2018" t="str">
        <f t="shared" si="208"/>
        <v/>
      </c>
      <c r="AC2018">
        <f t="shared" si="205"/>
        <v>1000</v>
      </c>
      <c r="AD2018" s="6"/>
    </row>
    <row r="2019" spans="1:30" x14ac:dyDescent="0.2">
      <c r="A2019" t="str">
        <f t="shared" si="206"/>
        <v/>
      </c>
      <c r="X2019" t="str" cm="1">
        <f t="array" ref="X2019">IF(S2019="","",IF($I2019&lt;&gt;"",$I2019,INDEX($I$2:$I2018,ROW()-COUNTIFS($T$2:$T2018,"="&amp;$T2019,$S$2:$S2018,"&lt;&gt;"&amp;$S2019)-1)))</f>
        <v/>
      </c>
      <c r="Y2019" t="b">
        <f>IF(X2019&lt;&gt;"",VLOOKUP(X2019,game_rosters!$C$43:$E$64,3,FALSE))</f>
        <v>0</v>
      </c>
      <c r="Z2019" t="e" cm="1" vm="1">
        <f t="array" aca="1" ref="Z2019" ca="1">IFERROR(IF(_xlfn._xlws.FILTER(game_rosters!$J:$J,(game_rosters!$G:$G=events!$AN2019)*(game_rosters!$J:$J=events!$X2019))&gt;0,1,""),"")</f>
        <v>#VALUE!</v>
      </c>
      <c r="AA2019">
        <f t="shared" si="207"/>
        <v>1000</v>
      </c>
      <c r="AB2019" t="str">
        <f t="shared" si="208"/>
        <v/>
      </c>
      <c r="AC2019">
        <f t="shared" si="205"/>
        <v>1000</v>
      </c>
      <c r="AD2019" s="6"/>
    </row>
    <row r="2020" spans="1:30" x14ac:dyDescent="0.2">
      <c r="A2020" t="str">
        <f t="shared" si="206"/>
        <v/>
      </c>
      <c r="X2020" t="str" cm="1">
        <f t="array" ref="X2020">IF(S2020="","",IF($I2020&lt;&gt;"",$I2020,INDEX($I$2:$I2019,ROW()-COUNTIFS($T$2:$T2019,"="&amp;$T2020,$S$2:$S2019,"&lt;&gt;"&amp;$S2020)-1)))</f>
        <v/>
      </c>
      <c r="Y2020" t="b">
        <f>IF(X2020&lt;&gt;"",VLOOKUP(X2020,game_rosters!$C$43:$E$64,3,FALSE))</f>
        <v>0</v>
      </c>
      <c r="Z2020" t="e" cm="1" vm="1">
        <f t="array" aca="1" ref="Z2020" ca="1">IFERROR(IF(_xlfn._xlws.FILTER(game_rosters!$J:$J,(game_rosters!$G:$G=events!$AN2020)*(game_rosters!$J:$J=events!$X2020))&gt;0,1,""),"")</f>
        <v>#VALUE!</v>
      </c>
      <c r="AA2020">
        <f t="shared" si="207"/>
        <v>1000</v>
      </c>
      <c r="AB2020" t="str">
        <f t="shared" si="208"/>
        <v/>
      </c>
      <c r="AC2020">
        <f t="shared" si="205"/>
        <v>1000</v>
      </c>
      <c r="AD2020" s="6"/>
    </row>
    <row r="2021" spans="1:30" x14ac:dyDescent="0.2">
      <c r="A2021" t="str">
        <f t="shared" si="206"/>
        <v/>
      </c>
      <c r="X2021" t="str" cm="1">
        <f t="array" ref="X2021">IF(S2021="","",IF($I2021&lt;&gt;"",$I2021,INDEX($I$2:$I2020,ROW()-COUNTIFS($T$2:$T2020,"="&amp;$T2021,$S$2:$S2020,"&lt;&gt;"&amp;$S2021)-1)))</f>
        <v/>
      </c>
      <c r="Y2021" t="b">
        <f>IF(X2021&lt;&gt;"",VLOOKUP(X2021,game_rosters!$C$43:$E$64,3,FALSE))</f>
        <v>0</v>
      </c>
      <c r="Z2021" t="e" cm="1" vm="1">
        <f t="array" aca="1" ref="Z2021" ca="1">IFERROR(IF(_xlfn._xlws.FILTER(game_rosters!$J:$J,(game_rosters!$G:$G=events!$AN2021)*(game_rosters!$J:$J=events!$X2021))&gt;0,1,""),"")</f>
        <v>#VALUE!</v>
      </c>
      <c r="AA2021">
        <f t="shared" si="207"/>
        <v>1000</v>
      </c>
      <c r="AB2021" t="str">
        <f t="shared" si="208"/>
        <v/>
      </c>
      <c r="AC2021">
        <f t="shared" si="205"/>
        <v>1000</v>
      </c>
      <c r="AD2021" s="6"/>
    </row>
    <row r="2022" spans="1:30" x14ac:dyDescent="0.2">
      <c r="A2022" t="str">
        <f t="shared" si="206"/>
        <v/>
      </c>
      <c r="X2022" t="str" cm="1">
        <f t="array" ref="X2022">IF(S2022="","",IF($I2022&lt;&gt;"",$I2022,INDEX($I$2:$I2021,ROW()-COUNTIFS($T$2:$T2021,"="&amp;$T2022,$S$2:$S2021,"&lt;&gt;"&amp;$S2022)-1)))</f>
        <v/>
      </c>
      <c r="Y2022" t="b">
        <f>IF(X2022&lt;&gt;"",VLOOKUP(X2022,game_rosters!$C$43:$E$64,3,FALSE))</f>
        <v>0</v>
      </c>
      <c r="Z2022" t="e" cm="1" vm="1">
        <f t="array" aca="1" ref="Z2022" ca="1">IFERROR(IF(_xlfn._xlws.FILTER(game_rosters!$J:$J,(game_rosters!$G:$G=events!$AN2022)*(game_rosters!$J:$J=events!$X2022))&gt;0,1,""),"")</f>
        <v>#VALUE!</v>
      </c>
      <c r="AA2022">
        <f t="shared" si="207"/>
        <v>1000</v>
      </c>
      <c r="AB2022" t="str">
        <f t="shared" si="208"/>
        <v/>
      </c>
      <c r="AC2022">
        <f t="shared" si="205"/>
        <v>1000</v>
      </c>
      <c r="AD2022" s="6"/>
    </row>
    <row r="2023" spans="1:30" x14ac:dyDescent="0.2">
      <c r="A2023" t="str">
        <f t="shared" si="206"/>
        <v/>
      </c>
      <c r="X2023" t="str" cm="1">
        <f t="array" ref="X2023">IF(S2023="","",IF($I2023&lt;&gt;"",$I2023,INDEX($I$2:$I2022,ROW()-COUNTIFS($T$2:$T2022,"="&amp;$T2023,$S$2:$S2022,"&lt;&gt;"&amp;$S2023)-1)))</f>
        <v/>
      </c>
      <c r="Y2023" t="b">
        <f>IF(X2023&lt;&gt;"",VLOOKUP(X2023,game_rosters!$C$43:$E$64,3,FALSE))</f>
        <v>0</v>
      </c>
      <c r="Z2023" t="e" cm="1" vm="1">
        <f t="array" aca="1" ref="Z2023" ca="1">IFERROR(IF(_xlfn._xlws.FILTER(game_rosters!$J:$J,(game_rosters!$G:$G=events!$AN2023)*(game_rosters!$J:$J=events!$X2023))&gt;0,1,""),"")</f>
        <v>#VALUE!</v>
      </c>
      <c r="AA2023">
        <f t="shared" si="207"/>
        <v>1000</v>
      </c>
      <c r="AB2023" t="str">
        <f t="shared" si="208"/>
        <v/>
      </c>
      <c r="AC2023">
        <f t="shared" si="205"/>
        <v>1000</v>
      </c>
      <c r="AD2023" s="6"/>
    </row>
    <row r="2024" spans="1:30" x14ac:dyDescent="0.2">
      <c r="A2024" t="str">
        <f t="shared" si="206"/>
        <v/>
      </c>
      <c r="X2024" t="str" cm="1">
        <f t="array" ref="X2024">IF(S2024="","",IF($I2024&lt;&gt;"",$I2024,INDEX($I$2:$I2023,ROW()-COUNTIFS($T$2:$T2023,"="&amp;$T2024,$S$2:$S2023,"&lt;&gt;"&amp;$S2024)-1)))</f>
        <v/>
      </c>
      <c r="Y2024" t="b">
        <f>IF(X2024&lt;&gt;"",VLOOKUP(X2024,game_rosters!$C$43:$E$64,3,FALSE))</f>
        <v>0</v>
      </c>
      <c r="Z2024" t="e" cm="1" vm="1">
        <f t="array" aca="1" ref="Z2024" ca="1">IFERROR(IF(_xlfn._xlws.FILTER(game_rosters!$J:$J,(game_rosters!$G:$G=events!$AN2024)*(game_rosters!$J:$J=events!$X2024))&gt;0,1,""),"")</f>
        <v>#VALUE!</v>
      </c>
      <c r="AA2024">
        <f t="shared" si="207"/>
        <v>1000</v>
      </c>
      <c r="AB2024" t="str">
        <f t="shared" si="208"/>
        <v/>
      </c>
      <c r="AC2024">
        <f t="shared" si="205"/>
        <v>1000</v>
      </c>
      <c r="AD2024" s="6"/>
    </row>
    <row r="2025" spans="1:30" x14ac:dyDescent="0.2">
      <c r="A2025" t="str">
        <f t="shared" si="206"/>
        <v/>
      </c>
      <c r="X2025" t="str" cm="1">
        <f t="array" ref="X2025">IF(S2025="","",IF($I2025&lt;&gt;"",$I2025,INDEX($I$2:$I2024,ROW()-COUNTIFS($T$2:$T2024,"="&amp;$T2025,$S$2:$S2024,"&lt;&gt;"&amp;$S2025)-1)))</f>
        <v/>
      </c>
      <c r="Y2025" t="b">
        <f>IF(X2025&lt;&gt;"",VLOOKUP(X2025,game_rosters!$C$43:$E$64,3,FALSE))</f>
        <v>0</v>
      </c>
      <c r="Z2025" t="e" cm="1" vm="1">
        <f t="array" aca="1" ref="Z2025" ca="1">IFERROR(IF(_xlfn._xlws.FILTER(game_rosters!$J:$J,(game_rosters!$G:$G=events!$AN2025)*(game_rosters!$J:$J=events!$X2025))&gt;0,1,""),"")</f>
        <v>#VALUE!</v>
      </c>
      <c r="AA2025">
        <f t="shared" si="207"/>
        <v>1000</v>
      </c>
      <c r="AB2025" t="str">
        <f t="shared" si="208"/>
        <v/>
      </c>
      <c r="AC2025">
        <f t="shared" si="205"/>
        <v>1000</v>
      </c>
      <c r="AD2025" s="6"/>
    </row>
    <row r="2026" spans="1:30" x14ac:dyDescent="0.2">
      <c r="A2026" t="str">
        <f t="shared" si="206"/>
        <v/>
      </c>
      <c r="X2026" t="str" cm="1">
        <f t="array" ref="X2026">IF(S2026="","",IF($I2026&lt;&gt;"",$I2026,INDEX($I$2:$I2025,ROW()-COUNTIFS($T$2:$T2025,"="&amp;$T2026,$S$2:$S2025,"&lt;&gt;"&amp;$S2026)-1)))</f>
        <v/>
      </c>
      <c r="Y2026" t="b">
        <f>IF(X2026&lt;&gt;"",VLOOKUP(X2026,game_rosters!$C$43:$E$64,3,FALSE))</f>
        <v>0</v>
      </c>
      <c r="Z2026" t="e" cm="1" vm="1">
        <f t="array" aca="1" ref="Z2026" ca="1">IFERROR(IF(_xlfn._xlws.FILTER(game_rosters!$J:$J,(game_rosters!$G:$G=events!$AN2026)*(game_rosters!$J:$J=events!$X2026))&gt;0,1,""),"")</f>
        <v>#VALUE!</v>
      </c>
      <c r="AA2026">
        <f t="shared" si="207"/>
        <v>1000</v>
      </c>
      <c r="AB2026" t="str">
        <f t="shared" si="208"/>
        <v/>
      </c>
      <c r="AC2026">
        <f t="shared" si="205"/>
        <v>1000</v>
      </c>
      <c r="AD2026" s="6"/>
    </row>
    <row r="2027" spans="1:30" x14ac:dyDescent="0.2">
      <c r="A2027" t="str">
        <f t="shared" si="206"/>
        <v/>
      </c>
      <c r="X2027" t="str" cm="1">
        <f t="array" ref="X2027">IF(S2027="","",IF($I2027&lt;&gt;"",$I2027,INDEX($I$2:$I2026,ROW()-COUNTIFS($T$2:$T2026,"="&amp;$T2027,$S$2:$S2026,"&lt;&gt;"&amp;$S2027)-1)))</f>
        <v/>
      </c>
      <c r="Y2027" t="b">
        <f>IF(X2027&lt;&gt;"",VLOOKUP(X2027,game_rosters!$C$43:$E$64,3,FALSE))</f>
        <v>0</v>
      </c>
      <c r="Z2027" t="e" cm="1" vm="1">
        <f t="array" aca="1" ref="Z2027" ca="1">IFERROR(IF(_xlfn._xlws.FILTER(game_rosters!$J:$J,(game_rosters!$G:$G=events!$AN2027)*(game_rosters!$J:$J=events!$X2027))&gt;0,1,""),"")</f>
        <v>#VALUE!</v>
      </c>
      <c r="AA2027">
        <f t="shared" si="207"/>
        <v>1000</v>
      </c>
      <c r="AB2027" t="str">
        <f t="shared" si="208"/>
        <v/>
      </c>
      <c r="AC2027">
        <f t="shared" si="205"/>
        <v>1000</v>
      </c>
      <c r="AD2027" s="6"/>
    </row>
    <row r="2028" spans="1:30" x14ac:dyDescent="0.2">
      <c r="A2028" t="str">
        <f t="shared" si="206"/>
        <v/>
      </c>
      <c r="X2028" t="str" cm="1">
        <f t="array" ref="X2028">IF(S2028="","",IF($I2028&lt;&gt;"",$I2028,INDEX($I$2:$I2027,ROW()-COUNTIFS($T$2:$T2027,"="&amp;$T2028,$S$2:$S2027,"&lt;&gt;"&amp;$S2028)-1)))</f>
        <v/>
      </c>
      <c r="Y2028" t="b">
        <f>IF(X2028&lt;&gt;"",VLOOKUP(X2028,game_rosters!$C$43:$E$64,3,FALSE))</f>
        <v>0</v>
      </c>
      <c r="Z2028" t="e" cm="1" vm="1">
        <f t="array" aca="1" ref="Z2028" ca="1">IFERROR(IF(_xlfn._xlws.FILTER(game_rosters!$J:$J,(game_rosters!$G:$G=events!$AN2028)*(game_rosters!$J:$J=events!$X2028))&gt;0,1,""),"")</f>
        <v>#VALUE!</v>
      </c>
      <c r="AA2028">
        <f t="shared" si="207"/>
        <v>1000</v>
      </c>
      <c r="AB2028" t="str">
        <f t="shared" si="208"/>
        <v/>
      </c>
      <c r="AC2028">
        <f t="shared" si="205"/>
        <v>1000</v>
      </c>
      <c r="AD2028" s="6"/>
    </row>
    <row r="2029" spans="1:30" x14ac:dyDescent="0.2">
      <c r="A2029" t="str">
        <f t="shared" si="206"/>
        <v/>
      </c>
      <c r="X2029" t="str" cm="1">
        <f t="array" ref="X2029">IF(S2029="","",IF($I2029&lt;&gt;"",$I2029,INDEX($I$2:$I2028,ROW()-COUNTIFS($T$2:$T2028,"="&amp;$T2029,$S$2:$S2028,"&lt;&gt;"&amp;$S2029)-1)))</f>
        <v/>
      </c>
      <c r="Y2029" t="b">
        <f>IF(X2029&lt;&gt;"",VLOOKUP(X2029,game_rosters!$C$43:$E$64,3,FALSE))</f>
        <v>0</v>
      </c>
      <c r="Z2029" t="e" cm="1" vm="1">
        <f t="array" aca="1" ref="Z2029" ca="1">IFERROR(IF(_xlfn._xlws.FILTER(game_rosters!$J:$J,(game_rosters!$G:$G=events!$AN2029)*(game_rosters!$J:$J=events!$X2029))&gt;0,1,""),"")</f>
        <v>#VALUE!</v>
      </c>
      <c r="AA2029">
        <f t="shared" si="207"/>
        <v>1000</v>
      </c>
      <c r="AB2029" t="str">
        <f t="shared" si="208"/>
        <v/>
      </c>
      <c r="AC2029">
        <f t="shared" si="205"/>
        <v>1000</v>
      </c>
      <c r="AD2029" s="6"/>
    </row>
    <row r="2030" spans="1:30" x14ac:dyDescent="0.2">
      <c r="A2030" t="str">
        <f t="shared" si="206"/>
        <v/>
      </c>
      <c r="X2030" t="str" cm="1">
        <f t="array" ref="X2030">IF(S2030="","",IF($I2030&lt;&gt;"",$I2030,INDEX($I$2:$I2029,ROW()-COUNTIFS($T$2:$T2029,"="&amp;$T2030,$S$2:$S2029,"&lt;&gt;"&amp;$S2030)-1)))</f>
        <v/>
      </c>
      <c r="Y2030" t="b">
        <f>IF(X2030&lt;&gt;"",VLOOKUP(X2030,game_rosters!$C$43:$E$64,3,FALSE))</f>
        <v>0</v>
      </c>
      <c r="Z2030" t="e" cm="1" vm="1">
        <f t="array" aca="1" ref="Z2030" ca="1">IFERROR(IF(_xlfn._xlws.FILTER(game_rosters!$J:$J,(game_rosters!$G:$G=events!$AN2030)*(game_rosters!$J:$J=events!$X2030))&gt;0,1,""),"")</f>
        <v>#VALUE!</v>
      </c>
      <c r="AA2030">
        <f t="shared" si="207"/>
        <v>1000</v>
      </c>
      <c r="AB2030" t="str">
        <f t="shared" si="208"/>
        <v/>
      </c>
      <c r="AC2030">
        <f t="shared" si="205"/>
        <v>1000</v>
      </c>
      <c r="AD2030" s="6"/>
    </row>
    <row r="2031" spans="1:30" x14ac:dyDescent="0.2">
      <c r="A2031" t="str">
        <f t="shared" si="206"/>
        <v/>
      </c>
      <c r="X2031" t="str" cm="1">
        <f t="array" ref="X2031">IF(S2031="","",IF($I2031&lt;&gt;"",$I2031,INDEX($I$2:$I2030,ROW()-COUNTIFS($T$2:$T2030,"="&amp;$T2031,$S$2:$S2030,"&lt;&gt;"&amp;$S2031)-1)))</f>
        <v/>
      </c>
      <c r="Y2031" t="b">
        <f>IF(X2031&lt;&gt;"",VLOOKUP(X2031,game_rosters!$C$43:$E$64,3,FALSE))</f>
        <v>0</v>
      </c>
      <c r="Z2031" t="e" cm="1" vm="1">
        <f t="array" aca="1" ref="Z2031" ca="1">IFERROR(IF(_xlfn._xlws.FILTER(game_rosters!$J:$J,(game_rosters!$G:$G=events!$AN2031)*(game_rosters!$J:$J=events!$X2031))&gt;0,1,""),"")</f>
        <v>#VALUE!</v>
      </c>
      <c r="AA2031">
        <f t="shared" si="207"/>
        <v>1000</v>
      </c>
      <c r="AB2031" t="str">
        <f t="shared" si="208"/>
        <v/>
      </c>
      <c r="AC2031">
        <f t="shared" si="205"/>
        <v>1000</v>
      </c>
      <c r="AD2031" s="6"/>
    </row>
    <row r="2032" spans="1:30" x14ac:dyDescent="0.2">
      <c r="A2032" t="str">
        <f t="shared" si="206"/>
        <v/>
      </c>
      <c r="X2032" t="str" cm="1">
        <f t="array" ref="X2032">IF(S2032="","",IF($I2032&lt;&gt;"",$I2032,INDEX($I$2:$I2031,ROW()-COUNTIFS($T$2:$T2031,"="&amp;$T2032,$S$2:$S2031,"&lt;&gt;"&amp;$S2032)-1)))</f>
        <v/>
      </c>
      <c r="Y2032" t="b">
        <f>IF(X2032&lt;&gt;"",VLOOKUP(X2032,game_rosters!$C$43:$E$64,3,FALSE))</f>
        <v>0</v>
      </c>
      <c r="Z2032" t="e" cm="1" vm="1">
        <f t="array" aca="1" ref="Z2032" ca="1">IFERROR(IF(_xlfn._xlws.FILTER(game_rosters!$J:$J,(game_rosters!$G:$G=events!$AN2032)*(game_rosters!$J:$J=events!$X2032))&gt;0,1,""),"")</f>
        <v>#VALUE!</v>
      </c>
      <c r="AA2032">
        <f t="shared" si="207"/>
        <v>1000</v>
      </c>
      <c r="AB2032" t="str">
        <f t="shared" si="208"/>
        <v/>
      </c>
      <c r="AC2032">
        <f t="shared" si="205"/>
        <v>1000</v>
      </c>
      <c r="AD2032" s="6"/>
    </row>
    <row r="2033" spans="1:30" x14ac:dyDescent="0.2">
      <c r="A2033" t="str">
        <f t="shared" si="206"/>
        <v/>
      </c>
      <c r="X2033" t="str" cm="1">
        <f t="array" ref="X2033">IF(S2033="","",IF($I2033&lt;&gt;"",$I2033,INDEX($I$2:$I2032,ROW()-COUNTIFS($T$2:$T2032,"="&amp;$T2033,$S$2:$S2032,"&lt;&gt;"&amp;$S2033)-1)))</f>
        <v/>
      </c>
      <c r="Y2033" t="b">
        <f>IF(X2033&lt;&gt;"",VLOOKUP(X2033,game_rosters!$C$43:$E$64,3,FALSE))</f>
        <v>0</v>
      </c>
      <c r="Z2033" t="e" cm="1" vm="1">
        <f t="array" aca="1" ref="Z2033" ca="1">IFERROR(IF(_xlfn._xlws.FILTER(game_rosters!$J:$J,(game_rosters!$G:$G=events!$AN2033)*(game_rosters!$J:$J=events!$X2033))&gt;0,1,""),"")</f>
        <v>#VALUE!</v>
      </c>
      <c r="AA2033">
        <f t="shared" si="207"/>
        <v>1000</v>
      </c>
      <c r="AB2033" t="str">
        <f t="shared" si="208"/>
        <v/>
      </c>
      <c r="AC2033">
        <f t="shared" si="205"/>
        <v>1000</v>
      </c>
      <c r="AD2033" s="6"/>
    </row>
    <row r="2034" spans="1:30" x14ac:dyDescent="0.2">
      <c r="A2034" t="str">
        <f t="shared" si="206"/>
        <v/>
      </c>
      <c r="X2034" t="str" cm="1">
        <f t="array" ref="X2034">IF(S2034="","",IF($I2034&lt;&gt;"",$I2034,INDEX($I$2:$I2033,ROW()-COUNTIFS($T$2:$T2033,"="&amp;$T2034,$S$2:$S2033,"&lt;&gt;"&amp;$S2034)-1)))</f>
        <v/>
      </c>
      <c r="Y2034" t="b">
        <f>IF(X2034&lt;&gt;"",VLOOKUP(X2034,game_rosters!$C$43:$E$64,3,FALSE))</f>
        <v>0</v>
      </c>
      <c r="Z2034" t="e" cm="1" vm="1">
        <f t="array" aca="1" ref="Z2034" ca="1">IFERROR(IF(_xlfn._xlws.FILTER(game_rosters!$J:$J,(game_rosters!$G:$G=events!$AN2034)*(game_rosters!$J:$J=events!$X2034))&gt;0,1,""),"")</f>
        <v>#VALUE!</v>
      </c>
      <c r="AA2034">
        <f t="shared" si="207"/>
        <v>1000</v>
      </c>
      <c r="AB2034" t="str">
        <f t="shared" si="208"/>
        <v/>
      </c>
      <c r="AC2034">
        <f t="shared" si="205"/>
        <v>1000</v>
      </c>
      <c r="AD2034" s="6"/>
    </row>
    <row r="2035" spans="1:30" x14ac:dyDescent="0.2">
      <c r="A2035" t="str">
        <f t="shared" si="206"/>
        <v/>
      </c>
      <c r="X2035" t="str" cm="1">
        <f t="array" ref="X2035">IF(S2035="","",IF($I2035&lt;&gt;"",$I2035,INDEX($I$2:$I2034,ROW()-COUNTIFS($T$2:$T2034,"="&amp;$T2035,$S$2:$S2034,"&lt;&gt;"&amp;$S2035)-1)))</f>
        <v/>
      </c>
      <c r="Y2035" t="b">
        <f>IF(X2035&lt;&gt;"",VLOOKUP(X2035,game_rosters!$C$43:$E$64,3,FALSE))</f>
        <v>0</v>
      </c>
      <c r="Z2035" t="e" cm="1" vm="1">
        <f t="array" aca="1" ref="Z2035" ca="1">IFERROR(IF(_xlfn._xlws.FILTER(game_rosters!$J:$J,(game_rosters!$G:$G=events!$AN2035)*(game_rosters!$J:$J=events!$X2035))&gt;0,1,""),"")</f>
        <v>#VALUE!</v>
      </c>
      <c r="AA2035">
        <f t="shared" si="207"/>
        <v>1000</v>
      </c>
      <c r="AB2035" t="str">
        <f t="shared" si="208"/>
        <v/>
      </c>
      <c r="AC2035">
        <f t="shared" si="205"/>
        <v>1000</v>
      </c>
      <c r="AD2035" s="6"/>
    </row>
    <row r="2036" spans="1:30" x14ac:dyDescent="0.2">
      <c r="A2036" t="str">
        <f t="shared" si="206"/>
        <v/>
      </c>
      <c r="X2036" t="str" cm="1">
        <f t="array" ref="X2036">IF(S2036="","",IF($I2036&lt;&gt;"",$I2036,INDEX($I$2:$I2035,ROW()-COUNTIFS($T$2:$T2035,"="&amp;$T2036,$S$2:$S2035,"&lt;&gt;"&amp;$S2036)-1)))</f>
        <v/>
      </c>
      <c r="Y2036" t="b">
        <f>IF(X2036&lt;&gt;"",VLOOKUP(X2036,game_rosters!$C$43:$E$64,3,FALSE))</f>
        <v>0</v>
      </c>
      <c r="Z2036" t="e" cm="1" vm="1">
        <f t="array" aca="1" ref="Z2036" ca="1">IFERROR(IF(_xlfn._xlws.FILTER(game_rosters!$J:$J,(game_rosters!$G:$G=events!$AN2036)*(game_rosters!$J:$J=events!$X2036))&gt;0,1,""),"")</f>
        <v>#VALUE!</v>
      </c>
      <c r="AA2036">
        <f t="shared" si="207"/>
        <v>1000</v>
      </c>
      <c r="AB2036" t="str">
        <f t="shared" si="208"/>
        <v/>
      </c>
      <c r="AC2036">
        <f t="shared" si="205"/>
        <v>1000</v>
      </c>
      <c r="AD2036" s="6"/>
    </row>
    <row r="2037" spans="1:30" x14ac:dyDescent="0.2">
      <c r="A2037" t="str">
        <f t="shared" si="206"/>
        <v/>
      </c>
      <c r="X2037" t="str" cm="1">
        <f t="array" ref="X2037">IF(S2037="","",IF($I2037&lt;&gt;"",$I2037,INDEX($I$2:$I2036,ROW()-COUNTIFS($T$2:$T2036,"="&amp;$T2037,$S$2:$S2036,"&lt;&gt;"&amp;$S2037)-1)))</f>
        <v/>
      </c>
      <c r="Y2037" t="b">
        <f>IF(X2037&lt;&gt;"",VLOOKUP(X2037,game_rosters!$C$43:$E$64,3,FALSE))</f>
        <v>0</v>
      </c>
      <c r="Z2037" t="e" cm="1" vm="1">
        <f t="array" aca="1" ref="Z2037" ca="1">IFERROR(IF(_xlfn._xlws.FILTER(game_rosters!$J:$J,(game_rosters!$G:$G=events!$AN2037)*(game_rosters!$J:$J=events!$X2037))&gt;0,1,""),"")</f>
        <v>#VALUE!</v>
      </c>
      <c r="AA2037">
        <f t="shared" si="207"/>
        <v>1000</v>
      </c>
      <c r="AB2037" t="str">
        <f t="shared" si="208"/>
        <v/>
      </c>
      <c r="AC2037">
        <f t="shared" si="205"/>
        <v>1000</v>
      </c>
      <c r="AD2037" s="6"/>
    </row>
    <row r="2038" spans="1:30" x14ac:dyDescent="0.2">
      <c r="A2038" t="str">
        <f t="shared" si="206"/>
        <v/>
      </c>
      <c r="X2038" t="str" cm="1">
        <f t="array" ref="X2038">IF(S2038="","",IF($I2038&lt;&gt;"",$I2038,INDEX($I$2:$I2037,ROW()-COUNTIFS($T$2:$T2037,"="&amp;$T2038,$S$2:$S2037,"&lt;&gt;"&amp;$S2038)-1)))</f>
        <v/>
      </c>
      <c r="Y2038" t="b">
        <f>IF(X2038&lt;&gt;"",VLOOKUP(X2038,game_rosters!$C$43:$E$64,3,FALSE))</f>
        <v>0</v>
      </c>
      <c r="Z2038" t="e" cm="1" vm="1">
        <f t="array" aca="1" ref="Z2038" ca="1">IFERROR(IF(_xlfn._xlws.FILTER(game_rosters!$J:$J,(game_rosters!$G:$G=events!$AN2038)*(game_rosters!$J:$J=events!$X2038))&gt;0,1,""),"")</f>
        <v>#VALUE!</v>
      </c>
      <c r="AA2038">
        <f t="shared" si="207"/>
        <v>1000</v>
      </c>
      <c r="AB2038" t="str">
        <f t="shared" si="208"/>
        <v/>
      </c>
      <c r="AC2038">
        <f t="shared" si="205"/>
        <v>1000</v>
      </c>
      <c r="AD2038" s="6"/>
    </row>
    <row r="2039" spans="1:30" x14ac:dyDescent="0.2">
      <c r="A2039" t="str">
        <f t="shared" si="206"/>
        <v/>
      </c>
      <c r="X2039" t="str" cm="1">
        <f t="array" ref="X2039">IF(S2039="","",IF($I2039&lt;&gt;"",$I2039,INDEX($I$2:$I2038,ROW()-COUNTIFS($T$2:$T2038,"="&amp;$T2039,$S$2:$S2038,"&lt;&gt;"&amp;$S2039)-1)))</f>
        <v/>
      </c>
      <c r="Y2039" t="b">
        <f>IF(X2039&lt;&gt;"",VLOOKUP(X2039,game_rosters!$C$43:$E$64,3,FALSE))</f>
        <v>0</v>
      </c>
      <c r="Z2039" t="e" cm="1" vm="1">
        <f t="array" aca="1" ref="Z2039" ca="1">IFERROR(IF(_xlfn._xlws.FILTER(game_rosters!$J:$J,(game_rosters!$G:$G=events!$AN2039)*(game_rosters!$J:$J=events!$X2039))&gt;0,1,""),"")</f>
        <v>#VALUE!</v>
      </c>
      <c r="AA2039">
        <f t="shared" si="207"/>
        <v>1000</v>
      </c>
      <c r="AB2039" t="str">
        <f t="shared" si="208"/>
        <v/>
      </c>
      <c r="AC2039">
        <f t="shared" si="205"/>
        <v>1000</v>
      </c>
      <c r="AD2039" s="6"/>
    </row>
    <row r="2040" spans="1:30" x14ac:dyDescent="0.2">
      <c r="A2040" t="str">
        <f t="shared" si="206"/>
        <v/>
      </c>
      <c r="X2040" t="str" cm="1">
        <f t="array" ref="X2040">IF(S2040="","",IF($I2040&lt;&gt;"",$I2040,INDEX($I$2:$I2039,ROW()-COUNTIFS($T$2:$T2039,"="&amp;$T2040,$S$2:$S2039,"&lt;&gt;"&amp;$S2040)-1)))</f>
        <v/>
      </c>
      <c r="Y2040" t="b">
        <f>IF(X2040&lt;&gt;"",VLOOKUP(X2040,game_rosters!$C$43:$E$64,3,FALSE))</f>
        <v>0</v>
      </c>
      <c r="Z2040" t="e" cm="1" vm="1">
        <f t="array" aca="1" ref="Z2040" ca="1">IFERROR(IF(_xlfn._xlws.FILTER(game_rosters!$J:$J,(game_rosters!$G:$G=events!$AN2040)*(game_rosters!$J:$J=events!$X2040))&gt;0,1,""),"")</f>
        <v>#VALUE!</v>
      </c>
      <c r="AA2040">
        <f t="shared" si="207"/>
        <v>1000</v>
      </c>
      <c r="AB2040" t="str">
        <f t="shared" si="208"/>
        <v/>
      </c>
      <c r="AC2040">
        <f t="shared" si="205"/>
        <v>1000</v>
      </c>
      <c r="AD2040" s="6"/>
    </row>
    <row r="2041" spans="1:30" x14ac:dyDescent="0.2">
      <c r="A2041" t="str">
        <f t="shared" si="206"/>
        <v/>
      </c>
      <c r="X2041" t="str" cm="1">
        <f t="array" ref="X2041">IF(S2041="","",IF($I2041&lt;&gt;"",$I2041,INDEX($I$2:$I2040,ROW()-COUNTIFS($T$2:$T2040,"="&amp;$T2041,$S$2:$S2040,"&lt;&gt;"&amp;$S2041)-1)))</f>
        <v/>
      </c>
      <c r="Y2041" t="b">
        <f>IF(X2041&lt;&gt;"",VLOOKUP(X2041,game_rosters!$C$43:$E$64,3,FALSE))</f>
        <v>0</v>
      </c>
      <c r="Z2041" t="e" cm="1" vm="1">
        <f t="array" aca="1" ref="Z2041" ca="1">IFERROR(IF(_xlfn._xlws.FILTER(game_rosters!$J:$J,(game_rosters!$G:$G=events!$AN2041)*(game_rosters!$J:$J=events!$X2041))&gt;0,1,""),"")</f>
        <v>#VALUE!</v>
      </c>
      <c r="AA2041">
        <f t="shared" si="207"/>
        <v>1000</v>
      </c>
      <c r="AB2041" t="str">
        <f t="shared" si="208"/>
        <v/>
      </c>
      <c r="AC2041">
        <f t="shared" si="205"/>
        <v>1000</v>
      </c>
      <c r="AD2041" s="6"/>
    </row>
    <row r="2042" spans="1:30" x14ac:dyDescent="0.2">
      <c r="A2042" t="str">
        <f t="shared" si="206"/>
        <v/>
      </c>
      <c r="X2042" t="str" cm="1">
        <f t="array" ref="X2042">IF(S2042="","",IF($I2042&lt;&gt;"",$I2042,INDEX($I$2:$I2041,ROW()-COUNTIFS($T$2:$T2041,"="&amp;$T2042,$S$2:$S2041,"&lt;&gt;"&amp;$S2042)-1)))</f>
        <v/>
      </c>
      <c r="Y2042" t="b">
        <f>IF(X2042&lt;&gt;"",VLOOKUP(X2042,game_rosters!$C$43:$E$64,3,FALSE))</f>
        <v>0</v>
      </c>
      <c r="Z2042" t="e" cm="1" vm="1">
        <f t="array" aca="1" ref="Z2042" ca="1">IFERROR(IF(_xlfn._xlws.FILTER(game_rosters!$J:$J,(game_rosters!$G:$G=events!$AN2042)*(game_rosters!$J:$J=events!$X2042))&gt;0,1,""),"")</f>
        <v>#VALUE!</v>
      </c>
      <c r="AA2042">
        <f t="shared" si="207"/>
        <v>1000</v>
      </c>
      <c r="AB2042" t="str">
        <f t="shared" si="208"/>
        <v/>
      </c>
      <c r="AC2042">
        <f t="shared" si="205"/>
        <v>1000</v>
      </c>
      <c r="AD2042" s="6"/>
    </row>
    <row r="2043" spans="1:30" x14ac:dyDescent="0.2">
      <c r="A2043" t="str">
        <f t="shared" si="206"/>
        <v/>
      </c>
      <c r="X2043" t="str" cm="1">
        <f t="array" ref="X2043">IF(S2043="","",IF($I2043&lt;&gt;"",$I2043,INDEX($I$2:$I2042,ROW()-COUNTIFS($T$2:$T2042,"="&amp;$T2043,$S$2:$S2042,"&lt;&gt;"&amp;$S2043)-1)))</f>
        <v/>
      </c>
      <c r="Y2043" t="b">
        <f>IF(X2043&lt;&gt;"",VLOOKUP(X2043,game_rosters!$C$43:$E$64,3,FALSE))</f>
        <v>0</v>
      </c>
      <c r="Z2043" t="e" cm="1" vm="1">
        <f t="array" aca="1" ref="Z2043" ca="1">IFERROR(IF(_xlfn._xlws.FILTER(game_rosters!$J:$J,(game_rosters!$G:$G=events!$AN2043)*(game_rosters!$J:$J=events!$X2043))&gt;0,1,""),"")</f>
        <v>#VALUE!</v>
      </c>
      <c r="AA2043">
        <f t="shared" si="207"/>
        <v>1000</v>
      </c>
      <c r="AB2043" t="str">
        <f t="shared" si="208"/>
        <v/>
      </c>
      <c r="AC2043">
        <f t="shared" si="205"/>
        <v>1000</v>
      </c>
      <c r="AD2043" s="6"/>
    </row>
    <row r="2044" spans="1:30" x14ac:dyDescent="0.2">
      <c r="A2044" t="str">
        <f t="shared" si="206"/>
        <v/>
      </c>
      <c r="X2044" t="str" cm="1">
        <f t="array" ref="X2044">IF(S2044="","",IF($I2044&lt;&gt;"",$I2044,INDEX($I$2:$I2043,ROW()-COUNTIFS($T$2:$T2043,"="&amp;$T2044,$S$2:$S2043,"&lt;&gt;"&amp;$S2044)-1)))</f>
        <v/>
      </c>
      <c r="Y2044" t="b">
        <f>IF(X2044&lt;&gt;"",VLOOKUP(X2044,game_rosters!$C$43:$E$64,3,FALSE))</f>
        <v>0</v>
      </c>
      <c r="Z2044" t="e" cm="1" vm="1">
        <f t="array" aca="1" ref="Z2044" ca="1">IFERROR(IF(_xlfn._xlws.FILTER(game_rosters!$J:$J,(game_rosters!$G:$G=events!$AN2044)*(game_rosters!$J:$J=events!$X2044))&gt;0,1,""),"")</f>
        <v>#VALUE!</v>
      </c>
      <c r="AA2044">
        <f t="shared" si="207"/>
        <v>1000</v>
      </c>
      <c r="AB2044" t="str">
        <f t="shared" si="208"/>
        <v/>
      </c>
      <c r="AC2044">
        <f t="shared" si="205"/>
        <v>1000</v>
      </c>
      <c r="AD2044" s="6"/>
    </row>
    <row r="2045" spans="1:30" x14ac:dyDescent="0.2">
      <c r="A2045" t="str">
        <f t="shared" si="206"/>
        <v/>
      </c>
      <c r="X2045" t="str" cm="1">
        <f t="array" ref="X2045">IF(S2045="","",IF($I2045&lt;&gt;"",$I2045,INDEX($I$2:$I2044,ROW()-COUNTIFS($T$2:$T2044,"="&amp;$T2045,$S$2:$S2044,"&lt;&gt;"&amp;$S2045)-1)))</f>
        <v/>
      </c>
      <c r="Y2045" t="b">
        <f>IF(X2045&lt;&gt;"",VLOOKUP(X2045,game_rosters!$C$43:$E$64,3,FALSE))</f>
        <v>0</v>
      </c>
      <c r="Z2045" t="e" cm="1" vm="1">
        <f t="array" aca="1" ref="Z2045" ca="1">IFERROR(IF(_xlfn._xlws.FILTER(game_rosters!$J:$J,(game_rosters!$G:$G=events!$AN2045)*(game_rosters!$J:$J=events!$X2045))&gt;0,1,""),"")</f>
        <v>#VALUE!</v>
      </c>
      <c r="AA2045">
        <f t="shared" si="207"/>
        <v>1000</v>
      </c>
      <c r="AB2045" t="str">
        <f t="shared" si="208"/>
        <v/>
      </c>
      <c r="AC2045">
        <f t="shared" si="205"/>
        <v>1000</v>
      </c>
      <c r="AD2045" s="6"/>
    </row>
    <row r="2046" spans="1:30" x14ac:dyDescent="0.2">
      <c r="A2046" t="str">
        <f t="shared" si="206"/>
        <v/>
      </c>
      <c r="X2046" t="str" cm="1">
        <f t="array" ref="X2046">IF(S2046="","",IF($I2046&lt;&gt;"",$I2046,INDEX($I$2:$I2045,ROW()-COUNTIFS($T$2:$T2045,"="&amp;$T2046,$S$2:$S2045,"&lt;&gt;"&amp;$S2046)-1)))</f>
        <v/>
      </c>
      <c r="Y2046" t="b">
        <f>IF(X2046&lt;&gt;"",VLOOKUP(X2046,game_rosters!$C$43:$E$64,3,FALSE))</f>
        <v>0</v>
      </c>
      <c r="Z2046" t="e" cm="1" vm="1">
        <f t="array" aca="1" ref="Z2046" ca="1">IFERROR(IF(_xlfn._xlws.FILTER(game_rosters!$J:$J,(game_rosters!$G:$G=events!$AN2046)*(game_rosters!$J:$J=events!$X2046))&gt;0,1,""),"")</f>
        <v>#VALUE!</v>
      </c>
      <c r="AA2046">
        <f t="shared" si="207"/>
        <v>1000</v>
      </c>
      <c r="AB2046" t="str">
        <f t="shared" si="208"/>
        <v/>
      </c>
      <c r="AC2046">
        <f t="shared" si="205"/>
        <v>1000</v>
      </c>
      <c r="AD2046" s="6"/>
    </row>
    <row r="2047" spans="1:30" x14ac:dyDescent="0.2">
      <c r="A2047" t="str">
        <f t="shared" si="206"/>
        <v/>
      </c>
      <c r="X2047" t="str" cm="1">
        <f t="array" ref="X2047">IF(S2047="","",IF($I2047&lt;&gt;"",$I2047,INDEX($I$2:$I2046,ROW()-COUNTIFS($T$2:$T2046,"="&amp;$T2047,$S$2:$S2046,"&lt;&gt;"&amp;$S2047)-1)))</f>
        <v/>
      </c>
      <c r="Y2047" t="b">
        <f>IF(X2047&lt;&gt;"",VLOOKUP(X2047,game_rosters!$C$43:$E$64,3,FALSE))</f>
        <v>0</v>
      </c>
      <c r="Z2047" t="e" cm="1" vm="1">
        <f t="array" aca="1" ref="Z2047" ca="1">IFERROR(IF(_xlfn._xlws.FILTER(game_rosters!$J:$J,(game_rosters!$G:$G=events!$AN2047)*(game_rosters!$J:$J=events!$X2047))&gt;0,1,""),"")</f>
        <v>#VALUE!</v>
      </c>
      <c r="AA2047">
        <f t="shared" si="207"/>
        <v>1000</v>
      </c>
      <c r="AB2047" t="str">
        <f t="shared" si="208"/>
        <v/>
      </c>
      <c r="AC2047">
        <f t="shared" si="205"/>
        <v>1000</v>
      </c>
      <c r="AD2047" s="6"/>
    </row>
    <row r="2048" spans="1:30" x14ac:dyDescent="0.2">
      <c r="A2048" t="str">
        <f t="shared" si="206"/>
        <v/>
      </c>
      <c r="X2048" t="str" cm="1">
        <f t="array" ref="X2048">IF(S2048="","",IF($I2048&lt;&gt;"",$I2048,INDEX($I$2:$I2047,ROW()-COUNTIFS($T$2:$T2047,"="&amp;$T2048,$S$2:$S2047,"&lt;&gt;"&amp;$S2048)-1)))</f>
        <v/>
      </c>
      <c r="Y2048" t="b">
        <f>IF(X2048&lt;&gt;"",VLOOKUP(X2048,game_rosters!$C$43:$E$64,3,FALSE))</f>
        <v>0</v>
      </c>
      <c r="Z2048" t="e" cm="1" vm="1">
        <f t="array" aca="1" ref="Z2048" ca="1">IFERROR(IF(_xlfn._xlws.FILTER(game_rosters!$J:$J,(game_rosters!$G:$G=events!$AN2048)*(game_rosters!$J:$J=events!$X2048))&gt;0,1,""),"")</f>
        <v>#VALUE!</v>
      </c>
      <c r="AA2048">
        <f t="shared" si="207"/>
        <v>1000</v>
      </c>
      <c r="AB2048" t="str">
        <f t="shared" si="208"/>
        <v/>
      </c>
      <c r="AC2048">
        <f t="shared" si="205"/>
        <v>1000</v>
      </c>
      <c r="AD2048" s="6"/>
    </row>
    <row r="2049" spans="1:30" x14ac:dyDescent="0.2">
      <c r="A2049" t="str">
        <f t="shared" si="206"/>
        <v/>
      </c>
      <c r="X2049" t="str" cm="1">
        <f t="array" ref="X2049">IF(S2049="","",IF($I2049&lt;&gt;"",$I2049,INDEX($I$2:$I2048,ROW()-COUNTIFS($T$2:$T2048,"="&amp;$T2049,$S$2:$S2048,"&lt;&gt;"&amp;$S2049)-1)))</f>
        <v/>
      </c>
      <c r="Y2049" t="b">
        <f>IF(X2049&lt;&gt;"",VLOOKUP(X2049,game_rosters!$C$43:$E$64,3,FALSE))</f>
        <v>0</v>
      </c>
      <c r="Z2049" t="e" cm="1" vm="1">
        <f t="array" aca="1" ref="Z2049" ca="1">IFERROR(IF(_xlfn._xlws.FILTER(game_rosters!$J:$J,(game_rosters!$G:$G=events!$AN2049)*(game_rosters!$J:$J=events!$X2049))&gt;0,1,""),"")</f>
        <v>#VALUE!</v>
      </c>
      <c r="AA2049">
        <f t="shared" si="207"/>
        <v>1000</v>
      </c>
      <c r="AB2049" t="str">
        <f t="shared" si="208"/>
        <v/>
      </c>
      <c r="AC2049">
        <f t="shared" si="205"/>
        <v>1000</v>
      </c>
      <c r="AD2049" s="6"/>
    </row>
    <row r="2050" spans="1:30" x14ac:dyDescent="0.2">
      <c r="A2050" t="str">
        <f t="shared" si="206"/>
        <v/>
      </c>
      <c r="X2050" t="str" cm="1">
        <f t="array" ref="X2050">IF(S2050="","",IF($I2050&lt;&gt;"",$I2050,INDEX($I$2:$I2049,ROW()-COUNTIFS($T$2:$T2049,"="&amp;$T2050,$S$2:$S2049,"&lt;&gt;"&amp;$S2050)-1)))</f>
        <v/>
      </c>
      <c r="Y2050" t="b">
        <f>IF(X2050&lt;&gt;"",VLOOKUP(X2050,game_rosters!$C$43:$E$64,3,FALSE))</f>
        <v>0</v>
      </c>
      <c r="Z2050" t="e" cm="1" vm="1">
        <f t="array" aca="1" ref="Z2050" ca="1">IFERROR(IF(_xlfn._xlws.FILTER(game_rosters!$J:$J,(game_rosters!$G:$G=events!$AN2050)*(game_rosters!$J:$J=events!$X2050))&gt;0,1,""),"")</f>
        <v>#VALUE!</v>
      </c>
      <c r="AA2050">
        <f t="shared" si="207"/>
        <v>1000</v>
      </c>
      <c r="AB2050" t="str">
        <f t="shared" si="208"/>
        <v/>
      </c>
      <c r="AC2050">
        <f t="shared" ref="AC2050:AC2113" si="209">IF(AB2050&lt;&gt;"",AB2050,S2050+1000)</f>
        <v>1000</v>
      </c>
      <c r="AD2050" s="6"/>
    </row>
    <row r="2051" spans="1:30" x14ac:dyDescent="0.2">
      <c r="A2051" t="str">
        <f t="shared" si="206"/>
        <v/>
      </c>
      <c r="X2051" t="str" cm="1">
        <f t="array" ref="X2051">IF(S2051="","",IF($I2051&lt;&gt;"",$I2051,INDEX($I$2:$I2050,ROW()-COUNTIFS($T$2:$T2050,"="&amp;$T2051,$S$2:$S2050,"&lt;&gt;"&amp;$S2051)-1)))</f>
        <v/>
      </c>
      <c r="Y2051" t="b">
        <f>IF(X2051&lt;&gt;"",VLOOKUP(X2051,game_rosters!$C$43:$E$64,3,FALSE))</f>
        <v>0</v>
      </c>
      <c r="Z2051" t="e" cm="1" vm="1">
        <f t="array" aca="1" ref="Z2051" ca="1">IFERROR(IF(_xlfn._xlws.FILTER(game_rosters!$J:$J,(game_rosters!$G:$G=events!$AN2051)*(game_rosters!$J:$J=events!$X2051))&gt;0,1,""),"")</f>
        <v>#VALUE!</v>
      </c>
      <c r="AA2051">
        <f t="shared" si="207"/>
        <v>1000</v>
      </c>
      <c r="AB2051" t="str">
        <f t="shared" si="208"/>
        <v/>
      </c>
      <c r="AC2051">
        <f t="shared" si="209"/>
        <v>1000</v>
      </c>
      <c r="AD2051" s="6"/>
    </row>
    <row r="2052" spans="1:30" x14ac:dyDescent="0.2">
      <c r="A2052" t="str">
        <f t="shared" si="206"/>
        <v/>
      </c>
      <c r="X2052" t="str" cm="1">
        <f t="array" ref="X2052">IF(S2052="","",IF($I2052&lt;&gt;"",$I2052,INDEX($I$2:$I2051,ROW()-COUNTIFS($T$2:$T2051,"="&amp;$T2052,$S$2:$S2051,"&lt;&gt;"&amp;$S2052)-1)))</f>
        <v/>
      </c>
      <c r="Y2052" t="b">
        <f>IF(X2052&lt;&gt;"",VLOOKUP(X2052,game_rosters!$C$43:$E$64,3,FALSE))</f>
        <v>0</v>
      </c>
      <c r="Z2052" t="e" cm="1" vm="1">
        <f t="array" aca="1" ref="Z2052" ca="1">IFERROR(IF(_xlfn._xlws.FILTER(game_rosters!$J:$J,(game_rosters!$G:$G=events!$AN2052)*(game_rosters!$J:$J=events!$X2052))&gt;0,1,""),"")</f>
        <v>#VALUE!</v>
      </c>
      <c r="AA2052">
        <f t="shared" si="207"/>
        <v>1000</v>
      </c>
      <c r="AB2052" t="str">
        <f t="shared" si="208"/>
        <v/>
      </c>
      <c r="AC2052">
        <f t="shared" si="209"/>
        <v>1000</v>
      </c>
      <c r="AD2052" s="6"/>
    </row>
    <row r="2053" spans="1:30" x14ac:dyDescent="0.2">
      <c r="A2053" t="str">
        <f t="shared" ref="A2053:A2116" si="210">IF(K2053&lt;&gt;"",1,IF(D2053="x","x",""))</f>
        <v/>
      </c>
      <c r="X2053" t="str" cm="1">
        <f t="array" ref="X2053">IF(S2053="","",IF($I2053&lt;&gt;"",$I2053,INDEX($I$2:$I2052,ROW()-COUNTIFS($T$2:$T2052,"="&amp;$T2053,$S$2:$S2052,"&lt;&gt;"&amp;$S2053)-1)))</f>
        <v/>
      </c>
      <c r="Y2053" t="b">
        <f>IF(X2053&lt;&gt;"",VLOOKUP(X2053,game_rosters!$C$43:$E$64,3,FALSE))</f>
        <v>0</v>
      </c>
      <c r="Z2053" t="e" cm="1" vm="1">
        <f t="array" aca="1" ref="Z2053" ca="1">IFERROR(IF(_xlfn._xlws.FILTER(game_rosters!$J:$J,(game_rosters!$G:$G=events!$AN2053)*(game_rosters!$J:$J=events!$X2053))&gt;0,1,""),"")</f>
        <v>#VALUE!</v>
      </c>
      <c r="AA2053">
        <f t="shared" si="207"/>
        <v>1000</v>
      </c>
      <c r="AB2053" t="str">
        <f t="shared" si="208"/>
        <v/>
      </c>
      <c r="AC2053">
        <f t="shared" si="209"/>
        <v>1000</v>
      </c>
      <c r="AD2053" s="6"/>
    </row>
    <row r="2054" spans="1:30" x14ac:dyDescent="0.2">
      <c r="A2054" t="str">
        <f t="shared" si="210"/>
        <v/>
      </c>
      <c r="X2054" t="str" cm="1">
        <f t="array" ref="X2054">IF(S2054="","",IF($I2054&lt;&gt;"",$I2054,INDEX($I$2:$I2053,ROW()-COUNTIFS($T$2:$T2053,"="&amp;$T2054,$S$2:$S2053,"&lt;&gt;"&amp;$S2054)-1)))</f>
        <v/>
      </c>
      <c r="Y2054" t="b">
        <f>IF(X2054&lt;&gt;"",VLOOKUP(X2054,game_rosters!$C$43:$E$64,3,FALSE))</f>
        <v>0</v>
      </c>
      <c r="Z2054" t="e" cm="1" vm="1">
        <f t="array" aca="1" ref="Z2054" ca="1">IFERROR(IF(_xlfn._xlws.FILTER(game_rosters!$J:$J,(game_rosters!$G:$G=events!$AN2054)*(game_rosters!$J:$J=events!$X2054))&gt;0,1,""),"")</f>
        <v>#VALUE!</v>
      </c>
      <c r="AA2054">
        <f t="shared" si="207"/>
        <v>1000</v>
      </c>
      <c r="AB2054" t="str">
        <f t="shared" si="208"/>
        <v/>
      </c>
      <c r="AC2054">
        <f t="shared" si="209"/>
        <v>1000</v>
      </c>
      <c r="AD2054" s="6"/>
    </row>
    <row r="2055" spans="1:30" x14ac:dyDescent="0.2">
      <c r="A2055" t="str">
        <f t="shared" si="210"/>
        <v/>
      </c>
      <c r="X2055" t="str" cm="1">
        <f t="array" ref="X2055">IF(S2055="","",IF($I2055&lt;&gt;"",$I2055,INDEX($I$2:$I2054,ROW()-COUNTIFS($T$2:$T2054,"="&amp;$T2055,$S$2:$S2054,"&lt;&gt;"&amp;$S2055)-1)))</f>
        <v/>
      </c>
      <c r="Y2055" t="b">
        <f>IF(X2055&lt;&gt;"",VLOOKUP(X2055,game_rosters!$C$43:$E$64,3,FALSE))</f>
        <v>0</v>
      </c>
      <c r="Z2055" t="e" cm="1" vm="1">
        <f t="array" aca="1" ref="Z2055" ca="1">IFERROR(IF(_xlfn._xlws.FILTER(game_rosters!$J:$J,(game_rosters!$G:$G=events!$AN2055)*(game_rosters!$J:$J=events!$X2055))&gt;0,1,""),"")</f>
        <v>#VALUE!</v>
      </c>
      <c r="AA2055">
        <f t="shared" si="207"/>
        <v>1000</v>
      </c>
      <c r="AB2055" t="str">
        <f t="shared" si="208"/>
        <v/>
      </c>
      <c r="AC2055">
        <f t="shared" si="209"/>
        <v>1000</v>
      </c>
      <c r="AD2055" s="6"/>
    </row>
    <row r="2056" spans="1:30" x14ac:dyDescent="0.2">
      <c r="A2056" t="str">
        <f t="shared" si="210"/>
        <v/>
      </c>
      <c r="X2056" t="str" cm="1">
        <f t="array" ref="X2056">IF(S2056="","",IF($I2056&lt;&gt;"",$I2056,INDEX($I$2:$I2055,ROW()-COUNTIFS($T$2:$T2055,"="&amp;$T2056,$S$2:$S2055,"&lt;&gt;"&amp;$S2056)-1)))</f>
        <v/>
      </c>
      <c r="Y2056" t="b">
        <f>IF(X2056&lt;&gt;"",VLOOKUP(X2056,game_rosters!$C$43:$E$64,3,FALSE))</f>
        <v>0</v>
      </c>
      <c r="Z2056" t="e" cm="1" vm="1">
        <f t="array" aca="1" ref="Z2056" ca="1">IFERROR(IF(_xlfn._xlws.FILTER(game_rosters!$J:$J,(game_rosters!$G:$G=events!$AN2056)*(game_rosters!$J:$J=events!$X2056))&gt;0,1,""),"")</f>
        <v>#VALUE!</v>
      </c>
      <c r="AA2056">
        <f t="shared" si="207"/>
        <v>1000</v>
      </c>
      <c r="AB2056" t="str">
        <f t="shared" si="208"/>
        <v/>
      </c>
      <c r="AC2056">
        <f t="shared" si="209"/>
        <v>1000</v>
      </c>
      <c r="AD2056" s="6"/>
    </row>
    <row r="2057" spans="1:30" x14ac:dyDescent="0.2">
      <c r="A2057" t="str">
        <f t="shared" si="210"/>
        <v/>
      </c>
      <c r="X2057" t="str" cm="1">
        <f t="array" ref="X2057">IF(S2057="","",IF($I2057&lt;&gt;"",$I2057,INDEX($I$2:$I2056,ROW()-COUNTIFS($T$2:$T2056,"="&amp;$T2057,$S$2:$S2056,"&lt;&gt;"&amp;$S2057)-1)))</f>
        <v/>
      </c>
      <c r="Y2057" t="b">
        <f>IF(X2057&lt;&gt;"",VLOOKUP(X2057,game_rosters!$C$43:$E$64,3,FALSE))</f>
        <v>0</v>
      </c>
      <c r="Z2057" t="e" cm="1" vm="1">
        <f t="array" aca="1" ref="Z2057" ca="1">IFERROR(IF(_xlfn._xlws.FILTER(game_rosters!$J:$J,(game_rosters!$G:$G=events!$AN2057)*(game_rosters!$J:$J=events!$X2057))&gt;0,1,""),"")</f>
        <v>#VALUE!</v>
      </c>
      <c r="AA2057">
        <f t="shared" si="207"/>
        <v>1000</v>
      </c>
      <c r="AB2057" t="str">
        <f t="shared" si="208"/>
        <v/>
      </c>
      <c r="AC2057">
        <f t="shared" si="209"/>
        <v>1000</v>
      </c>
      <c r="AD2057" s="6"/>
    </row>
    <row r="2058" spans="1:30" x14ac:dyDescent="0.2">
      <c r="A2058" t="str">
        <f t="shared" si="210"/>
        <v/>
      </c>
      <c r="X2058" t="str" cm="1">
        <f t="array" ref="X2058">IF(S2058="","",IF($I2058&lt;&gt;"",$I2058,INDEX($I$2:$I2057,ROW()-COUNTIFS($T$2:$T2057,"="&amp;$T2058,$S$2:$S2057,"&lt;&gt;"&amp;$S2058)-1)))</f>
        <v/>
      </c>
      <c r="Y2058" t="b">
        <f>IF(X2058&lt;&gt;"",VLOOKUP(X2058,game_rosters!$C$43:$E$64,3,FALSE))</f>
        <v>0</v>
      </c>
      <c r="Z2058" t="e" cm="1" vm="1">
        <f t="array" aca="1" ref="Z2058" ca="1">IFERROR(IF(_xlfn._xlws.FILTER(game_rosters!$J:$J,(game_rosters!$G:$G=events!$AN2058)*(game_rosters!$J:$J=events!$X2058))&gt;0,1,""),"")</f>
        <v>#VALUE!</v>
      </c>
      <c r="AA2058">
        <f t="shared" si="207"/>
        <v>1000</v>
      </c>
      <c r="AB2058" t="str">
        <f t="shared" si="208"/>
        <v/>
      </c>
      <c r="AC2058">
        <f t="shared" si="209"/>
        <v>1000</v>
      </c>
      <c r="AD2058" s="6"/>
    </row>
    <row r="2059" spans="1:30" x14ac:dyDescent="0.2">
      <c r="A2059" t="str">
        <f t="shared" si="210"/>
        <v/>
      </c>
      <c r="X2059" t="str" cm="1">
        <f t="array" ref="X2059">IF(S2059="","",IF($I2059&lt;&gt;"",$I2059,INDEX($I$2:$I2058,ROW()-COUNTIFS($T$2:$T2058,"="&amp;$T2059,$S$2:$S2058,"&lt;&gt;"&amp;$S2059)-1)))</f>
        <v/>
      </c>
      <c r="Y2059" t="b">
        <f>IF(X2059&lt;&gt;"",VLOOKUP(X2059,game_rosters!$C$43:$E$64,3,FALSE))</f>
        <v>0</v>
      </c>
      <c r="Z2059" t="e" cm="1" vm="1">
        <f t="array" aca="1" ref="Z2059" ca="1">IFERROR(IF(_xlfn._xlws.FILTER(game_rosters!$J:$J,(game_rosters!$G:$G=events!$AN2059)*(game_rosters!$J:$J=events!$X2059))&gt;0,1,""),"")</f>
        <v>#VALUE!</v>
      </c>
      <c r="AA2059">
        <f t="shared" si="207"/>
        <v>1000</v>
      </c>
      <c r="AB2059" t="str">
        <f t="shared" si="208"/>
        <v/>
      </c>
      <c r="AC2059">
        <f t="shared" si="209"/>
        <v>1000</v>
      </c>
      <c r="AD2059" s="6"/>
    </row>
    <row r="2060" spans="1:30" x14ac:dyDescent="0.2">
      <c r="A2060" t="str">
        <f t="shared" si="210"/>
        <v/>
      </c>
      <c r="X2060" t="str" cm="1">
        <f t="array" ref="X2060">IF(S2060="","",IF($I2060&lt;&gt;"",$I2060,INDEX($I$2:$I2059,ROW()-COUNTIFS($T$2:$T2059,"="&amp;$T2060,$S$2:$S2059,"&lt;&gt;"&amp;$S2060)-1)))</f>
        <v/>
      </c>
      <c r="Y2060" t="b">
        <f>IF(X2060&lt;&gt;"",VLOOKUP(X2060,game_rosters!$C$43:$E$64,3,FALSE))</f>
        <v>0</v>
      </c>
      <c r="Z2060" t="e" cm="1" vm="1">
        <f t="array" aca="1" ref="Z2060" ca="1">IFERROR(IF(_xlfn._xlws.FILTER(game_rosters!$J:$J,(game_rosters!$G:$G=events!$AN2060)*(game_rosters!$J:$J=events!$X2060))&gt;0,1,""),"")</f>
        <v>#VALUE!</v>
      </c>
      <c r="AA2060">
        <f t="shared" si="207"/>
        <v>1000</v>
      </c>
      <c r="AB2060" t="str">
        <f t="shared" si="208"/>
        <v/>
      </c>
      <c r="AC2060">
        <f t="shared" si="209"/>
        <v>1000</v>
      </c>
      <c r="AD2060" s="6"/>
    </row>
    <row r="2061" spans="1:30" x14ac:dyDescent="0.2">
      <c r="A2061" t="str">
        <f t="shared" si="210"/>
        <v/>
      </c>
      <c r="X2061" t="str" cm="1">
        <f t="array" ref="X2061">IF(S2061="","",IF($I2061&lt;&gt;"",$I2061,INDEX($I$2:$I2060,ROW()-COUNTIFS($T$2:$T2060,"="&amp;$T2061,$S$2:$S2060,"&lt;&gt;"&amp;$S2061)-1)))</f>
        <v/>
      </c>
      <c r="Y2061" t="b">
        <f>IF(X2061&lt;&gt;"",VLOOKUP(X2061,game_rosters!$C$43:$E$64,3,FALSE))</f>
        <v>0</v>
      </c>
      <c r="Z2061" t="e" cm="1" vm="1">
        <f t="array" aca="1" ref="Z2061" ca="1">IFERROR(IF(_xlfn._xlws.FILTER(game_rosters!$J:$J,(game_rosters!$G:$G=events!$AN2061)*(game_rosters!$J:$J=events!$X2061))&gt;0,1,""),"")</f>
        <v>#VALUE!</v>
      </c>
      <c r="AA2061">
        <f t="shared" si="207"/>
        <v>1000</v>
      </c>
      <c r="AB2061" t="str">
        <f t="shared" si="208"/>
        <v/>
      </c>
      <c r="AC2061">
        <f t="shared" si="209"/>
        <v>1000</v>
      </c>
      <c r="AD2061" s="6"/>
    </row>
    <row r="2062" spans="1:30" x14ac:dyDescent="0.2">
      <c r="A2062" t="str">
        <f t="shared" si="210"/>
        <v/>
      </c>
      <c r="X2062" t="str" cm="1">
        <f t="array" ref="X2062">IF(S2062="","",IF($I2062&lt;&gt;"",$I2062,INDEX($I$2:$I2061,ROW()-COUNTIFS($T$2:$T2061,"="&amp;$T2062,$S$2:$S2061,"&lt;&gt;"&amp;$S2062)-1)))</f>
        <v/>
      </c>
      <c r="Y2062" t="b">
        <f>IF(X2062&lt;&gt;"",VLOOKUP(X2062,game_rosters!$C$43:$E$64,3,FALSE))</f>
        <v>0</v>
      </c>
      <c r="Z2062" t="e" cm="1" vm="1">
        <f t="array" aca="1" ref="Z2062" ca="1">IFERROR(IF(_xlfn._xlws.FILTER(game_rosters!$J:$J,(game_rosters!$G:$G=events!$AN2062)*(game_rosters!$J:$J=events!$X2062))&gt;0,1,""),"")</f>
        <v>#VALUE!</v>
      </c>
      <c r="AA2062">
        <f t="shared" si="207"/>
        <v>1000</v>
      </c>
      <c r="AB2062" t="str">
        <f t="shared" si="208"/>
        <v/>
      </c>
      <c r="AC2062">
        <f t="shared" si="209"/>
        <v>1000</v>
      </c>
      <c r="AD2062" s="6"/>
    </row>
    <row r="2063" spans="1:30" x14ac:dyDescent="0.2">
      <c r="A2063" t="str">
        <f t="shared" si="210"/>
        <v/>
      </c>
      <c r="X2063" t="str" cm="1">
        <f t="array" ref="X2063">IF(S2063="","",IF($I2063&lt;&gt;"",$I2063,INDEX($I$2:$I2062,ROW()-COUNTIFS($T$2:$T2062,"="&amp;$T2063,$S$2:$S2062,"&lt;&gt;"&amp;$S2063)-1)))</f>
        <v/>
      </c>
      <c r="Y2063" t="b">
        <f>IF(X2063&lt;&gt;"",VLOOKUP(X2063,game_rosters!$C$43:$E$64,3,FALSE))</f>
        <v>0</v>
      </c>
      <c r="Z2063" t="e" cm="1" vm="1">
        <f t="array" aca="1" ref="Z2063" ca="1">IFERROR(IF(_xlfn._xlws.FILTER(game_rosters!$J:$J,(game_rosters!$G:$G=events!$AN2063)*(game_rosters!$J:$J=events!$X2063))&gt;0,1,""),"")</f>
        <v>#VALUE!</v>
      </c>
      <c r="AA2063">
        <f t="shared" si="207"/>
        <v>1000</v>
      </c>
      <c r="AB2063" t="str">
        <f t="shared" si="208"/>
        <v/>
      </c>
      <c r="AC2063">
        <f t="shared" si="209"/>
        <v>1000</v>
      </c>
      <c r="AD2063" s="6"/>
    </row>
    <row r="2064" spans="1:30" x14ac:dyDescent="0.2">
      <c r="A2064" t="str">
        <f t="shared" si="210"/>
        <v/>
      </c>
      <c r="X2064" t="str" cm="1">
        <f t="array" ref="X2064">IF(S2064="","",IF($I2064&lt;&gt;"",$I2064,INDEX($I$2:$I2063,ROW()-COUNTIFS($T$2:$T2063,"="&amp;$T2064,$S$2:$S2063,"&lt;&gt;"&amp;$S2064)-1)))</f>
        <v/>
      </c>
      <c r="Y2064" t="b">
        <f>IF(X2064&lt;&gt;"",VLOOKUP(X2064,game_rosters!$C$43:$E$64,3,FALSE))</f>
        <v>0</v>
      </c>
      <c r="Z2064" t="e" cm="1" vm="1">
        <f t="array" aca="1" ref="Z2064" ca="1">IFERROR(IF(_xlfn._xlws.FILTER(game_rosters!$J:$J,(game_rosters!$G:$G=events!$AN2064)*(game_rosters!$J:$J=events!$X2064))&gt;0,1,""),"")</f>
        <v>#VALUE!</v>
      </c>
      <c r="AA2064">
        <f t="shared" si="207"/>
        <v>1000</v>
      </c>
      <c r="AB2064" t="str">
        <f t="shared" si="208"/>
        <v/>
      </c>
      <c r="AC2064">
        <f t="shared" si="209"/>
        <v>1000</v>
      </c>
      <c r="AD2064" s="6"/>
    </row>
    <row r="2065" spans="1:30" x14ac:dyDescent="0.2">
      <c r="A2065" t="str">
        <f t="shared" si="210"/>
        <v/>
      </c>
      <c r="X2065" t="str" cm="1">
        <f t="array" ref="X2065">IF(S2065="","",IF($I2065&lt;&gt;"",$I2065,INDEX($I$2:$I2064,ROW()-COUNTIFS($T$2:$T2064,"="&amp;$T2065,$S$2:$S2064,"&lt;&gt;"&amp;$S2065)-1)))</f>
        <v/>
      </c>
      <c r="Y2065" t="b">
        <f>IF(X2065&lt;&gt;"",VLOOKUP(X2065,game_rosters!$C$43:$E$64,3,FALSE))</f>
        <v>0</v>
      </c>
      <c r="Z2065" t="e" cm="1" vm="1">
        <f t="array" aca="1" ref="Z2065" ca="1">IFERROR(IF(_xlfn._xlws.FILTER(game_rosters!$J:$J,(game_rosters!$G:$G=events!$AN2065)*(game_rosters!$J:$J=events!$X2065))&gt;0,1,""),"")</f>
        <v>#VALUE!</v>
      </c>
      <c r="AA2065">
        <f t="shared" si="207"/>
        <v>1000</v>
      </c>
      <c r="AB2065" t="str">
        <f t="shared" si="208"/>
        <v/>
      </c>
      <c r="AC2065">
        <f t="shared" si="209"/>
        <v>1000</v>
      </c>
      <c r="AD2065" s="6"/>
    </row>
    <row r="2066" spans="1:30" x14ac:dyDescent="0.2">
      <c r="A2066" t="str">
        <f t="shared" si="210"/>
        <v/>
      </c>
      <c r="X2066" t="str" cm="1">
        <f t="array" ref="X2066">IF(S2066="","",IF($I2066&lt;&gt;"",$I2066,INDEX($I$2:$I2065,ROW()-COUNTIFS($T$2:$T2065,"="&amp;$T2066,$S$2:$S2065,"&lt;&gt;"&amp;$S2066)-1)))</f>
        <v/>
      </c>
      <c r="Y2066" t="b">
        <f>IF(X2066&lt;&gt;"",VLOOKUP(X2066,game_rosters!$C$43:$E$64,3,FALSE))</f>
        <v>0</v>
      </c>
      <c r="Z2066" t="e" cm="1" vm="1">
        <f t="array" aca="1" ref="Z2066" ca="1">IFERROR(IF(_xlfn._xlws.FILTER(game_rosters!$J:$J,(game_rosters!$G:$G=events!$AN2066)*(game_rosters!$J:$J=events!$X2066))&gt;0,1,""),"")</f>
        <v>#VALUE!</v>
      </c>
      <c r="AA2066">
        <f t="shared" si="207"/>
        <v>1000</v>
      </c>
      <c r="AB2066" t="str">
        <f t="shared" si="208"/>
        <v/>
      </c>
      <c r="AC2066">
        <f t="shared" si="209"/>
        <v>1000</v>
      </c>
      <c r="AD2066" s="6"/>
    </row>
    <row r="2067" spans="1:30" x14ac:dyDescent="0.2">
      <c r="A2067" t="str">
        <f t="shared" si="210"/>
        <v/>
      </c>
      <c r="X2067" t="str" cm="1">
        <f t="array" ref="X2067">IF(S2067="","",IF($I2067&lt;&gt;"",$I2067,INDEX($I$2:$I2066,ROW()-COUNTIFS($T$2:$T2066,"="&amp;$T2067,$S$2:$S2066,"&lt;&gt;"&amp;$S2067)-1)))</f>
        <v/>
      </c>
      <c r="Y2067" t="b">
        <f>IF(X2067&lt;&gt;"",VLOOKUP(X2067,game_rosters!$C$43:$E$64,3,FALSE))</f>
        <v>0</v>
      </c>
      <c r="Z2067" t="e" cm="1" vm="1">
        <f t="array" aca="1" ref="Z2067" ca="1">IFERROR(IF(_xlfn._xlws.FILTER(game_rosters!$J:$J,(game_rosters!$G:$G=events!$AN2067)*(game_rosters!$J:$J=events!$X2067))&gt;0,1,""),"")</f>
        <v>#VALUE!</v>
      </c>
      <c r="AA2067">
        <f t="shared" si="207"/>
        <v>1000</v>
      </c>
      <c r="AB2067" t="str">
        <f t="shared" si="208"/>
        <v/>
      </c>
      <c r="AC2067">
        <f t="shared" si="209"/>
        <v>1000</v>
      </c>
      <c r="AD2067" s="6"/>
    </row>
    <row r="2068" spans="1:30" x14ac:dyDescent="0.2">
      <c r="A2068" t="str">
        <f t="shared" si="210"/>
        <v/>
      </c>
      <c r="X2068" t="str" cm="1">
        <f t="array" ref="X2068">IF(S2068="","",IF($I2068&lt;&gt;"",$I2068,INDEX($I$2:$I2067,ROW()-COUNTIFS($T$2:$T2067,"="&amp;$T2068,$S$2:$S2067,"&lt;&gt;"&amp;$S2068)-1)))</f>
        <v/>
      </c>
      <c r="Y2068" t="b">
        <f>IF(X2068&lt;&gt;"",VLOOKUP(X2068,game_rosters!$C$43:$E$64,3,FALSE))</f>
        <v>0</v>
      </c>
      <c r="Z2068" t="e" cm="1" vm="1">
        <f t="array" aca="1" ref="Z2068" ca="1">IFERROR(IF(_xlfn._xlws.FILTER(game_rosters!$J:$J,(game_rosters!$G:$G=events!$AN2068)*(game_rosters!$J:$J=events!$X2068))&gt;0,1,""),"")</f>
        <v>#VALUE!</v>
      </c>
      <c r="AA2068">
        <f t="shared" si="207"/>
        <v>1000</v>
      </c>
      <c r="AB2068" t="str">
        <f t="shared" si="208"/>
        <v/>
      </c>
      <c r="AC2068">
        <f t="shared" si="209"/>
        <v>1000</v>
      </c>
      <c r="AD2068" s="6"/>
    </row>
    <row r="2069" spans="1:30" x14ac:dyDescent="0.2">
      <c r="A2069" t="str">
        <f t="shared" si="210"/>
        <v/>
      </c>
      <c r="X2069" t="str" cm="1">
        <f t="array" ref="X2069">IF(S2069="","",IF($I2069&lt;&gt;"",$I2069,INDEX($I$2:$I2068,ROW()-COUNTIFS($T$2:$T2068,"="&amp;$T2069,$S$2:$S2068,"&lt;&gt;"&amp;$S2069)-1)))</f>
        <v/>
      </c>
      <c r="Y2069" t="b">
        <f>IF(X2069&lt;&gt;"",VLOOKUP(X2069,game_rosters!$C$43:$E$64,3,FALSE))</f>
        <v>0</v>
      </c>
      <c r="Z2069" t="e" cm="1" vm="1">
        <f t="array" aca="1" ref="Z2069" ca="1">IFERROR(IF(_xlfn._xlws.FILTER(game_rosters!$J:$J,(game_rosters!$G:$G=events!$AN2069)*(game_rosters!$J:$J=events!$X2069))&gt;0,1,""),"")</f>
        <v>#VALUE!</v>
      </c>
      <c r="AA2069">
        <f t="shared" si="207"/>
        <v>1000</v>
      </c>
      <c r="AB2069" t="str">
        <f t="shared" si="208"/>
        <v/>
      </c>
      <c r="AC2069">
        <f t="shared" si="209"/>
        <v>1000</v>
      </c>
      <c r="AD2069" s="6"/>
    </row>
    <row r="2070" spans="1:30" x14ac:dyDescent="0.2">
      <c r="A2070" t="str">
        <f t="shared" si="210"/>
        <v/>
      </c>
      <c r="X2070" t="str" cm="1">
        <f t="array" ref="X2070">IF(S2070="","",IF($I2070&lt;&gt;"",$I2070,INDEX($I$2:$I2069,ROW()-COUNTIFS($T$2:$T2069,"="&amp;$T2070,$S$2:$S2069,"&lt;&gt;"&amp;$S2070)-1)))</f>
        <v/>
      </c>
      <c r="Y2070" t="b">
        <f>IF(X2070&lt;&gt;"",VLOOKUP(X2070,game_rosters!$C$43:$E$64,3,FALSE))</f>
        <v>0</v>
      </c>
      <c r="Z2070" t="e" cm="1" vm="1">
        <f t="array" aca="1" ref="Z2070" ca="1">IFERROR(IF(_xlfn._xlws.FILTER(game_rosters!$J:$J,(game_rosters!$G:$G=events!$AN2070)*(game_rosters!$J:$J=events!$X2070))&gt;0,1,""),"")</f>
        <v>#VALUE!</v>
      </c>
      <c r="AA2070">
        <f t="shared" si="207"/>
        <v>1000</v>
      </c>
      <c r="AB2070" t="str">
        <f t="shared" si="208"/>
        <v/>
      </c>
      <c r="AC2070">
        <f t="shared" si="209"/>
        <v>1000</v>
      </c>
      <c r="AD2070" s="6"/>
    </row>
    <row r="2071" spans="1:30" x14ac:dyDescent="0.2">
      <c r="A2071" t="str">
        <f t="shared" si="210"/>
        <v/>
      </c>
      <c r="X2071" t="str" cm="1">
        <f t="array" ref="X2071">IF(S2071="","",IF($I2071&lt;&gt;"",$I2071,INDEX($I$2:$I2070,ROW()-COUNTIFS($T$2:$T2070,"="&amp;$T2071,$S$2:$S2070,"&lt;&gt;"&amp;$S2071)-1)))</f>
        <v/>
      </c>
      <c r="Y2071" t="b">
        <f>IF(X2071&lt;&gt;"",VLOOKUP(X2071,game_rosters!$C$43:$E$64,3,FALSE))</f>
        <v>0</v>
      </c>
      <c r="Z2071" t="e" cm="1" vm="1">
        <f t="array" aca="1" ref="Z2071" ca="1">IFERROR(IF(_xlfn._xlws.FILTER(game_rosters!$J:$J,(game_rosters!$G:$G=events!$AN2071)*(game_rosters!$J:$J=events!$X2071))&gt;0,1,""),"")</f>
        <v>#VALUE!</v>
      </c>
      <c r="AA2071">
        <f t="shared" si="207"/>
        <v>1000</v>
      </c>
      <c r="AB2071" t="str">
        <f t="shared" si="208"/>
        <v/>
      </c>
      <c r="AC2071">
        <f t="shared" si="209"/>
        <v>1000</v>
      </c>
      <c r="AD2071" s="6"/>
    </row>
    <row r="2072" spans="1:30" x14ac:dyDescent="0.2">
      <c r="A2072" t="str">
        <f t="shared" si="210"/>
        <v/>
      </c>
      <c r="X2072" t="str" cm="1">
        <f t="array" ref="X2072">IF(S2072="","",IF($I2072&lt;&gt;"",$I2072,INDEX($I$2:$I2071,ROW()-COUNTIFS($T$2:$T2071,"="&amp;$T2072,$S$2:$S2071,"&lt;&gt;"&amp;$S2072)-1)))</f>
        <v/>
      </c>
      <c r="Y2072" t="b">
        <f>IF(X2072&lt;&gt;"",VLOOKUP(X2072,game_rosters!$C$43:$E$64,3,FALSE))</f>
        <v>0</v>
      </c>
      <c r="Z2072" t="e" cm="1" vm="1">
        <f t="array" aca="1" ref="Z2072" ca="1">IFERROR(IF(_xlfn._xlws.FILTER(game_rosters!$J:$J,(game_rosters!$G:$G=events!$AN2072)*(game_rosters!$J:$J=events!$X2072))&gt;0,1,""),"")</f>
        <v>#VALUE!</v>
      </c>
      <c r="AA2072">
        <f t="shared" si="207"/>
        <v>1000</v>
      </c>
      <c r="AB2072" t="str">
        <f t="shared" si="208"/>
        <v/>
      </c>
      <c r="AC2072">
        <f t="shared" si="209"/>
        <v>1000</v>
      </c>
      <c r="AD2072" s="6"/>
    </row>
    <row r="2073" spans="1:30" x14ac:dyDescent="0.2">
      <c r="A2073" t="str">
        <f t="shared" si="210"/>
        <v/>
      </c>
      <c r="X2073" t="str" cm="1">
        <f t="array" ref="X2073">IF(S2073="","",IF($I2073&lt;&gt;"",$I2073,INDEX($I$2:$I2072,ROW()-COUNTIFS($T$2:$T2072,"="&amp;$T2073,$S$2:$S2072,"&lt;&gt;"&amp;$S2073)-1)))</f>
        <v/>
      </c>
      <c r="Y2073" t="b">
        <f>IF(X2073&lt;&gt;"",VLOOKUP(X2073,game_rosters!$C$43:$E$64,3,FALSE))</f>
        <v>0</v>
      </c>
      <c r="Z2073" t="e" cm="1" vm="1">
        <f t="array" aca="1" ref="Z2073" ca="1">IFERROR(IF(_xlfn._xlws.FILTER(game_rosters!$J:$J,(game_rosters!$G:$G=events!$AN2073)*(game_rosters!$J:$J=events!$X2073))&gt;0,1,""),"")</f>
        <v>#VALUE!</v>
      </c>
      <c r="AA2073">
        <f t="shared" si="207"/>
        <v>1000</v>
      </c>
      <c r="AB2073" t="str">
        <f t="shared" si="208"/>
        <v/>
      </c>
      <c r="AC2073">
        <f t="shared" si="209"/>
        <v>1000</v>
      </c>
      <c r="AD2073" s="6"/>
    </row>
    <row r="2074" spans="1:30" x14ac:dyDescent="0.2">
      <c r="A2074" t="str">
        <f t="shared" si="210"/>
        <v/>
      </c>
      <c r="X2074" t="str" cm="1">
        <f t="array" ref="X2074">IF(S2074="","",IF($I2074&lt;&gt;"",$I2074,INDEX($I$2:$I2073,ROW()-COUNTIFS($T$2:$T2073,"="&amp;$T2074,$S$2:$S2073,"&lt;&gt;"&amp;$S2074)-1)))</f>
        <v/>
      </c>
      <c r="Y2074" t="b">
        <f>IF(X2074&lt;&gt;"",VLOOKUP(X2074,game_rosters!$C$43:$E$64,3,FALSE))</f>
        <v>0</v>
      </c>
      <c r="Z2074" t="e" cm="1" vm="1">
        <f t="array" aca="1" ref="Z2074" ca="1">IFERROR(IF(_xlfn._xlws.FILTER(game_rosters!$J:$J,(game_rosters!$G:$G=events!$AN2074)*(game_rosters!$J:$J=events!$X2074))&gt;0,1,""),"")</f>
        <v>#VALUE!</v>
      </c>
      <c r="AA2074">
        <f t="shared" si="207"/>
        <v>1000</v>
      </c>
      <c r="AB2074" t="str">
        <f t="shared" si="208"/>
        <v/>
      </c>
      <c r="AC2074">
        <f t="shared" si="209"/>
        <v>1000</v>
      </c>
      <c r="AD2074" s="6"/>
    </row>
    <row r="2075" spans="1:30" x14ac:dyDescent="0.2">
      <c r="A2075" t="str">
        <f t="shared" si="210"/>
        <v/>
      </c>
      <c r="X2075" t="str" cm="1">
        <f t="array" ref="X2075">IF(S2075="","",IF($I2075&lt;&gt;"",$I2075,INDEX($I$2:$I2074,ROW()-COUNTIFS($T$2:$T2074,"="&amp;$T2075,$S$2:$S2074,"&lt;&gt;"&amp;$S2075)-1)))</f>
        <v/>
      </c>
      <c r="Y2075" t="b">
        <f>IF(X2075&lt;&gt;"",VLOOKUP(X2075,game_rosters!$C$43:$E$64,3,FALSE))</f>
        <v>0</v>
      </c>
      <c r="Z2075" t="e" cm="1" vm="1">
        <f t="array" aca="1" ref="Z2075" ca="1">IFERROR(IF(_xlfn._xlws.FILTER(game_rosters!$J:$J,(game_rosters!$G:$G=events!$AN2075)*(game_rosters!$J:$J=events!$X2075))&gt;0,1,""),"")</f>
        <v>#VALUE!</v>
      </c>
      <c r="AA2075">
        <f t="shared" si="207"/>
        <v>1000</v>
      </c>
      <c r="AB2075" t="str">
        <f t="shared" si="208"/>
        <v/>
      </c>
      <c r="AC2075">
        <f t="shared" si="209"/>
        <v>1000</v>
      </c>
      <c r="AD2075" s="6"/>
    </row>
    <row r="2076" spans="1:30" x14ac:dyDescent="0.2">
      <c r="A2076" t="str">
        <f t="shared" si="210"/>
        <v/>
      </c>
      <c r="X2076" t="str" cm="1">
        <f t="array" ref="X2076">IF(S2076="","",IF($I2076&lt;&gt;"",$I2076,INDEX($I$2:$I2075,ROW()-COUNTIFS($T$2:$T2075,"="&amp;$T2076,$S$2:$S2075,"&lt;&gt;"&amp;$S2076)-1)))</f>
        <v/>
      </c>
      <c r="Y2076" t="b">
        <f>IF(X2076&lt;&gt;"",VLOOKUP(X2076,game_rosters!$C$43:$E$64,3,FALSE))</f>
        <v>0</v>
      </c>
      <c r="Z2076" t="e" cm="1" vm="1">
        <f t="array" aca="1" ref="Z2076" ca="1">IFERROR(IF(_xlfn._xlws.FILTER(game_rosters!$J:$J,(game_rosters!$G:$G=events!$AN2076)*(game_rosters!$J:$J=events!$X2076))&gt;0,1,""),"")</f>
        <v>#VALUE!</v>
      </c>
      <c r="AA2076">
        <f t="shared" si="207"/>
        <v>1000</v>
      </c>
      <c r="AB2076" t="str">
        <f t="shared" si="208"/>
        <v/>
      </c>
      <c r="AC2076">
        <f t="shared" si="209"/>
        <v>1000</v>
      </c>
      <c r="AD2076" s="6"/>
    </row>
    <row r="2077" spans="1:30" x14ac:dyDescent="0.2">
      <c r="A2077" t="str">
        <f t="shared" si="210"/>
        <v/>
      </c>
      <c r="X2077" t="str" cm="1">
        <f t="array" ref="X2077">IF(S2077="","",IF($I2077&lt;&gt;"",$I2077,INDEX($I$2:$I2076,ROW()-COUNTIFS($T$2:$T2076,"="&amp;$T2077,$S$2:$S2076,"&lt;&gt;"&amp;$S2077)-1)))</f>
        <v/>
      </c>
      <c r="Y2077" t="b">
        <f>IF(X2077&lt;&gt;"",VLOOKUP(X2077,game_rosters!$C$43:$E$64,3,FALSE))</f>
        <v>0</v>
      </c>
      <c r="Z2077" t="e" cm="1" vm="1">
        <f t="array" aca="1" ref="Z2077" ca="1">IFERROR(IF(_xlfn._xlws.FILTER(game_rosters!$J:$J,(game_rosters!$G:$G=events!$AN2077)*(game_rosters!$J:$J=events!$X2077))&gt;0,1,""),"")</f>
        <v>#VALUE!</v>
      </c>
      <c r="AA2077">
        <f t="shared" ref="AA2077:AA2140" si="211">S2077+1000</f>
        <v>1000</v>
      </c>
      <c r="AB2077" t="str">
        <f t="shared" ref="AB2077:AB2140" si="212">IF(T2077&lt;&gt;"",9000+T2077,"")</f>
        <v/>
      </c>
      <c r="AC2077">
        <f t="shared" si="209"/>
        <v>1000</v>
      </c>
      <c r="AD2077" s="6"/>
    </row>
    <row r="2078" spans="1:30" x14ac:dyDescent="0.2">
      <c r="A2078" t="str">
        <f t="shared" si="210"/>
        <v/>
      </c>
      <c r="X2078" t="str" cm="1">
        <f t="array" ref="X2078">IF(S2078="","",IF($I2078&lt;&gt;"",$I2078,INDEX($I$2:$I2077,ROW()-COUNTIFS($T$2:$T2077,"="&amp;$T2078,$S$2:$S2077,"&lt;&gt;"&amp;$S2078)-1)))</f>
        <v/>
      </c>
      <c r="Y2078" t="b">
        <f>IF(X2078&lt;&gt;"",VLOOKUP(X2078,game_rosters!$C$43:$E$64,3,FALSE))</f>
        <v>0</v>
      </c>
      <c r="Z2078" t="e" cm="1" vm="1">
        <f t="array" aca="1" ref="Z2078" ca="1">IFERROR(IF(_xlfn._xlws.FILTER(game_rosters!$J:$J,(game_rosters!$G:$G=events!$AN2078)*(game_rosters!$J:$J=events!$X2078))&gt;0,1,""),"")</f>
        <v>#VALUE!</v>
      </c>
      <c r="AA2078">
        <f t="shared" si="211"/>
        <v>1000</v>
      </c>
      <c r="AB2078" t="str">
        <f t="shared" si="212"/>
        <v/>
      </c>
      <c r="AC2078">
        <f t="shared" si="209"/>
        <v>1000</v>
      </c>
      <c r="AD2078" s="6"/>
    </row>
    <row r="2079" spans="1:30" x14ac:dyDescent="0.2">
      <c r="A2079" t="str">
        <f t="shared" si="210"/>
        <v/>
      </c>
      <c r="X2079" t="str" cm="1">
        <f t="array" ref="X2079">IF(S2079="","",IF($I2079&lt;&gt;"",$I2079,INDEX($I$2:$I2078,ROW()-COUNTIFS($T$2:$T2078,"="&amp;$T2079,$S$2:$S2078,"&lt;&gt;"&amp;$S2079)-1)))</f>
        <v/>
      </c>
      <c r="Y2079" t="b">
        <f>IF(X2079&lt;&gt;"",VLOOKUP(X2079,game_rosters!$C$43:$E$64,3,FALSE))</f>
        <v>0</v>
      </c>
      <c r="Z2079" t="e" cm="1" vm="1">
        <f t="array" aca="1" ref="Z2079" ca="1">IFERROR(IF(_xlfn._xlws.FILTER(game_rosters!$J:$J,(game_rosters!$G:$G=events!$AN2079)*(game_rosters!$J:$J=events!$X2079))&gt;0,1,""),"")</f>
        <v>#VALUE!</v>
      </c>
      <c r="AA2079">
        <f t="shared" si="211"/>
        <v>1000</v>
      </c>
      <c r="AB2079" t="str">
        <f t="shared" si="212"/>
        <v/>
      </c>
      <c r="AC2079">
        <f t="shared" si="209"/>
        <v>1000</v>
      </c>
      <c r="AD2079" s="6"/>
    </row>
    <row r="2080" spans="1:30" x14ac:dyDescent="0.2">
      <c r="A2080" t="str">
        <f t="shared" si="210"/>
        <v/>
      </c>
      <c r="X2080" t="str" cm="1">
        <f t="array" ref="X2080">IF(S2080="","",IF($I2080&lt;&gt;"",$I2080,INDEX($I$2:$I2079,ROW()-COUNTIFS($T$2:$T2079,"="&amp;$T2080,$S$2:$S2079,"&lt;&gt;"&amp;$S2080)-1)))</f>
        <v/>
      </c>
      <c r="Y2080" t="b">
        <f>IF(X2080&lt;&gt;"",VLOOKUP(X2080,game_rosters!$C$43:$E$64,3,FALSE))</f>
        <v>0</v>
      </c>
      <c r="Z2080" t="e" cm="1" vm="1">
        <f t="array" aca="1" ref="Z2080" ca="1">IFERROR(IF(_xlfn._xlws.FILTER(game_rosters!$J:$J,(game_rosters!$G:$G=events!$AN2080)*(game_rosters!$J:$J=events!$X2080))&gt;0,1,""),"")</f>
        <v>#VALUE!</v>
      </c>
      <c r="AA2080">
        <f t="shared" si="211"/>
        <v>1000</v>
      </c>
      <c r="AB2080" t="str">
        <f t="shared" si="212"/>
        <v/>
      </c>
      <c r="AC2080">
        <f t="shared" si="209"/>
        <v>1000</v>
      </c>
      <c r="AD2080" s="6"/>
    </row>
    <row r="2081" spans="1:30" x14ac:dyDescent="0.2">
      <c r="A2081" t="str">
        <f t="shared" si="210"/>
        <v/>
      </c>
      <c r="X2081" t="str" cm="1">
        <f t="array" ref="X2081">IF(S2081="","",IF($I2081&lt;&gt;"",$I2081,INDEX($I$2:$I2080,ROW()-COUNTIFS($T$2:$T2080,"="&amp;$T2081,$S$2:$S2080,"&lt;&gt;"&amp;$S2081)-1)))</f>
        <v/>
      </c>
      <c r="Y2081" t="b">
        <f>IF(X2081&lt;&gt;"",VLOOKUP(X2081,game_rosters!$C$43:$E$64,3,FALSE))</f>
        <v>0</v>
      </c>
      <c r="Z2081" t="e" cm="1" vm="1">
        <f t="array" aca="1" ref="Z2081" ca="1">IFERROR(IF(_xlfn._xlws.FILTER(game_rosters!$J:$J,(game_rosters!$G:$G=events!$AN2081)*(game_rosters!$J:$J=events!$X2081))&gt;0,1,""),"")</f>
        <v>#VALUE!</v>
      </c>
      <c r="AA2081">
        <f t="shared" si="211"/>
        <v>1000</v>
      </c>
      <c r="AB2081" t="str">
        <f t="shared" si="212"/>
        <v/>
      </c>
      <c r="AC2081">
        <f t="shared" si="209"/>
        <v>1000</v>
      </c>
      <c r="AD2081" s="6"/>
    </row>
    <row r="2082" spans="1:30" x14ac:dyDescent="0.2">
      <c r="A2082" t="str">
        <f t="shared" si="210"/>
        <v/>
      </c>
      <c r="X2082" t="str" cm="1">
        <f t="array" ref="X2082">IF(S2082="","",IF($I2082&lt;&gt;"",$I2082,INDEX($I$2:$I2081,ROW()-COUNTIFS($T$2:$T2081,"="&amp;$T2082,$S$2:$S2081,"&lt;&gt;"&amp;$S2082)-1)))</f>
        <v/>
      </c>
      <c r="Y2082" t="b">
        <f>IF(X2082&lt;&gt;"",VLOOKUP(X2082,game_rosters!$C$43:$E$64,3,FALSE))</f>
        <v>0</v>
      </c>
      <c r="Z2082" t="e" cm="1" vm="1">
        <f t="array" aca="1" ref="Z2082" ca="1">IFERROR(IF(_xlfn._xlws.FILTER(game_rosters!$J:$J,(game_rosters!$G:$G=events!$AN2082)*(game_rosters!$J:$J=events!$X2082))&gt;0,1,""),"")</f>
        <v>#VALUE!</v>
      </c>
      <c r="AA2082">
        <f t="shared" si="211"/>
        <v>1000</v>
      </c>
      <c r="AB2082" t="str">
        <f t="shared" si="212"/>
        <v/>
      </c>
      <c r="AC2082">
        <f t="shared" si="209"/>
        <v>1000</v>
      </c>
      <c r="AD2082" s="6"/>
    </row>
    <row r="2083" spans="1:30" x14ac:dyDescent="0.2">
      <c r="A2083" t="str">
        <f t="shared" si="210"/>
        <v/>
      </c>
      <c r="X2083" t="str" cm="1">
        <f t="array" ref="X2083">IF(S2083="","",IF($I2083&lt;&gt;"",$I2083,INDEX($I$2:$I2082,ROW()-COUNTIFS($T$2:$T2082,"="&amp;$T2083,$S$2:$S2082,"&lt;&gt;"&amp;$S2083)-1)))</f>
        <v/>
      </c>
      <c r="Y2083" t="b">
        <f>IF(X2083&lt;&gt;"",VLOOKUP(X2083,game_rosters!$C$43:$E$64,3,FALSE))</f>
        <v>0</v>
      </c>
      <c r="Z2083" t="e" cm="1" vm="1">
        <f t="array" aca="1" ref="Z2083" ca="1">IFERROR(IF(_xlfn._xlws.FILTER(game_rosters!$J:$J,(game_rosters!$G:$G=events!$AN2083)*(game_rosters!$J:$J=events!$X2083))&gt;0,1,""),"")</f>
        <v>#VALUE!</v>
      </c>
      <c r="AA2083">
        <f t="shared" si="211"/>
        <v>1000</v>
      </c>
      <c r="AB2083" t="str">
        <f t="shared" si="212"/>
        <v/>
      </c>
      <c r="AC2083">
        <f t="shared" si="209"/>
        <v>1000</v>
      </c>
      <c r="AD2083" s="6"/>
    </row>
    <row r="2084" spans="1:30" x14ac:dyDescent="0.2">
      <c r="A2084" t="str">
        <f t="shared" si="210"/>
        <v/>
      </c>
      <c r="X2084" t="str" cm="1">
        <f t="array" ref="X2084">IF(S2084="","",IF($I2084&lt;&gt;"",$I2084,INDEX($I$2:$I2083,ROW()-COUNTIFS($T$2:$T2083,"="&amp;$T2084,$S$2:$S2083,"&lt;&gt;"&amp;$S2084)-1)))</f>
        <v/>
      </c>
      <c r="Y2084" t="b">
        <f>IF(X2084&lt;&gt;"",VLOOKUP(X2084,game_rosters!$C$43:$E$64,3,FALSE))</f>
        <v>0</v>
      </c>
      <c r="Z2084" t="e" cm="1" vm="1">
        <f t="array" aca="1" ref="Z2084" ca="1">IFERROR(IF(_xlfn._xlws.FILTER(game_rosters!$J:$J,(game_rosters!$G:$G=events!$AN2084)*(game_rosters!$J:$J=events!$X2084))&gt;0,1,""),"")</f>
        <v>#VALUE!</v>
      </c>
      <c r="AA2084">
        <f t="shared" si="211"/>
        <v>1000</v>
      </c>
      <c r="AB2084" t="str">
        <f t="shared" si="212"/>
        <v/>
      </c>
      <c r="AC2084">
        <f t="shared" si="209"/>
        <v>1000</v>
      </c>
      <c r="AD2084" s="6"/>
    </row>
    <row r="2085" spans="1:30" x14ac:dyDescent="0.2">
      <c r="A2085" t="str">
        <f t="shared" si="210"/>
        <v/>
      </c>
      <c r="X2085" t="str" cm="1">
        <f t="array" ref="X2085">IF(S2085="","",IF($I2085&lt;&gt;"",$I2085,INDEX($I$2:$I2084,ROW()-COUNTIFS($T$2:$T2084,"="&amp;$T2085,$S$2:$S2084,"&lt;&gt;"&amp;$S2085)-1)))</f>
        <v/>
      </c>
      <c r="Y2085" t="b">
        <f>IF(X2085&lt;&gt;"",VLOOKUP(X2085,game_rosters!$C$43:$E$64,3,FALSE))</f>
        <v>0</v>
      </c>
      <c r="Z2085" t="e" cm="1" vm="1">
        <f t="array" aca="1" ref="Z2085" ca="1">IFERROR(IF(_xlfn._xlws.FILTER(game_rosters!$J:$J,(game_rosters!$G:$G=events!$AN2085)*(game_rosters!$J:$J=events!$X2085))&gt;0,1,""),"")</f>
        <v>#VALUE!</v>
      </c>
      <c r="AA2085">
        <f t="shared" si="211"/>
        <v>1000</v>
      </c>
      <c r="AB2085" t="str">
        <f t="shared" si="212"/>
        <v/>
      </c>
      <c r="AC2085">
        <f t="shared" si="209"/>
        <v>1000</v>
      </c>
      <c r="AD2085" s="6"/>
    </row>
    <row r="2086" spans="1:30" x14ac:dyDescent="0.2">
      <c r="A2086" t="str">
        <f t="shared" si="210"/>
        <v/>
      </c>
      <c r="X2086" t="str" cm="1">
        <f t="array" ref="X2086">IF(S2086="","",IF($I2086&lt;&gt;"",$I2086,INDEX($I$2:$I2085,ROW()-COUNTIFS($T$2:$T2085,"="&amp;$T2086,$S$2:$S2085,"&lt;&gt;"&amp;$S2086)-1)))</f>
        <v/>
      </c>
      <c r="Y2086" t="b">
        <f>IF(X2086&lt;&gt;"",VLOOKUP(X2086,game_rosters!$C$43:$E$64,3,FALSE))</f>
        <v>0</v>
      </c>
      <c r="Z2086" t="e" cm="1" vm="1">
        <f t="array" aca="1" ref="Z2086" ca="1">IFERROR(IF(_xlfn._xlws.FILTER(game_rosters!$J:$J,(game_rosters!$G:$G=events!$AN2086)*(game_rosters!$J:$J=events!$X2086))&gt;0,1,""),"")</f>
        <v>#VALUE!</v>
      </c>
      <c r="AA2086">
        <f t="shared" si="211"/>
        <v>1000</v>
      </c>
      <c r="AB2086" t="str">
        <f t="shared" si="212"/>
        <v/>
      </c>
      <c r="AC2086">
        <f t="shared" si="209"/>
        <v>1000</v>
      </c>
      <c r="AD2086" s="6"/>
    </row>
    <row r="2087" spans="1:30" x14ac:dyDescent="0.2">
      <c r="A2087" t="str">
        <f t="shared" si="210"/>
        <v/>
      </c>
      <c r="X2087" t="str" cm="1">
        <f t="array" ref="X2087">IF(S2087="","",IF($I2087&lt;&gt;"",$I2087,INDEX($I$2:$I2086,ROW()-COUNTIFS($T$2:$T2086,"="&amp;$T2087,$S$2:$S2086,"&lt;&gt;"&amp;$S2087)-1)))</f>
        <v/>
      </c>
      <c r="Y2087" t="b">
        <f>IF(X2087&lt;&gt;"",VLOOKUP(X2087,game_rosters!$C$43:$E$64,3,FALSE))</f>
        <v>0</v>
      </c>
      <c r="Z2087" t="e" cm="1" vm="1">
        <f t="array" aca="1" ref="Z2087" ca="1">IFERROR(IF(_xlfn._xlws.FILTER(game_rosters!$J:$J,(game_rosters!$G:$G=events!$AN2087)*(game_rosters!$J:$J=events!$X2087))&gt;0,1,""),"")</f>
        <v>#VALUE!</v>
      </c>
      <c r="AA2087">
        <f t="shared" si="211"/>
        <v>1000</v>
      </c>
      <c r="AB2087" t="str">
        <f t="shared" si="212"/>
        <v/>
      </c>
      <c r="AC2087">
        <f t="shared" si="209"/>
        <v>1000</v>
      </c>
      <c r="AD2087" s="6"/>
    </row>
    <row r="2088" spans="1:30" x14ac:dyDescent="0.2">
      <c r="A2088" t="str">
        <f t="shared" si="210"/>
        <v/>
      </c>
      <c r="X2088" t="str" cm="1">
        <f t="array" ref="X2088">IF(S2088="","",IF($I2088&lt;&gt;"",$I2088,INDEX($I$2:$I2087,ROW()-COUNTIFS($T$2:$T2087,"="&amp;$T2088,$S$2:$S2087,"&lt;&gt;"&amp;$S2088)-1)))</f>
        <v/>
      </c>
      <c r="Y2088" t="b">
        <f>IF(X2088&lt;&gt;"",VLOOKUP(X2088,game_rosters!$C$43:$E$64,3,FALSE))</f>
        <v>0</v>
      </c>
      <c r="Z2088" t="e" cm="1" vm="1">
        <f t="array" aca="1" ref="Z2088" ca="1">IFERROR(IF(_xlfn._xlws.FILTER(game_rosters!$J:$J,(game_rosters!$G:$G=events!$AN2088)*(game_rosters!$J:$J=events!$X2088))&gt;0,1,""),"")</f>
        <v>#VALUE!</v>
      </c>
      <c r="AA2088">
        <f t="shared" si="211"/>
        <v>1000</v>
      </c>
      <c r="AB2088" t="str">
        <f t="shared" si="212"/>
        <v/>
      </c>
      <c r="AC2088">
        <f t="shared" si="209"/>
        <v>1000</v>
      </c>
      <c r="AD2088" s="6"/>
    </row>
    <row r="2089" spans="1:30" x14ac:dyDescent="0.2">
      <c r="A2089" t="str">
        <f t="shared" si="210"/>
        <v/>
      </c>
      <c r="X2089" t="str" cm="1">
        <f t="array" ref="X2089">IF(S2089="","",IF($I2089&lt;&gt;"",$I2089,INDEX($I$2:$I2088,ROW()-COUNTIFS($T$2:$T2088,"="&amp;$T2089,$S$2:$S2088,"&lt;&gt;"&amp;$S2089)-1)))</f>
        <v/>
      </c>
      <c r="Y2089" t="b">
        <f>IF(X2089&lt;&gt;"",VLOOKUP(X2089,game_rosters!$C$43:$E$64,3,FALSE))</f>
        <v>0</v>
      </c>
      <c r="Z2089" t="e" cm="1" vm="1">
        <f t="array" aca="1" ref="Z2089" ca="1">IFERROR(IF(_xlfn._xlws.FILTER(game_rosters!$J:$J,(game_rosters!$G:$G=events!$AN2089)*(game_rosters!$J:$J=events!$X2089))&gt;0,1,""),"")</f>
        <v>#VALUE!</v>
      </c>
      <c r="AA2089">
        <f t="shared" si="211"/>
        <v>1000</v>
      </c>
      <c r="AB2089" t="str">
        <f t="shared" si="212"/>
        <v/>
      </c>
      <c r="AC2089">
        <f t="shared" si="209"/>
        <v>1000</v>
      </c>
      <c r="AD2089" s="6"/>
    </row>
    <row r="2090" spans="1:30" x14ac:dyDescent="0.2">
      <c r="A2090" t="str">
        <f t="shared" si="210"/>
        <v/>
      </c>
      <c r="X2090" t="str" cm="1">
        <f t="array" ref="X2090">IF(S2090="","",IF($I2090&lt;&gt;"",$I2090,INDEX($I$2:$I2089,ROW()-COUNTIFS($T$2:$T2089,"="&amp;$T2090,$S$2:$S2089,"&lt;&gt;"&amp;$S2090)-1)))</f>
        <v/>
      </c>
      <c r="Y2090" t="b">
        <f>IF(X2090&lt;&gt;"",VLOOKUP(X2090,game_rosters!$C$43:$E$64,3,FALSE))</f>
        <v>0</v>
      </c>
      <c r="Z2090" t="e" cm="1" vm="1">
        <f t="array" aca="1" ref="Z2090" ca="1">IFERROR(IF(_xlfn._xlws.FILTER(game_rosters!$J:$J,(game_rosters!$G:$G=events!$AN2090)*(game_rosters!$J:$J=events!$X2090))&gt;0,1,""),"")</f>
        <v>#VALUE!</v>
      </c>
      <c r="AA2090">
        <f t="shared" si="211"/>
        <v>1000</v>
      </c>
      <c r="AB2090" t="str">
        <f t="shared" si="212"/>
        <v/>
      </c>
      <c r="AC2090">
        <f t="shared" si="209"/>
        <v>1000</v>
      </c>
      <c r="AD2090" s="6"/>
    </row>
    <row r="2091" spans="1:30" x14ac:dyDescent="0.2">
      <c r="A2091" t="str">
        <f t="shared" si="210"/>
        <v/>
      </c>
      <c r="X2091" t="str" cm="1">
        <f t="array" ref="X2091">IF(S2091="","",IF($I2091&lt;&gt;"",$I2091,INDEX($I$2:$I2090,ROW()-COUNTIFS($T$2:$T2090,"="&amp;$T2091,$S$2:$S2090,"&lt;&gt;"&amp;$S2091)-1)))</f>
        <v/>
      </c>
      <c r="Y2091" t="b">
        <f>IF(X2091&lt;&gt;"",VLOOKUP(X2091,game_rosters!$C$43:$E$64,3,FALSE))</f>
        <v>0</v>
      </c>
      <c r="Z2091" t="e" cm="1" vm="1">
        <f t="array" aca="1" ref="Z2091" ca="1">IFERROR(IF(_xlfn._xlws.FILTER(game_rosters!$J:$J,(game_rosters!$G:$G=events!$AN2091)*(game_rosters!$J:$J=events!$X2091))&gt;0,1,""),"")</f>
        <v>#VALUE!</v>
      </c>
      <c r="AA2091">
        <f t="shared" si="211"/>
        <v>1000</v>
      </c>
      <c r="AB2091" t="str">
        <f t="shared" si="212"/>
        <v/>
      </c>
      <c r="AC2091">
        <f t="shared" si="209"/>
        <v>1000</v>
      </c>
      <c r="AD2091" s="6"/>
    </row>
    <row r="2092" spans="1:30" x14ac:dyDescent="0.2">
      <c r="A2092" t="str">
        <f t="shared" si="210"/>
        <v/>
      </c>
      <c r="X2092" t="str" cm="1">
        <f t="array" ref="X2092">IF(S2092="","",IF($I2092&lt;&gt;"",$I2092,INDEX($I$2:$I2091,ROW()-COUNTIFS($T$2:$T2091,"="&amp;$T2092,$S$2:$S2091,"&lt;&gt;"&amp;$S2092)-1)))</f>
        <v/>
      </c>
      <c r="Y2092" t="b">
        <f>IF(X2092&lt;&gt;"",VLOOKUP(X2092,game_rosters!$C$43:$E$64,3,FALSE))</f>
        <v>0</v>
      </c>
      <c r="Z2092" t="e" cm="1" vm="1">
        <f t="array" aca="1" ref="Z2092" ca="1">IFERROR(IF(_xlfn._xlws.FILTER(game_rosters!$J:$J,(game_rosters!$G:$G=events!$AN2092)*(game_rosters!$J:$J=events!$X2092))&gt;0,1,""),"")</f>
        <v>#VALUE!</v>
      </c>
      <c r="AA2092">
        <f t="shared" si="211"/>
        <v>1000</v>
      </c>
      <c r="AB2092" t="str">
        <f t="shared" si="212"/>
        <v/>
      </c>
      <c r="AC2092">
        <f t="shared" si="209"/>
        <v>1000</v>
      </c>
      <c r="AD2092" s="6"/>
    </row>
    <row r="2093" spans="1:30" x14ac:dyDescent="0.2">
      <c r="A2093" t="str">
        <f t="shared" si="210"/>
        <v/>
      </c>
      <c r="X2093" t="str" cm="1">
        <f t="array" ref="X2093">IF(S2093="","",IF($I2093&lt;&gt;"",$I2093,INDEX($I$2:$I2092,ROW()-COUNTIFS($T$2:$T2092,"="&amp;$T2093,$S$2:$S2092,"&lt;&gt;"&amp;$S2093)-1)))</f>
        <v/>
      </c>
      <c r="Y2093" t="b">
        <f>IF(X2093&lt;&gt;"",VLOOKUP(X2093,game_rosters!$C$43:$E$64,3,FALSE))</f>
        <v>0</v>
      </c>
      <c r="Z2093" t="e" cm="1" vm="1">
        <f t="array" aca="1" ref="Z2093" ca="1">IFERROR(IF(_xlfn._xlws.FILTER(game_rosters!$J:$J,(game_rosters!$G:$G=events!$AN2093)*(game_rosters!$J:$J=events!$X2093))&gt;0,1,""),"")</f>
        <v>#VALUE!</v>
      </c>
      <c r="AA2093">
        <f t="shared" si="211"/>
        <v>1000</v>
      </c>
      <c r="AB2093" t="str">
        <f t="shared" si="212"/>
        <v/>
      </c>
      <c r="AC2093">
        <f t="shared" si="209"/>
        <v>1000</v>
      </c>
      <c r="AD2093" s="6"/>
    </row>
    <row r="2094" spans="1:30" x14ac:dyDescent="0.2">
      <c r="A2094" t="str">
        <f t="shared" si="210"/>
        <v/>
      </c>
      <c r="X2094" t="str" cm="1">
        <f t="array" ref="X2094">IF(S2094="","",IF($I2094&lt;&gt;"",$I2094,INDEX($I$2:$I2093,ROW()-COUNTIFS($T$2:$T2093,"="&amp;$T2094,$S$2:$S2093,"&lt;&gt;"&amp;$S2094)-1)))</f>
        <v/>
      </c>
      <c r="Y2094" t="b">
        <f>IF(X2094&lt;&gt;"",VLOOKUP(X2094,game_rosters!$C$43:$E$64,3,FALSE))</f>
        <v>0</v>
      </c>
      <c r="Z2094" t="e" cm="1" vm="1">
        <f t="array" aca="1" ref="Z2094" ca="1">IFERROR(IF(_xlfn._xlws.FILTER(game_rosters!$J:$J,(game_rosters!$G:$G=events!$AN2094)*(game_rosters!$J:$J=events!$X2094))&gt;0,1,""),"")</f>
        <v>#VALUE!</v>
      </c>
      <c r="AA2094">
        <f t="shared" si="211"/>
        <v>1000</v>
      </c>
      <c r="AB2094" t="str">
        <f t="shared" si="212"/>
        <v/>
      </c>
      <c r="AC2094">
        <f t="shared" si="209"/>
        <v>1000</v>
      </c>
      <c r="AD2094" s="6"/>
    </row>
    <row r="2095" spans="1:30" x14ac:dyDescent="0.2">
      <c r="A2095" t="str">
        <f t="shared" si="210"/>
        <v/>
      </c>
      <c r="X2095" t="str" cm="1">
        <f t="array" ref="X2095">IF(S2095="","",IF($I2095&lt;&gt;"",$I2095,INDEX($I$2:$I2094,ROW()-COUNTIFS($T$2:$T2094,"="&amp;$T2095,$S$2:$S2094,"&lt;&gt;"&amp;$S2095)-1)))</f>
        <v/>
      </c>
      <c r="Y2095" t="b">
        <f>IF(X2095&lt;&gt;"",VLOOKUP(X2095,game_rosters!$C$43:$E$64,3,FALSE))</f>
        <v>0</v>
      </c>
      <c r="Z2095" t="e" cm="1" vm="1">
        <f t="array" aca="1" ref="Z2095" ca="1">IFERROR(IF(_xlfn._xlws.FILTER(game_rosters!$J:$J,(game_rosters!$G:$G=events!$AN2095)*(game_rosters!$J:$J=events!$X2095))&gt;0,1,""),"")</f>
        <v>#VALUE!</v>
      </c>
      <c r="AA2095">
        <f t="shared" si="211"/>
        <v>1000</v>
      </c>
      <c r="AB2095" t="str">
        <f t="shared" si="212"/>
        <v/>
      </c>
      <c r="AC2095">
        <f t="shared" si="209"/>
        <v>1000</v>
      </c>
      <c r="AD2095" s="6"/>
    </row>
    <row r="2096" spans="1:30" x14ac:dyDescent="0.2">
      <c r="A2096" t="str">
        <f t="shared" si="210"/>
        <v/>
      </c>
      <c r="X2096" t="str" cm="1">
        <f t="array" ref="X2096">IF(S2096="","",IF($I2096&lt;&gt;"",$I2096,INDEX($I$2:$I2095,ROW()-COUNTIFS($T$2:$T2095,"="&amp;$T2096,$S$2:$S2095,"&lt;&gt;"&amp;$S2096)-1)))</f>
        <v/>
      </c>
      <c r="Y2096" t="b">
        <f>IF(X2096&lt;&gt;"",VLOOKUP(X2096,game_rosters!$C$43:$E$64,3,FALSE))</f>
        <v>0</v>
      </c>
      <c r="Z2096" t="e" cm="1" vm="1">
        <f t="array" aca="1" ref="Z2096" ca="1">IFERROR(IF(_xlfn._xlws.FILTER(game_rosters!$J:$J,(game_rosters!$G:$G=events!$AN2096)*(game_rosters!$J:$J=events!$X2096))&gt;0,1,""),"")</f>
        <v>#VALUE!</v>
      </c>
      <c r="AA2096">
        <f t="shared" si="211"/>
        <v>1000</v>
      </c>
      <c r="AB2096" t="str">
        <f t="shared" si="212"/>
        <v/>
      </c>
      <c r="AC2096">
        <f t="shared" si="209"/>
        <v>1000</v>
      </c>
      <c r="AD2096" s="6"/>
    </row>
    <row r="2097" spans="1:30" x14ac:dyDescent="0.2">
      <c r="A2097" t="str">
        <f t="shared" si="210"/>
        <v/>
      </c>
      <c r="X2097" t="str" cm="1">
        <f t="array" ref="X2097">IF(S2097="","",IF($I2097&lt;&gt;"",$I2097,INDEX($I$2:$I2096,ROW()-COUNTIFS($T$2:$T2096,"="&amp;$T2097,$S$2:$S2096,"&lt;&gt;"&amp;$S2097)-1)))</f>
        <v/>
      </c>
      <c r="Y2097" t="b">
        <f>IF(X2097&lt;&gt;"",VLOOKUP(X2097,game_rosters!$C$43:$E$64,3,FALSE))</f>
        <v>0</v>
      </c>
      <c r="Z2097" t="e" cm="1" vm="1">
        <f t="array" aca="1" ref="Z2097" ca="1">IFERROR(IF(_xlfn._xlws.FILTER(game_rosters!$J:$J,(game_rosters!$G:$G=events!$AN2097)*(game_rosters!$J:$J=events!$X2097))&gt;0,1,""),"")</f>
        <v>#VALUE!</v>
      </c>
      <c r="AA2097">
        <f t="shared" si="211"/>
        <v>1000</v>
      </c>
      <c r="AB2097" t="str">
        <f t="shared" si="212"/>
        <v/>
      </c>
      <c r="AC2097">
        <f t="shared" si="209"/>
        <v>1000</v>
      </c>
      <c r="AD2097" s="6"/>
    </row>
    <row r="2098" spans="1:30" x14ac:dyDescent="0.2">
      <c r="A2098" t="str">
        <f t="shared" si="210"/>
        <v/>
      </c>
      <c r="X2098" t="str" cm="1">
        <f t="array" ref="X2098">IF(S2098="","",IF($I2098&lt;&gt;"",$I2098,INDEX($I$2:$I2097,ROW()-COUNTIFS($T$2:$T2097,"="&amp;$T2098,$S$2:$S2097,"&lt;&gt;"&amp;$S2098)-1)))</f>
        <v/>
      </c>
      <c r="Y2098" t="b">
        <f>IF(X2098&lt;&gt;"",VLOOKUP(X2098,game_rosters!$C$43:$E$64,3,FALSE))</f>
        <v>0</v>
      </c>
      <c r="Z2098" t="e" cm="1" vm="1">
        <f t="array" aca="1" ref="Z2098" ca="1">IFERROR(IF(_xlfn._xlws.FILTER(game_rosters!$J:$J,(game_rosters!$G:$G=events!$AN2098)*(game_rosters!$J:$J=events!$X2098))&gt;0,1,""),"")</f>
        <v>#VALUE!</v>
      </c>
      <c r="AA2098">
        <f t="shared" si="211"/>
        <v>1000</v>
      </c>
      <c r="AB2098" t="str">
        <f t="shared" si="212"/>
        <v/>
      </c>
      <c r="AC2098">
        <f t="shared" si="209"/>
        <v>1000</v>
      </c>
      <c r="AD2098" s="6"/>
    </row>
    <row r="2099" spans="1:30" x14ac:dyDescent="0.2">
      <c r="A2099" t="str">
        <f t="shared" si="210"/>
        <v/>
      </c>
      <c r="X2099" t="str" cm="1">
        <f t="array" ref="X2099">IF(S2099="","",IF($I2099&lt;&gt;"",$I2099,INDEX($I$2:$I2098,ROW()-COUNTIFS($T$2:$T2098,"="&amp;$T2099,$S$2:$S2098,"&lt;&gt;"&amp;$S2099)-1)))</f>
        <v/>
      </c>
      <c r="Y2099" t="b">
        <f>IF(X2099&lt;&gt;"",VLOOKUP(X2099,game_rosters!$C$43:$E$64,3,FALSE))</f>
        <v>0</v>
      </c>
      <c r="Z2099" t="e" cm="1" vm="1">
        <f t="array" aca="1" ref="Z2099" ca="1">IFERROR(IF(_xlfn._xlws.FILTER(game_rosters!$J:$J,(game_rosters!$G:$G=events!$AN2099)*(game_rosters!$J:$J=events!$X2099))&gt;0,1,""),"")</f>
        <v>#VALUE!</v>
      </c>
      <c r="AA2099">
        <f t="shared" si="211"/>
        <v>1000</v>
      </c>
      <c r="AB2099" t="str">
        <f t="shared" si="212"/>
        <v/>
      </c>
      <c r="AC2099">
        <f t="shared" si="209"/>
        <v>1000</v>
      </c>
      <c r="AD2099" s="6"/>
    </row>
    <row r="2100" spans="1:30" x14ac:dyDescent="0.2">
      <c r="A2100" t="str">
        <f t="shared" si="210"/>
        <v/>
      </c>
      <c r="X2100" t="str" cm="1">
        <f t="array" ref="X2100">IF(S2100="","",IF($I2100&lt;&gt;"",$I2100,INDEX($I$2:$I2099,ROW()-COUNTIFS($T$2:$T2099,"="&amp;$T2100,$S$2:$S2099,"&lt;&gt;"&amp;$S2100)-1)))</f>
        <v/>
      </c>
      <c r="Y2100" t="b">
        <f>IF(X2100&lt;&gt;"",VLOOKUP(X2100,game_rosters!$C$43:$E$64,3,FALSE))</f>
        <v>0</v>
      </c>
      <c r="Z2100" t="e" cm="1" vm="1">
        <f t="array" aca="1" ref="Z2100" ca="1">IFERROR(IF(_xlfn._xlws.FILTER(game_rosters!$J:$J,(game_rosters!$G:$G=events!$AN2100)*(game_rosters!$J:$J=events!$X2100))&gt;0,1,""),"")</f>
        <v>#VALUE!</v>
      </c>
      <c r="AA2100">
        <f t="shared" si="211"/>
        <v>1000</v>
      </c>
      <c r="AB2100" t="str">
        <f t="shared" si="212"/>
        <v/>
      </c>
      <c r="AC2100">
        <f t="shared" si="209"/>
        <v>1000</v>
      </c>
      <c r="AD2100" s="6"/>
    </row>
    <row r="2101" spans="1:30" x14ac:dyDescent="0.2">
      <c r="A2101" t="str">
        <f t="shared" si="210"/>
        <v/>
      </c>
      <c r="X2101" t="str" cm="1">
        <f t="array" ref="X2101">IF(S2101="","",IF($I2101&lt;&gt;"",$I2101,INDEX($I$2:$I2100,ROW()-COUNTIFS($T$2:$T2100,"="&amp;$T2101,$S$2:$S2100,"&lt;&gt;"&amp;$S2101)-1)))</f>
        <v/>
      </c>
      <c r="Y2101" t="b">
        <f>IF(X2101&lt;&gt;"",VLOOKUP(X2101,game_rosters!$C$43:$E$64,3,FALSE))</f>
        <v>0</v>
      </c>
      <c r="Z2101" t="e" cm="1" vm="1">
        <f t="array" aca="1" ref="Z2101" ca="1">IFERROR(IF(_xlfn._xlws.FILTER(game_rosters!$J:$J,(game_rosters!$G:$G=events!$AN2101)*(game_rosters!$J:$J=events!$X2101))&gt;0,1,""),"")</f>
        <v>#VALUE!</v>
      </c>
      <c r="AA2101">
        <f t="shared" si="211"/>
        <v>1000</v>
      </c>
      <c r="AB2101" t="str">
        <f t="shared" si="212"/>
        <v/>
      </c>
      <c r="AC2101">
        <f t="shared" si="209"/>
        <v>1000</v>
      </c>
      <c r="AD2101" s="6"/>
    </row>
    <row r="2102" spans="1:30" x14ac:dyDescent="0.2">
      <c r="A2102" t="str">
        <f t="shared" si="210"/>
        <v/>
      </c>
      <c r="X2102" t="str" cm="1">
        <f t="array" ref="X2102">IF(S2102="","",IF($I2102&lt;&gt;"",$I2102,INDEX($I$2:$I2101,ROW()-COUNTIFS($T$2:$T2101,"="&amp;$T2102,$S$2:$S2101,"&lt;&gt;"&amp;$S2102)-1)))</f>
        <v/>
      </c>
      <c r="Y2102" t="b">
        <f>IF(X2102&lt;&gt;"",VLOOKUP(X2102,game_rosters!$C$43:$E$64,3,FALSE))</f>
        <v>0</v>
      </c>
      <c r="Z2102" t="e" cm="1" vm="1">
        <f t="array" aca="1" ref="Z2102" ca="1">IFERROR(IF(_xlfn._xlws.FILTER(game_rosters!$J:$J,(game_rosters!$G:$G=events!$AN2102)*(game_rosters!$J:$J=events!$X2102))&gt;0,1,""),"")</f>
        <v>#VALUE!</v>
      </c>
      <c r="AA2102">
        <f t="shared" si="211"/>
        <v>1000</v>
      </c>
      <c r="AB2102" t="str">
        <f t="shared" si="212"/>
        <v/>
      </c>
      <c r="AC2102">
        <f t="shared" si="209"/>
        <v>1000</v>
      </c>
      <c r="AD2102" s="6"/>
    </row>
    <row r="2103" spans="1:30" x14ac:dyDescent="0.2">
      <c r="A2103" t="str">
        <f t="shared" si="210"/>
        <v/>
      </c>
      <c r="X2103" t="str" cm="1">
        <f t="array" ref="X2103">IF(S2103="","",IF($I2103&lt;&gt;"",$I2103,INDEX($I$2:$I2102,ROW()-COUNTIFS($T$2:$T2102,"="&amp;$T2103,$S$2:$S2102,"&lt;&gt;"&amp;$S2103)-1)))</f>
        <v/>
      </c>
      <c r="Y2103" t="b">
        <f>IF(X2103&lt;&gt;"",VLOOKUP(X2103,game_rosters!$C$43:$E$64,3,FALSE))</f>
        <v>0</v>
      </c>
      <c r="Z2103" t="e" cm="1" vm="1">
        <f t="array" aca="1" ref="Z2103" ca="1">IFERROR(IF(_xlfn._xlws.FILTER(game_rosters!$J:$J,(game_rosters!$G:$G=events!$AN2103)*(game_rosters!$J:$J=events!$X2103))&gt;0,1,""),"")</f>
        <v>#VALUE!</v>
      </c>
      <c r="AA2103">
        <f t="shared" si="211"/>
        <v>1000</v>
      </c>
      <c r="AB2103" t="str">
        <f t="shared" si="212"/>
        <v/>
      </c>
      <c r="AC2103">
        <f t="shared" si="209"/>
        <v>1000</v>
      </c>
      <c r="AD2103" s="6"/>
    </row>
    <row r="2104" spans="1:30" x14ac:dyDescent="0.2">
      <c r="A2104" t="str">
        <f t="shared" si="210"/>
        <v/>
      </c>
      <c r="X2104" t="str" cm="1">
        <f t="array" ref="X2104">IF(S2104="","",IF($I2104&lt;&gt;"",$I2104,INDEX($I$2:$I2103,ROW()-COUNTIFS($T$2:$T2103,"="&amp;$T2104,$S$2:$S2103,"&lt;&gt;"&amp;$S2104)-1)))</f>
        <v/>
      </c>
      <c r="Y2104" t="b">
        <f>IF(X2104&lt;&gt;"",VLOOKUP(X2104,game_rosters!$C$43:$E$64,3,FALSE))</f>
        <v>0</v>
      </c>
      <c r="Z2104" t="e" cm="1" vm="1">
        <f t="array" aca="1" ref="Z2104" ca="1">IFERROR(IF(_xlfn._xlws.FILTER(game_rosters!$J:$J,(game_rosters!$G:$G=events!$AN2104)*(game_rosters!$J:$J=events!$X2104))&gt;0,1,""),"")</f>
        <v>#VALUE!</v>
      </c>
      <c r="AA2104">
        <f t="shared" si="211"/>
        <v>1000</v>
      </c>
      <c r="AB2104" t="str">
        <f t="shared" si="212"/>
        <v/>
      </c>
      <c r="AC2104">
        <f t="shared" si="209"/>
        <v>1000</v>
      </c>
      <c r="AD2104" s="6"/>
    </row>
    <row r="2105" spans="1:30" x14ac:dyDescent="0.2">
      <c r="A2105" t="str">
        <f t="shared" si="210"/>
        <v/>
      </c>
      <c r="X2105" t="str" cm="1">
        <f t="array" ref="X2105">IF(S2105="","",IF($I2105&lt;&gt;"",$I2105,INDEX($I$2:$I2104,ROW()-COUNTIFS($T$2:$T2104,"="&amp;$T2105,$S$2:$S2104,"&lt;&gt;"&amp;$S2105)-1)))</f>
        <v/>
      </c>
      <c r="Y2105" t="b">
        <f>IF(X2105&lt;&gt;"",VLOOKUP(X2105,game_rosters!$C$43:$E$64,3,FALSE))</f>
        <v>0</v>
      </c>
      <c r="Z2105" t="e" cm="1" vm="1">
        <f t="array" aca="1" ref="Z2105" ca="1">IFERROR(IF(_xlfn._xlws.FILTER(game_rosters!$J:$J,(game_rosters!$G:$G=events!$AN2105)*(game_rosters!$J:$J=events!$X2105))&gt;0,1,""),"")</f>
        <v>#VALUE!</v>
      </c>
      <c r="AA2105">
        <f t="shared" si="211"/>
        <v>1000</v>
      </c>
      <c r="AB2105" t="str">
        <f t="shared" si="212"/>
        <v/>
      </c>
      <c r="AC2105">
        <f t="shared" si="209"/>
        <v>1000</v>
      </c>
      <c r="AD2105" s="6"/>
    </row>
    <row r="2106" spans="1:30" x14ac:dyDescent="0.2">
      <c r="A2106" t="str">
        <f t="shared" si="210"/>
        <v/>
      </c>
      <c r="X2106" t="str" cm="1">
        <f t="array" ref="X2106">IF(S2106="","",IF($I2106&lt;&gt;"",$I2106,INDEX($I$2:$I2105,ROW()-COUNTIFS($T$2:$T2105,"="&amp;$T2106,$S$2:$S2105,"&lt;&gt;"&amp;$S2106)-1)))</f>
        <v/>
      </c>
      <c r="Y2106" t="b">
        <f>IF(X2106&lt;&gt;"",VLOOKUP(X2106,game_rosters!$C$43:$E$64,3,FALSE))</f>
        <v>0</v>
      </c>
      <c r="Z2106" t="e" cm="1" vm="1">
        <f t="array" aca="1" ref="Z2106" ca="1">IFERROR(IF(_xlfn._xlws.FILTER(game_rosters!$J:$J,(game_rosters!$G:$G=events!$AN2106)*(game_rosters!$J:$J=events!$X2106))&gt;0,1,""),"")</f>
        <v>#VALUE!</v>
      </c>
      <c r="AA2106">
        <f t="shared" si="211"/>
        <v>1000</v>
      </c>
      <c r="AB2106" t="str">
        <f t="shared" si="212"/>
        <v/>
      </c>
      <c r="AC2106">
        <f t="shared" si="209"/>
        <v>1000</v>
      </c>
      <c r="AD2106" s="6"/>
    </row>
    <row r="2107" spans="1:30" x14ac:dyDescent="0.2">
      <c r="A2107" t="str">
        <f t="shared" si="210"/>
        <v/>
      </c>
      <c r="X2107" t="str" cm="1">
        <f t="array" ref="X2107">IF(S2107="","",IF($I2107&lt;&gt;"",$I2107,INDEX($I$2:$I2106,ROW()-COUNTIFS($T$2:$T2106,"="&amp;$T2107,$S$2:$S2106,"&lt;&gt;"&amp;$S2107)-1)))</f>
        <v/>
      </c>
      <c r="Y2107" t="b">
        <f>IF(X2107&lt;&gt;"",VLOOKUP(X2107,game_rosters!$C$43:$E$64,3,FALSE))</f>
        <v>0</v>
      </c>
      <c r="Z2107" t="e" cm="1" vm="1">
        <f t="array" aca="1" ref="Z2107" ca="1">IFERROR(IF(_xlfn._xlws.FILTER(game_rosters!$J:$J,(game_rosters!$G:$G=events!$AN2107)*(game_rosters!$J:$J=events!$X2107))&gt;0,1,""),"")</f>
        <v>#VALUE!</v>
      </c>
      <c r="AA2107">
        <f t="shared" si="211"/>
        <v>1000</v>
      </c>
      <c r="AB2107" t="str">
        <f t="shared" si="212"/>
        <v/>
      </c>
      <c r="AC2107">
        <f t="shared" si="209"/>
        <v>1000</v>
      </c>
      <c r="AD2107" s="6"/>
    </row>
    <row r="2108" spans="1:30" x14ac:dyDescent="0.2">
      <c r="A2108" t="str">
        <f t="shared" si="210"/>
        <v/>
      </c>
      <c r="X2108" t="str" cm="1">
        <f t="array" ref="X2108">IF(S2108="","",IF($I2108&lt;&gt;"",$I2108,INDEX($I$2:$I2107,ROW()-COUNTIFS($T$2:$T2107,"="&amp;$T2108,$S$2:$S2107,"&lt;&gt;"&amp;$S2108)-1)))</f>
        <v/>
      </c>
      <c r="Y2108" t="b">
        <f>IF(X2108&lt;&gt;"",VLOOKUP(X2108,game_rosters!$C$43:$E$64,3,FALSE))</f>
        <v>0</v>
      </c>
      <c r="Z2108" t="e" cm="1" vm="1">
        <f t="array" aca="1" ref="Z2108" ca="1">IFERROR(IF(_xlfn._xlws.FILTER(game_rosters!$J:$J,(game_rosters!$G:$G=events!$AN2108)*(game_rosters!$J:$J=events!$X2108))&gt;0,1,""),"")</f>
        <v>#VALUE!</v>
      </c>
      <c r="AA2108">
        <f t="shared" si="211"/>
        <v>1000</v>
      </c>
      <c r="AB2108" t="str">
        <f t="shared" si="212"/>
        <v/>
      </c>
      <c r="AC2108">
        <f t="shared" si="209"/>
        <v>1000</v>
      </c>
      <c r="AD2108" s="6"/>
    </row>
    <row r="2109" spans="1:30" x14ac:dyDescent="0.2">
      <c r="A2109" t="str">
        <f t="shared" si="210"/>
        <v/>
      </c>
      <c r="X2109" t="str" cm="1">
        <f t="array" ref="X2109">IF(S2109="","",IF($I2109&lt;&gt;"",$I2109,INDEX($I$2:$I2108,ROW()-COUNTIFS($T$2:$T2108,"="&amp;$T2109,$S$2:$S2108,"&lt;&gt;"&amp;$S2109)-1)))</f>
        <v/>
      </c>
      <c r="Y2109" t="b">
        <f>IF(X2109&lt;&gt;"",VLOOKUP(X2109,game_rosters!$C$43:$E$64,3,FALSE))</f>
        <v>0</v>
      </c>
      <c r="Z2109" t="e" cm="1" vm="1">
        <f t="array" aca="1" ref="Z2109" ca="1">IFERROR(IF(_xlfn._xlws.FILTER(game_rosters!$J:$J,(game_rosters!$G:$G=events!$AN2109)*(game_rosters!$J:$J=events!$X2109))&gt;0,1,""),"")</f>
        <v>#VALUE!</v>
      </c>
      <c r="AA2109">
        <f t="shared" si="211"/>
        <v>1000</v>
      </c>
      <c r="AB2109" t="str">
        <f t="shared" si="212"/>
        <v/>
      </c>
      <c r="AC2109">
        <f t="shared" si="209"/>
        <v>1000</v>
      </c>
      <c r="AD2109" s="6"/>
    </row>
    <row r="2110" spans="1:30" x14ac:dyDescent="0.2">
      <c r="A2110" t="str">
        <f t="shared" si="210"/>
        <v/>
      </c>
      <c r="X2110" t="str" cm="1">
        <f t="array" ref="X2110">IF(S2110="","",IF($I2110&lt;&gt;"",$I2110,INDEX($I$2:$I2109,ROW()-COUNTIFS($T$2:$T2109,"="&amp;$T2110,$S$2:$S2109,"&lt;&gt;"&amp;$S2110)-1)))</f>
        <v/>
      </c>
      <c r="Y2110" t="b">
        <f>IF(X2110&lt;&gt;"",VLOOKUP(X2110,game_rosters!$C$43:$E$64,3,FALSE))</f>
        <v>0</v>
      </c>
      <c r="Z2110" t="e" cm="1" vm="1">
        <f t="array" aca="1" ref="Z2110" ca="1">IFERROR(IF(_xlfn._xlws.FILTER(game_rosters!$J:$J,(game_rosters!$G:$G=events!$AN2110)*(game_rosters!$J:$J=events!$X2110))&gt;0,1,""),"")</f>
        <v>#VALUE!</v>
      </c>
      <c r="AA2110">
        <f t="shared" si="211"/>
        <v>1000</v>
      </c>
      <c r="AB2110" t="str">
        <f t="shared" si="212"/>
        <v/>
      </c>
      <c r="AC2110">
        <f t="shared" si="209"/>
        <v>1000</v>
      </c>
      <c r="AD2110" s="6"/>
    </row>
    <row r="2111" spans="1:30" x14ac:dyDescent="0.2">
      <c r="A2111" t="str">
        <f t="shared" si="210"/>
        <v/>
      </c>
      <c r="X2111" t="str" cm="1">
        <f t="array" ref="X2111">IF(S2111="","",IF($I2111&lt;&gt;"",$I2111,INDEX($I$2:$I2110,ROW()-COUNTIFS($T$2:$T2110,"="&amp;$T2111,$S$2:$S2110,"&lt;&gt;"&amp;$S2111)-1)))</f>
        <v/>
      </c>
      <c r="Y2111" t="b">
        <f>IF(X2111&lt;&gt;"",VLOOKUP(X2111,game_rosters!$C$43:$E$64,3,FALSE))</f>
        <v>0</v>
      </c>
      <c r="Z2111" t="e" cm="1" vm="1">
        <f t="array" aca="1" ref="Z2111" ca="1">IFERROR(IF(_xlfn._xlws.FILTER(game_rosters!$J:$J,(game_rosters!$G:$G=events!$AN2111)*(game_rosters!$J:$J=events!$X2111))&gt;0,1,""),"")</f>
        <v>#VALUE!</v>
      </c>
      <c r="AA2111">
        <f t="shared" si="211"/>
        <v>1000</v>
      </c>
      <c r="AB2111" t="str">
        <f t="shared" si="212"/>
        <v/>
      </c>
      <c r="AC2111">
        <f t="shared" si="209"/>
        <v>1000</v>
      </c>
      <c r="AD2111" s="6"/>
    </row>
    <row r="2112" spans="1:30" x14ac:dyDescent="0.2">
      <c r="A2112" t="str">
        <f t="shared" si="210"/>
        <v/>
      </c>
      <c r="X2112" t="str" cm="1">
        <f t="array" ref="X2112">IF(S2112="","",IF($I2112&lt;&gt;"",$I2112,INDEX($I$2:$I2111,ROW()-COUNTIFS($T$2:$T2111,"="&amp;$T2112,$S$2:$S2111,"&lt;&gt;"&amp;$S2112)-1)))</f>
        <v/>
      </c>
      <c r="Y2112" t="b">
        <f>IF(X2112&lt;&gt;"",VLOOKUP(X2112,game_rosters!$C$43:$E$64,3,FALSE))</f>
        <v>0</v>
      </c>
      <c r="Z2112" t="e" cm="1" vm="1">
        <f t="array" aca="1" ref="Z2112" ca="1">IFERROR(IF(_xlfn._xlws.FILTER(game_rosters!$J:$J,(game_rosters!$G:$G=events!$AN2112)*(game_rosters!$J:$J=events!$X2112))&gt;0,1,""),"")</f>
        <v>#VALUE!</v>
      </c>
      <c r="AA2112">
        <f t="shared" si="211"/>
        <v>1000</v>
      </c>
      <c r="AB2112" t="str">
        <f t="shared" si="212"/>
        <v/>
      </c>
      <c r="AC2112">
        <f t="shared" si="209"/>
        <v>1000</v>
      </c>
      <c r="AD2112" s="6"/>
    </row>
    <row r="2113" spans="1:30" x14ac:dyDescent="0.2">
      <c r="A2113" t="str">
        <f t="shared" si="210"/>
        <v/>
      </c>
      <c r="X2113" t="str" cm="1">
        <f t="array" ref="X2113">IF(S2113="","",IF($I2113&lt;&gt;"",$I2113,INDEX($I$2:$I2112,ROW()-COUNTIFS($T$2:$T2112,"="&amp;$T2113,$S$2:$S2112,"&lt;&gt;"&amp;$S2113)-1)))</f>
        <v/>
      </c>
      <c r="Y2113" t="b">
        <f>IF(X2113&lt;&gt;"",VLOOKUP(X2113,game_rosters!$C$43:$E$64,3,FALSE))</f>
        <v>0</v>
      </c>
      <c r="Z2113" t="e" cm="1" vm="1">
        <f t="array" aca="1" ref="Z2113" ca="1">IFERROR(IF(_xlfn._xlws.FILTER(game_rosters!$J:$J,(game_rosters!$G:$G=events!$AN2113)*(game_rosters!$J:$J=events!$X2113))&gt;0,1,""),"")</f>
        <v>#VALUE!</v>
      </c>
      <c r="AA2113">
        <f t="shared" si="211"/>
        <v>1000</v>
      </c>
      <c r="AB2113" t="str">
        <f t="shared" si="212"/>
        <v/>
      </c>
      <c r="AC2113">
        <f t="shared" si="209"/>
        <v>1000</v>
      </c>
      <c r="AD2113" s="6"/>
    </row>
    <row r="2114" spans="1:30" x14ac:dyDescent="0.2">
      <c r="A2114" t="str">
        <f t="shared" si="210"/>
        <v/>
      </c>
      <c r="X2114" t="str" cm="1">
        <f t="array" ref="X2114">IF(S2114="","",IF($I2114&lt;&gt;"",$I2114,INDEX($I$2:$I2113,ROW()-COUNTIFS($T$2:$T2113,"="&amp;$T2114,$S$2:$S2113,"&lt;&gt;"&amp;$S2114)-1)))</f>
        <v/>
      </c>
      <c r="Y2114" t="b">
        <f>IF(X2114&lt;&gt;"",VLOOKUP(X2114,game_rosters!$C$43:$E$64,3,FALSE))</f>
        <v>0</v>
      </c>
      <c r="Z2114" t="e" cm="1" vm="1">
        <f t="array" aca="1" ref="Z2114" ca="1">IFERROR(IF(_xlfn._xlws.FILTER(game_rosters!$J:$J,(game_rosters!$G:$G=events!$AN2114)*(game_rosters!$J:$J=events!$X2114))&gt;0,1,""),"")</f>
        <v>#VALUE!</v>
      </c>
      <c r="AA2114">
        <f t="shared" si="211"/>
        <v>1000</v>
      </c>
      <c r="AB2114" t="str">
        <f t="shared" si="212"/>
        <v/>
      </c>
      <c r="AC2114">
        <f t="shared" ref="AC2114:AC2177" si="213">IF(AB2114&lt;&gt;"",AB2114,S2114+1000)</f>
        <v>1000</v>
      </c>
      <c r="AD2114" s="6"/>
    </row>
    <row r="2115" spans="1:30" x14ac:dyDescent="0.2">
      <c r="A2115" t="str">
        <f t="shared" si="210"/>
        <v/>
      </c>
      <c r="X2115" t="str" cm="1">
        <f t="array" ref="X2115">IF(S2115="","",IF($I2115&lt;&gt;"",$I2115,INDEX($I$2:$I2114,ROW()-COUNTIFS($T$2:$T2114,"="&amp;$T2115,$S$2:$S2114,"&lt;&gt;"&amp;$S2115)-1)))</f>
        <v/>
      </c>
      <c r="Y2115" t="b">
        <f>IF(X2115&lt;&gt;"",VLOOKUP(X2115,game_rosters!$C$43:$E$64,3,FALSE))</f>
        <v>0</v>
      </c>
      <c r="Z2115" t="e" cm="1" vm="1">
        <f t="array" aca="1" ref="Z2115" ca="1">IFERROR(IF(_xlfn._xlws.FILTER(game_rosters!$J:$J,(game_rosters!$G:$G=events!$AN2115)*(game_rosters!$J:$J=events!$X2115))&gt;0,1,""),"")</f>
        <v>#VALUE!</v>
      </c>
      <c r="AA2115">
        <f t="shared" si="211"/>
        <v>1000</v>
      </c>
      <c r="AB2115" t="str">
        <f t="shared" si="212"/>
        <v/>
      </c>
      <c r="AC2115">
        <f t="shared" si="213"/>
        <v>1000</v>
      </c>
      <c r="AD2115" s="6"/>
    </row>
    <row r="2116" spans="1:30" x14ac:dyDescent="0.2">
      <c r="A2116" t="str">
        <f t="shared" si="210"/>
        <v/>
      </c>
      <c r="X2116" t="str" cm="1">
        <f t="array" ref="X2116">IF(S2116="","",IF($I2116&lt;&gt;"",$I2116,INDEX($I$2:$I2115,ROW()-COUNTIFS($T$2:$T2115,"="&amp;$T2116,$S$2:$S2115,"&lt;&gt;"&amp;$S2116)-1)))</f>
        <v/>
      </c>
      <c r="Y2116" t="b">
        <f>IF(X2116&lt;&gt;"",VLOOKUP(X2116,game_rosters!$C$43:$E$64,3,FALSE))</f>
        <v>0</v>
      </c>
      <c r="Z2116" t="e" cm="1" vm="1">
        <f t="array" aca="1" ref="Z2116" ca="1">IFERROR(IF(_xlfn._xlws.FILTER(game_rosters!$J:$J,(game_rosters!$G:$G=events!$AN2116)*(game_rosters!$J:$J=events!$X2116))&gt;0,1,""),"")</f>
        <v>#VALUE!</v>
      </c>
      <c r="AA2116">
        <f t="shared" si="211"/>
        <v>1000</v>
      </c>
      <c r="AB2116" t="str">
        <f t="shared" si="212"/>
        <v/>
      </c>
      <c r="AC2116">
        <f t="shared" si="213"/>
        <v>1000</v>
      </c>
      <c r="AD2116" s="6"/>
    </row>
    <row r="2117" spans="1:30" x14ac:dyDescent="0.2">
      <c r="A2117" t="str">
        <f t="shared" ref="A2117:A2180" si="214">IF(K2117&lt;&gt;"",1,IF(D2117="x","x",""))</f>
        <v/>
      </c>
      <c r="X2117" t="str" cm="1">
        <f t="array" ref="X2117">IF(S2117="","",IF($I2117&lt;&gt;"",$I2117,INDEX($I$2:$I2116,ROW()-COUNTIFS($T$2:$T2116,"="&amp;$T2117,$S$2:$S2116,"&lt;&gt;"&amp;$S2117)-1)))</f>
        <v/>
      </c>
      <c r="Y2117" t="b">
        <f>IF(X2117&lt;&gt;"",VLOOKUP(X2117,game_rosters!$C$43:$E$64,3,FALSE))</f>
        <v>0</v>
      </c>
      <c r="Z2117" t="e" cm="1" vm="1">
        <f t="array" aca="1" ref="Z2117" ca="1">IFERROR(IF(_xlfn._xlws.FILTER(game_rosters!$J:$J,(game_rosters!$G:$G=events!$AN2117)*(game_rosters!$J:$J=events!$X2117))&gt;0,1,""),"")</f>
        <v>#VALUE!</v>
      </c>
      <c r="AA2117">
        <f t="shared" si="211"/>
        <v>1000</v>
      </c>
      <c r="AB2117" t="str">
        <f t="shared" si="212"/>
        <v/>
      </c>
      <c r="AC2117">
        <f t="shared" si="213"/>
        <v>1000</v>
      </c>
      <c r="AD2117" s="6"/>
    </row>
    <row r="2118" spans="1:30" x14ac:dyDescent="0.2">
      <c r="A2118" t="str">
        <f t="shared" si="214"/>
        <v/>
      </c>
      <c r="X2118" t="str" cm="1">
        <f t="array" ref="X2118">IF(S2118="","",IF($I2118&lt;&gt;"",$I2118,INDEX($I$2:$I2117,ROW()-COUNTIFS($T$2:$T2117,"="&amp;$T2118,$S$2:$S2117,"&lt;&gt;"&amp;$S2118)-1)))</f>
        <v/>
      </c>
      <c r="Y2118" t="b">
        <f>IF(X2118&lt;&gt;"",VLOOKUP(X2118,game_rosters!$C$43:$E$64,3,FALSE))</f>
        <v>0</v>
      </c>
      <c r="Z2118" t="e" cm="1" vm="1">
        <f t="array" aca="1" ref="Z2118" ca="1">IFERROR(IF(_xlfn._xlws.FILTER(game_rosters!$J:$J,(game_rosters!$G:$G=events!$AN2118)*(game_rosters!$J:$J=events!$X2118))&gt;0,1,""),"")</f>
        <v>#VALUE!</v>
      </c>
      <c r="AA2118">
        <f t="shared" si="211"/>
        <v>1000</v>
      </c>
      <c r="AB2118" t="str">
        <f t="shared" si="212"/>
        <v/>
      </c>
      <c r="AC2118">
        <f t="shared" si="213"/>
        <v>1000</v>
      </c>
      <c r="AD2118" s="6"/>
    </row>
    <row r="2119" spans="1:30" x14ac:dyDescent="0.2">
      <c r="A2119" t="str">
        <f t="shared" si="214"/>
        <v/>
      </c>
      <c r="X2119" t="str" cm="1">
        <f t="array" ref="X2119">IF(S2119="","",IF($I2119&lt;&gt;"",$I2119,INDEX($I$2:$I2118,ROW()-COUNTIFS($T$2:$T2118,"="&amp;$T2119,$S$2:$S2118,"&lt;&gt;"&amp;$S2119)-1)))</f>
        <v/>
      </c>
      <c r="Y2119" t="b">
        <f>IF(X2119&lt;&gt;"",VLOOKUP(X2119,game_rosters!$C$43:$E$64,3,FALSE))</f>
        <v>0</v>
      </c>
      <c r="Z2119" t="e" cm="1" vm="1">
        <f t="array" aca="1" ref="Z2119" ca="1">IFERROR(IF(_xlfn._xlws.FILTER(game_rosters!$J:$J,(game_rosters!$G:$G=events!$AN2119)*(game_rosters!$J:$J=events!$X2119))&gt;0,1,""),"")</f>
        <v>#VALUE!</v>
      </c>
      <c r="AA2119">
        <f t="shared" si="211"/>
        <v>1000</v>
      </c>
      <c r="AB2119" t="str">
        <f t="shared" si="212"/>
        <v/>
      </c>
      <c r="AC2119">
        <f t="shared" si="213"/>
        <v>1000</v>
      </c>
      <c r="AD2119" s="6"/>
    </row>
    <row r="2120" spans="1:30" x14ac:dyDescent="0.2">
      <c r="A2120" t="str">
        <f t="shared" si="214"/>
        <v/>
      </c>
      <c r="X2120" t="str" cm="1">
        <f t="array" ref="X2120">IF(S2120="","",IF($I2120&lt;&gt;"",$I2120,INDEX($I$2:$I2119,ROW()-COUNTIFS($T$2:$T2119,"="&amp;$T2120,$S$2:$S2119,"&lt;&gt;"&amp;$S2120)-1)))</f>
        <v/>
      </c>
      <c r="Y2120" t="b">
        <f>IF(X2120&lt;&gt;"",VLOOKUP(X2120,game_rosters!$C$43:$E$64,3,FALSE))</f>
        <v>0</v>
      </c>
      <c r="Z2120" t="e" cm="1" vm="1">
        <f t="array" aca="1" ref="Z2120" ca="1">IFERROR(IF(_xlfn._xlws.FILTER(game_rosters!$J:$J,(game_rosters!$G:$G=events!$AN2120)*(game_rosters!$J:$J=events!$X2120))&gt;0,1,""),"")</f>
        <v>#VALUE!</v>
      </c>
      <c r="AA2120">
        <f t="shared" si="211"/>
        <v>1000</v>
      </c>
      <c r="AB2120" t="str">
        <f t="shared" si="212"/>
        <v/>
      </c>
      <c r="AC2120">
        <f t="shared" si="213"/>
        <v>1000</v>
      </c>
      <c r="AD2120" s="6"/>
    </row>
    <row r="2121" spans="1:30" x14ac:dyDescent="0.2">
      <c r="A2121" t="str">
        <f t="shared" si="214"/>
        <v/>
      </c>
      <c r="X2121" t="str" cm="1">
        <f t="array" ref="X2121">IF(S2121="","",IF($I2121&lt;&gt;"",$I2121,INDEX($I$2:$I2120,ROW()-COUNTIFS($T$2:$T2120,"="&amp;$T2121,$S$2:$S2120,"&lt;&gt;"&amp;$S2121)-1)))</f>
        <v/>
      </c>
      <c r="Y2121" t="b">
        <f>IF(X2121&lt;&gt;"",VLOOKUP(X2121,game_rosters!$C$43:$E$64,3,FALSE))</f>
        <v>0</v>
      </c>
      <c r="Z2121" t="e" cm="1" vm="1">
        <f t="array" aca="1" ref="Z2121" ca="1">IFERROR(IF(_xlfn._xlws.FILTER(game_rosters!$J:$J,(game_rosters!$G:$G=events!$AN2121)*(game_rosters!$J:$J=events!$X2121))&gt;0,1,""),"")</f>
        <v>#VALUE!</v>
      </c>
      <c r="AA2121">
        <f t="shared" si="211"/>
        <v>1000</v>
      </c>
      <c r="AB2121" t="str">
        <f t="shared" si="212"/>
        <v/>
      </c>
      <c r="AC2121">
        <f t="shared" si="213"/>
        <v>1000</v>
      </c>
      <c r="AD2121" s="6"/>
    </row>
    <row r="2122" spans="1:30" x14ac:dyDescent="0.2">
      <c r="A2122" t="str">
        <f t="shared" si="214"/>
        <v/>
      </c>
      <c r="X2122" t="str" cm="1">
        <f t="array" ref="X2122">IF(S2122="","",IF($I2122&lt;&gt;"",$I2122,INDEX($I$2:$I2121,ROW()-COUNTIFS($T$2:$T2121,"="&amp;$T2122,$S$2:$S2121,"&lt;&gt;"&amp;$S2122)-1)))</f>
        <v/>
      </c>
      <c r="Y2122" t="b">
        <f>IF(X2122&lt;&gt;"",VLOOKUP(X2122,game_rosters!$C$43:$E$64,3,FALSE))</f>
        <v>0</v>
      </c>
      <c r="Z2122" t="e" cm="1" vm="1">
        <f t="array" aca="1" ref="Z2122" ca="1">IFERROR(IF(_xlfn._xlws.FILTER(game_rosters!$J:$J,(game_rosters!$G:$G=events!$AN2122)*(game_rosters!$J:$J=events!$X2122))&gt;0,1,""),"")</f>
        <v>#VALUE!</v>
      </c>
      <c r="AA2122">
        <f t="shared" si="211"/>
        <v>1000</v>
      </c>
      <c r="AB2122" t="str">
        <f t="shared" si="212"/>
        <v/>
      </c>
      <c r="AC2122">
        <f t="shared" si="213"/>
        <v>1000</v>
      </c>
      <c r="AD2122" s="6"/>
    </row>
    <row r="2123" spans="1:30" x14ac:dyDescent="0.2">
      <c r="A2123" t="str">
        <f t="shared" si="214"/>
        <v/>
      </c>
      <c r="X2123" t="str" cm="1">
        <f t="array" ref="X2123">IF(S2123="","",IF($I2123&lt;&gt;"",$I2123,INDEX($I$2:$I2122,ROW()-COUNTIFS($T$2:$T2122,"="&amp;$T2123,$S$2:$S2122,"&lt;&gt;"&amp;$S2123)-1)))</f>
        <v/>
      </c>
      <c r="Y2123" t="b">
        <f>IF(X2123&lt;&gt;"",VLOOKUP(X2123,game_rosters!$C$43:$E$64,3,FALSE))</f>
        <v>0</v>
      </c>
      <c r="Z2123" t="e" cm="1" vm="1">
        <f t="array" aca="1" ref="Z2123" ca="1">IFERROR(IF(_xlfn._xlws.FILTER(game_rosters!$J:$J,(game_rosters!$G:$G=events!$AN2123)*(game_rosters!$J:$J=events!$X2123))&gt;0,1,""),"")</f>
        <v>#VALUE!</v>
      </c>
      <c r="AA2123">
        <f t="shared" si="211"/>
        <v>1000</v>
      </c>
      <c r="AB2123" t="str">
        <f t="shared" si="212"/>
        <v/>
      </c>
      <c r="AC2123">
        <f t="shared" si="213"/>
        <v>1000</v>
      </c>
      <c r="AD2123" s="6"/>
    </row>
    <row r="2124" spans="1:30" x14ac:dyDescent="0.2">
      <c r="A2124" t="str">
        <f t="shared" si="214"/>
        <v/>
      </c>
      <c r="X2124" t="str" cm="1">
        <f t="array" ref="X2124">IF(S2124="","",IF($I2124&lt;&gt;"",$I2124,INDEX($I$2:$I2123,ROW()-COUNTIFS($T$2:$T2123,"="&amp;$T2124,$S$2:$S2123,"&lt;&gt;"&amp;$S2124)-1)))</f>
        <v/>
      </c>
      <c r="Y2124" t="b">
        <f>IF(X2124&lt;&gt;"",VLOOKUP(X2124,game_rosters!$C$43:$E$64,3,FALSE))</f>
        <v>0</v>
      </c>
      <c r="Z2124" t="e" cm="1" vm="1">
        <f t="array" aca="1" ref="Z2124" ca="1">IFERROR(IF(_xlfn._xlws.FILTER(game_rosters!$J:$J,(game_rosters!$G:$G=events!$AN2124)*(game_rosters!$J:$J=events!$X2124))&gt;0,1,""),"")</f>
        <v>#VALUE!</v>
      </c>
      <c r="AA2124">
        <f t="shared" si="211"/>
        <v>1000</v>
      </c>
      <c r="AB2124" t="str">
        <f t="shared" si="212"/>
        <v/>
      </c>
      <c r="AC2124">
        <f t="shared" si="213"/>
        <v>1000</v>
      </c>
      <c r="AD2124" s="6"/>
    </row>
    <row r="2125" spans="1:30" x14ac:dyDescent="0.2">
      <c r="A2125" t="str">
        <f t="shared" si="214"/>
        <v/>
      </c>
      <c r="X2125" t="str" cm="1">
        <f t="array" ref="X2125">IF(S2125="","",IF($I2125&lt;&gt;"",$I2125,INDEX($I$2:$I2124,ROW()-COUNTIFS($T$2:$T2124,"="&amp;$T2125,$S$2:$S2124,"&lt;&gt;"&amp;$S2125)-1)))</f>
        <v/>
      </c>
      <c r="Y2125" t="b">
        <f>IF(X2125&lt;&gt;"",VLOOKUP(X2125,game_rosters!$C$43:$E$64,3,FALSE))</f>
        <v>0</v>
      </c>
      <c r="Z2125" t="e" cm="1" vm="1">
        <f t="array" aca="1" ref="Z2125" ca="1">IFERROR(IF(_xlfn._xlws.FILTER(game_rosters!$J:$J,(game_rosters!$G:$G=events!$AN2125)*(game_rosters!$J:$J=events!$X2125))&gt;0,1,""),"")</f>
        <v>#VALUE!</v>
      </c>
      <c r="AA2125">
        <f t="shared" si="211"/>
        <v>1000</v>
      </c>
      <c r="AB2125" t="str">
        <f t="shared" si="212"/>
        <v/>
      </c>
      <c r="AC2125">
        <f t="shared" si="213"/>
        <v>1000</v>
      </c>
      <c r="AD2125" s="6"/>
    </row>
    <row r="2126" spans="1:30" x14ac:dyDescent="0.2">
      <c r="A2126" t="str">
        <f t="shared" si="214"/>
        <v/>
      </c>
      <c r="X2126" t="str" cm="1">
        <f t="array" ref="X2126">IF(S2126="","",IF($I2126&lt;&gt;"",$I2126,INDEX($I$2:$I2125,ROW()-COUNTIFS($T$2:$T2125,"="&amp;$T2126,$S$2:$S2125,"&lt;&gt;"&amp;$S2126)-1)))</f>
        <v/>
      </c>
      <c r="Y2126" t="b">
        <f>IF(X2126&lt;&gt;"",VLOOKUP(X2126,game_rosters!$C$43:$E$64,3,FALSE))</f>
        <v>0</v>
      </c>
      <c r="Z2126" t="e" cm="1" vm="1">
        <f t="array" aca="1" ref="Z2126" ca="1">IFERROR(IF(_xlfn._xlws.FILTER(game_rosters!$J:$J,(game_rosters!$G:$G=events!$AN2126)*(game_rosters!$J:$J=events!$X2126))&gt;0,1,""),"")</f>
        <v>#VALUE!</v>
      </c>
      <c r="AA2126">
        <f t="shared" si="211"/>
        <v>1000</v>
      </c>
      <c r="AB2126" t="str">
        <f t="shared" si="212"/>
        <v/>
      </c>
      <c r="AC2126">
        <f t="shared" si="213"/>
        <v>1000</v>
      </c>
      <c r="AD2126" s="6"/>
    </row>
    <row r="2127" spans="1:30" x14ac:dyDescent="0.2">
      <c r="A2127" t="str">
        <f t="shared" si="214"/>
        <v/>
      </c>
      <c r="X2127" t="str" cm="1">
        <f t="array" ref="X2127">IF(S2127="","",IF($I2127&lt;&gt;"",$I2127,INDEX($I$2:$I2126,ROW()-COUNTIFS($T$2:$T2126,"="&amp;$T2127,$S$2:$S2126,"&lt;&gt;"&amp;$S2127)-1)))</f>
        <v/>
      </c>
      <c r="Y2127" t="b">
        <f>IF(X2127&lt;&gt;"",VLOOKUP(X2127,game_rosters!$C$43:$E$64,3,FALSE))</f>
        <v>0</v>
      </c>
      <c r="Z2127" t="e" cm="1" vm="1">
        <f t="array" aca="1" ref="Z2127" ca="1">IFERROR(IF(_xlfn._xlws.FILTER(game_rosters!$J:$J,(game_rosters!$G:$G=events!$AN2127)*(game_rosters!$J:$J=events!$X2127))&gt;0,1,""),"")</f>
        <v>#VALUE!</v>
      </c>
      <c r="AA2127">
        <f t="shared" si="211"/>
        <v>1000</v>
      </c>
      <c r="AB2127" t="str">
        <f t="shared" si="212"/>
        <v/>
      </c>
      <c r="AC2127">
        <f t="shared" si="213"/>
        <v>1000</v>
      </c>
      <c r="AD2127" s="6"/>
    </row>
    <row r="2128" spans="1:30" x14ac:dyDescent="0.2">
      <c r="A2128" t="str">
        <f t="shared" si="214"/>
        <v/>
      </c>
      <c r="X2128" t="str" cm="1">
        <f t="array" ref="X2128">IF(S2128="","",IF($I2128&lt;&gt;"",$I2128,INDEX($I$2:$I2127,ROW()-COUNTIFS($T$2:$T2127,"="&amp;$T2128,$S$2:$S2127,"&lt;&gt;"&amp;$S2128)-1)))</f>
        <v/>
      </c>
      <c r="Y2128" t="b">
        <f>IF(X2128&lt;&gt;"",VLOOKUP(X2128,game_rosters!$C$43:$E$64,3,FALSE))</f>
        <v>0</v>
      </c>
      <c r="Z2128" t="e" cm="1" vm="1">
        <f t="array" aca="1" ref="Z2128" ca="1">IFERROR(IF(_xlfn._xlws.FILTER(game_rosters!$J:$J,(game_rosters!$G:$G=events!$AN2128)*(game_rosters!$J:$J=events!$X2128))&gt;0,1,""),"")</f>
        <v>#VALUE!</v>
      </c>
      <c r="AA2128">
        <f t="shared" si="211"/>
        <v>1000</v>
      </c>
      <c r="AB2128" t="str">
        <f t="shared" si="212"/>
        <v/>
      </c>
      <c r="AC2128">
        <f t="shared" si="213"/>
        <v>1000</v>
      </c>
      <c r="AD2128" s="6"/>
    </row>
    <row r="2129" spans="1:30" x14ac:dyDescent="0.2">
      <c r="A2129" t="str">
        <f t="shared" si="214"/>
        <v/>
      </c>
      <c r="X2129" t="str" cm="1">
        <f t="array" ref="X2129">IF(S2129="","",IF($I2129&lt;&gt;"",$I2129,INDEX($I$2:$I2128,ROW()-COUNTIFS($T$2:$T2128,"="&amp;$T2129,$S$2:$S2128,"&lt;&gt;"&amp;$S2129)-1)))</f>
        <v/>
      </c>
      <c r="Y2129" t="b">
        <f>IF(X2129&lt;&gt;"",VLOOKUP(X2129,game_rosters!$C$43:$E$64,3,FALSE))</f>
        <v>0</v>
      </c>
      <c r="Z2129" t="e" cm="1" vm="1">
        <f t="array" aca="1" ref="Z2129" ca="1">IFERROR(IF(_xlfn._xlws.FILTER(game_rosters!$J:$J,(game_rosters!$G:$G=events!$AN2129)*(game_rosters!$J:$J=events!$X2129))&gt;0,1,""),"")</f>
        <v>#VALUE!</v>
      </c>
      <c r="AA2129">
        <f t="shared" si="211"/>
        <v>1000</v>
      </c>
      <c r="AB2129" t="str">
        <f t="shared" si="212"/>
        <v/>
      </c>
      <c r="AC2129">
        <f t="shared" si="213"/>
        <v>1000</v>
      </c>
      <c r="AD2129" s="6"/>
    </row>
    <row r="2130" spans="1:30" x14ac:dyDescent="0.2">
      <c r="A2130" t="str">
        <f t="shared" si="214"/>
        <v/>
      </c>
      <c r="X2130" t="str" cm="1">
        <f t="array" ref="X2130">IF(S2130="","",IF($I2130&lt;&gt;"",$I2130,INDEX($I$2:$I2129,ROW()-COUNTIFS($T$2:$T2129,"="&amp;$T2130,$S$2:$S2129,"&lt;&gt;"&amp;$S2130)-1)))</f>
        <v/>
      </c>
      <c r="Y2130" t="b">
        <f>IF(X2130&lt;&gt;"",VLOOKUP(X2130,game_rosters!$C$43:$E$64,3,FALSE))</f>
        <v>0</v>
      </c>
      <c r="Z2130" t="e" cm="1" vm="1">
        <f t="array" aca="1" ref="Z2130" ca="1">IFERROR(IF(_xlfn._xlws.FILTER(game_rosters!$J:$J,(game_rosters!$G:$G=events!$AN2130)*(game_rosters!$J:$J=events!$X2130))&gt;0,1,""),"")</f>
        <v>#VALUE!</v>
      </c>
      <c r="AA2130">
        <f t="shared" si="211"/>
        <v>1000</v>
      </c>
      <c r="AB2130" t="str">
        <f t="shared" si="212"/>
        <v/>
      </c>
      <c r="AC2130">
        <f t="shared" si="213"/>
        <v>1000</v>
      </c>
      <c r="AD2130" s="6"/>
    </row>
    <row r="2131" spans="1:30" x14ac:dyDescent="0.2">
      <c r="A2131" t="str">
        <f t="shared" si="214"/>
        <v/>
      </c>
      <c r="X2131" t="str" cm="1">
        <f t="array" ref="X2131">IF(S2131="","",IF($I2131&lt;&gt;"",$I2131,INDEX($I$2:$I2130,ROW()-COUNTIFS($T$2:$T2130,"="&amp;$T2131,$S$2:$S2130,"&lt;&gt;"&amp;$S2131)-1)))</f>
        <v/>
      </c>
      <c r="Y2131" t="b">
        <f>IF(X2131&lt;&gt;"",VLOOKUP(X2131,game_rosters!$C$43:$E$64,3,FALSE))</f>
        <v>0</v>
      </c>
      <c r="Z2131" t="e" cm="1" vm="1">
        <f t="array" aca="1" ref="Z2131" ca="1">IFERROR(IF(_xlfn._xlws.FILTER(game_rosters!$J:$J,(game_rosters!$G:$G=events!$AN2131)*(game_rosters!$J:$J=events!$X2131))&gt;0,1,""),"")</f>
        <v>#VALUE!</v>
      </c>
      <c r="AA2131">
        <f t="shared" si="211"/>
        <v>1000</v>
      </c>
      <c r="AB2131" t="str">
        <f t="shared" si="212"/>
        <v/>
      </c>
      <c r="AC2131">
        <f t="shared" si="213"/>
        <v>1000</v>
      </c>
      <c r="AD2131" s="6"/>
    </row>
    <row r="2132" spans="1:30" x14ac:dyDescent="0.2">
      <c r="A2132" t="str">
        <f t="shared" si="214"/>
        <v/>
      </c>
      <c r="X2132" t="str" cm="1">
        <f t="array" ref="X2132">IF(S2132="","",IF($I2132&lt;&gt;"",$I2132,INDEX($I$2:$I2131,ROW()-COUNTIFS($T$2:$T2131,"="&amp;$T2132,$S$2:$S2131,"&lt;&gt;"&amp;$S2132)-1)))</f>
        <v/>
      </c>
      <c r="Y2132" t="b">
        <f>IF(X2132&lt;&gt;"",VLOOKUP(X2132,game_rosters!$C$43:$E$64,3,FALSE))</f>
        <v>0</v>
      </c>
      <c r="Z2132" t="e" cm="1" vm="1">
        <f t="array" aca="1" ref="Z2132" ca="1">IFERROR(IF(_xlfn._xlws.FILTER(game_rosters!$J:$J,(game_rosters!$G:$G=events!$AN2132)*(game_rosters!$J:$J=events!$X2132))&gt;0,1,""),"")</f>
        <v>#VALUE!</v>
      </c>
      <c r="AA2132">
        <f t="shared" si="211"/>
        <v>1000</v>
      </c>
      <c r="AB2132" t="str">
        <f t="shared" si="212"/>
        <v/>
      </c>
      <c r="AC2132">
        <f t="shared" si="213"/>
        <v>1000</v>
      </c>
      <c r="AD2132" s="6"/>
    </row>
    <row r="2133" spans="1:30" x14ac:dyDescent="0.2">
      <c r="A2133" t="str">
        <f t="shared" si="214"/>
        <v/>
      </c>
      <c r="X2133" t="str" cm="1">
        <f t="array" ref="X2133">IF(S2133="","",IF($I2133&lt;&gt;"",$I2133,INDEX($I$2:$I2132,ROW()-COUNTIFS($T$2:$T2132,"="&amp;$T2133,$S$2:$S2132,"&lt;&gt;"&amp;$S2133)-1)))</f>
        <v/>
      </c>
      <c r="Y2133" t="b">
        <f>IF(X2133&lt;&gt;"",VLOOKUP(X2133,game_rosters!$C$43:$E$64,3,FALSE))</f>
        <v>0</v>
      </c>
      <c r="Z2133" t="e" cm="1" vm="1">
        <f t="array" aca="1" ref="Z2133" ca="1">IFERROR(IF(_xlfn._xlws.FILTER(game_rosters!$J:$J,(game_rosters!$G:$G=events!$AN2133)*(game_rosters!$J:$J=events!$X2133))&gt;0,1,""),"")</f>
        <v>#VALUE!</v>
      </c>
      <c r="AA2133">
        <f t="shared" si="211"/>
        <v>1000</v>
      </c>
      <c r="AB2133" t="str">
        <f t="shared" si="212"/>
        <v/>
      </c>
      <c r="AC2133">
        <f t="shared" si="213"/>
        <v>1000</v>
      </c>
      <c r="AD2133" s="6"/>
    </row>
    <row r="2134" spans="1:30" x14ac:dyDescent="0.2">
      <c r="A2134" t="str">
        <f t="shared" si="214"/>
        <v/>
      </c>
      <c r="X2134" t="str" cm="1">
        <f t="array" ref="X2134">IF(S2134="","",IF($I2134&lt;&gt;"",$I2134,INDEX($I$2:$I2133,ROW()-COUNTIFS($T$2:$T2133,"="&amp;$T2134,$S$2:$S2133,"&lt;&gt;"&amp;$S2134)-1)))</f>
        <v/>
      </c>
      <c r="Y2134" t="b">
        <f>IF(X2134&lt;&gt;"",VLOOKUP(X2134,game_rosters!$C$43:$E$64,3,FALSE))</f>
        <v>0</v>
      </c>
      <c r="Z2134" t="e" cm="1" vm="1">
        <f t="array" aca="1" ref="Z2134" ca="1">IFERROR(IF(_xlfn._xlws.FILTER(game_rosters!$J:$J,(game_rosters!$G:$G=events!$AN2134)*(game_rosters!$J:$J=events!$X2134))&gt;0,1,""),"")</f>
        <v>#VALUE!</v>
      </c>
      <c r="AA2134">
        <f t="shared" si="211"/>
        <v>1000</v>
      </c>
      <c r="AB2134" t="str">
        <f t="shared" si="212"/>
        <v/>
      </c>
      <c r="AC2134">
        <f t="shared" si="213"/>
        <v>1000</v>
      </c>
      <c r="AD2134" s="6"/>
    </row>
    <row r="2135" spans="1:30" x14ac:dyDescent="0.2">
      <c r="A2135" t="str">
        <f t="shared" si="214"/>
        <v/>
      </c>
      <c r="X2135" t="str" cm="1">
        <f t="array" ref="X2135">IF(S2135="","",IF($I2135&lt;&gt;"",$I2135,INDEX($I$2:$I2134,ROW()-COUNTIFS($T$2:$T2134,"="&amp;$T2135,$S$2:$S2134,"&lt;&gt;"&amp;$S2135)-1)))</f>
        <v/>
      </c>
      <c r="Y2135" t="b">
        <f>IF(X2135&lt;&gt;"",VLOOKUP(X2135,game_rosters!$C$43:$E$64,3,FALSE))</f>
        <v>0</v>
      </c>
      <c r="Z2135" t="e" cm="1" vm="1">
        <f t="array" aca="1" ref="Z2135" ca="1">IFERROR(IF(_xlfn._xlws.FILTER(game_rosters!$J:$J,(game_rosters!$G:$G=events!$AN2135)*(game_rosters!$J:$J=events!$X2135))&gt;0,1,""),"")</f>
        <v>#VALUE!</v>
      </c>
      <c r="AA2135">
        <f t="shared" si="211"/>
        <v>1000</v>
      </c>
      <c r="AB2135" t="str">
        <f t="shared" si="212"/>
        <v/>
      </c>
      <c r="AC2135">
        <f t="shared" si="213"/>
        <v>1000</v>
      </c>
      <c r="AD2135" s="6"/>
    </row>
    <row r="2136" spans="1:30" x14ac:dyDescent="0.2">
      <c r="A2136" t="str">
        <f t="shared" si="214"/>
        <v/>
      </c>
      <c r="X2136" t="str" cm="1">
        <f t="array" ref="X2136">IF(S2136="","",IF($I2136&lt;&gt;"",$I2136,INDEX($I$2:$I2135,ROW()-COUNTIFS($T$2:$T2135,"="&amp;$T2136,$S$2:$S2135,"&lt;&gt;"&amp;$S2136)-1)))</f>
        <v/>
      </c>
      <c r="Y2136" t="b">
        <f>IF(X2136&lt;&gt;"",VLOOKUP(X2136,game_rosters!$C$43:$E$64,3,FALSE))</f>
        <v>0</v>
      </c>
      <c r="Z2136" t="e" cm="1" vm="1">
        <f t="array" aca="1" ref="Z2136" ca="1">IFERROR(IF(_xlfn._xlws.FILTER(game_rosters!$J:$J,(game_rosters!$G:$G=events!$AN2136)*(game_rosters!$J:$J=events!$X2136))&gt;0,1,""),"")</f>
        <v>#VALUE!</v>
      </c>
      <c r="AA2136">
        <f t="shared" si="211"/>
        <v>1000</v>
      </c>
      <c r="AB2136" t="str">
        <f t="shared" si="212"/>
        <v/>
      </c>
      <c r="AC2136">
        <f t="shared" si="213"/>
        <v>1000</v>
      </c>
      <c r="AD2136" s="6"/>
    </row>
    <row r="2137" spans="1:30" x14ac:dyDescent="0.2">
      <c r="A2137" t="str">
        <f t="shared" si="214"/>
        <v/>
      </c>
      <c r="X2137" t="str" cm="1">
        <f t="array" ref="X2137">IF(S2137="","",IF($I2137&lt;&gt;"",$I2137,INDEX($I$2:$I2136,ROW()-COUNTIFS($T$2:$T2136,"="&amp;$T2137,$S$2:$S2136,"&lt;&gt;"&amp;$S2137)-1)))</f>
        <v/>
      </c>
      <c r="Y2137" t="b">
        <f>IF(X2137&lt;&gt;"",VLOOKUP(X2137,game_rosters!$C$43:$E$64,3,FALSE))</f>
        <v>0</v>
      </c>
      <c r="Z2137" t="e" cm="1" vm="1">
        <f t="array" aca="1" ref="Z2137" ca="1">IFERROR(IF(_xlfn._xlws.FILTER(game_rosters!$J:$J,(game_rosters!$G:$G=events!$AN2137)*(game_rosters!$J:$J=events!$X2137))&gt;0,1,""),"")</f>
        <v>#VALUE!</v>
      </c>
      <c r="AA2137">
        <f t="shared" si="211"/>
        <v>1000</v>
      </c>
      <c r="AB2137" t="str">
        <f t="shared" si="212"/>
        <v/>
      </c>
      <c r="AC2137">
        <f t="shared" si="213"/>
        <v>1000</v>
      </c>
      <c r="AD2137" s="6"/>
    </row>
    <row r="2138" spans="1:30" x14ac:dyDescent="0.2">
      <c r="A2138" t="str">
        <f t="shared" si="214"/>
        <v/>
      </c>
      <c r="X2138" t="str" cm="1">
        <f t="array" ref="X2138">IF(S2138="","",IF($I2138&lt;&gt;"",$I2138,INDEX($I$2:$I2137,ROW()-COUNTIFS($T$2:$T2137,"="&amp;$T2138,$S$2:$S2137,"&lt;&gt;"&amp;$S2138)-1)))</f>
        <v/>
      </c>
      <c r="Y2138" t="b">
        <f>IF(X2138&lt;&gt;"",VLOOKUP(X2138,game_rosters!$C$43:$E$64,3,FALSE))</f>
        <v>0</v>
      </c>
      <c r="Z2138" t="e" cm="1" vm="1">
        <f t="array" aca="1" ref="Z2138" ca="1">IFERROR(IF(_xlfn._xlws.FILTER(game_rosters!$J:$J,(game_rosters!$G:$G=events!$AN2138)*(game_rosters!$J:$J=events!$X2138))&gt;0,1,""),"")</f>
        <v>#VALUE!</v>
      </c>
      <c r="AA2138">
        <f t="shared" si="211"/>
        <v>1000</v>
      </c>
      <c r="AB2138" t="str">
        <f t="shared" si="212"/>
        <v/>
      </c>
      <c r="AC2138">
        <f t="shared" si="213"/>
        <v>1000</v>
      </c>
      <c r="AD2138" s="6"/>
    </row>
    <row r="2139" spans="1:30" x14ac:dyDescent="0.2">
      <c r="A2139" t="str">
        <f t="shared" si="214"/>
        <v/>
      </c>
      <c r="X2139" t="str" cm="1">
        <f t="array" ref="X2139">IF(S2139="","",IF($I2139&lt;&gt;"",$I2139,INDEX($I$2:$I2138,ROW()-COUNTIFS($T$2:$T2138,"="&amp;$T2139,$S$2:$S2138,"&lt;&gt;"&amp;$S2139)-1)))</f>
        <v/>
      </c>
      <c r="Y2139" t="b">
        <f>IF(X2139&lt;&gt;"",VLOOKUP(X2139,game_rosters!$C$43:$E$64,3,FALSE))</f>
        <v>0</v>
      </c>
      <c r="Z2139" t="e" cm="1" vm="1">
        <f t="array" aca="1" ref="Z2139" ca="1">IFERROR(IF(_xlfn._xlws.FILTER(game_rosters!$J:$J,(game_rosters!$G:$G=events!$AN2139)*(game_rosters!$J:$J=events!$X2139))&gt;0,1,""),"")</f>
        <v>#VALUE!</v>
      </c>
      <c r="AA2139">
        <f t="shared" si="211"/>
        <v>1000</v>
      </c>
      <c r="AB2139" t="str">
        <f t="shared" si="212"/>
        <v/>
      </c>
      <c r="AC2139">
        <f t="shared" si="213"/>
        <v>1000</v>
      </c>
      <c r="AD2139" s="6"/>
    </row>
    <row r="2140" spans="1:30" x14ac:dyDescent="0.2">
      <c r="A2140" t="str">
        <f t="shared" si="214"/>
        <v/>
      </c>
      <c r="X2140" t="str" cm="1">
        <f t="array" ref="X2140">IF(S2140="","",IF($I2140&lt;&gt;"",$I2140,INDEX($I$2:$I2139,ROW()-COUNTIFS($T$2:$T2139,"="&amp;$T2140,$S$2:$S2139,"&lt;&gt;"&amp;$S2140)-1)))</f>
        <v/>
      </c>
      <c r="Y2140" t="b">
        <f>IF(X2140&lt;&gt;"",VLOOKUP(X2140,game_rosters!$C$43:$E$64,3,FALSE))</f>
        <v>0</v>
      </c>
      <c r="Z2140" t="e" cm="1" vm="1">
        <f t="array" aca="1" ref="Z2140" ca="1">IFERROR(IF(_xlfn._xlws.FILTER(game_rosters!$J:$J,(game_rosters!$G:$G=events!$AN2140)*(game_rosters!$J:$J=events!$X2140))&gt;0,1,""),"")</f>
        <v>#VALUE!</v>
      </c>
      <c r="AA2140">
        <f t="shared" si="211"/>
        <v>1000</v>
      </c>
      <c r="AB2140" t="str">
        <f t="shared" si="212"/>
        <v/>
      </c>
      <c r="AC2140">
        <f t="shared" si="213"/>
        <v>1000</v>
      </c>
      <c r="AD2140" s="6"/>
    </row>
    <row r="2141" spans="1:30" x14ac:dyDescent="0.2">
      <c r="A2141" t="str">
        <f t="shared" si="214"/>
        <v/>
      </c>
      <c r="X2141" t="str" cm="1">
        <f t="array" ref="X2141">IF(S2141="","",IF($I2141&lt;&gt;"",$I2141,INDEX($I$2:$I2140,ROW()-COUNTIFS($T$2:$T2140,"="&amp;$T2141,$S$2:$S2140,"&lt;&gt;"&amp;$S2141)-1)))</f>
        <v/>
      </c>
      <c r="Y2141" t="b">
        <f>IF(X2141&lt;&gt;"",VLOOKUP(X2141,game_rosters!$C$43:$E$64,3,FALSE))</f>
        <v>0</v>
      </c>
      <c r="Z2141" t="e" cm="1" vm="1">
        <f t="array" aca="1" ref="Z2141" ca="1">IFERROR(IF(_xlfn._xlws.FILTER(game_rosters!$J:$J,(game_rosters!$G:$G=events!$AN2141)*(game_rosters!$J:$J=events!$X2141))&gt;0,1,""),"")</f>
        <v>#VALUE!</v>
      </c>
      <c r="AA2141">
        <f t="shared" ref="AA2141:AA2204" si="215">S2141+1000</f>
        <v>1000</v>
      </c>
      <c r="AB2141" t="str">
        <f t="shared" ref="AB2141:AB2204" si="216">IF(T2141&lt;&gt;"",9000+T2141,"")</f>
        <v/>
      </c>
      <c r="AC2141">
        <f t="shared" si="213"/>
        <v>1000</v>
      </c>
      <c r="AD2141" s="6"/>
    </row>
    <row r="2142" spans="1:30" x14ac:dyDescent="0.2">
      <c r="A2142" t="str">
        <f t="shared" si="214"/>
        <v/>
      </c>
      <c r="X2142" t="str" cm="1">
        <f t="array" ref="X2142">IF(S2142="","",IF($I2142&lt;&gt;"",$I2142,INDEX($I$2:$I2141,ROW()-COUNTIFS($T$2:$T2141,"="&amp;$T2142,$S$2:$S2141,"&lt;&gt;"&amp;$S2142)-1)))</f>
        <v/>
      </c>
      <c r="Y2142" t="b">
        <f>IF(X2142&lt;&gt;"",VLOOKUP(X2142,game_rosters!$C$43:$E$64,3,FALSE))</f>
        <v>0</v>
      </c>
      <c r="Z2142" t="e" cm="1" vm="1">
        <f t="array" aca="1" ref="Z2142" ca="1">IFERROR(IF(_xlfn._xlws.FILTER(game_rosters!$J:$J,(game_rosters!$G:$G=events!$AN2142)*(game_rosters!$J:$J=events!$X2142))&gt;0,1,""),"")</f>
        <v>#VALUE!</v>
      </c>
      <c r="AA2142">
        <f t="shared" si="215"/>
        <v>1000</v>
      </c>
      <c r="AB2142" t="str">
        <f t="shared" si="216"/>
        <v/>
      </c>
      <c r="AC2142">
        <f t="shared" si="213"/>
        <v>1000</v>
      </c>
      <c r="AD2142" s="6"/>
    </row>
    <row r="2143" spans="1:30" x14ac:dyDescent="0.2">
      <c r="A2143" t="str">
        <f t="shared" si="214"/>
        <v/>
      </c>
      <c r="X2143" t="str" cm="1">
        <f t="array" ref="X2143">IF(S2143="","",IF($I2143&lt;&gt;"",$I2143,INDEX($I$2:$I2142,ROW()-COUNTIFS($T$2:$T2142,"="&amp;$T2143,$S$2:$S2142,"&lt;&gt;"&amp;$S2143)-1)))</f>
        <v/>
      </c>
      <c r="Y2143" t="b">
        <f>IF(X2143&lt;&gt;"",VLOOKUP(X2143,game_rosters!$C$43:$E$64,3,FALSE))</f>
        <v>0</v>
      </c>
      <c r="Z2143" t="e" cm="1" vm="1">
        <f t="array" aca="1" ref="Z2143" ca="1">IFERROR(IF(_xlfn._xlws.FILTER(game_rosters!$J:$J,(game_rosters!$G:$G=events!$AN2143)*(game_rosters!$J:$J=events!$X2143))&gt;0,1,""),"")</f>
        <v>#VALUE!</v>
      </c>
      <c r="AA2143">
        <f t="shared" si="215"/>
        <v>1000</v>
      </c>
      <c r="AB2143" t="str">
        <f t="shared" si="216"/>
        <v/>
      </c>
      <c r="AC2143">
        <f t="shared" si="213"/>
        <v>1000</v>
      </c>
      <c r="AD2143" s="6"/>
    </row>
    <row r="2144" spans="1:30" x14ac:dyDescent="0.2">
      <c r="A2144" t="str">
        <f t="shared" si="214"/>
        <v/>
      </c>
      <c r="X2144" t="str" cm="1">
        <f t="array" ref="X2144">IF(S2144="","",IF($I2144&lt;&gt;"",$I2144,INDEX($I$2:$I2143,ROW()-COUNTIFS($T$2:$T2143,"="&amp;$T2144,$S$2:$S2143,"&lt;&gt;"&amp;$S2144)-1)))</f>
        <v/>
      </c>
      <c r="Y2144" t="b">
        <f>IF(X2144&lt;&gt;"",VLOOKUP(X2144,game_rosters!$C$43:$E$64,3,FALSE))</f>
        <v>0</v>
      </c>
      <c r="Z2144" t="e" cm="1" vm="1">
        <f t="array" aca="1" ref="Z2144" ca="1">IFERROR(IF(_xlfn._xlws.FILTER(game_rosters!$J:$J,(game_rosters!$G:$G=events!$AN2144)*(game_rosters!$J:$J=events!$X2144))&gt;0,1,""),"")</f>
        <v>#VALUE!</v>
      </c>
      <c r="AA2144">
        <f t="shared" si="215"/>
        <v>1000</v>
      </c>
      <c r="AB2144" t="str">
        <f t="shared" si="216"/>
        <v/>
      </c>
      <c r="AC2144">
        <f t="shared" si="213"/>
        <v>1000</v>
      </c>
      <c r="AD2144" s="6"/>
    </row>
    <row r="2145" spans="1:30" x14ac:dyDescent="0.2">
      <c r="A2145" t="str">
        <f t="shared" si="214"/>
        <v/>
      </c>
      <c r="X2145" t="str" cm="1">
        <f t="array" ref="X2145">IF(S2145="","",IF($I2145&lt;&gt;"",$I2145,INDEX($I$2:$I2144,ROW()-COUNTIFS($T$2:$T2144,"="&amp;$T2145,$S$2:$S2144,"&lt;&gt;"&amp;$S2145)-1)))</f>
        <v/>
      </c>
      <c r="Y2145" t="b">
        <f>IF(X2145&lt;&gt;"",VLOOKUP(X2145,game_rosters!$C$43:$E$64,3,FALSE))</f>
        <v>0</v>
      </c>
      <c r="Z2145" t="e" cm="1" vm="1">
        <f t="array" aca="1" ref="Z2145" ca="1">IFERROR(IF(_xlfn._xlws.FILTER(game_rosters!$J:$J,(game_rosters!$G:$G=events!$AN2145)*(game_rosters!$J:$J=events!$X2145))&gt;0,1,""),"")</f>
        <v>#VALUE!</v>
      </c>
      <c r="AA2145">
        <f t="shared" si="215"/>
        <v>1000</v>
      </c>
      <c r="AB2145" t="str">
        <f t="shared" si="216"/>
        <v/>
      </c>
      <c r="AC2145">
        <f t="shared" si="213"/>
        <v>1000</v>
      </c>
      <c r="AD2145" s="6"/>
    </row>
    <row r="2146" spans="1:30" x14ac:dyDescent="0.2">
      <c r="A2146" t="str">
        <f t="shared" si="214"/>
        <v/>
      </c>
      <c r="X2146" t="str" cm="1">
        <f t="array" ref="X2146">IF(S2146="","",IF($I2146&lt;&gt;"",$I2146,INDEX($I$2:$I2145,ROW()-COUNTIFS($T$2:$T2145,"="&amp;$T2146,$S$2:$S2145,"&lt;&gt;"&amp;$S2146)-1)))</f>
        <v/>
      </c>
      <c r="Y2146" t="b">
        <f>IF(X2146&lt;&gt;"",VLOOKUP(X2146,game_rosters!$C$43:$E$64,3,FALSE))</f>
        <v>0</v>
      </c>
      <c r="Z2146" t="e" cm="1" vm="1">
        <f t="array" aca="1" ref="Z2146" ca="1">IFERROR(IF(_xlfn._xlws.FILTER(game_rosters!$J:$J,(game_rosters!$G:$G=events!$AN2146)*(game_rosters!$J:$J=events!$X2146))&gt;0,1,""),"")</f>
        <v>#VALUE!</v>
      </c>
      <c r="AA2146">
        <f t="shared" si="215"/>
        <v>1000</v>
      </c>
      <c r="AB2146" t="str">
        <f t="shared" si="216"/>
        <v/>
      </c>
      <c r="AC2146">
        <f t="shared" si="213"/>
        <v>1000</v>
      </c>
      <c r="AD2146" s="6"/>
    </row>
    <row r="2147" spans="1:30" x14ac:dyDescent="0.2">
      <c r="A2147" t="str">
        <f t="shared" si="214"/>
        <v/>
      </c>
      <c r="X2147" t="str" cm="1">
        <f t="array" ref="X2147">IF(S2147="","",IF($I2147&lt;&gt;"",$I2147,INDEX($I$2:$I2146,ROW()-COUNTIFS($T$2:$T2146,"="&amp;$T2147,$S$2:$S2146,"&lt;&gt;"&amp;$S2147)-1)))</f>
        <v/>
      </c>
      <c r="Y2147" t="b">
        <f>IF(X2147&lt;&gt;"",VLOOKUP(X2147,game_rosters!$C$43:$E$64,3,FALSE))</f>
        <v>0</v>
      </c>
      <c r="Z2147" t="e" cm="1" vm="1">
        <f t="array" aca="1" ref="Z2147" ca="1">IFERROR(IF(_xlfn._xlws.FILTER(game_rosters!$J:$J,(game_rosters!$G:$G=events!$AN2147)*(game_rosters!$J:$J=events!$X2147))&gt;0,1,""),"")</f>
        <v>#VALUE!</v>
      </c>
      <c r="AA2147">
        <f t="shared" si="215"/>
        <v>1000</v>
      </c>
      <c r="AB2147" t="str">
        <f t="shared" si="216"/>
        <v/>
      </c>
      <c r="AC2147">
        <f t="shared" si="213"/>
        <v>1000</v>
      </c>
      <c r="AD2147" s="6"/>
    </row>
    <row r="2148" spans="1:30" x14ac:dyDescent="0.2">
      <c r="A2148" t="str">
        <f t="shared" si="214"/>
        <v/>
      </c>
      <c r="X2148" t="str" cm="1">
        <f t="array" ref="X2148">IF(S2148="","",IF($I2148&lt;&gt;"",$I2148,INDEX($I$2:$I2147,ROW()-COUNTIFS($T$2:$T2147,"="&amp;$T2148,$S$2:$S2147,"&lt;&gt;"&amp;$S2148)-1)))</f>
        <v/>
      </c>
      <c r="Y2148" t="b">
        <f>IF(X2148&lt;&gt;"",VLOOKUP(X2148,game_rosters!$C$43:$E$64,3,FALSE))</f>
        <v>0</v>
      </c>
      <c r="Z2148" t="e" cm="1" vm="1">
        <f t="array" aca="1" ref="Z2148" ca="1">IFERROR(IF(_xlfn._xlws.FILTER(game_rosters!$J:$J,(game_rosters!$G:$G=events!$AN2148)*(game_rosters!$J:$J=events!$X2148))&gt;0,1,""),"")</f>
        <v>#VALUE!</v>
      </c>
      <c r="AA2148">
        <f t="shared" si="215"/>
        <v>1000</v>
      </c>
      <c r="AB2148" t="str">
        <f t="shared" si="216"/>
        <v/>
      </c>
      <c r="AC2148">
        <f t="shared" si="213"/>
        <v>1000</v>
      </c>
      <c r="AD2148" s="6"/>
    </row>
    <row r="2149" spans="1:30" x14ac:dyDescent="0.2">
      <c r="A2149" t="str">
        <f t="shared" si="214"/>
        <v/>
      </c>
      <c r="X2149" t="str" cm="1">
        <f t="array" ref="X2149">IF(S2149="","",IF($I2149&lt;&gt;"",$I2149,INDEX($I$2:$I2148,ROW()-COUNTIFS($T$2:$T2148,"="&amp;$T2149,$S$2:$S2148,"&lt;&gt;"&amp;$S2149)-1)))</f>
        <v/>
      </c>
      <c r="Y2149" t="b">
        <f>IF(X2149&lt;&gt;"",VLOOKUP(X2149,game_rosters!$C$43:$E$64,3,FALSE))</f>
        <v>0</v>
      </c>
      <c r="Z2149" t="e" cm="1" vm="1">
        <f t="array" aca="1" ref="Z2149" ca="1">IFERROR(IF(_xlfn._xlws.FILTER(game_rosters!$J:$J,(game_rosters!$G:$G=events!$AN2149)*(game_rosters!$J:$J=events!$X2149))&gt;0,1,""),"")</f>
        <v>#VALUE!</v>
      </c>
      <c r="AA2149">
        <f t="shared" si="215"/>
        <v>1000</v>
      </c>
      <c r="AB2149" t="str">
        <f t="shared" si="216"/>
        <v/>
      </c>
      <c r="AC2149">
        <f t="shared" si="213"/>
        <v>1000</v>
      </c>
      <c r="AD2149" s="6"/>
    </row>
    <row r="2150" spans="1:30" x14ac:dyDescent="0.2">
      <c r="A2150" t="str">
        <f t="shared" si="214"/>
        <v/>
      </c>
      <c r="X2150" t="str" cm="1">
        <f t="array" ref="X2150">IF(S2150="","",IF($I2150&lt;&gt;"",$I2150,INDEX($I$2:$I2149,ROW()-COUNTIFS($T$2:$T2149,"="&amp;$T2150,$S$2:$S2149,"&lt;&gt;"&amp;$S2150)-1)))</f>
        <v/>
      </c>
      <c r="Y2150" t="b">
        <f>IF(X2150&lt;&gt;"",VLOOKUP(X2150,game_rosters!$C$43:$E$64,3,FALSE))</f>
        <v>0</v>
      </c>
      <c r="Z2150" t="e" cm="1" vm="1">
        <f t="array" aca="1" ref="Z2150" ca="1">IFERROR(IF(_xlfn._xlws.FILTER(game_rosters!$J:$J,(game_rosters!$G:$G=events!$AN2150)*(game_rosters!$J:$J=events!$X2150))&gt;0,1,""),"")</f>
        <v>#VALUE!</v>
      </c>
      <c r="AA2150">
        <f t="shared" si="215"/>
        <v>1000</v>
      </c>
      <c r="AB2150" t="str">
        <f t="shared" si="216"/>
        <v/>
      </c>
      <c r="AC2150">
        <f t="shared" si="213"/>
        <v>1000</v>
      </c>
      <c r="AD2150" s="6"/>
    </row>
    <row r="2151" spans="1:30" x14ac:dyDescent="0.2">
      <c r="A2151" t="str">
        <f t="shared" si="214"/>
        <v/>
      </c>
      <c r="X2151" t="str" cm="1">
        <f t="array" ref="X2151">IF(S2151="","",IF($I2151&lt;&gt;"",$I2151,INDEX($I$2:$I2150,ROW()-COUNTIFS($T$2:$T2150,"="&amp;$T2151,$S$2:$S2150,"&lt;&gt;"&amp;$S2151)-1)))</f>
        <v/>
      </c>
      <c r="Y2151" t="b">
        <f>IF(X2151&lt;&gt;"",VLOOKUP(X2151,game_rosters!$C$43:$E$64,3,FALSE))</f>
        <v>0</v>
      </c>
      <c r="Z2151" t="e" cm="1" vm="1">
        <f t="array" aca="1" ref="Z2151" ca="1">IFERROR(IF(_xlfn._xlws.FILTER(game_rosters!$J:$J,(game_rosters!$G:$G=events!$AN2151)*(game_rosters!$J:$J=events!$X2151))&gt;0,1,""),"")</f>
        <v>#VALUE!</v>
      </c>
      <c r="AA2151">
        <f t="shared" si="215"/>
        <v>1000</v>
      </c>
      <c r="AB2151" t="str">
        <f t="shared" si="216"/>
        <v/>
      </c>
      <c r="AC2151">
        <f t="shared" si="213"/>
        <v>1000</v>
      </c>
      <c r="AD2151" s="6"/>
    </row>
    <row r="2152" spans="1:30" x14ac:dyDescent="0.2">
      <c r="A2152" t="str">
        <f t="shared" si="214"/>
        <v/>
      </c>
      <c r="X2152" t="str" cm="1">
        <f t="array" ref="X2152">IF(S2152="","",IF($I2152&lt;&gt;"",$I2152,INDEX($I$2:$I2151,ROW()-COUNTIFS($T$2:$T2151,"="&amp;$T2152,$S$2:$S2151,"&lt;&gt;"&amp;$S2152)-1)))</f>
        <v/>
      </c>
      <c r="Y2152" t="b">
        <f>IF(X2152&lt;&gt;"",VLOOKUP(X2152,game_rosters!$C$43:$E$64,3,FALSE))</f>
        <v>0</v>
      </c>
      <c r="Z2152" t="e" cm="1" vm="1">
        <f t="array" aca="1" ref="Z2152" ca="1">IFERROR(IF(_xlfn._xlws.FILTER(game_rosters!$J:$J,(game_rosters!$G:$G=events!$AN2152)*(game_rosters!$J:$J=events!$X2152))&gt;0,1,""),"")</f>
        <v>#VALUE!</v>
      </c>
      <c r="AA2152">
        <f t="shared" si="215"/>
        <v>1000</v>
      </c>
      <c r="AB2152" t="str">
        <f t="shared" si="216"/>
        <v/>
      </c>
      <c r="AC2152">
        <f t="shared" si="213"/>
        <v>1000</v>
      </c>
      <c r="AD2152" s="6"/>
    </row>
    <row r="2153" spans="1:30" x14ac:dyDescent="0.2">
      <c r="A2153" t="str">
        <f t="shared" si="214"/>
        <v/>
      </c>
      <c r="X2153" t="str" cm="1">
        <f t="array" ref="X2153">IF(S2153="","",IF($I2153&lt;&gt;"",$I2153,INDEX($I$2:$I2152,ROW()-COUNTIFS($T$2:$T2152,"="&amp;$T2153,$S$2:$S2152,"&lt;&gt;"&amp;$S2153)-1)))</f>
        <v/>
      </c>
      <c r="Y2153" t="b">
        <f>IF(X2153&lt;&gt;"",VLOOKUP(X2153,game_rosters!$C$43:$E$64,3,FALSE))</f>
        <v>0</v>
      </c>
      <c r="Z2153" t="e" cm="1" vm="1">
        <f t="array" aca="1" ref="Z2153" ca="1">IFERROR(IF(_xlfn._xlws.FILTER(game_rosters!$J:$J,(game_rosters!$G:$G=events!$AN2153)*(game_rosters!$J:$J=events!$X2153))&gt;0,1,""),"")</f>
        <v>#VALUE!</v>
      </c>
      <c r="AA2153">
        <f t="shared" si="215"/>
        <v>1000</v>
      </c>
      <c r="AB2153" t="str">
        <f t="shared" si="216"/>
        <v/>
      </c>
      <c r="AC2153">
        <f t="shared" si="213"/>
        <v>1000</v>
      </c>
      <c r="AD2153" s="6"/>
    </row>
    <row r="2154" spans="1:30" x14ac:dyDescent="0.2">
      <c r="A2154" t="str">
        <f t="shared" si="214"/>
        <v/>
      </c>
      <c r="X2154" t="str" cm="1">
        <f t="array" ref="X2154">IF(S2154="","",IF($I2154&lt;&gt;"",$I2154,INDEX($I$2:$I2153,ROW()-COUNTIFS($T$2:$T2153,"="&amp;$T2154,$S$2:$S2153,"&lt;&gt;"&amp;$S2154)-1)))</f>
        <v/>
      </c>
      <c r="Y2154" t="b">
        <f>IF(X2154&lt;&gt;"",VLOOKUP(X2154,game_rosters!$C$43:$E$64,3,FALSE))</f>
        <v>0</v>
      </c>
      <c r="Z2154" t="e" cm="1" vm="1">
        <f t="array" aca="1" ref="Z2154" ca="1">IFERROR(IF(_xlfn._xlws.FILTER(game_rosters!$J:$J,(game_rosters!$G:$G=events!$AN2154)*(game_rosters!$J:$J=events!$X2154))&gt;0,1,""),"")</f>
        <v>#VALUE!</v>
      </c>
      <c r="AA2154">
        <f t="shared" si="215"/>
        <v>1000</v>
      </c>
      <c r="AB2154" t="str">
        <f t="shared" si="216"/>
        <v/>
      </c>
      <c r="AC2154">
        <f t="shared" si="213"/>
        <v>1000</v>
      </c>
      <c r="AD2154" s="6"/>
    </row>
    <row r="2155" spans="1:30" x14ac:dyDescent="0.2">
      <c r="A2155" t="str">
        <f t="shared" si="214"/>
        <v/>
      </c>
      <c r="X2155" t="str" cm="1">
        <f t="array" ref="X2155">IF(S2155="","",IF($I2155&lt;&gt;"",$I2155,INDEX($I$2:$I2154,ROW()-COUNTIFS($T$2:$T2154,"="&amp;$T2155,$S$2:$S2154,"&lt;&gt;"&amp;$S2155)-1)))</f>
        <v/>
      </c>
      <c r="Y2155" t="b">
        <f>IF(X2155&lt;&gt;"",VLOOKUP(X2155,game_rosters!$C$43:$E$64,3,FALSE))</f>
        <v>0</v>
      </c>
      <c r="Z2155" t="e" cm="1" vm="1">
        <f t="array" aca="1" ref="Z2155" ca="1">IFERROR(IF(_xlfn._xlws.FILTER(game_rosters!$J:$J,(game_rosters!$G:$G=events!$AN2155)*(game_rosters!$J:$J=events!$X2155))&gt;0,1,""),"")</f>
        <v>#VALUE!</v>
      </c>
      <c r="AA2155">
        <f t="shared" si="215"/>
        <v>1000</v>
      </c>
      <c r="AB2155" t="str">
        <f t="shared" si="216"/>
        <v/>
      </c>
      <c r="AC2155">
        <f t="shared" si="213"/>
        <v>1000</v>
      </c>
      <c r="AD2155" s="6"/>
    </row>
    <row r="2156" spans="1:30" x14ac:dyDescent="0.2">
      <c r="A2156" t="str">
        <f t="shared" si="214"/>
        <v/>
      </c>
      <c r="X2156" t="str" cm="1">
        <f t="array" ref="X2156">IF(S2156="","",IF($I2156&lt;&gt;"",$I2156,INDEX($I$2:$I2155,ROW()-COUNTIFS($T$2:$T2155,"="&amp;$T2156,$S$2:$S2155,"&lt;&gt;"&amp;$S2156)-1)))</f>
        <v/>
      </c>
      <c r="Y2156" t="b">
        <f>IF(X2156&lt;&gt;"",VLOOKUP(X2156,game_rosters!$C$43:$E$64,3,FALSE))</f>
        <v>0</v>
      </c>
      <c r="Z2156" t="e" cm="1" vm="1">
        <f t="array" aca="1" ref="Z2156" ca="1">IFERROR(IF(_xlfn._xlws.FILTER(game_rosters!$J:$J,(game_rosters!$G:$G=events!$AN2156)*(game_rosters!$J:$J=events!$X2156))&gt;0,1,""),"")</f>
        <v>#VALUE!</v>
      </c>
      <c r="AA2156">
        <f t="shared" si="215"/>
        <v>1000</v>
      </c>
      <c r="AB2156" t="str">
        <f t="shared" si="216"/>
        <v/>
      </c>
      <c r="AC2156">
        <f t="shared" si="213"/>
        <v>1000</v>
      </c>
      <c r="AD2156" s="6"/>
    </row>
    <row r="2157" spans="1:30" x14ac:dyDescent="0.2">
      <c r="A2157" t="str">
        <f t="shared" si="214"/>
        <v/>
      </c>
      <c r="X2157" t="str" cm="1">
        <f t="array" ref="X2157">IF(S2157="","",IF($I2157&lt;&gt;"",$I2157,INDEX($I$2:$I2156,ROW()-COUNTIFS($T$2:$T2156,"="&amp;$T2157,$S$2:$S2156,"&lt;&gt;"&amp;$S2157)-1)))</f>
        <v/>
      </c>
      <c r="Y2157" t="b">
        <f>IF(X2157&lt;&gt;"",VLOOKUP(X2157,game_rosters!$C$43:$E$64,3,FALSE))</f>
        <v>0</v>
      </c>
      <c r="Z2157" t="e" cm="1" vm="1">
        <f t="array" aca="1" ref="Z2157" ca="1">IFERROR(IF(_xlfn._xlws.FILTER(game_rosters!$J:$J,(game_rosters!$G:$G=events!$AN2157)*(game_rosters!$J:$J=events!$X2157))&gt;0,1,""),"")</f>
        <v>#VALUE!</v>
      </c>
      <c r="AA2157">
        <f t="shared" si="215"/>
        <v>1000</v>
      </c>
      <c r="AB2157" t="str">
        <f t="shared" si="216"/>
        <v/>
      </c>
      <c r="AC2157">
        <f t="shared" si="213"/>
        <v>1000</v>
      </c>
      <c r="AD2157" s="6"/>
    </row>
    <row r="2158" spans="1:30" x14ac:dyDescent="0.2">
      <c r="A2158" t="str">
        <f t="shared" si="214"/>
        <v/>
      </c>
      <c r="X2158" t="str" cm="1">
        <f t="array" ref="X2158">IF(S2158="","",IF($I2158&lt;&gt;"",$I2158,INDEX($I$2:$I2157,ROW()-COUNTIFS($T$2:$T2157,"="&amp;$T2158,$S$2:$S2157,"&lt;&gt;"&amp;$S2158)-1)))</f>
        <v/>
      </c>
      <c r="Y2158" t="b">
        <f>IF(X2158&lt;&gt;"",VLOOKUP(X2158,game_rosters!$C$43:$E$64,3,FALSE))</f>
        <v>0</v>
      </c>
      <c r="Z2158" t="e" cm="1" vm="1">
        <f t="array" aca="1" ref="Z2158" ca="1">IFERROR(IF(_xlfn._xlws.FILTER(game_rosters!$J:$J,(game_rosters!$G:$G=events!$AN2158)*(game_rosters!$J:$J=events!$X2158))&gt;0,1,""),"")</f>
        <v>#VALUE!</v>
      </c>
      <c r="AA2158">
        <f t="shared" si="215"/>
        <v>1000</v>
      </c>
      <c r="AB2158" t="str">
        <f t="shared" si="216"/>
        <v/>
      </c>
      <c r="AC2158">
        <f t="shared" si="213"/>
        <v>1000</v>
      </c>
      <c r="AD2158" s="6"/>
    </row>
    <row r="2159" spans="1:30" x14ac:dyDescent="0.2">
      <c r="A2159" t="str">
        <f t="shared" si="214"/>
        <v/>
      </c>
      <c r="X2159" t="str" cm="1">
        <f t="array" ref="X2159">IF(S2159="","",IF($I2159&lt;&gt;"",$I2159,INDEX($I$2:$I2158,ROW()-COUNTIFS($T$2:$T2158,"="&amp;$T2159,$S$2:$S2158,"&lt;&gt;"&amp;$S2159)-1)))</f>
        <v/>
      </c>
      <c r="Y2159" t="b">
        <f>IF(X2159&lt;&gt;"",VLOOKUP(X2159,game_rosters!$C$43:$E$64,3,FALSE))</f>
        <v>0</v>
      </c>
      <c r="Z2159" t="e" cm="1" vm="1">
        <f t="array" aca="1" ref="Z2159" ca="1">IFERROR(IF(_xlfn._xlws.FILTER(game_rosters!$J:$J,(game_rosters!$G:$G=events!$AN2159)*(game_rosters!$J:$J=events!$X2159))&gt;0,1,""),"")</f>
        <v>#VALUE!</v>
      </c>
      <c r="AA2159">
        <f t="shared" si="215"/>
        <v>1000</v>
      </c>
      <c r="AB2159" t="str">
        <f t="shared" si="216"/>
        <v/>
      </c>
      <c r="AC2159">
        <f t="shared" si="213"/>
        <v>1000</v>
      </c>
      <c r="AD2159" s="6"/>
    </row>
    <row r="2160" spans="1:30" x14ac:dyDescent="0.2">
      <c r="A2160" t="str">
        <f t="shared" si="214"/>
        <v/>
      </c>
      <c r="X2160" t="str" cm="1">
        <f t="array" ref="X2160">IF(S2160="","",IF($I2160&lt;&gt;"",$I2160,INDEX($I$2:$I2159,ROW()-COUNTIFS($T$2:$T2159,"="&amp;$T2160,$S$2:$S2159,"&lt;&gt;"&amp;$S2160)-1)))</f>
        <v/>
      </c>
      <c r="Y2160" t="b">
        <f>IF(X2160&lt;&gt;"",VLOOKUP(X2160,game_rosters!$C$43:$E$64,3,FALSE))</f>
        <v>0</v>
      </c>
      <c r="Z2160" t="e" cm="1" vm="1">
        <f t="array" aca="1" ref="Z2160" ca="1">IFERROR(IF(_xlfn._xlws.FILTER(game_rosters!$J:$J,(game_rosters!$G:$G=events!$AN2160)*(game_rosters!$J:$J=events!$X2160))&gt;0,1,""),"")</f>
        <v>#VALUE!</v>
      </c>
      <c r="AA2160">
        <f t="shared" si="215"/>
        <v>1000</v>
      </c>
      <c r="AB2160" t="str">
        <f t="shared" si="216"/>
        <v/>
      </c>
      <c r="AC2160">
        <f t="shared" si="213"/>
        <v>1000</v>
      </c>
      <c r="AD2160" s="6"/>
    </row>
    <row r="2161" spans="1:30" x14ac:dyDescent="0.2">
      <c r="A2161" t="str">
        <f t="shared" si="214"/>
        <v/>
      </c>
      <c r="X2161" t="str" cm="1">
        <f t="array" ref="X2161">IF(S2161="","",IF($I2161&lt;&gt;"",$I2161,INDEX($I$2:$I2160,ROW()-COUNTIFS($T$2:$T2160,"="&amp;$T2161,$S$2:$S2160,"&lt;&gt;"&amp;$S2161)-1)))</f>
        <v/>
      </c>
      <c r="Y2161" t="b">
        <f>IF(X2161&lt;&gt;"",VLOOKUP(X2161,game_rosters!$C$43:$E$64,3,FALSE))</f>
        <v>0</v>
      </c>
      <c r="Z2161" t="e" cm="1" vm="1">
        <f t="array" aca="1" ref="Z2161" ca="1">IFERROR(IF(_xlfn._xlws.FILTER(game_rosters!$J:$J,(game_rosters!$G:$G=events!$AN2161)*(game_rosters!$J:$J=events!$X2161))&gt;0,1,""),"")</f>
        <v>#VALUE!</v>
      </c>
      <c r="AA2161">
        <f t="shared" si="215"/>
        <v>1000</v>
      </c>
      <c r="AB2161" t="str">
        <f t="shared" si="216"/>
        <v/>
      </c>
      <c r="AC2161">
        <f t="shared" si="213"/>
        <v>1000</v>
      </c>
      <c r="AD2161" s="6"/>
    </row>
    <row r="2162" spans="1:30" x14ac:dyDescent="0.2">
      <c r="A2162" t="str">
        <f t="shared" si="214"/>
        <v/>
      </c>
      <c r="X2162" t="str" cm="1">
        <f t="array" ref="X2162">IF(S2162="","",IF($I2162&lt;&gt;"",$I2162,INDEX($I$2:$I2161,ROW()-COUNTIFS($T$2:$T2161,"="&amp;$T2162,$S$2:$S2161,"&lt;&gt;"&amp;$S2162)-1)))</f>
        <v/>
      </c>
      <c r="Y2162" t="b">
        <f>IF(X2162&lt;&gt;"",VLOOKUP(X2162,game_rosters!$C$43:$E$64,3,FALSE))</f>
        <v>0</v>
      </c>
      <c r="Z2162" t="e" cm="1" vm="1">
        <f t="array" aca="1" ref="Z2162" ca="1">IFERROR(IF(_xlfn._xlws.FILTER(game_rosters!$J:$J,(game_rosters!$G:$G=events!$AN2162)*(game_rosters!$J:$J=events!$X2162))&gt;0,1,""),"")</f>
        <v>#VALUE!</v>
      </c>
      <c r="AA2162">
        <f t="shared" si="215"/>
        <v>1000</v>
      </c>
      <c r="AB2162" t="str">
        <f t="shared" si="216"/>
        <v/>
      </c>
      <c r="AC2162">
        <f t="shared" si="213"/>
        <v>1000</v>
      </c>
      <c r="AD2162" s="6"/>
    </row>
    <row r="2163" spans="1:30" x14ac:dyDescent="0.2">
      <c r="A2163" t="str">
        <f t="shared" si="214"/>
        <v/>
      </c>
      <c r="X2163" t="str" cm="1">
        <f t="array" ref="X2163">IF(S2163="","",IF($I2163&lt;&gt;"",$I2163,INDEX($I$2:$I2162,ROW()-COUNTIFS($T$2:$T2162,"="&amp;$T2163,$S$2:$S2162,"&lt;&gt;"&amp;$S2163)-1)))</f>
        <v/>
      </c>
      <c r="Y2163" t="b">
        <f>IF(X2163&lt;&gt;"",VLOOKUP(X2163,game_rosters!$C$43:$E$64,3,FALSE))</f>
        <v>0</v>
      </c>
      <c r="Z2163" t="e" cm="1" vm="1">
        <f t="array" aca="1" ref="Z2163" ca="1">IFERROR(IF(_xlfn._xlws.FILTER(game_rosters!$J:$J,(game_rosters!$G:$G=events!$AN2163)*(game_rosters!$J:$J=events!$X2163))&gt;0,1,""),"")</f>
        <v>#VALUE!</v>
      </c>
      <c r="AA2163">
        <f t="shared" si="215"/>
        <v>1000</v>
      </c>
      <c r="AB2163" t="str">
        <f t="shared" si="216"/>
        <v/>
      </c>
      <c r="AC2163">
        <f t="shared" si="213"/>
        <v>1000</v>
      </c>
      <c r="AD2163" s="6"/>
    </row>
    <row r="2164" spans="1:30" x14ac:dyDescent="0.2">
      <c r="A2164" t="str">
        <f t="shared" si="214"/>
        <v/>
      </c>
      <c r="X2164" t="str" cm="1">
        <f t="array" ref="X2164">IF(S2164="","",IF($I2164&lt;&gt;"",$I2164,INDEX($I$2:$I2163,ROW()-COUNTIFS($T$2:$T2163,"="&amp;$T2164,$S$2:$S2163,"&lt;&gt;"&amp;$S2164)-1)))</f>
        <v/>
      </c>
      <c r="Y2164" t="b">
        <f>IF(X2164&lt;&gt;"",VLOOKUP(X2164,game_rosters!$C$43:$E$64,3,FALSE))</f>
        <v>0</v>
      </c>
      <c r="Z2164" t="e" cm="1" vm="1">
        <f t="array" aca="1" ref="Z2164" ca="1">IFERROR(IF(_xlfn._xlws.FILTER(game_rosters!$J:$J,(game_rosters!$G:$G=events!$AN2164)*(game_rosters!$J:$J=events!$X2164))&gt;0,1,""),"")</f>
        <v>#VALUE!</v>
      </c>
      <c r="AA2164">
        <f t="shared" si="215"/>
        <v>1000</v>
      </c>
      <c r="AB2164" t="str">
        <f t="shared" si="216"/>
        <v/>
      </c>
      <c r="AC2164">
        <f t="shared" si="213"/>
        <v>1000</v>
      </c>
      <c r="AD2164" s="6"/>
    </row>
    <row r="2165" spans="1:30" x14ac:dyDescent="0.2">
      <c r="A2165" t="str">
        <f t="shared" si="214"/>
        <v/>
      </c>
      <c r="X2165" t="str" cm="1">
        <f t="array" ref="X2165">IF(S2165="","",IF($I2165&lt;&gt;"",$I2165,INDEX($I$2:$I2164,ROW()-COUNTIFS($T$2:$T2164,"="&amp;$T2165,$S$2:$S2164,"&lt;&gt;"&amp;$S2165)-1)))</f>
        <v/>
      </c>
      <c r="Y2165" t="b">
        <f>IF(X2165&lt;&gt;"",VLOOKUP(X2165,game_rosters!$C$43:$E$64,3,FALSE))</f>
        <v>0</v>
      </c>
      <c r="Z2165" t="e" cm="1" vm="1">
        <f t="array" aca="1" ref="Z2165" ca="1">IFERROR(IF(_xlfn._xlws.FILTER(game_rosters!$J:$J,(game_rosters!$G:$G=events!$AN2165)*(game_rosters!$J:$J=events!$X2165))&gt;0,1,""),"")</f>
        <v>#VALUE!</v>
      </c>
      <c r="AA2165">
        <f t="shared" si="215"/>
        <v>1000</v>
      </c>
      <c r="AB2165" t="str">
        <f t="shared" si="216"/>
        <v/>
      </c>
      <c r="AC2165">
        <f t="shared" si="213"/>
        <v>1000</v>
      </c>
      <c r="AD2165" s="6"/>
    </row>
    <row r="2166" spans="1:30" x14ac:dyDescent="0.2">
      <c r="A2166" t="str">
        <f t="shared" si="214"/>
        <v/>
      </c>
      <c r="X2166" t="str" cm="1">
        <f t="array" ref="X2166">IF(S2166="","",IF($I2166&lt;&gt;"",$I2166,INDEX($I$2:$I2165,ROW()-COUNTIFS($T$2:$T2165,"="&amp;$T2166,$S$2:$S2165,"&lt;&gt;"&amp;$S2166)-1)))</f>
        <v/>
      </c>
      <c r="Y2166" t="b">
        <f>IF(X2166&lt;&gt;"",VLOOKUP(X2166,game_rosters!$C$43:$E$64,3,FALSE))</f>
        <v>0</v>
      </c>
      <c r="Z2166" t="e" cm="1" vm="1">
        <f t="array" aca="1" ref="Z2166" ca="1">IFERROR(IF(_xlfn._xlws.FILTER(game_rosters!$J:$J,(game_rosters!$G:$G=events!$AN2166)*(game_rosters!$J:$J=events!$X2166))&gt;0,1,""),"")</f>
        <v>#VALUE!</v>
      </c>
      <c r="AA2166">
        <f t="shared" si="215"/>
        <v>1000</v>
      </c>
      <c r="AB2166" t="str">
        <f t="shared" si="216"/>
        <v/>
      </c>
      <c r="AC2166">
        <f t="shared" si="213"/>
        <v>1000</v>
      </c>
      <c r="AD2166" s="6"/>
    </row>
    <row r="2167" spans="1:30" x14ac:dyDescent="0.2">
      <c r="A2167" t="str">
        <f t="shared" si="214"/>
        <v/>
      </c>
      <c r="X2167" t="str" cm="1">
        <f t="array" ref="X2167">IF(S2167="","",IF($I2167&lt;&gt;"",$I2167,INDEX($I$2:$I2166,ROW()-COUNTIFS($T$2:$T2166,"="&amp;$T2167,$S$2:$S2166,"&lt;&gt;"&amp;$S2167)-1)))</f>
        <v/>
      </c>
      <c r="Y2167" t="b">
        <f>IF(X2167&lt;&gt;"",VLOOKUP(X2167,game_rosters!$C$43:$E$64,3,FALSE))</f>
        <v>0</v>
      </c>
      <c r="Z2167" t="e" cm="1" vm="1">
        <f t="array" aca="1" ref="Z2167" ca="1">IFERROR(IF(_xlfn._xlws.FILTER(game_rosters!$J:$J,(game_rosters!$G:$G=events!$AN2167)*(game_rosters!$J:$J=events!$X2167))&gt;0,1,""),"")</f>
        <v>#VALUE!</v>
      </c>
      <c r="AA2167">
        <f t="shared" si="215"/>
        <v>1000</v>
      </c>
      <c r="AB2167" t="str">
        <f t="shared" si="216"/>
        <v/>
      </c>
      <c r="AC2167">
        <f t="shared" si="213"/>
        <v>1000</v>
      </c>
      <c r="AD2167" s="6"/>
    </row>
    <row r="2168" spans="1:30" x14ac:dyDescent="0.2">
      <c r="A2168" t="str">
        <f t="shared" si="214"/>
        <v/>
      </c>
      <c r="X2168" t="str" cm="1">
        <f t="array" ref="X2168">IF(S2168="","",IF($I2168&lt;&gt;"",$I2168,INDEX($I$2:$I2167,ROW()-COUNTIFS($T$2:$T2167,"="&amp;$T2168,$S$2:$S2167,"&lt;&gt;"&amp;$S2168)-1)))</f>
        <v/>
      </c>
      <c r="Y2168" t="b">
        <f>IF(X2168&lt;&gt;"",VLOOKUP(X2168,game_rosters!$C$43:$E$64,3,FALSE))</f>
        <v>0</v>
      </c>
      <c r="Z2168" t="e" cm="1" vm="1">
        <f t="array" aca="1" ref="Z2168" ca="1">IFERROR(IF(_xlfn._xlws.FILTER(game_rosters!$J:$J,(game_rosters!$G:$G=events!$AN2168)*(game_rosters!$J:$J=events!$X2168))&gt;0,1,""),"")</f>
        <v>#VALUE!</v>
      </c>
      <c r="AA2168">
        <f t="shared" si="215"/>
        <v>1000</v>
      </c>
      <c r="AB2168" t="str">
        <f t="shared" si="216"/>
        <v/>
      </c>
      <c r="AC2168">
        <f t="shared" si="213"/>
        <v>1000</v>
      </c>
      <c r="AD2168" s="6"/>
    </row>
    <row r="2169" spans="1:30" x14ac:dyDescent="0.2">
      <c r="A2169" t="str">
        <f t="shared" si="214"/>
        <v/>
      </c>
      <c r="X2169" t="str" cm="1">
        <f t="array" ref="X2169">IF(S2169="","",IF($I2169&lt;&gt;"",$I2169,INDEX($I$2:$I2168,ROW()-COUNTIFS($T$2:$T2168,"="&amp;$T2169,$S$2:$S2168,"&lt;&gt;"&amp;$S2169)-1)))</f>
        <v/>
      </c>
      <c r="Y2169" t="b">
        <f>IF(X2169&lt;&gt;"",VLOOKUP(X2169,game_rosters!$C$43:$E$64,3,FALSE))</f>
        <v>0</v>
      </c>
      <c r="Z2169" t="e" cm="1" vm="1">
        <f t="array" aca="1" ref="Z2169" ca="1">IFERROR(IF(_xlfn._xlws.FILTER(game_rosters!$J:$J,(game_rosters!$G:$G=events!$AN2169)*(game_rosters!$J:$J=events!$X2169))&gt;0,1,""),"")</f>
        <v>#VALUE!</v>
      </c>
      <c r="AA2169">
        <f t="shared" si="215"/>
        <v>1000</v>
      </c>
      <c r="AB2169" t="str">
        <f t="shared" si="216"/>
        <v/>
      </c>
      <c r="AC2169">
        <f t="shared" si="213"/>
        <v>1000</v>
      </c>
      <c r="AD2169" s="6"/>
    </row>
    <row r="2170" spans="1:30" x14ac:dyDescent="0.2">
      <c r="A2170" t="str">
        <f t="shared" si="214"/>
        <v/>
      </c>
      <c r="X2170" t="str" cm="1">
        <f t="array" ref="X2170">IF(S2170="","",IF($I2170&lt;&gt;"",$I2170,INDEX($I$2:$I2169,ROW()-COUNTIFS($T$2:$T2169,"="&amp;$T2170,$S$2:$S2169,"&lt;&gt;"&amp;$S2170)-1)))</f>
        <v/>
      </c>
      <c r="Y2170" t="b">
        <f>IF(X2170&lt;&gt;"",VLOOKUP(X2170,game_rosters!$C$43:$E$64,3,FALSE))</f>
        <v>0</v>
      </c>
      <c r="Z2170" t="e" cm="1" vm="1">
        <f t="array" aca="1" ref="Z2170" ca="1">IFERROR(IF(_xlfn._xlws.FILTER(game_rosters!$J:$J,(game_rosters!$G:$G=events!$AN2170)*(game_rosters!$J:$J=events!$X2170))&gt;0,1,""),"")</f>
        <v>#VALUE!</v>
      </c>
      <c r="AA2170">
        <f t="shared" si="215"/>
        <v>1000</v>
      </c>
      <c r="AB2170" t="str">
        <f t="shared" si="216"/>
        <v/>
      </c>
      <c r="AC2170">
        <f t="shared" si="213"/>
        <v>1000</v>
      </c>
      <c r="AD2170" s="6"/>
    </row>
    <row r="2171" spans="1:30" x14ac:dyDescent="0.2">
      <c r="A2171" t="str">
        <f t="shared" si="214"/>
        <v/>
      </c>
      <c r="X2171" t="str" cm="1">
        <f t="array" ref="X2171">IF(S2171="","",IF($I2171&lt;&gt;"",$I2171,INDEX($I$2:$I2170,ROW()-COUNTIFS($T$2:$T2170,"="&amp;$T2171,$S$2:$S2170,"&lt;&gt;"&amp;$S2171)-1)))</f>
        <v/>
      </c>
      <c r="Y2171" t="b">
        <f>IF(X2171&lt;&gt;"",VLOOKUP(X2171,game_rosters!$C$43:$E$64,3,FALSE))</f>
        <v>0</v>
      </c>
      <c r="Z2171" t="e" cm="1" vm="1">
        <f t="array" aca="1" ref="Z2171" ca="1">IFERROR(IF(_xlfn._xlws.FILTER(game_rosters!$J:$J,(game_rosters!$G:$G=events!$AN2171)*(game_rosters!$J:$J=events!$X2171))&gt;0,1,""),"")</f>
        <v>#VALUE!</v>
      </c>
      <c r="AA2171">
        <f t="shared" si="215"/>
        <v>1000</v>
      </c>
      <c r="AB2171" t="str">
        <f t="shared" si="216"/>
        <v/>
      </c>
      <c r="AC2171">
        <f t="shared" si="213"/>
        <v>1000</v>
      </c>
      <c r="AD2171" s="6"/>
    </row>
    <row r="2172" spans="1:30" x14ac:dyDescent="0.2">
      <c r="A2172" t="str">
        <f t="shared" si="214"/>
        <v/>
      </c>
      <c r="X2172" t="str" cm="1">
        <f t="array" ref="X2172">IF(S2172="","",IF($I2172&lt;&gt;"",$I2172,INDEX($I$2:$I2171,ROW()-COUNTIFS($T$2:$T2171,"="&amp;$T2172,$S$2:$S2171,"&lt;&gt;"&amp;$S2172)-1)))</f>
        <v/>
      </c>
      <c r="Y2172" t="b">
        <f>IF(X2172&lt;&gt;"",VLOOKUP(X2172,game_rosters!$C$43:$E$64,3,FALSE))</f>
        <v>0</v>
      </c>
      <c r="Z2172" t="e" cm="1" vm="1">
        <f t="array" aca="1" ref="Z2172" ca="1">IFERROR(IF(_xlfn._xlws.FILTER(game_rosters!$J:$J,(game_rosters!$G:$G=events!$AN2172)*(game_rosters!$J:$J=events!$X2172))&gt;0,1,""),"")</f>
        <v>#VALUE!</v>
      </c>
      <c r="AA2172">
        <f t="shared" si="215"/>
        <v>1000</v>
      </c>
      <c r="AB2172" t="str">
        <f t="shared" si="216"/>
        <v/>
      </c>
      <c r="AC2172">
        <f t="shared" si="213"/>
        <v>1000</v>
      </c>
      <c r="AD2172" s="6"/>
    </row>
    <row r="2173" spans="1:30" x14ac:dyDescent="0.2">
      <c r="A2173" t="str">
        <f t="shared" si="214"/>
        <v/>
      </c>
      <c r="X2173" t="str" cm="1">
        <f t="array" ref="X2173">IF(S2173="","",IF($I2173&lt;&gt;"",$I2173,INDEX($I$2:$I2172,ROW()-COUNTIFS($T$2:$T2172,"="&amp;$T2173,$S$2:$S2172,"&lt;&gt;"&amp;$S2173)-1)))</f>
        <v/>
      </c>
      <c r="Y2173" t="b">
        <f>IF(X2173&lt;&gt;"",VLOOKUP(X2173,game_rosters!$C$43:$E$64,3,FALSE))</f>
        <v>0</v>
      </c>
      <c r="Z2173" t="e" cm="1" vm="1">
        <f t="array" aca="1" ref="Z2173" ca="1">IFERROR(IF(_xlfn._xlws.FILTER(game_rosters!$J:$J,(game_rosters!$G:$G=events!$AN2173)*(game_rosters!$J:$J=events!$X2173))&gt;0,1,""),"")</f>
        <v>#VALUE!</v>
      </c>
      <c r="AA2173">
        <f t="shared" si="215"/>
        <v>1000</v>
      </c>
      <c r="AB2173" t="str">
        <f t="shared" si="216"/>
        <v/>
      </c>
      <c r="AC2173">
        <f t="shared" si="213"/>
        <v>1000</v>
      </c>
      <c r="AD2173" s="6"/>
    </row>
    <row r="2174" spans="1:30" x14ac:dyDescent="0.2">
      <c r="A2174" t="str">
        <f t="shared" si="214"/>
        <v/>
      </c>
      <c r="X2174" t="str" cm="1">
        <f t="array" ref="X2174">IF(S2174="","",IF($I2174&lt;&gt;"",$I2174,INDEX($I$2:$I2173,ROW()-COUNTIFS($T$2:$T2173,"="&amp;$T2174,$S$2:$S2173,"&lt;&gt;"&amp;$S2174)-1)))</f>
        <v/>
      </c>
      <c r="Y2174" t="b">
        <f>IF(X2174&lt;&gt;"",VLOOKUP(X2174,game_rosters!$C$43:$E$64,3,FALSE))</f>
        <v>0</v>
      </c>
      <c r="Z2174" t="e" cm="1" vm="1">
        <f t="array" aca="1" ref="Z2174" ca="1">IFERROR(IF(_xlfn._xlws.FILTER(game_rosters!$J:$J,(game_rosters!$G:$G=events!$AN2174)*(game_rosters!$J:$J=events!$X2174))&gt;0,1,""),"")</f>
        <v>#VALUE!</v>
      </c>
      <c r="AA2174">
        <f t="shared" si="215"/>
        <v>1000</v>
      </c>
      <c r="AB2174" t="str">
        <f t="shared" si="216"/>
        <v/>
      </c>
      <c r="AC2174">
        <f t="shared" si="213"/>
        <v>1000</v>
      </c>
      <c r="AD2174" s="6"/>
    </row>
    <row r="2175" spans="1:30" x14ac:dyDescent="0.2">
      <c r="A2175" t="str">
        <f t="shared" si="214"/>
        <v/>
      </c>
      <c r="X2175" t="str" cm="1">
        <f t="array" ref="X2175">IF(S2175="","",IF($I2175&lt;&gt;"",$I2175,INDEX($I$2:$I2174,ROW()-COUNTIFS($T$2:$T2174,"="&amp;$T2175,$S$2:$S2174,"&lt;&gt;"&amp;$S2175)-1)))</f>
        <v/>
      </c>
      <c r="Y2175" t="b">
        <f>IF(X2175&lt;&gt;"",VLOOKUP(X2175,game_rosters!$C$43:$E$64,3,FALSE))</f>
        <v>0</v>
      </c>
      <c r="Z2175" t="e" cm="1" vm="1">
        <f t="array" aca="1" ref="Z2175" ca="1">IFERROR(IF(_xlfn._xlws.FILTER(game_rosters!$J:$J,(game_rosters!$G:$G=events!$AN2175)*(game_rosters!$J:$J=events!$X2175))&gt;0,1,""),"")</f>
        <v>#VALUE!</v>
      </c>
      <c r="AA2175">
        <f t="shared" si="215"/>
        <v>1000</v>
      </c>
      <c r="AB2175" t="str">
        <f t="shared" si="216"/>
        <v/>
      </c>
      <c r="AC2175">
        <f t="shared" si="213"/>
        <v>1000</v>
      </c>
      <c r="AD2175" s="6"/>
    </row>
    <row r="2176" spans="1:30" x14ac:dyDescent="0.2">
      <c r="A2176" t="str">
        <f t="shared" si="214"/>
        <v/>
      </c>
      <c r="X2176" t="str" cm="1">
        <f t="array" ref="X2176">IF(S2176="","",IF($I2176&lt;&gt;"",$I2176,INDEX($I$2:$I2175,ROW()-COUNTIFS($T$2:$T2175,"="&amp;$T2176,$S$2:$S2175,"&lt;&gt;"&amp;$S2176)-1)))</f>
        <v/>
      </c>
      <c r="Y2176" t="b">
        <f>IF(X2176&lt;&gt;"",VLOOKUP(X2176,game_rosters!$C$43:$E$64,3,FALSE))</f>
        <v>0</v>
      </c>
      <c r="Z2176" t="e" cm="1" vm="1">
        <f t="array" aca="1" ref="Z2176" ca="1">IFERROR(IF(_xlfn._xlws.FILTER(game_rosters!$J:$J,(game_rosters!$G:$G=events!$AN2176)*(game_rosters!$J:$J=events!$X2176))&gt;0,1,""),"")</f>
        <v>#VALUE!</v>
      </c>
      <c r="AA2176">
        <f t="shared" si="215"/>
        <v>1000</v>
      </c>
      <c r="AB2176" t="str">
        <f t="shared" si="216"/>
        <v/>
      </c>
      <c r="AC2176">
        <f t="shared" si="213"/>
        <v>1000</v>
      </c>
      <c r="AD2176" s="6"/>
    </row>
    <row r="2177" spans="1:30" x14ac:dyDescent="0.2">
      <c r="A2177" t="str">
        <f t="shared" si="214"/>
        <v/>
      </c>
      <c r="X2177" t="str" cm="1">
        <f t="array" ref="X2177">IF(S2177="","",IF($I2177&lt;&gt;"",$I2177,INDEX($I$2:$I2176,ROW()-COUNTIFS($T$2:$T2176,"="&amp;$T2177,$S$2:$S2176,"&lt;&gt;"&amp;$S2177)-1)))</f>
        <v/>
      </c>
      <c r="Y2177" t="b">
        <f>IF(X2177&lt;&gt;"",VLOOKUP(X2177,game_rosters!$C$43:$E$64,3,FALSE))</f>
        <v>0</v>
      </c>
      <c r="Z2177" t="e" cm="1" vm="1">
        <f t="array" aca="1" ref="Z2177" ca="1">IFERROR(IF(_xlfn._xlws.FILTER(game_rosters!$J:$J,(game_rosters!$G:$G=events!$AN2177)*(game_rosters!$J:$J=events!$X2177))&gt;0,1,""),"")</f>
        <v>#VALUE!</v>
      </c>
      <c r="AA2177">
        <f t="shared" si="215"/>
        <v>1000</v>
      </c>
      <c r="AB2177" t="str">
        <f t="shared" si="216"/>
        <v/>
      </c>
      <c r="AC2177">
        <f t="shared" si="213"/>
        <v>1000</v>
      </c>
      <c r="AD2177" s="6"/>
    </row>
    <row r="2178" spans="1:30" x14ac:dyDescent="0.2">
      <c r="A2178" t="str">
        <f t="shared" si="214"/>
        <v/>
      </c>
      <c r="X2178" t="str" cm="1">
        <f t="array" ref="X2178">IF(S2178="","",IF($I2178&lt;&gt;"",$I2178,INDEX($I$2:$I2177,ROW()-COUNTIFS($T$2:$T2177,"="&amp;$T2178,$S$2:$S2177,"&lt;&gt;"&amp;$S2178)-1)))</f>
        <v/>
      </c>
      <c r="Y2178" t="b">
        <f>IF(X2178&lt;&gt;"",VLOOKUP(X2178,game_rosters!$C$43:$E$64,3,FALSE))</f>
        <v>0</v>
      </c>
      <c r="Z2178" t="e" cm="1" vm="1">
        <f t="array" aca="1" ref="Z2178" ca="1">IFERROR(IF(_xlfn._xlws.FILTER(game_rosters!$J:$J,(game_rosters!$G:$G=events!$AN2178)*(game_rosters!$J:$J=events!$X2178))&gt;0,1,""),"")</f>
        <v>#VALUE!</v>
      </c>
      <c r="AA2178">
        <f t="shared" si="215"/>
        <v>1000</v>
      </c>
      <c r="AB2178" t="str">
        <f t="shared" si="216"/>
        <v/>
      </c>
      <c r="AC2178">
        <f t="shared" ref="AC2178:AC2241" si="217">IF(AB2178&lt;&gt;"",AB2178,S2178+1000)</f>
        <v>1000</v>
      </c>
      <c r="AD2178" s="6"/>
    </row>
    <row r="2179" spans="1:30" x14ac:dyDescent="0.2">
      <c r="A2179" t="str">
        <f t="shared" si="214"/>
        <v/>
      </c>
      <c r="X2179" t="str" cm="1">
        <f t="array" ref="X2179">IF(S2179="","",IF($I2179&lt;&gt;"",$I2179,INDEX($I$2:$I2178,ROW()-COUNTIFS($T$2:$T2178,"="&amp;$T2179,$S$2:$S2178,"&lt;&gt;"&amp;$S2179)-1)))</f>
        <v/>
      </c>
      <c r="Y2179" t="b">
        <f>IF(X2179&lt;&gt;"",VLOOKUP(X2179,game_rosters!$C$43:$E$64,3,FALSE))</f>
        <v>0</v>
      </c>
      <c r="Z2179" t="e" cm="1" vm="1">
        <f t="array" aca="1" ref="Z2179" ca="1">IFERROR(IF(_xlfn._xlws.FILTER(game_rosters!$J:$J,(game_rosters!$G:$G=events!$AN2179)*(game_rosters!$J:$J=events!$X2179))&gt;0,1,""),"")</f>
        <v>#VALUE!</v>
      </c>
      <c r="AA2179">
        <f t="shared" si="215"/>
        <v>1000</v>
      </c>
      <c r="AB2179" t="str">
        <f t="shared" si="216"/>
        <v/>
      </c>
      <c r="AC2179">
        <f t="shared" si="217"/>
        <v>1000</v>
      </c>
      <c r="AD2179" s="6"/>
    </row>
    <row r="2180" spans="1:30" x14ac:dyDescent="0.2">
      <c r="A2180" t="str">
        <f t="shared" si="214"/>
        <v/>
      </c>
      <c r="X2180" t="str" cm="1">
        <f t="array" ref="X2180">IF(S2180="","",IF($I2180&lt;&gt;"",$I2180,INDEX($I$2:$I2179,ROW()-COUNTIFS($T$2:$T2179,"="&amp;$T2180,$S$2:$S2179,"&lt;&gt;"&amp;$S2180)-1)))</f>
        <v/>
      </c>
      <c r="Y2180" t="b">
        <f>IF(X2180&lt;&gt;"",VLOOKUP(X2180,game_rosters!$C$43:$E$64,3,FALSE))</f>
        <v>0</v>
      </c>
      <c r="Z2180" t="e" cm="1" vm="1">
        <f t="array" aca="1" ref="Z2180" ca="1">IFERROR(IF(_xlfn._xlws.FILTER(game_rosters!$J:$J,(game_rosters!$G:$G=events!$AN2180)*(game_rosters!$J:$J=events!$X2180))&gt;0,1,""),"")</f>
        <v>#VALUE!</v>
      </c>
      <c r="AA2180">
        <f t="shared" si="215"/>
        <v>1000</v>
      </c>
      <c r="AB2180" t="str">
        <f t="shared" si="216"/>
        <v/>
      </c>
      <c r="AC2180">
        <f t="shared" si="217"/>
        <v>1000</v>
      </c>
      <c r="AD2180" s="6"/>
    </row>
    <row r="2181" spans="1:30" x14ac:dyDescent="0.2">
      <c r="A2181" t="str">
        <f t="shared" ref="A2181:A2244" si="218">IF(K2181&lt;&gt;"",1,IF(D2181="x","x",""))</f>
        <v/>
      </c>
      <c r="X2181" t="str" cm="1">
        <f t="array" ref="X2181">IF(S2181="","",IF($I2181&lt;&gt;"",$I2181,INDEX($I$2:$I2180,ROW()-COUNTIFS($T$2:$T2180,"="&amp;$T2181,$S$2:$S2180,"&lt;&gt;"&amp;$S2181)-1)))</f>
        <v/>
      </c>
      <c r="Y2181" t="b">
        <f>IF(X2181&lt;&gt;"",VLOOKUP(X2181,game_rosters!$C$43:$E$64,3,FALSE))</f>
        <v>0</v>
      </c>
      <c r="Z2181" t="e" cm="1" vm="1">
        <f t="array" aca="1" ref="Z2181" ca="1">IFERROR(IF(_xlfn._xlws.FILTER(game_rosters!$J:$J,(game_rosters!$G:$G=events!$AN2181)*(game_rosters!$J:$J=events!$X2181))&gt;0,1,""),"")</f>
        <v>#VALUE!</v>
      </c>
      <c r="AA2181">
        <f t="shared" si="215"/>
        <v>1000</v>
      </c>
      <c r="AB2181" t="str">
        <f t="shared" si="216"/>
        <v/>
      </c>
      <c r="AC2181">
        <f t="shared" si="217"/>
        <v>1000</v>
      </c>
      <c r="AD2181" s="6"/>
    </row>
    <row r="2182" spans="1:30" x14ac:dyDescent="0.2">
      <c r="A2182" t="str">
        <f t="shared" si="218"/>
        <v/>
      </c>
      <c r="X2182" t="str" cm="1">
        <f t="array" ref="X2182">IF(S2182="","",IF($I2182&lt;&gt;"",$I2182,INDEX($I$2:$I2181,ROW()-COUNTIFS($T$2:$T2181,"="&amp;$T2182,$S$2:$S2181,"&lt;&gt;"&amp;$S2182)-1)))</f>
        <v/>
      </c>
      <c r="Y2182" t="b">
        <f>IF(X2182&lt;&gt;"",VLOOKUP(X2182,game_rosters!$C$43:$E$64,3,FALSE))</f>
        <v>0</v>
      </c>
      <c r="Z2182" t="e" cm="1" vm="1">
        <f t="array" aca="1" ref="Z2182" ca="1">IFERROR(IF(_xlfn._xlws.FILTER(game_rosters!$J:$J,(game_rosters!$G:$G=events!$AN2182)*(game_rosters!$J:$J=events!$X2182))&gt;0,1,""),"")</f>
        <v>#VALUE!</v>
      </c>
      <c r="AA2182">
        <f t="shared" si="215"/>
        <v>1000</v>
      </c>
      <c r="AB2182" t="str">
        <f t="shared" si="216"/>
        <v/>
      </c>
      <c r="AC2182">
        <f t="shared" si="217"/>
        <v>1000</v>
      </c>
      <c r="AD2182" s="6"/>
    </row>
    <row r="2183" spans="1:30" x14ac:dyDescent="0.2">
      <c r="A2183" t="str">
        <f t="shared" si="218"/>
        <v/>
      </c>
      <c r="X2183" t="str" cm="1">
        <f t="array" ref="X2183">IF(S2183="","",IF($I2183&lt;&gt;"",$I2183,INDEX($I$2:$I2182,ROW()-COUNTIFS($T$2:$T2182,"="&amp;$T2183,$S$2:$S2182,"&lt;&gt;"&amp;$S2183)-1)))</f>
        <v/>
      </c>
      <c r="Y2183" t="b">
        <f>IF(X2183&lt;&gt;"",VLOOKUP(X2183,game_rosters!$C$43:$E$64,3,FALSE))</f>
        <v>0</v>
      </c>
      <c r="Z2183" t="e" cm="1" vm="1">
        <f t="array" aca="1" ref="Z2183" ca="1">IFERROR(IF(_xlfn._xlws.FILTER(game_rosters!$J:$J,(game_rosters!$G:$G=events!$AN2183)*(game_rosters!$J:$J=events!$X2183))&gt;0,1,""),"")</f>
        <v>#VALUE!</v>
      </c>
      <c r="AA2183">
        <f t="shared" si="215"/>
        <v>1000</v>
      </c>
      <c r="AB2183" t="str">
        <f t="shared" si="216"/>
        <v/>
      </c>
      <c r="AC2183">
        <f t="shared" si="217"/>
        <v>1000</v>
      </c>
      <c r="AD2183" s="6"/>
    </row>
    <row r="2184" spans="1:30" x14ac:dyDescent="0.2">
      <c r="A2184" t="str">
        <f t="shared" si="218"/>
        <v/>
      </c>
      <c r="X2184" t="str" cm="1">
        <f t="array" ref="X2184">IF(S2184="","",IF($I2184&lt;&gt;"",$I2184,INDEX($I$2:$I2183,ROW()-COUNTIFS($T$2:$T2183,"="&amp;$T2184,$S$2:$S2183,"&lt;&gt;"&amp;$S2184)-1)))</f>
        <v/>
      </c>
      <c r="Y2184" t="b">
        <f>IF(X2184&lt;&gt;"",VLOOKUP(X2184,game_rosters!$C$43:$E$64,3,FALSE))</f>
        <v>0</v>
      </c>
      <c r="Z2184" t="e" cm="1" vm="1">
        <f t="array" aca="1" ref="Z2184" ca="1">IFERROR(IF(_xlfn._xlws.FILTER(game_rosters!$J:$J,(game_rosters!$G:$G=events!$AN2184)*(game_rosters!$J:$J=events!$X2184))&gt;0,1,""),"")</f>
        <v>#VALUE!</v>
      </c>
      <c r="AA2184">
        <f t="shared" si="215"/>
        <v>1000</v>
      </c>
      <c r="AB2184" t="str">
        <f t="shared" si="216"/>
        <v/>
      </c>
      <c r="AC2184">
        <f t="shared" si="217"/>
        <v>1000</v>
      </c>
      <c r="AD2184" s="6"/>
    </row>
    <row r="2185" spans="1:30" x14ac:dyDescent="0.2">
      <c r="A2185" t="str">
        <f t="shared" si="218"/>
        <v/>
      </c>
      <c r="X2185" t="str" cm="1">
        <f t="array" ref="X2185">IF(S2185="","",IF($I2185&lt;&gt;"",$I2185,INDEX($I$2:$I2184,ROW()-COUNTIFS($T$2:$T2184,"="&amp;$T2185,$S$2:$S2184,"&lt;&gt;"&amp;$S2185)-1)))</f>
        <v/>
      </c>
      <c r="Y2185" t="b">
        <f>IF(X2185&lt;&gt;"",VLOOKUP(X2185,game_rosters!$C$43:$E$64,3,FALSE))</f>
        <v>0</v>
      </c>
      <c r="Z2185" t="e" cm="1" vm="1">
        <f t="array" aca="1" ref="Z2185" ca="1">IFERROR(IF(_xlfn._xlws.FILTER(game_rosters!$J:$J,(game_rosters!$G:$G=events!$AN2185)*(game_rosters!$J:$J=events!$X2185))&gt;0,1,""),"")</f>
        <v>#VALUE!</v>
      </c>
      <c r="AA2185">
        <f t="shared" si="215"/>
        <v>1000</v>
      </c>
      <c r="AB2185" t="str">
        <f t="shared" si="216"/>
        <v/>
      </c>
      <c r="AC2185">
        <f t="shared" si="217"/>
        <v>1000</v>
      </c>
      <c r="AD2185" s="6"/>
    </row>
    <row r="2186" spans="1:30" x14ac:dyDescent="0.2">
      <c r="A2186" t="str">
        <f t="shared" si="218"/>
        <v/>
      </c>
      <c r="X2186" t="str" cm="1">
        <f t="array" ref="X2186">IF(S2186="","",IF($I2186&lt;&gt;"",$I2186,INDEX($I$2:$I2185,ROW()-COUNTIFS($T$2:$T2185,"="&amp;$T2186,$S$2:$S2185,"&lt;&gt;"&amp;$S2186)-1)))</f>
        <v/>
      </c>
      <c r="Y2186" t="b">
        <f>IF(X2186&lt;&gt;"",VLOOKUP(X2186,game_rosters!$C$43:$E$64,3,FALSE))</f>
        <v>0</v>
      </c>
      <c r="Z2186" t="e" cm="1" vm="1">
        <f t="array" aca="1" ref="Z2186" ca="1">IFERROR(IF(_xlfn._xlws.FILTER(game_rosters!$J:$J,(game_rosters!$G:$G=events!$AN2186)*(game_rosters!$J:$J=events!$X2186))&gt;0,1,""),"")</f>
        <v>#VALUE!</v>
      </c>
      <c r="AA2186">
        <f t="shared" si="215"/>
        <v>1000</v>
      </c>
      <c r="AB2186" t="str">
        <f t="shared" si="216"/>
        <v/>
      </c>
      <c r="AC2186">
        <f t="shared" si="217"/>
        <v>1000</v>
      </c>
      <c r="AD2186" s="6"/>
    </row>
    <row r="2187" spans="1:30" x14ac:dyDescent="0.2">
      <c r="A2187" t="str">
        <f t="shared" si="218"/>
        <v/>
      </c>
      <c r="X2187" t="str" cm="1">
        <f t="array" ref="X2187">IF(S2187="","",IF($I2187&lt;&gt;"",$I2187,INDEX($I$2:$I2186,ROW()-COUNTIFS($T$2:$T2186,"="&amp;$T2187,$S$2:$S2186,"&lt;&gt;"&amp;$S2187)-1)))</f>
        <v/>
      </c>
      <c r="Y2187" t="b">
        <f>IF(X2187&lt;&gt;"",VLOOKUP(X2187,game_rosters!$C$43:$E$64,3,FALSE))</f>
        <v>0</v>
      </c>
      <c r="Z2187" t="e" cm="1" vm="1">
        <f t="array" aca="1" ref="Z2187" ca="1">IFERROR(IF(_xlfn._xlws.FILTER(game_rosters!$J:$J,(game_rosters!$G:$G=events!$AN2187)*(game_rosters!$J:$J=events!$X2187))&gt;0,1,""),"")</f>
        <v>#VALUE!</v>
      </c>
      <c r="AA2187">
        <f t="shared" si="215"/>
        <v>1000</v>
      </c>
      <c r="AB2187" t="str">
        <f t="shared" si="216"/>
        <v/>
      </c>
      <c r="AC2187">
        <f t="shared" si="217"/>
        <v>1000</v>
      </c>
      <c r="AD2187" s="6"/>
    </row>
    <row r="2188" spans="1:30" x14ac:dyDescent="0.2">
      <c r="A2188" t="str">
        <f t="shared" si="218"/>
        <v/>
      </c>
      <c r="X2188" t="str" cm="1">
        <f t="array" ref="X2188">IF(S2188="","",IF($I2188&lt;&gt;"",$I2188,INDEX($I$2:$I2187,ROW()-COUNTIFS($T$2:$T2187,"="&amp;$T2188,$S$2:$S2187,"&lt;&gt;"&amp;$S2188)-1)))</f>
        <v/>
      </c>
      <c r="Y2188" t="b">
        <f>IF(X2188&lt;&gt;"",VLOOKUP(X2188,game_rosters!$C$43:$E$64,3,FALSE))</f>
        <v>0</v>
      </c>
      <c r="Z2188" t="e" cm="1" vm="1">
        <f t="array" aca="1" ref="Z2188" ca="1">IFERROR(IF(_xlfn._xlws.FILTER(game_rosters!$J:$J,(game_rosters!$G:$G=events!$AN2188)*(game_rosters!$J:$J=events!$X2188))&gt;0,1,""),"")</f>
        <v>#VALUE!</v>
      </c>
      <c r="AA2188">
        <f t="shared" si="215"/>
        <v>1000</v>
      </c>
      <c r="AB2188" t="str">
        <f t="shared" si="216"/>
        <v/>
      </c>
      <c r="AC2188">
        <f t="shared" si="217"/>
        <v>1000</v>
      </c>
      <c r="AD2188" s="6"/>
    </row>
    <row r="2189" spans="1:30" x14ac:dyDescent="0.2">
      <c r="A2189" t="str">
        <f t="shared" si="218"/>
        <v/>
      </c>
      <c r="X2189" t="str" cm="1">
        <f t="array" ref="X2189">IF(S2189="","",IF($I2189&lt;&gt;"",$I2189,INDEX($I$2:$I2188,ROW()-COUNTIFS($T$2:$T2188,"="&amp;$T2189,$S$2:$S2188,"&lt;&gt;"&amp;$S2189)-1)))</f>
        <v/>
      </c>
      <c r="Y2189" t="b">
        <f>IF(X2189&lt;&gt;"",VLOOKUP(X2189,game_rosters!$C$43:$E$64,3,FALSE))</f>
        <v>0</v>
      </c>
      <c r="Z2189" t="e" cm="1" vm="1">
        <f t="array" aca="1" ref="Z2189" ca="1">IFERROR(IF(_xlfn._xlws.FILTER(game_rosters!$J:$J,(game_rosters!$G:$G=events!$AN2189)*(game_rosters!$J:$J=events!$X2189))&gt;0,1,""),"")</f>
        <v>#VALUE!</v>
      </c>
      <c r="AA2189">
        <f t="shared" si="215"/>
        <v>1000</v>
      </c>
      <c r="AB2189" t="str">
        <f t="shared" si="216"/>
        <v/>
      </c>
      <c r="AC2189">
        <f t="shared" si="217"/>
        <v>1000</v>
      </c>
      <c r="AD2189" s="6"/>
    </row>
    <row r="2190" spans="1:30" x14ac:dyDescent="0.2">
      <c r="A2190" t="str">
        <f t="shared" si="218"/>
        <v/>
      </c>
      <c r="X2190" t="str" cm="1">
        <f t="array" ref="X2190">IF(S2190="","",IF($I2190&lt;&gt;"",$I2190,INDEX($I$2:$I2189,ROW()-COUNTIFS($T$2:$T2189,"="&amp;$T2190,$S$2:$S2189,"&lt;&gt;"&amp;$S2190)-1)))</f>
        <v/>
      </c>
      <c r="Y2190" t="b">
        <f>IF(X2190&lt;&gt;"",VLOOKUP(X2190,game_rosters!$C$43:$E$64,3,FALSE))</f>
        <v>0</v>
      </c>
      <c r="Z2190" t="e" cm="1" vm="1">
        <f t="array" aca="1" ref="Z2190" ca="1">IFERROR(IF(_xlfn._xlws.FILTER(game_rosters!$J:$J,(game_rosters!$G:$G=events!$AN2190)*(game_rosters!$J:$J=events!$X2190))&gt;0,1,""),"")</f>
        <v>#VALUE!</v>
      </c>
      <c r="AA2190">
        <f t="shared" si="215"/>
        <v>1000</v>
      </c>
      <c r="AB2190" t="str">
        <f t="shared" si="216"/>
        <v/>
      </c>
      <c r="AC2190">
        <f t="shared" si="217"/>
        <v>1000</v>
      </c>
      <c r="AD2190" s="6"/>
    </row>
    <row r="2191" spans="1:30" x14ac:dyDescent="0.2">
      <c r="A2191" t="str">
        <f t="shared" si="218"/>
        <v/>
      </c>
      <c r="X2191" t="str" cm="1">
        <f t="array" ref="X2191">IF(S2191="","",IF($I2191&lt;&gt;"",$I2191,INDEX($I$2:$I2190,ROW()-COUNTIFS($T$2:$T2190,"="&amp;$T2191,$S$2:$S2190,"&lt;&gt;"&amp;$S2191)-1)))</f>
        <v/>
      </c>
      <c r="Y2191" t="b">
        <f>IF(X2191&lt;&gt;"",VLOOKUP(X2191,game_rosters!$C$43:$E$64,3,FALSE))</f>
        <v>0</v>
      </c>
      <c r="Z2191" t="e" cm="1" vm="1">
        <f t="array" aca="1" ref="Z2191" ca="1">IFERROR(IF(_xlfn._xlws.FILTER(game_rosters!$J:$J,(game_rosters!$G:$G=events!$AN2191)*(game_rosters!$J:$J=events!$X2191))&gt;0,1,""),"")</f>
        <v>#VALUE!</v>
      </c>
      <c r="AA2191">
        <f t="shared" si="215"/>
        <v>1000</v>
      </c>
      <c r="AB2191" t="str">
        <f t="shared" si="216"/>
        <v/>
      </c>
      <c r="AC2191">
        <f t="shared" si="217"/>
        <v>1000</v>
      </c>
      <c r="AD2191" s="6"/>
    </row>
    <row r="2192" spans="1:30" x14ac:dyDescent="0.2">
      <c r="A2192" t="str">
        <f t="shared" si="218"/>
        <v/>
      </c>
      <c r="X2192" t="str" cm="1">
        <f t="array" ref="X2192">IF(S2192="","",IF($I2192&lt;&gt;"",$I2192,INDEX($I$2:$I2191,ROW()-COUNTIFS($T$2:$T2191,"="&amp;$T2192,$S$2:$S2191,"&lt;&gt;"&amp;$S2192)-1)))</f>
        <v/>
      </c>
      <c r="Y2192" t="b">
        <f>IF(X2192&lt;&gt;"",VLOOKUP(X2192,game_rosters!$C$43:$E$64,3,FALSE))</f>
        <v>0</v>
      </c>
      <c r="Z2192" t="e" cm="1" vm="1">
        <f t="array" aca="1" ref="Z2192" ca="1">IFERROR(IF(_xlfn._xlws.FILTER(game_rosters!$J:$J,(game_rosters!$G:$G=events!$AN2192)*(game_rosters!$J:$J=events!$X2192))&gt;0,1,""),"")</f>
        <v>#VALUE!</v>
      </c>
      <c r="AA2192">
        <f t="shared" si="215"/>
        <v>1000</v>
      </c>
      <c r="AB2192" t="str">
        <f t="shared" si="216"/>
        <v/>
      </c>
      <c r="AC2192">
        <f t="shared" si="217"/>
        <v>1000</v>
      </c>
      <c r="AD2192" s="6"/>
    </row>
    <row r="2193" spans="1:30" x14ac:dyDescent="0.2">
      <c r="A2193" t="str">
        <f t="shared" si="218"/>
        <v/>
      </c>
      <c r="X2193" t="str" cm="1">
        <f t="array" ref="X2193">IF(S2193="","",IF($I2193&lt;&gt;"",$I2193,INDEX($I$2:$I2192,ROW()-COUNTIFS($T$2:$T2192,"="&amp;$T2193,$S$2:$S2192,"&lt;&gt;"&amp;$S2193)-1)))</f>
        <v/>
      </c>
      <c r="Y2193" t="b">
        <f>IF(X2193&lt;&gt;"",VLOOKUP(X2193,game_rosters!$C$43:$E$64,3,FALSE))</f>
        <v>0</v>
      </c>
      <c r="Z2193" t="e" cm="1" vm="1">
        <f t="array" aca="1" ref="Z2193" ca="1">IFERROR(IF(_xlfn._xlws.FILTER(game_rosters!$J:$J,(game_rosters!$G:$G=events!$AN2193)*(game_rosters!$J:$J=events!$X2193))&gt;0,1,""),"")</f>
        <v>#VALUE!</v>
      </c>
      <c r="AA2193">
        <f t="shared" si="215"/>
        <v>1000</v>
      </c>
      <c r="AB2193" t="str">
        <f t="shared" si="216"/>
        <v/>
      </c>
      <c r="AC2193">
        <f t="shared" si="217"/>
        <v>1000</v>
      </c>
      <c r="AD2193" s="6"/>
    </row>
    <row r="2194" spans="1:30" x14ac:dyDescent="0.2">
      <c r="A2194" t="str">
        <f t="shared" si="218"/>
        <v/>
      </c>
      <c r="X2194" t="str" cm="1">
        <f t="array" ref="X2194">IF(S2194="","",IF($I2194&lt;&gt;"",$I2194,INDEX($I$2:$I2193,ROW()-COUNTIFS($T$2:$T2193,"="&amp;$T2194,$S$2:$S2193,"&lt;&gt;"&amp;$S2194)-1)))</f>
        <v/>
      </c>
      <c r="Y2194" t="b">
        <f>IF(X2194&lt;&gt;"",VLOOKUP(X2194,game_rosters!$C$43:$E$64,3,FALSE))</f>
        <v>0</v>
      </c>
      <c r="Z2194" t="e" cm="1" vm="1">
        <f t="array" aca="1" ref="Z2194" ca="1">IFERROR(IF(_xlfn._xlws.FILTER(game_rosters!$J:$J,(game_rosters!$G:$G=events!$AN2194)*(game_rosters!$J:$J=events!$X2194))&gt;0,1,""),"")</f>
        <v>#VALUE!</v>
      </c>
      <c r="AA2194">
        <f t="shared" si="215"/>
        <v>1000</v>
      </c>
      <c r="AB2194" t="str">
        <f t="shared" si="216"/>
        <v/>
      </c>
      <c r="AC2194">
        <f t="shared" si="217"/>
        <v>1000</v>
      </c>
      <c r="AD2194" s="6"/>
    </row>
    <row r="2195" spans="1:30" x14ac:dyDescent="0.2">
      <c r="A2195" t="str">
        <f t="shared" si="218"/>
        <v/>
      </c>
      <c r="X2195" t="str" cm="1">
        <f t="array" ref="X2195">IF(S2195="","",IF($I2195&lt;&gt;"",$I2195,INDEX($I$2:$I2194,ROW()-COUNTIFS($T$2:$T2194,"="&amp;$T2195,$S$2:$S2194,"&lt;&gt;"&amp;$S2195)-1)))</f>
        <v/>
      </c>
      <c r="Y2195" t="b">
        <f>IF(X2195&lt;&gt;"",VLOOKUP(X2195,game_rosters!$C$43:$E$64,3,FALSE))</f>
        <v>0</v>
      </c>
      <c r="Z2195" t="e" cm="1" vm="1">
        <f t="array" aca="1" ref="Z2195" ca="1">IFERROR(IF(_xlfn._xlws.FILTER(game_rosters!$J:$J,(game_rosters!$G:$G=events!$AN2195)*(game_rosters!$J:$J=events!$X2195))&gt;0,1,""),"")</f>
        <v>#VALUE!</v>
      </c>
      <c r="AA2195">
        <f t="shared" si="215"/>
        <v>1000</v>
      </c>
      <c r="AB2195" t="str">
        <f t="shared" si="216"/>
        <v/>
      </c>
      <c r="AC2195">
        <f t="shared" si="217"/>
        <v>1000</v>
      </c>
      <c r="AD2195" s="6"/>
    </row>
    <row r="2196" spans="1:30" x14ac:dyDescent="0.2">
      <c r="A2196" t="str">
        <f t="shared" si="218"/>
        <v/>
      </c>
      <c r="X2196" t="str" cm="1">
        <f t="array" ref="X2196">IF(S2196="","",IF($I2196&lt;&gt;"",$I2196,INDEX($I$2:$I2195,ROW()-COUNTIFS($T$2:$T2195,"="&amp;$T2196,$S$2:$S2195,"&lt;&gt;"&amp;$S2196)-1)))</f>
        <v/>
      </c>
      <c r="Y2196" t="b">
        <f>IF(X2196&lt;&gt;"",VLOOKUP(X2196,game_rosters!$C$43:$E$64,3,FALSE))</f>
        <v>0</v>
      </c>
      <c r="Z2196" t="e" cm="1" vm="1">
        <f t="array" aca="1" ref="Z2196" ca="1">IFERROR(IF(_xlfn._xlws.FILTER(game_rosters!$J:$J,(game_rosters!$G:$G=events!$AN2196)*(game_rosters!$J:$J=events!$X2196))&gt;0,1,""),"")</f>
        <v>#VALUE!</v>
      </c>
      <c r="AA2196">
        <f t="shared" si="215"/>
        <v>1000</v>
      </c>
      <c r="AB2196" t="str">
        <f t="shared" si="216"/>
        <v/>
      </c>
      <c r="AC2196">
        <f t="shared" si="217"/>
        <v>1000</v>
      </c>
      <c r="AD2196" s="6"/>
    </row>
    <row r="2197" spans="1:30" x14ac:dyDescent="0.2">
      <c r="A2197" t="str">
        <f t="shared" si="218"/>
        <v/>
      </c>
      <c r="X2197" t="str" cm="1">
        <f t="array" ref="X2197">IF(S2197="","",IF($I2197&lt;&gt;"",$I2197,INDEX($I$2:$I2196,ROW()-COUNTIFS($T$2:$T2196,"="&amp;$T2197,$S$2:$S2196,"&lt;&gt;"&amp;$S2197)-1)))</f>
        <v/>
      </c>
      <c r="Y2197" t="b">
        <f>IF(X2197&lt;&gt;"",VLOOKUP(X2197,game_rosters!$C$43:$E$64,3,FALSE))</f>
        <v>0</v>
      </c>
      <c r="Z2197" t="e" cm="1" vm="1">
        <f t="array" aca="1" ref="Z2197" ca="1">IFERROR(IF(_xlfn._xlws.FILTER(game_rosters!$J:$J,(game_rosters!$G:$G=events!$AN2197)*(game_rosters!$J:$J=events!$X2197))&gt;0,1,""),"")</f>
        <v>#VALUE!</v>
      </c>
      <c r="AA2197">
        <f t="shared" si="215"/>
        <v>1000</v>
      </c>
      <c r="AB2197" t="str">
        <f t="shared" si="216"/>
        <v/>
      </c>
      <c r="AC2197">
        <f t="shared" si="217"/>
        <v>1000</v>
      </c>
      <c r="AD2197" s="6"/>
    </row>
    <row r="2198" spans="1:30" x14ac:dyDescent="0.2">
      <c r="A2198" t="str">
        <f t="shared" si="218"/>
        <v/>
      </c>
      <c r="X2198" t="str" cm="1">
        <f t="array" ref="X2198">IF(S2198="","",IF($I2198&lt;&gt;"",$I2198,INDEX($I$2:$I2197,ROW()-COUNTIFS($T$2:$T2197,"="&amp;$T2198,$S$2:$S2197,"&lt;&gt;"&amp;$S2198)-1)))</f>
        <v/>
      </c>
      <c r="Y2198" t="b">
        <f>IF(X2198&lt;&gt;"",VLOOKUP(X2198,game_rosters!$C$43:$E$64,3,FALSE))</f>
        <v>0</v>
      </c>
      <c r="Z2198" t="e" cm="1" vm="1">
        <f t="array" aca="1" ref="Z2198" ca="1">IFERROR(IF(_xlfn._xlws.FILTER(game_rosters!$J:$J,(game_rosters!$G:$G=events!$AN2198)*(game_rosters!$J:$J=events!$X2198))&gt;0,1,""),"")</f>
        <v>#VALUE!</v>
      </c>
      <c r="AA2198">
        <f t="shared" si="215"/>
        <v>1000</v>
      </c>
      <c r="AB2198" t="str">
        <f t="shared" si="216"/>
        <v/>
      </c>
      <c r="AC2198">
        <f t="shared" si="217"/>
        <v>1000</v>
      </c>
      <c r="AD2198" s="6"/>
    </row>
    <row r="2199" spans="1:30" x14ac:dyDescent="0.2">
      <c r="A2199" t="str">
        <f t="shared" si="218"/>
        <v/>
      </c>
      <c r="X2199" t="str" cm="1">
        <f t="array" ref="X2199">IF(S2199="","",IF($I2199&lt;&gt;"",$I2199,INDEX($I$2:$I2198,ROW()-COUNTIFS($T$2:$T2198,"="&amp;$T2199,$S$2:$S2198,"&lt;&gt;"&amp;$S2199)-1)))</f>
        <v/>
      </c>
      <c r="Y2199" t="b">
        <f>IF(X2199&lt;&gt;"",VLOOKUP(X2199,game_rosters!$C$43:$E$64,3,FALSE))</f>
        <v>0</v>
      </c>
      <c r="Z2199" t="e" cm="1" vm="1">
        <f t="array" aca="1" ref="Z2199" ca="1">IFERROR(IF(_xlfn._xlws.FILTER(game_rosters!$J:$J,(game_rosters!$G:$G=events!$AN2199)*(game_rosters!$J:$J=events!$X2199))&gt;0,1,""),"")</f>
        <v>#VALUE!</v>
      </c>
      <c r="AA2199">
        <f t="shared" si="215"/>
        <v>1000</v>
      </c>
      <c r="AB2199" t="str">
        <f t="shared" si="216"/>
        <v/>
      </c>
      <c r="AC2199">
        <f t="shared" si="217"/>
        <v>1000</v>
      </c>
      <c r="AD2199" s="6"/>
    </row>
    <row r="2200" spans="1:30" x14ac:dyDescent="0.2">
      <c r="A2200" t="str">
        <f t="shared" si="218"/>
        <v/>
      </c>
      <c r="X2200" t="str" cm="1">
        <f t="array" ref="X2200">IF(S2200="","",IF($I2200&lt;&gt;"",$I2200,INDEX($I$2:$I2199,ROW()-COUNTIFS($T$2:$T2199,"="&amp;$T2200,$S$2:$S2199,"&lt;&gt;"&amp;$S2200)-1)))</f>
        <v/>
      </c>
      <c r="Y2200" t="b">
        <f>IF(X2200&lt;&gt;"",VLOOKUP(X2200,game_rosters!$C$43:$E$64,3,FALSE))</f>
        <v>0</v>
      </c>
      <c r="Z2200" t="e" cm="1" vm="1">
        <f t="array" aca="1" ref="Z2200" ca="1">IFERROR(IF(_xlfn._xlws.FILTER(game_rosters!$J:$J,(game_rosters!$G:$G=events!$AN2200)*(game_rosters!$J:$J=events!$X2200))&gt;0,1,""),"")</f>
        <v>#VALUE!</v>
      </c>
      <c r="AA2200">
        <f t="shared" si="215"/>
        <v>1000</v>
      </c>
      <c r="AB2200" t="str">
        <f t="shared" si="216"/>
        <v/>
      </c>
      <c r="AC2200">
        <f t="shared" si="217"/>
        <v>1000</v>
      </c>
      <c r="AD2200" s="6"/>
    </row>
    <row r="2201" spans="1:30" x14ac:dyDescent="0.2">
      <c r="A2201" t="str">
        <f t="shared" si="218"/>
        <v/>
      </c>
      <c r="X2201" t="str" cm="1">
        <f t="array" ref="X2201">IF(S2201="","",IF($I2201&lt;&gt;"",$I2201,INDEX($I$2:$I2200,ROW()-COUNTIFS($T$2:$T2200,"="&amp;$T2201,$S$2:$S2200,"&lt;&gt;"&amp;$S2201)-1)))</f>
        <v/>
      </c>
      <c r="Y2201" t="b">
        <f>IF(X2201&lt;&gt;"",VLOOKUP(X2201,game_rosters!$C$43:$E$64,3,FALSE))</f>
        <v>0</v>
      </c>
      <c r="Z2201" t="e" cm="1" vm="1">
        <f t="array" aca="1" ref="Z2201" ca="1">IFERROR(IF(_xlfn._xlws.FILTER(game_rosters!$J:$J,(game_rosters!$G:$G=events!$AN2201)*(game_rosters!$J:$J=events!$X2201))&gt;0,1,""),"")</f>
        <v>#VALUE!</v>
      </c>
      <c r="AA2201">
        <f t="shared" si="215"/>
        <v>1000</v>
      </c>
      <c r="AB2201" t="str">
        <f t="shared" si="216"/>
        <v/>
      </c>
      <c r="AC2201">
        <f t="shared" si="217"/>
        <v>1000</v>
      </c>
      <c r="AD2201" s="6"/>
    </row>
    <row r="2202" spans="1:30" x14ac:dyDescent="0.2">
      <c r="A2202" t="str">
        <f t="shared" si="218"/>
        <v/>
      </c>
      <c r="X2202" t="str" cm="1">
        <f t="array" ref="X2202">IF(S2202="","",IF($I2202&lt;&gt;"",$I2202,INDEX($I$2:$I2201,ROW()-COUNTIFS($T$2:$T2201,"="&amp;$T2202,$S$2:$S2201,"&lt;&gt;"&amp;$S2202)-1)))</f>
        <v/>
      </c>
      <c r="Y2202" t="b">
        <f>IF(X2202&lt;&gt;"",VLOOKUP(X2202,game_rosters!$C$43:$E$64,3,FALSE))</f>
        <v>0</v>
      </c>
      <c r="Z2202" t="e" cm="1" vm="1">
        <f t="array" aca="1" ref="Z2202" ca="1">IFERROR(IF(_xlfn._xlws.FILTER(game_rosters!$J:$J,(game_rosters!$G:$G=events!$AN2202)*(game_rosters!$J:$J=events!$X2202))&gt;0,1,""),"")</f>
        <v>#VALUE!</v>
      </c>
      <c r="AA2202">
        <f t="shared" si="215"/>
        <v>1000</v>
      </c>
      <c r="AB2202" t="str">
        <f t="shared" si="216"/>
        <v/>
      </c>
      <c r="AC2202">
        <f t="shared" si="217"/>
        <v>1000</v>
      </c>
      <c r="AD2202" s="6"/>
    </row>
    <row r="2203" spans="1:30" x14ac:dyDescent="0.2">
      <c r="A2203" t="str">
        <f t="shared" si="218"/>
        <v/>
      </c>
      <c r="X2203" t="str" cm="1">
        <f t="array" ref="X2203">IF(S2203="","",IF($I2203&lt;&gt;"",$I2203,INDEX($I$2:$I2202,ROW()-COUNTIFS($T$2:$T2202,"="&amp;$T2203,$S$2:$S2202,"&lt;&gt;"&amp;$S2203)-1)))</f>
        <v/>
      </c>
      <c r="Y2203" t="b">
        <f>IF(X2203&lt;&gt;"",VLOOKUP(X2203,game_rosters!$C$43:$E$64,3,FALSE))</f>
        <v>0</v>
      </c>
      <c r="Z2203" t="e" cm="1" vm="1">
        <f t="array" aca="1" ref="Z2203" ca="1">IFERROR(IF(_xlfn._xlws.FILTER(game_rosters!$J:$J,(game_rosters!$G:$G=events!$AN2203)*(game_rosters!$J:$J=events!$X2203))&gt;0,1,""),"")</f>
        <v>#VALUE!</v>
      </c>
      <c r="AA2203">
        <f t="shared" si="215"/>
        <v>1000</v>
      </c>
      <c r="AB2203" t="str">
        <f t="shared" si="216"/>
        <v/>
      </c>
      <c r="AC2203">
        <f t="shared" si="217"/>
        <v>1000</v>
      </c>
      <c r="AD2203" s="6"/>
    </row>
    <row r="2204" spans="1:30" x14ac:dyDescent="0.2">
      <c r="A2204" t="str">
        <f t="shared" si="218"/>
        <v/>
      </c>
      <c r="X2204" t="str" cm="1">
        <f t="array" ref="X2204">IF(S2204="","",IF($I2204&lt;&gt;"",$I2204,INDEX($I$2:$I2203,ROW()-COUNTIFS($T$2:$T2203,"="&amp;$T2204,$S$2:$S2203,"&lt;&gt;"&amp;$S2204)-1)))</f>
        <v/>
      </c>
      <c r="Y2204" t="b">
        <f>IF(X2204&lt;&gt;"",VLOOKUP(X2204,game_rosters!$C$43:$E$64,3,FALSE))</f>
        <v>0</v>
      </c>
      <c r="Z2204" t="e" cm="1" vm="1">
        <f t="array" aca="1" ref="Z2204" ca="1">IFERROR(IF(_xlfn._xlws.FILTER(game_rosters!$J:$J,(game_rosters!$G:$G=events!$AN2204)*(game_rosters!$J:$J=events!$X2204))&gt;0,1,""),"")</f>
        <v>#VALUE!</v>
      </c>
      <c r="AA2204">
        <f t="shared" si="215"/>
        <v>1000</v>
      </c>
      <c r="AB2204" t="str">
        <f t="shared" si="216"/>
        <v/>
      </c>
      <c r="AC2204">
        <f t="shared" si="217"/>
        <v>1000</v>
      </c>
      <c r="AD2204" s="6"/>
    </row>
    <row r="2205" spans="1:30" x14ac:dyDescent="0.2">
      <c r="A2205" t="str">
        <f t="shared" si="218"/>
        <v/>
      </c>
      <c r="X2205" t="str" cm="1">
        <f t="array" ref="X2205">IF(S2205="","",IF($I2205&lt;&gt;"",$I2205,INDEX($I$2:$I2204,ROW()-COUNTIFS($T$2:$T2204,"="&amp;$T2205,$S$2:$S2204,"&lt;&gt;"&amp;$S2205)-1)))</f>
        <v/>
      </c>
      <c r="Y2205" t="b">
        <f>IF(X2205&lt;&gt;"",VLOOKUP(X2205,game_rosters!$C$43:$E$64,3,FALSE))</f>
        <v>0</v>
      </c>
      <c r="Z2205" t="e" cm="1" vm="1">
        <f t="array" aca="1" ref="Z2205" ca="1">IFERROR(IF(_xlfn._xlws.FILTER(game_rosters!$J:$J,(game_rosters!$G:$G=events!$AN2205)*(game_rosters!$J:$J=events!$X2205))&gt;0,1,""),"")</f>
        <v>#VALUE!</v>
      </c>
      <c r="AA2205">
        <f t="shared" ref="AA2205:AA2268" si="219">S2205+1000</f>
        <v>1000</v>
      </c>
      <c r="AB2205" t="str">
        <f t="shared" ref="AB2205:AB2268" si="220">IF(T2205&lt;&gt;"",9000+T2205,"")</f>
        <v/>
      </c>
      <c r="AC2205">
        <f t="shared" si="217"/>
        <v>1000</v>
      </c>
      <c r="AD2205" s="6"/>
    </row>
    <row r="2206" spans="1:30" x14ac:dyDescent="0.2">
      <c r="A2206" t="str">
        <f t="shared" si="218"/>
        <v/>
      </c>
      <c r="X2206" t="str" cm="1">
        <f t="array" ref="X2206">IF(S2206="","",IF($I2206&lt;&gt;"",$I2206,INDEX($I$2:$I2205,ROW()-COUNTIFS($T$2:$T2205,"="&amp;$T2206,$S$2:$S2205,"&lt;&gt;"&amp;$S2206)-1)))</f>
        <v/>
      </c>
      <c r="Y2206" t="b">
        <f>IF(X2206&lt;&gt;"",VLOOKUP(X2206,game_rosters!$C$43:$E$64,3,FALSE))</f>
        <v>0</v>
      </c>
      <c r="Z2206" t="e" cm="1" vm="1">
        <f t="array" aca="1" ref="Z2206" ca="1">IFERROR(IF(_xlfn._xlws.FILTER(game_rosters!$J:$J,(game_rosters!$G:$G=events!$AN2206)*(game_rosters!$J:$J=events!$X2206))&gt;0,1,""),"")</f>
        <v>#VALUE!</v>
      </c>
      <c r="AA2206">
        <f t="shared" si="219"/>
        <v>1000</v>
      </c>
      <c r="AB2206" t="str">
        <f t="shared" si="220"/>
        <v/>
      </c>
      <c r="AC2206">
        <f t="shared" si="217"/>
        <v>1000</v>
      </c>
      <c r="AD2206" s="6"/>
    </row>
    <row r="2207" spans="1:30" x14ac:dyDescent="0.2">
      <c r="A2207" t="str">
        <f t="shared" si="218"/>
        <v/>
      </c>
      <c r="X2207" t="str" cm="1">
        <f t="array" ref="X2207">IF(S2207="","",IF($I2207&lt;&gt;"",$I2207,INDEX($I$2:$I2206,ROW()-COUNTIFS($T$2:$T2206,"="&amp;$T2207,$S$2:$S2206,"&lt;&gt;"&amp;$S2207)-1)))</f>
        <v/>
      </c>
      <c r="Y2207" t="b">
        <f>IF(X2207&lt;&gt;"",VLOOKUP(X2207,game_rosters!$C$43:$E$64,3,FALSE))</f>
        <v>0</v>
      </c>
      <c r="Z2207" t="e" cm="1" vm="1">
        <f t="array" aca="1" ref="Z2207" ca="1">IFERROR(IF(_xlfn._xlws.FILTER(game_rosters!$J:$J,(game_rosters!$G:$G=events!$AN2207)*(game_rosters!$J:$J=events!$X2207))&gt;0,1,""),"")</f>
        <v>#VALUE!</v>
      </c>
      <c r="AA2207">
        <f t="shared" si="219"/>
        <v>1000</v>
      </c>
      <c r="AB2207" t="str">
        <f t="shared" si="220"/>
        <v/>
      </c>
      <c r="AC2207">
        <f t="shared" si="217"/>
        <v>1000</v>
      </c>
      <c r="AD2207" s="6"/>
    </row>
    <row r="2208" spans="1:30" x14ac:dyDescent="0.2">
      <c r="A2208" t="str">
        <f t="shared" si="218"/>
        <v/>
      </c>
      <c r="X2208" t="str" cm="1">
        <f t="array" ref="X2208">IF(S2208="","",IF($I2208&lt;&gt;"",$I2208,INDEX($I$2:$I2207,ROW()-COUNTIFS($T$2:$T2207,"="&amp;$T2208,$S$2:$S2207,"&lt;&gt;"&amp;$S2208)-1)))</f>
        <v/>
      </c>
      <c r="Y2208" t="b">
        <f>IF(X2208&lt;&gt;"",VLOOKUP(X2208,game_rosters!$C$43:$E$64,3,FALSE))</f>
        <v>0</v>
      </c>
      <c r="Z2208" t="e" cm="1" vm="1">
        <f t="array" aca="1" ref="Z2208" ca="1">IFERROR(IF(_xlfn._xlws.FILTER(game_rosters!$J:$J,(game_rosters!$G:$G=events!$AN2208)*(game_rosters!$J:$J=events!$X2208))&gt;0,1,""),"")</f>
        <v>#VALUE!</v>
      </c>
      <c r="AA2208">
        <f t="shared" si="219"/>
        <v>1000</v>
      </c>
      <c r="AB2208" t="str">
        <f t="shared" si="220"/>
        <v/>
      </c>
      <c r="AC2208">
        <f t="shared" si="217"/>
        <v>1000</v>
      </c>
      <c r="AD2208" s="6"/>
    </row>
    <row r="2209" spans="1:30" x14ac:dyDescent="0.2">
      <c r="A2209" t="str">
        <f t="shared" si="218"/>
        <v/>
      </c>
      <c r="X2209" t="str" cm="1">
        <f t="array" ref="X2209">IF(S2209="","",IF($I2209&lt;&gt;"",$I2209,INDEX($I$2:$I2208,ROW()-COUNTIFS($T$2:$T2208,"="&amp;$T2209,$S$2:$S2208,"&lt;&gt;"&amp;$S2209)-1)))</f>
        <v/>
      </c>
      <c r="Y2209" t="b">
        <f>IF(X2209&lt;&gt;"",VLOOKUP(X2209,game_rosters!$C$43:$E$64,3,FALSE))</f>
        <v>0</v>
      </c>
      <c r="Z2209" t="e" cm="1" vm="1">
        <f t="array" aca="1" ref="Z2209" ca="1">IFERROR(IF(_xlfn._xlws.FILTER(game_rosters!$J:$J,(game_rosters!$G:$G=events!$AN2209)*(game_rosters!$J:$J=events!$X2209))&gt;0,1,""),"")</f>
        <v>#VALUE!</v>
      </c>
      <c r="AA2209">
        <f t="shared" si="219"/>
        <v>1000</v>
      </c>
      <c r="AB2209" t="str">
        <f t="shared" si="220"/>
        <v/>
      </c>
      <c r="AC2209">
        <f t="shared" si="217"/>
        <v>1000</v>
      </c>
      <c r="AD2209" s="6"/>
    </row>
    <row r="2210" spans="1:30" x14ac:dyDescent="0.2">
      <c r="A2210" t="str">
        <f t="shared" si="218"/>
        <v/>
      </c>
      <c r="X2210" t="str" cm="1">
        <f t="array" ref="X2210">IF(S2210="","",IF($I2210&lt;&gt;"",$I2210,INDEX($I$2:$I2209,ROW()-COUNTIFS($T$2:$T2209,"="&amp;$T2210,$S$2:$S2209,"&lt;&gt;"&amp;$S2210)-1)))</f>
        <v/>
      </c>
      <c r="Y2210" t="b">
        <f>IF(X2210&lt;&gt;"",VLOOKUP(X2210,game_rosters!$C$43:$E$64,3,FALSE))</f>
        <v>0</v>
      </c>
      <c r="Z2210" t="e" cm="1" vm="1">
        <f t="array" aca="1" ref="Z2210" ca="1">IFERROR(IF(_xlfn._xlws.FILTER(game_rosters!$J:$J,(game_rosters!$G:$G=events!$AN2210)*(game_rosters!$J:$J=events!$X2210))&gt;0,1,""),"")</f>
        <v>#VALUE!</v>
      </c>
      <c r="AA2210">
        <f t="shared" si="219"/>
        <v>1000</v>
      </c>
      <c r="AB2210" t="str">
        <f t="shared" si="220"/>
        <v/>
      </c>
      <c r="AC2210">
        <f t="shared" si="217"/>
        <v>1000</v>
      </c>
      <c r="AD2210" s="6"/>
    </row>
    <row r="2211" spans="1:30" x14ac:dyDescent="0.2">
      <c r="A2211" t="str">
        <f t="shared" si="218"/>
        <v/>
      </c>
      <c r="X2211" t="str" cm="1">
        <f t="array" ref="X2211">IF(S2211="","",IF($I2211&lt;&gt;"",$I2211,INDEX($I$2:$I2210,ROW()-COUNTIFS($T$2:$T2210,"="&amp;$T2211,$S$2:$S2210,"&lt;&gt;"&amp;$S2211)-1)))</f>
        <v/>
      </c>
      <c r="Y2211" t="b">
        <f>IF(X2211&lt;&gt;"",VLOOKUP(X2211,game_rosters!$C$43:$E$64,3,FALSE))</f>
        <v>0</v>
      </c>
      <c r="Z2211" t="e" cm="1" vm="1">
        <f t="array" aca="1" ref="Z2211" ca="1">IFERROR(IF(_xlfn._xlws.FILTER(game_rosters!$J:$J,(game_rosters!$G:$G=events!$AN2211)*(game_rosters!$J:$J=events!$X2211))&gt;0,1,""),"")</f>
        <v>#VALUE!</v>
      </c>
      <c r="AA2211">
        <f t="shared" si="219"/>
        <v>1000</v>
      </c>
      <c r="AB2211" t="str">
        <f t="shared" si="220"/>
        <v/>
      </c>
      <c r="AC2211">
        <f t="shared" si="217"/>
        <v>1000</v>
      </c>
      <c r="AD2211" s="6"/>
    </row>
    <row r="2212" spans="1:30" x14ac:dyDescent="0.2">
      <c r="A2212" t="str">
        <f t="shared" si="218"/>
        <v/>
      </c>
      <c r="X2212" t="str" cm="1">
        <f t="array" ref="X2212">IF(S2212="","",IF($I2212&lt;&gt;"",$I2212,INDEX($I$2:$I2211,ROW()-COUNTIFS($T$2:$T2211,"="&amp;$T2212,$S$2:$S2211,"&lt;&gt;"&amp;$S2212)-1)))</f>
        <v/>
      </c>
      <c r="Y2212" t="b">
        <f>IF(X2212&lt;&gt;"",VLOOKUP(X2212,game_rosters!$C$43:$E$64,3,FALSE))</f>
        <v>0</v>
      </c>
      <c r="Z2212" t="e" cm="1" vm="1">
        <f t="array" aca="1" ref="Z2212" ca="1">IFERROR(IF(_xlfn._xlws.FILTER(game_rosters!$J:$J,(game_rosters!$G:$G=events!$AN2212)*(game_rosters!$J:$J=events!$X2212))&gt;0,1,""),"")</f>
        <v>#VALUE!</v>
      </c>
      <c r="AA2212">
        <f t="shared" si="219"/>
        <v>1000</v>
      </c>
      <c r="AB2212" t="str">
        <f t="shared" si="220"/>
        <v/>
      </c>
      <c r="AC2212">
        <f t="shared" si="217"/>
        <v>1000</v>
      </c>
      <c r="AD2212" s="6"/>
    </row>
    <row r="2213" spans="1:30" x14ac:dyDescent="0.2">
      <c r="A2213" t="str">
        <f t="shared" si="218"/>
        <v/>
      </c>
      <c r="X2213" t="str" cm="1">
        <f t="array" ref="X2213">IF(S2213="","",IF($I2213&lt;&gt;"",$I2213,INDEX($I$2:$I2212,ROW()-COUNTIFS($T$2:$T2212,"="&amp;$T2213,$S$2:$S2212,"&lt;&gt;"&amp;$S2213)-1)))</f>
        <v/>
      </c>
      <c r="Y2213" t="b">
        <f>IF(X2213&lt;&gt;"",VLOOKUP(X2213,game_rosters!$C$43:$E$64,3,FALSE))</f>
        <v>0</v>
      </c>
      <c r="Z2213" t="e" cm="1" vm="1">
        <f t="array" aca="1" ref="Z2213" ca="1">IFERROR(IF(_xlfn._xlws.FILTER(game_rosters!$J:$J,(game_rosters!$G:$G=events!$AN2213)*(game_rosters!$J:$J=events!$X2213))&gt;0,1,""),"")</f>
        <v>#VALUE!</v>
      </c>
      <c r="AA2213">
        <f t="shared" si="219"/>
        <v>1000</v>
      </c>
      <c r="AB2213" t="str">
        <f t="shared" si="220"/>
        <v/>
      </c>
      <c r="AC2213">
        <f t="shared" si="217"/>
        <v>1000</v>
      </c>
      <c r="AD2213" s="6"/>
    </row>
    <row r="2214" spans="1:30" x14ac:dyDescent="0.2">
      <c r="A2214" t="str">
        <f t="shared" si="218"/>
        <v/>
      </c>
      <c r="X2214" t="str" cm="1">
        <f t="array" ref="X2214">IF(S2214="","",IF($I2214&lt;&gt;"",$I2214,INDEX($I$2:$I2213,ROW()-COUNTIFS($T$2:$T2213,"="&amp;$T2214,$S$2:$S2213,"&lt;&gt;"&amp;$S2214)-1)))</f>
        <v/>
      </c>
      <c r="Y2214" t="b">
        <f>IF(X2214&lt;&gt;"",VLOOKUP(X2214,game_rosters!$C$43:$E$64,3,FALSE))</f>
        <v>0</v>
      </c>
      <c r="Z2214" t="e" cm="1" vm="1">
        <f t="array" aca="1" ref="Z2214" ca="1">IFERROR(IF(_xlfn._xlws.FILTER(game_rosters!$J:$J,(game_rosters!$G:$G=events!$AN2214)*(game_rosters!$J:$J=events!$X2214))&gt;0,1,""),"")</f>
        <v>#VALUE!</v>
      </c>
      <c r="AA2214">
        <f t="shared" si="219"/>
        <v>1000</v>
      </c>
      <c r="AB2214" t="str">
        <f t="shared" si="220"/>
        <v/>
      </c>
      <c r="AC2214">
        <f t="shared" si="217"/>
        <v>1000</v>
      </c>
      <c r="AD2214" s="6"/>
    </row>
    <row r="2215" spans="1:30" x14ac:dyDescent="0.2">
      <c r="A2215" t="str">
        <f t="shared" si="218"/>
        <v/>
      </c>
      <c r="X2215" t="str" cm="1">
        <f t="array" ref="X2215">IF(S2215="","",IF($I2215&lt;&gt;"",$I2215,INDEX($I$2:$I2214,ROW()-COUNTIFS($T$2:$T2214,"="&amp;$T2215,$S$2:$S2214,"&lt;&gt;"&amp;$S2215)-1)))</f>
        <v/>
      </c>
      <c r="Y2215" t="b">
        <f>IF(X2215&lt;&gt;"",VLOOKUP(X2215,game_rosters!$C$43:$E$64,3,FALSE))</f>
        <v>0</v>
      </c>
      <c r="Z2215" t="e" cm="1" vm="1">
        <f t="array" aca="1" ref="Z2215" ca="1">IFERROR(IF(_xlfn._xlws.FILTER(game_rosters!$J:$J,(game_rosters!$G:$G=events!$AN2215)*(game_rosters!$J:$J=events!$X2215))&gt;0,1,""),"")</f>
        <v>#VALUE!</v>
      </c>
      <c r="AA2215">
        <f t="shared" si="219"/>
        <v>1000</v>
      </c>
      <c r="AB2215" t="str">
        <f t="shared" si="220"/>
        <v/>
      </c>
      <c r="AC2215">
        <f t="shared" si="217"/>
        <v>1000</v>
      </c>
      <c r="AD2215" s="6"/>
    </row>
    <row r="2216" spans="1:30" x14ac:dyDescent="0.2">
      <c r="A2216" t="str">
        <f t="shared" si="218"/>
        <v/>
      </c>
      <c r="X2216" t="str" cm="1">
        <f t="array" ref="X2216">IF(S2216="","",IF($I2216&lt;&gt;"",$I2216,INDEX($I$2:$I2215,ROW()-COUNTIFS($T$2:$T2215,"="&amp;$T2216,$S$2:$S2215,"&lt;&gt;"&amp;$S2216)-1)))</f>
        <v/>
      </c>
      <c r="Y2216" t="b">
        <f>IF(X2216&lt;&gt;"",VLOOKUP(X2216,game_rosters!$C$43:$E$64,3,FALSE))</f>
        <v>0</v>
      </c>
      <c r="Z2216" t="e" cm="1" vm="1">
        <f t="array" aca="1" ref="Z2216" ca="1">IFERROR(IF(_xlfn._xlws.FILTER(game_rosters!$J:$J,(game_rosters!$G:$G=events!$AN2216)*(game_rosters!$J:$J=events!$X2216))&gt;0,1,""),"")</f>
        <v>#VALUE!</v>
      </c>
      <c r="AA2216">
        <f t="shared" si="219"/>
        <v>1000</v>
      </c>
      <c r="AB2216" t="str">
        <f t="shared" si="220"/>
        <v/>
      </c>
      <c r="AC2216">
        <f t="shared" si="217"/>
        <v>1000</v>
      </c>
      <c r="AD2216" s="6"/>
    </row>
    <row r="2217" spans="1:30" x14ac:dyDescent="0.2">
      <c r="A2217" t="str">
        <f t="shared" si="218"/>
        <v/>
      </c>
      <c r="X2217" t="str" cm="1">
        <f t="array" ref="X2217">IF(S2217="","",IF($I2217&lt;&gt;"",$I2217,INDEX($I$2:$I2216,ROW()-COUNTIFS($T$2:$T2216,"="&amp;$T2217,$S$2:$S2216,"&lt;&gt;"&amp;$S2217)-1)))</f>
        <v/>
      </c>
      <c r="Y2217" t="b">
        <f>IF(X2217&lt;&gt;"",VLOOKUP(X2217,game_rosters!$C$43:$E$64,3,FALSE))</f>
        <v>0</v>
      </c>
      <c r="Z2217" t="e" cm="1" vm="1">
        <f t="array" aca="1" ref="Z2217" ca="1">IFERROR(IF(_xlfn._xlws.FILTER(game_rosters!$J:$J,(game_rosters!$G:$G=events!$AN2217)*(game_rosters!$J:$J=events!$X2217))&gt;0,1,""),"")</f>
        <v>#VALUE!</v>
      </c>
      <c r="AA2217">
        <f t="shared" si="219"/>
        <v>1000</v>
      </c>
      <c r="AB2217" t="str">
        <f t="shared" si="220"/>
        <v/>
      </c>
      <c r="AC2217">
        <f t="shared" si="217"/>
        <v>1000</v>
      </c>
      <c r="AD2217" s="6"/>
    </row>
    <row r="2218" spans="1:30" x14ac:dyDescent="0.2">
      <c r="A2218" t="str">
        <f t="shared" si="218"/>
        <v/>
      </c>
      <c r="X2218" t="str" cm="1">
        <f t="array" ref="X2218">IF(S2218="","",IF($I2218&lt;&gt;"",$I2218,INDEX($I$2:$I2217,ROW()-COUNTIFS($T$2:$T2217,"="&amp;$T2218,$S$2:$S2217,"&lt;&gt;"&amp;$S2218)-1)))</f>
        <v/>
      </c>
      <c r="Y2218" t="b">
        <f>IF(X2218&lt;&gt;"",VLOOKUP(X2218,game_rosters!$C$43:$E$64,3,FALSE))</f>
        <v>0</v>
      </c>
      <c r="Z2218" t="e" cm="1" vm="1">
        <f t="array" aca="1" ref="Z2218" ca="1">IFERROR(IF(_xlfn._xlws.FILTER(game_rosters!$J:$J,(game_rosters!$G:$G=events!$AN2218)*(game_rosters!$J:$J=events!$X2218))&gt;0,1,""),"")</f>
        <v>#VALUE!</v>
      </c>
      <c r="AA2218">
        <f t="shared" si="219"/>
        <v>1000</v>
      </c>
      <c r="AB2218" t="str">
        <f t="shared" si="220"/>
        <v/>
      </c>
      <c r="AC2218">
        <f t="shared" si="217"/>
        <v>1000</v>
      </c>
      <c r="AD2218" s="6"/>
    </row>
    <row r="2219" spans="1:30" x14ac:dyDescent="0.2">
      <c r="A2219" t="str">
        <f t="shared" si="218"/>
        <v/>
      </c>
      <c r="X2219" t="str" cm="1">
        <f t="array" ref="X2219">IF(S2219="","",IF($I2219&lt;&gt;"",$I2219,INDEX($I$2:$I2218,ROW()-COUNTIFS($T$2:$T2218,"="&amp;$T2219,$S$2:$S2218,"&lt;&gt;"&amp;$S2219)-1)))</f>
        <v/>
      </c>
      <c r="Y2219" t="b">
        <f>IF(X2219&lt;&gt;"",VLOOKUP(X2219,game_rosters!$C$43:$E$64,3,FALSE))</f>
        <v>0</v>
      </c>
      <c r="Z2219" t="e" cm="1" vm="1">
        <f t="array" aca="1" ref="Z2219" ca="1">IFERROR(IF(_xlfn._xlws.FILTER(game_rosters!$J:$J,(game_rosters!$G:$G=events!$AN2219)*(game_rosters!$J:$J=events!$X2219))&gt;0,1,""),"")</f>
        <v>#VALUE!</v>
      </c>
      <c r="AA2219">
        <f t="shared" si="219"/>
        <v>1000</v>
      </c>
      <c r="AB2219" t="str">
        <f t="shared" si="220"/>
        <v/>
      </c>
      <c r="AC2219">
        <f t="shared" si="217"/>
        <v>1000</v>
      </c>
      <c r="AD2219" s="6"/>
    </row>
    <row r="2220" spans="1:30" x14ac:dyDescent="0.2">
      <c r="A2220" t="str">
        <f t="shared" si="218"/>
        <v/>
      </c>
      <c r="X2220" t="str" cm="1">
        <f t="array" ref="X2220">IF(S2220="","",IF($I2220&lt;&gt;"",$I2220,INDEX($I$2:$I2219,ROW()-COUNTIFS($T$2:$T2219,"="&amp;$T2220,$S$2:$S2219,"&lt;&gt;"&amp;$S2220)-1)))</f>
        <v/>
      </c>
      <c r="Y2220" t="b">
        <f>IF(X2220&lt;&gt;"",VLOOKUP(X2220,game_rosters!$C$43:$E$64,3,FALSE))</f>
        <v>0</v>
      </c>
      <c r="Z2220" t="e" cm="1" vm="1">
        <f t="array" aca="1" ref="Z2220" ca="1">IFERROR(IF(_xlfn._xlws.FILTER(game_rosters!$J:$J,(game_rosters!$G:$G=events!$AN2220)*(game_rosters!$J:$J=events!$X2220))&gt;0,1,""),"")</f>
        <v>#VALUE!</v>
      </c>
      <c r="AA2220">
        <f t="shared" si="219"/>
        <v>1000</v>
      </c>
      <c r="AB2220" t="str">
        <f t="shared" si="220"/>
        <v/>
      </c>
      <c r="AC2220">
        <f t="shared" si="217"/>
        <v>1000</v>
      </c>
      <c r="AD2220" s="6"/>
    </row>
    <row r="2221" spans="1:30" x14ac:dyDescent="0.2">
      <c r="A2221" t="str">
        <f t="shared" si="218"/>
        <v/>
      </c>
      <c r="X2221" t="str" cm="1">
        <f t="array" ref="X2221">IF(S2221="","",IF($I2221&lt;&gt;"",$I2221,INDEX($I$2:$I2220,ROW()-COUNTIFS($T$2:$T2220,"="&amp;$T2221,$S$2:$S2220,"&lt;&gt;"&amp;$S2221)-1)))</f>
        <v/>
      </c>
      <c r="Y2221" t="b">
        <f>IF(X2221&lt;&gt;"",VLOOKUP(X2221,game_rosters!$C$43:$E$64,3,FALSE))</f>
        <v>0</v>
      </c>
      <c r="Z2221" t="e" cm="1" vm="1">
        <f t="array" aca="1" ref="Z2221" ca="1">IFERROR(IF(_xlfn._xlws.FILTER(game_rosters!$J:$J,(game_rosters!$G:$G=events!$AN2221)*(game_rosters!$J:$J=events!$X2221))&gt;0,1,""),"")</f>
        <v>#VALUE!</v>
      </c>
      <c r="AA2221">
        <f t="shared" si="219"/>
        <v>1000</v>
      </c>
      <c r="AB2221" t="str">
        <f t="shared" si="220"/>
        <v/>
      </c>
      <c r="AC2221">
        <f t="shared" si="217"/>
        <v>1000</v>
      </c>
      <c r="AD2221" s="6"/>
    </row>
    <row r="2222" spans="1:30" x14ac:dyDescent="0.2">
      <c r="A2222" t="str">
        <f t="shared" si="218"/>
        <v/>
      </c>
      <c r="X2222" t="str" cm="1">
        <f t="array" ref="X2222">IF(S2222="","",IF($I2222&lt;&gt;"",$I2222,INDEX($I$2:$I2221,ROW()-COUNTIFS($T$2:$T2221,"="&amp;$T2222,$S$2:$S2221,"&lt;&gt;"&amp;$S2222)-1)))</f>
        <v/>
      </c>
      <c r="Y2222" t="b">
        <f>IF(X2222&lt;&gt;"",VLOOKUP(X2222,game_rosters!$C$43:$E$64,3,FALSE))</f>
        <v>0</v>
      </c>
      <c r="Z2222" t="e" cm="1" vm="1">
        <f t="array" aca="1" ref="Z2222" ca="1">IFERROR(IF(_xlfn._xlws.FILTER(game_rosters!$J:$J,(game_rosters!$G:$G=events!$AN2222)*(game_rosters!$J:$J=events!$X2222))&gt;0,1,""),"")</f>
        <v>#VALUE!</v>
      </c>
      <c r="AA2222">
        <f t="shared" si="219"/>
        <v>1000</v>
      </c>
      <c r="AB2222" t="str">
        <f t="shared" si="220"/>
        <v/>
      </c>
      <c r="AC2222">
        <f t="shared" si="217"/>
        <v>1000</v>
      </c>
      <c r="AD2222" s="6"/>
    </row>
    <row r="2223" spans="1:30" x14ac:dyDescent="0.2">
      <c r="A2223" t="str">
        <f t="shared" si="218"/>
        <v/>
      </c>
      <c r="X2223" t="str" cm="1">
        <f t="array" ref="X2223">IF(S2223="","",IF($I2223&lt;&gt;"",$I2223,INDEX($I$2:$I2222,ROW()-COUNTIFS($T$2:$T2222,"="&amp;$T2223,$S$2:$S2222,"&lt;&gt;"&amp;$S2223)-1)))</f>
        <v/>
      </c>
      <c r="Y2223" t="b">
        <f>IF(X2223&lt;&gt;"",VLOOKUP(X2223,game_rosters!$C$43:$E$64,3,FALSE))</f>
        <v>0</v>
      </c>
      <c r="Z2223" t="e" cm="1" vm="1">
        <f t="array" aca="1" ref="Z2223" ca="1">IFERROR(IF(_xlfn._xlws.FILTER(game_rosters!$J:$J,(game_rosters!$G:$G=events!$AN2223)*(game_rosters!$J:$J=events!$X2223))&gt;0,1,""),"")</f>
        <v>#VALUE!</v>
      </c>
      <c r="AA2223">
        <f t="shared" si="219"/>
        <v>1000</v>
      </c>
      <c r="AB2223" t="str">
        <f t="shared" si="220"/>
        <v/>
      </c>
      <c r="AC2223">
        <f t="shared" si="217"/>
        <v>1000</v>
      </c>
      <c r="AD2223" s="6"/>
    </row>
    <row r="2224" spans="1:30" x14ac:dyDescent="0.2">
      <c r="A2224" t="str">
        <f t="shared" si="218"/>
        <v/>
      </c>
      <c r="X2224" t="str" cm="1">
        <f t="array" ref="X2224">IF(S2224="","",IF($I2224&lt;&gt;"",$I2224,INDEX($I$2:$I2223,ROW()-COUNTIFS($T$2:$T2223,"="&amp;$T2224,$S$2:$S2223,"&lt;&gt;"&amp;$S2224)-1)))</f>
        <v/>
      </c>
      <c r="Y2224" t="b">
        <f>IF(X2224&lt;&gt;"",VLOOKUP(X2224,game_rosters!$C$43:$E$64,3,FALSE))</f>
        <v>0</v>
      </c>
      <c r="Z2224" t="e" cm="1" vm="1">
        <f t="array" aca="1" ref="Z2224" ca="1">IFERROR(IF(_xlfn._xlws.FILTER(game_rosters!$J:$J,(game_rosters!$G:$G=events!$AN2224)*(game_rosters!$J:$J=events!$X2224))&gt;0,1,""),"")</f>
        <v>#VALUE!</v>
      </c>
      <c r="AA2224">
        <f t="shared" si="219"/>
        <v>1000</v>
      </c>
      <c r="AB2224" t="str">
        <f t="shared" si="220"/>
        <v/>
      </c>
      <c r="AC2224">
        <f t="shared" si="217"/>
        <v>1000</v>
      </c>
      <c r="AD2224" s="6"/>
    </row>
    <row r="2225" spans="1:30" x14ac:dyDescent="0.2">
      <c r="A2225" t="str">
        <f t="shared" si="218"/>
        <v/>
      </c>
      <c r="X2225" t="str" cm="1">
        <f t="array" ref="X2225">IF(S2225="","",IF($I2225&lt;&gt;"",$I2225,INDEX($I$2:$I2224,ROW()-COUNTIFS($T$2:$T2224,"="&amp;$T2225,$S$2:$S2224,"&lt;&gt;"&amp;$S2225)-1)))</f>
        <v/>
      </c>
      <c r="Y2225" t="b">
        <f>IF(X2225&lt;&gt;"",VLOOKUP(X2225,game_rosters!$C$43:$E$64,3,FALSE))</f>
        <v>0</v>
      </c>
      <c r="Z2225" t="e" cm="1" vm="1">
        <f t="array" aca="1" ref="Z2225" ca="1">IFERROR(IF(_xlfn._xlws.FILTER(game_rosters!$J:$J,(game_rosters!$G:$G=events!$AN2225)*(game_rosters!$J:$J=events!$X2225))&gt;0,1,""),"")</f>
        <v>#VALUE!</v>
      </c>
      <c r="AA2225">
        <f t="shared" si="219"/>
        <v>1000</v>
      </c>
      <c r="AB2225" t="str">
        <f t="shared" si="220"/>
        <v/>
      </c>
      <c r="AC2225">
        <f t="shared" si="217"/>
        <v>1000</v>
      </c>
      <c r="AD2225" s="6"/>
    </row>
    <row r="2226" spans="1:30" x14ac:dyDescent="0.2">
      <c r="A2226" t="str">
        <f t="shared" si="218"/>
        <v/>
      </c>
      <c r="X2226" t="str" cm="1">
        <f t="array" ref="X2226">IF(S2226="","",IF($I2226&lt;&gt;"",$I2226,INDEX($I$2:$I2225,ROW()-COUNTIFS($T$2:$T2225,"="&amp;$T2226,$S$2:$S2225,"&lt;&gt;"&amp;$S2226)-1)))</f>
        <v/>
      </c>
      <c r="Y2226" t="b">
        <f>IF(X2226&lt;&gt;"",VLOOKUP(X2226,game_rosters!$C$43:$E$64,3,FALSE))</f>
        <v>0</v>
      </c>
      <c r="Z2226" t="e" cm="1" vm="1">
        <f t="array" aca="1" ref="Z2226" ca="1">IFERROR(IF(_xlfn._xlws.FILTER(game_rosters!$J:$J,(game_rosters!$G:$G=events!$AN2226)*(game_rosters!$J:$J=events!$X2226))&gt;0,1,""),"")</f>
        <v>#VALUE!</v>
      </c>
      <c r="AA2226">
        <f t="shared" si="219"/>
        <v>1000</v>
      </c>
      <c r="AB2226" t="str">
        <f t="shared" si="220"/>
        <v/>
      </c>
      <c r="AC2226">
        <f t="shared" si="217"/>
        <v>1000</v>
      </c>
      <c r="AD2226" s="6"/>
    </row>
    <row r="2227" spans="1:30" x14ac:dyDescent="0.2">
      <c r="A2227" t="str">
        <f t="shared" si="218"/>
        <v/>
      </c>
      <c r="X2227" t="str" cm="1">
        <f t="array" ref="X2227">IF(S2227="","",IF($I2227&lt;&gt;"",$I2227,INDEX($I$2:$I2226,ROW()-COUNTIFS($T$2:$T2226,"="&amp;$T2227,$S$2:$S2226,"&lt;&gt;"&amp;$S2227)-1)))</f>
        <v/>
      </c>
      <c r="Y2227" t="b">
        <f>IF(X2227&lt;&gt;"",VLOOKUP(X2227,game_rosters!$C$43:$E$64,3,FALSE))</f>
        <v>0</v>
      </c>
      <c r="Z2227" t="e" cm="1" vm="1">
        <f t="array" aca="1" ref="Z2227" ca="1">IFERROR(IF(_xlfn._xlws.FILTER(game_rosters!$J:$J,(game_rosters!$G:$G=events!$AN2227)*(game_rosters!$J:$J=events!$X2227))&gt;0,1,""),"")</f>
        <v>#VALUE!</v>
      </c>
      <c r="AA2227">
        <f t="shared" si="219"/>
        <v>1000</v>
      </c>
      <c r="AB2227" t="str">
        <f t="shared" si="220"/>
        <v/>
      </c>
      <c r="AC2227">
        <f t="shared" si="217"/>
        <v>1000</v>
      </c>
      <c r="AD2227" s="6"/>
    </row>
    <row r="2228" spans="1:30" x14ac:dyDescent="0.2">
      <c r="A2228" t="str">
        <f t="shared" si="218"/>
        <v/>
      </c>
      <c r="X2228" t="str" cm="1">
        <f t="array" ref="X2228">IF(S2228="","",IF($I2228&lt;&gt;"",$I2228,INDEX($I$2:$I2227,ROW()-COUNTIFS($T$2:$T2227,"="&amp;$T2228,$S$2:$S2227,"&lt;&gt;"&amp;$S2228)-1)))</f>
        <v/>
      </c>
      <c r="Y2228" t="b">
        <f>IF(X2228&lt;&gt;"",VLOOKUP(X2228,game_rosters!$C$43:$E$64,3,FALSE))</f>
        <v>0</v>
      </c>
      <c r="Z2228" t="e" cm="1" vm="1">
        <f t="array" aca="1" ref="Z2228" ca="1">IFERROR(IF(_xlfn._xlws.FILTER(game_rosters!$J:$J,(game_rosters!$G:$G=events!$AN2228)*(game_rosters!$J:$J=events!$X2228))&gt;0,1,""),"")</f>
        <v>#VALUE!</v>
      </c>
      <c r="AA2228">
        <f t="shared" si="219"/>
        <v>1000</v>
      </c>
      <c r="AB2228" t="str">
        <f t="shared" si="220"/>
        <v/>
      </c>
      <c r="AC2228">
        <f t="shared" si="217"/>
        <v>1000</v>
      </c>
      <c r="AD2228" s="6"/>
    </row>
    <row r="2229" spans="1:30" x14ac:dyDescent="0.2">
      <c r="A2229" t="str">
        <f t="shared" si="218"/>
        <v/>
      </c>
      <c r="X2229" t="str" cm="1">
        <f t="array" ref="X2229">IF(S2229="","",IF($I2229&lt;&gt;"",$I2229,INDEX($I$2:$I2228,ROW()-COUNTIFS($T$2:$T2228,"="&amp;$T2229,$S$2:$S2228,"&lt;&gt;"&amp;$S2229)-1)))</f>
        <v/>
      </c>
      <c r="Y2229" t="b">
        <f>IF(X2229&lt;&gt;"",VLOOKUP(X2229,game_rosters!$C$43:$E$64,3,FALSE))</f>
        <v>0</v>
      </c>
      <c r="Z2229" t="e" cm="1" vm="1">
        <f t="array" aca="1" ref="Z2229" ca="1">IFERROR(IF(_xlfn._xlws.FILTER(game_rosters!$J:$J,(game_rosters!$G:$G=events!$AN2229)*(game_rosters!$J:$J=events!$X2229))&gt;0,1,""),"")</f>
        <v>#VALUE!</v>
      </c>
      <c r="AA2229">
        <f t="shared" si="219"/>
        <v>1000</v>
      </c>
      <c r="AB2229" t="str">
        <f t="shared" si="220"/>
        <v/>
      </c>
      <c r="AC2229">
        <f t="shared" si="217"/>
        <v>1000</v>
      </c>
      <c r="AD2229" s="6"/>
    </row>
    <row r="2230" spans="1:30" x14ac:dyDescent="0.2">
      <c r="A2230" t="str">
        <f t="shared" si="218"/>
        <v/>
      </c>
      <c r="X2230" t="str" cm="1">
        <f t="array" ref="X2230">IF(S2230="","",IF($I2230&lt;&gt;"",$I2230,INDEX($I$2:$I2229,ROW()-COUNTIFS($T$2:$T2229,"="&amp;$T2230,$S$2:$S2229,"&lt;&gt;"&amp;$S2230)-1)))</f>
        <v/>
      </c>
      <c r="Y2230" t="b">
        <f>IF(X2230&lt;&gt;"",VLOOKUP(X2230,game_rosters!$C$43:$E$64,3,FALSE))</f>
        <v>0</v>
      </c>
      <c r="Z2230" t="e" cm="1" vm="1">
        <f t="array" aca="1" ref="Z2230" ca="1">IFERROR(IF(_xlfn._xlws.FILTER(game_rosters!$J:$J,(game_rosters!$G:$G=events!$AN2230)*(game_rosters!$J:$J=events!$X2230))&gt;0,1,""),"")</f>
        <v>#VALUE!</v>
      </c>
      <c r="AA2230">
        <f t="shared" si="219"/>
        <v>1000</v>
      </c>
      <c r="AB2230" t="str">
        <f t="shared" si="220"/>
        <v/>
      </c>
      <c r="AC2230">
        <f t="shared" si="217"/>
        <v>1000</v>
      </c>
      <c r="AD2230" s="6"/>
    </row>
    <row r="2231" spans="1:30" x14ac:dyDescent="0.2">
      <c r="A2231" t="str">
        <f t="shared" si="218"/>
        <v/>
      </c>
      <c r="X2231" t="str" cm="1">
        <f t="array" ref="X2231">IF(S2231="","",IF($I2231&lt;&gt;"",$I2231,INDEX($I$2:$I2230,ROW()-COUNTIFS($T$2:$T2230,"="&amp;$T2231,$S$2:$S2230,"&lt;&gt;"&amp;$S2231)-1)))</f>
        <v/>
      </c>
      <c r="Y2231" t="b">
        <f>IF(X2231&lt;&gt;"",VLOOKUP(X2231,game_rosters!$C$43:$E$64,3,FALSE))</f>
        <v>0</v>
      </c>
      <c r="Z2231" t="e" cm="1" vm="1">
        <f t="array" aca="1" ref="Z2231" ca="1">IFERROR(IF(_xlfn._xlws.FILTER(game_rosters!$J:$J,(game_rosters!$G:$G=events!$AN2231)*(game_rosters!$J:$J=events!$X2231))&gt;0,1,""),"")</f>
        <v>#VALUE!</v>
      </c>
      <c r="AA2231">
        <f t="shared" si="219"/>
        <v>1000</v>
      </c>
      <c r="AB2231" t="str">
        <f t="shared" si="220"/>
        <v/>
      </c>
      <c r="AC2231">
        <f t="shared" si="217"/>
        <v>1000</v>
      </c>
      <c r="AD2231" s="6"/>
    </row>
    <row r="2232" spans="1:30" x14ac:dyDescent="0.2">
      <c r="A2232" t="str">
        <f t="shared" si="218"/>
        <v/>
      </c>
      <c r="X2232" t="str" cm="1">
        <f t="array" ref="X2232">IF(S2232="","",IF($I2232&lt;&gt;"",$I2232,INDEX($I$2:$I2231,ROW()-COUNTIFS($T$2:$T2231,"="&amp;$T2232,$S$2:$S2231,"&lt;&gt;"&amp;$S2232)-1)))</f>
        <v/>
      </c>
      <c r="Y2232" t="b">
        <f>IF(X2232&lt;&gt;"",VLOOKUP(X2232,game_rosters!$C$43:$E$64,3,FALSE))</f>
        <v>0</v>
      </c>
      <c r="Z2232" t="e" cm="1" vm="1">
        <f t="array" aca="1" ref="Z2232" ca="1">IFERROR(IF(_xlfn._xlws.FILTER(game_rosters!$J:$J,(game_rosters!$G:$G=events!$AN2232)*(game_rosters!$J:$J=events!$X2232))&gt;0,1,""),"")</f>
        <v>#VALUE!</v>
      </c>
      <c r="AA2232">
        <f t="shared" si="219"/>
        <v>1000</v>
      </c>
      <c r="AB2232" t="str">
        <f t="shared" si="220"/>
        <v/>
      </c>
      <c r="AC2232">
        <f t="shared" si="217"/>
        <v>1000</v>
      </c>
      <c r="AD2232" s="6"/>
    </row>
    <row r="2233" spans="1:30" x14ac:dyDescent="0.2">
      <c r="A2233" t="str">
        <f t="shared" si="218"/>
        <v/>
      </c>
      <c r="X2233" t="str" cm="1">
        <f t="array" ref="X2233">IF(S2233="","",IF($I2233&lt;&gt;"",$I2233,INDEX($I$2:$I2232,ROW()-COUNTIFS($T$2:$T2232,"="&amp;$T2233,$S$2:$S2232,"&lt;&gt;"&amp;$S2233)-1)))</f>
        <v/>
      </c>
      <c r="Y2233" t="b">
        <f>IF(X2233&lt;&gt;"",VLOOKUP(X2233,game_rosters!$C$43:$E$64,3,FALSE))</f>
        <v>0</v>
      </c>
      <c r="Z2233" t="e" cm="1" vm="1">
        <f t="array" aca="1" ref="Z2233" ca="1">IFERROR(IF(_xlfn._xlws.FILTER(game_rosters!$J:$J,(game_rosters!$G:$G=events!$AN2233)*(game_rosters!$J:$J=events!$X2233))&gt;0,1,""),"")</f>
        <v>#VALUE!</v>
      </c>
      <c r="AA2233">
        <f t="shared" si="219"/>
        <v>1000</v>
      </c>
      <c r="AB2233" t="str">
        <f t="shared" si="220"/>
        <v/>
      </c>
      <c r="AC2233">
        <f t="shared" si="217"/>
        <v>1000</v>
      </c>
      <c r="AD2233" s="6"/>
    </row>
    <row r="2234" spans="1:30" x14ac:dyDescent="0.2">
      <c r="A2234" t="str">
        <f t="shared" si="218"/>
        <v/>
      </c>
      <c r="X2234" t="str" cm="1">
        <f t="array" ref="X2234">IF(S2234="","",IF($I2234&lt;&gt;"",$I2234,INDEX($I$2:$I2233,ROW()-COUNTIFS($T$2:$T2233,"="&amp;$T2234,$S$2:$S2233,"&lt;&gt;"&amp;$S2234)-1)))</f>
        <v/>
      </c>
      <c r="Y2234" t="b">
        <f>IF(X2234&lt;&gt;"",VLOOKUP(X2234,game_rosters!$C$43:$E$64,3,FALSE))</f>
        <v>0</v>
      </c>
      <c r="Z2234" t="e" cm="1" vm="1">
        <f t="array" aca="1" ref="Z2234" ca="1">IFERROR(IF(_xlfn._xlws.FILTER(game_rosters!$J:$J,(game_rosters!$G:$G=events!$AN2234)*(game_rosters!$J:$J=events!$X2234))&gt;0,1,""),"")</f>
        <v>#VALUE!</v>
      </c>
      <c r="AA2234">
        <f t="shared" si="219"/>
        <v>1000</v>
      </c>
      <c r="AB2234" t="str">
        <f t="shared" si="220"/>
        <v/>
      </c>
      <c r="AC2234">
        <f t="shared" si="217"/>
        <v>1000</v>
      </c>
      <c r="AD2234" s="6"/>
    </row>
    <row r="2235" spans="1:30" x14ac:dyDescent="0.2">
      <c r="A2235" t="str">
        <f t="shared" si="218"/>
        <v/>
      </c>
      <c r="X2235" t="str" cm="1">
        <f t="array" ref="X2235">IF(S2235="","",IF($I2235&lt;&gt;"",$I2235,INDEX($I$2:$I2234,ROW()-COUNTIFS($T$2:$T2234,"="&amp;$T2235,$S$2:$S2234,"&lt;&gt;"&amp;$S2235)-1)))</f>
        <v/>
      </c>
      <c r="Y2235" t="b">
        <f>IF(X2235&lt;&gt;"",VLOOKUP(X2235,game_rosters!$C$43:$E$64,3,FALSE))</f>
        <v>0</v>
      </c>
      <c r="Z2235" t="e" cm="1" vm="1">
        <f t="array" aca="1" ref="Z2235" ca="1">IFERROR(IF(_xlfn._xlws.FILTER(game_rosters!$J:$J,(game_rosters!$G:$G=events!$AN2235)*(game_rosters!$J:$J=events!$X2235))&gt;0,1,""),"")</f>
        <v>#VALUE!</v>
      </c>
      <c r="AA2235">
        <f t="shared" si="219"/>
        <v>1000</v>
      </c>
      <c r="AB2235" t="str">
        <f t="shared" si="220"/>
        <v/>
      </c>
      <c r="AC2235">
        <f t="shared" si="217"/>
        <v>1000</v>
      </c>
      <c r="AD2235" s="6"/>
    </row>
    <row r="2236" spans="1:30" x14ac:dyDescent="0.2">
      <c r="A2236" t="str">
        <f t="shared" si="218"/>
        <v/>
      </c>
      <c r="X2236" t="str" cm="1">
        <f t="array" ref="X2236">IF(S2236="","",IF($I2236&lt;&gt;"",$I2236,INDEX($I$2:$I2235,ROW()-COUNTIFS($T$2:$T2235,"="&amp;$T2236,$S$2:$S2235,"&lt;&gt;"&amp;$S2236)-1)))</f>
        <v/>
      </c>
      <c r="Y2236" t="b">
        <f>IF(X2236&lt;&gt;"",VLOOKUP(X2236,game_rosters!$C$43:$E$64,3,FALSE))</f>
        <v>0</v>
      </c>
      <c r="Z2236" t="e" cm="1" vm="1">
        <f t="array" aca="1" ref="Z2236" ca="1">IFERROR(IF(_xlfn._xlws.FILTER(game_rosters!$J:$J,(game_rosters!$G:$G=events!$AN2236)*(game_rosters!$J:$J=events!$X2236))&gt;0,1,""),"")</f>
        <v>#VALUE!</v>
      </c>
      <c r="AA2236">
        <f t="shared" si="219"/>
        <v>1000</v>
      </c>
      <c r="AB2236" t="str">
        <f t="shared" si="220"/>
        <v/>
      </c>
      <c r="AC2236">
        <f t="shared" si="217"/>
        <v>1000</v>
      </c>
      <c r="AD2236" s="6"/>
    </row>
    <row r="2237" spans="1:30" x14ac:dyDescent="0.2">
      <c r="A2237" t="str">
        <f t="shared" si="218"/>
        <v/>
      </c>
      <c r="X2237" t="str" cm="1">
        <f t="array" ref="X2237">IF(S2237="","",IF($I2237&lt;&gt;"",$I2237,INDEX($I$2:$I2236,ROW()-COUNTIFS($T$2:$T2236,"="&amp;$T2237,$S$2:$S2236,"&lt;&gt;"&amp;$S2237)-1)))</f>
        <v/>
      </c>
      <c r="Y2237" t="b">
        <f>IF(X2237&lt;&gt;"",VLOOKUP(X2237,game_rosters!$C$43:$E$64,3,FALSE))</f>
        <v>0</v>
      </c>
      <c r="Z2237" t="e" cm="1" vm="1">
        <f t="array" aca="1" ref="Z2237" ca="1">IFERROR(IF(_xlfn._xlws.FILTER(game_rosters!$J:$J,(game_rosters!$G:$G=events!$AN2237)*(game_rosters!$J:$J=events!$X2237))&gt;0,1,""),"")</f>
        <v>#VALUE!</v>
      </c>
      <c r="AA2237">
        <f t="shared" si="219"/>
        <v>1000</v>
      </c>
      <c r="AB2237" t="str">
        <f t="shared" si="220"/>
        <v/>
      </c>
      <c r="AC2237">
        <f t="shared" si="217"/>
        <v>1000</v>
      </c>
      <c r="AD2237" s="6"/>
    </row>
    <row r="2238" spans="1:30" x14ac:dyDescent="0.2">
      <c r="A2238" t="str">
        <f t="shared" si="218"/>
        <v/>
      </c>
      <c r="X2238" t="str" cm="1">
        <f t="array" ref="X2238">IF(S2238="","",IF($I2238&lt;&gt;"",$I2238,INDEX($I$2:$I2237,ROW()-COUNTIFS($T$2:$T2237,"="&amp;$T2238,$S$2:$S2237,"&lt;&gt;"&amp;$S2238)-1)))</f>
        <v/>
      </c>
      <c r="Y2238" t="b">
        <f>IF(X2238&lt;&gt;"",VLOOKUP(X2238,game_rosters!$C$43:$E$64,3,FALSE))</f>
        <v>0</v>
      </c>
      <c r="Z2238" t="e" cm="1" vm="1">
        <f t="array" aca="1" ref="Z2238" ca="1">IFERROR(IF(_xlfn._xlws.FILTER(game_rosters!$J:$J,(game_rosters!$G:$G=events!$AN2238)*(game_rosters!$J:$J=events!$X2238))&gt;0,1,""),"")</f>
        <v>#VALUE!</v>
      </c>
      <c r="AA2238">
        <f t="shared" si="219"/>
        <v>1000</v>
      </c>
      <c r="AB2238" t="str">
        <f t="shared" si="220"/>
        <v/>
      </c>
      <c r="AC2238">
        <f t="shared" si="217"/>
        <v>1000</v>
      </c>
      <c r="AD2238" s="6"/>
    </row>
    <row r="2239" spans="1:30" x14ac:dyDescent="0.2">
      <c r="A2239" t="str">
        <f t="shared" si="218"/>
        <v/>
      </c>
      <c r="X2239" t="str" cm="1">
        <f t="array" ref="X2239">IF(S2239="","",IF($I2239&lt;&gt;"",$I2239,INDEX($I$2:$I2238,ROW()-COUNTIFS($T$2:$T2238,"="&amp;$T2239,$S$2:$S2238,"&lt;&gt;"&amp;$S2239)-1)))</f>
        <v/>
      </c>
      <c r="Y2239" t="b">
        <f>IF(X2239&lt;&gt;"",VLOOKUP(X2239,game_rosters!$C$43:$E$64,3,FALSE))</f>
        <v>0</v>
      </c>
      <c r="Z2239" t="e" cm="1" vm="1">
        <f t="array" aca="1" ref="Z2239" ca="1">IFERROR(IF(_xlfn._xlws.FILTER(game_rosters!$J:$J,(game_rosters!$G:$G=events!$AN2239)*(game_rosters!$J:$J=events!$X2239))&gt;0,1,""),"")</f>
        <v>#VALUE!</v>
      </c>
      <c r="AA2239">
        <f t="shared" si="219"/>
        <v>1000</v>
      </c>
      <c r="AB2239" t="str">
        <f t="shared" si="220"/>
        <v/>
      </c>
      <c r="AC2239">
        <f t="shared" si="217"/>
        <v>1000</v>
      </c>
      <c r="AD2239" s="6"/>
    </row>
    <row r="2240" spans="1:30" x14ac:dyDescent="0.2">
      <c r="A2240" t="str">
        <f t="shared" si="218"/>
        <v/>
      </c>
      <c r="X2240" t="str" cm="1">
        <f t="array" ref="X2240">IF(S2240="","",IF($I2240&lt;&gt;"",$I2240,INDEX($I$2:$I2239,ROW()-COUNTIFS($T$2:$T2239,"="&amp;$T2240,$S$2:$S2239,"&lt;&gt;"&amp;$S2240)-1)))</f>
        <v/>
      </c>
      <c r="Y2240" t="b">
        <f>IF(X2240&lt;&gt;"",VLOOKUP(X2240,game_rosters!$C$43:$E$64,3,FALSE))</f>
        <v>0</v>
      </c>
      <c r="Z2240" t="e" cm="1" vm="1">
        <f t="array" aca="1" ref="Z2240" ca="1">IFERROR(IF(_xlfn._xlws.FILTER(game_rosters!$J:$J,(game_rosters!$G:$G=events!$AN2240)*(game_rosters!$J:$J=events!$X2240))&gt;0,1,""),"")</f>
        <v>#VALUE!</v>
      </c>
      <c r="AA2240">
        <f t="shared" si="219"/>
        <v>1000</v>
      </c>
      <c r="AB2240" t="str">
        <f t="shared" si="220"/>
        <v/>
      </c>
      <c r="AC2240">
        <f t="shared" si="217"/>
        <v>1000</v>
      </c>
      <c r="AD2240" s="6"/>
    </row>
    <row r="2241" spans="1:30" x14ac:dyDescent="0.2">
      <c r="A2241" t="str">
        <f t="shared" si="218"/>
        <v/>
      </c>
      <c r="X2241" t="str" cm="1">
        <f t="array" ref="X2241">IF(S2241="","",IF($I2241&lt;&gt;"",$I2241,INDEX($I$2:$I2240,ROW()-COUNTIFS($T$2:$T2240,"="&amp;$T2241,$S$2:$S2240,"&lt;&gt;"&amp;$S2241)-1)))</f>
        <v/>
      </c>
      <c r="Y2241" t="b">
        <f>IF(X2241&lt;&gt;"",VLOOKUP(X2241,game_rosters!$C$43:$E$64,3,FALSE))</f>
        <v>0</v>
      </c>
      <c r="Z2241" t="e" cm="1" vm="1">
        <f t="array" aca="1" ref="Z2241" ca="1">IFERROR(IF(_xlfn._xlws.FILTER(game_rosters!$J:$J,(game_rosters!$G:$G=events!$AN2241)*(game_rosters!$J:$J=events!$X2241))&gt;0,1,""),"")</f>
        <v>#VALUE!</v>
      </c>
      <c r="AA2241">
        <f t="shared" si="219"/>
        <v>1000</v>
      </c>
      <c r="AB2241" t="str">
        <f t="shared" si="220"/>
        <v/>
      </c>
      <c r="AC2241">
        <f t="shared" si="217"/>
        <v>1000</v>
      </c>
      <c r="AD2241" s="6"/>
    </row>
    <row r="2242" spans="1:30" x14ac:dyDescent="0.2">
      <c r="A2242" t="str">
        <f t="shared" si="218"/>
        <v/>
      </c>
      <c r="X2242" t="str" cm="1">
        <f t="array" ref="X2242">IF(S2242="","",IF($I2242&lt;&gt;"",$I2242,INDEX($I$2:$I2241,ROW()-COUNTIFS($T$2:$T2241,"="&amp;$T2242,$S$2:$S2241,"&lt;&gt;"&amp;$S2242)-1)))</f>
        <v/>
      </c>
      <c r="Y2242" t="b">
        <f>IF(X2242&lt;&gt;"",VLOOKUP(X2242,game_rosters!$C$43:$E$64,3,FALSE))</f>
        <v>0</v>
      </c>
      <c r="Z2242" t="e" cm="1" vm="1">
        <f t="array" aca="1" ref="Z2242" ca="1">IFERROR(IF(_xlfn._xlws.FILTER(game_rosters!$J:$J,(game_rosters!$G:$G=events!$AN2242)*(game_rosters!$J:$J=events!$X2242))&gt;0,1,""),"")</f>
        <v>#VALUE!</v>
      </c>
      <c r="AA2242">
        <f t="shared" si="219"/>
        <v>1000</v>
      </c>
      <c r="AB2242" t="str">
        <f t="shared" si="220"/>
        <v/>
      </c>
      <c r="AC2242">
        <f t="shared" ref="AC2242:AC2305" si="221">IF(AB2242&lt;&gt;"",AB2242,S2242+1000)</f>
        <v>1000</v>
      </c>
      <c r="AD2242" s="6"/>
    </row>
    <row r="2243" spans="1:30" x14ac:dyDescent="0.2">
      <c r="A2243" t="str">
        <f t="shared" si="218"/>
        <v/>
      </c>
      <c r="X2243" t="str" cm="1">
        <f t="array" ref="X2243">IF(S2243="","",IF($I2243&lt;&gt;"",$I2243,INDEX($I$2:$I2242,ROW()-COUNTIFS($T$2:$T2242,"="&amp;$T2243,$S$2:$S2242,"&lt;&gt;"&amp;$S2243)-1)))</f>
        <v/>
      </c>
      <c r="Y2243" t="b">
        <f>IF(X2243&lt;&gt;"",VLOOKUP(X2243,game_rosters!$C$43:$E$64,3,FALSE))</f>
        <v>0</v>
      </c>
      <c r="Z2243" t="e" cm="1" vm="1">
        <f t="array" aca="1" ref="Z2243" ca="1">IFERROR(IF(_xlfn._xlws.FILTER(game_rosters!$J:$J,(game_rosters!$G:$G=events!$AN2243)*(game_rosters!$J:$J=events!$X2243))&gt;0,1,""),"")</f>
        <v>#VALUE!</v>
      </c>
      <c r="AA2243">
        <f t="shared" si="219"/>
        <v>1000</v>
      </c>
      <c r="AB2243" t="str">
        <f t="shared" si="220"/>
        <v/>
      </c>
      <c r="AC2243">
        <f t="shared" si="221"/>
        <v>1000</v>
      </c>
      <c r="AD2243" s="6"/>
    </row>
    <row r="2244" spans="1:30" x14ac:dyDescent="0.2">
      <c r="A2244" t="str">
        <f t="shared" si="218"/>
        <v/>
      </c>
      <c r="X2244" t="str" cm="1">
        <f t="array" ref="X2244">IF(S2244="","",IF($I2244&lt;&gt;"",$I2244,INDEX($I$2:$I2243,ROW()-COUNTIFS($T$2:$T2243,"="&amp;$T2244,$S$2:$S2243,"&lt;&gt;"&amp;$S2244)-1)))</f>
        <v/>
      </c>
      <c r="Y2244" t="b">
        <f>IF(X2244&lt;&gt;"",VLOOKUP(X2244,game_rosters!$C$43:$E$64,3,FALSE))</f>
        <v>0</v>
      </c>
      <c r="Z2244" t="e" cm="1" vm="1">
        <f t="array" aca="1" ref="Z2244" ca="1">IFERROR(IF(_xlfn._xlws.FILTER(game_rosters!$J:$J,(game_rosters!$G:$G=events!$AN2244)*(game_rosters!$J:$J=events!$X2244))&gt;0,1,""),"")</f>
        <v>#VALUE!</v>
      </c>
      <c r="AA2244">
        <f t="shared" si="219"/>
        <v>1000</v>
      </c>
      <c r="AB2244" t="str">
        <f t="shared" si="220"/>
        <v/>
      </c>
      <c r="AC2244">
        <f t="shared" si="221"/>
        <v>1000</v>
      </c>
      <c r="AD2244" s="6"/>
    </row>
    <row r="2245" spans="1:30" x14ac:dyDescent="0.2">
      <c r="A2245" t="str">
        <f t="shared" ref="A2245:A2308" si="222">IF(K2245&lt;&gt;"",1,IF(D2245="x","x",""))</f>
        <v/>
      </c>
      <c r="X2245" t="str" cm="1">
        <f t="array" ref="X2245">IF(S2245="","",IF($I2245&lt;&gt;"",$I2245,INDEX($I$2:$I2244,ROW()-COUNTIFS($T$2:$T2244,"="&amp;$T2245,$S$2:$S2244,"&lt;&gt;"&amp;$S2245)-1)))</f>
        <v/>
      </c>
      <c r="Y2245" t="b">
        <f>IF(X2245&lt;&gt;"",VLOOKUP(X2245,game_rosters!$C$43:$E$64,3,FALSE))</f>
        <v>0</v>
      </c>
      <c r="Z2245" t="e" cm="1" vm="1">
        <f t="array" aca="1" ref="Z2245" ca="1">IFERROR(IF(_xlfn._xlws.FILTER(game_rosters!$J:$J,(game_rosters!$G:$G=events!$AN2245)*(game_rosters!$J:$J=events!$X2245))&gt;0,1,""),"")</f>
        <v>#VALUE!</v>
      </c>
      <c r="AA2245">
        <f t="shared" si="219"/>
        <v>1000</v>
      </c>
      <c r="AB2245" t="str">
        <f t="shared" si="220"/>
        <v/>
      </c>
      <c r="AC2245">
        <f t="shared" si="221"/>
        <v>1000</v>
      </c>
      <c r="AD2245" s="6"/>
    </row>
    <row r="2246" spans="1:30" x14ac:dyDescent="0.2">
      <c r="A2246" t="str">
        <f t="shared" si="222"/>
        <v/>
      </c>
      <c r="X2246" t="str" cm="1">
        <f t="array" ref="X2246">IF(S2246="","",IF($I2246&lt;&gt;"",$I2246,INDEX($I$2:$I2245,ROW()-COUNTIFS($T$2:$T2245,"="&amp;$T2246,$S$2:$S2245,"&lt;&gt;"&amp;$S2246)-1)))</f>
        <v/>
      </c>
      <c r="Y2246" t="b">
        <f>IF(X2246&lt;&gt;"",VLOOKUP(X2246,game_rosters!$C$43:$E$64,3,FALSE))</f>
        <v>0</v>
      </c>
      <c r="Z2246" t="e" cm="1" vm="1">
        <f t="array" aca="1" ref="Z2246" ca="1">IFERROR(IF(_xlfn._xlws.FILTER(game_rosters!$J:$J,(game_rosters!$G:$G=events!$AN2246)*(game_rosters!$J:$J=events!$X2246))&gt;0,1,""),"")</f>
        <v>#VALUE!</v>
      </c>
      <c r="AA2246">
        <f t="shared" si="219"/>
        <v>1000</v>
      </c>
      <c r="AB2246" t="str">
        <f t="shared" si="220"/>
        <v/>
      </c>
      <c r="AC2246">
        <f t="shared" si="221"/>
        <v>1000</v>
      </c>
      <c r="AD2246" s="6"/>
    </row>
    <row r="2247" spans="1:30" x14ac:dyDescent="0.2">
      <c r="A2247" t="str">
        <f t="shared" si="222"/>
        <v/>
      </c>
      <c r="X2247" t="str" cm="1">
        <f t="array" ref="X2247">IF(S2247="","",IF($I2247&lt;&gt;"",$I2247,INDEX($I$2:$I2246,ROW()-COUNTIFS($T$2:$T2246,"="&amp;$T2247,$S$2:$S2246,"&lt;&gt;"&amp;$S2247)-1)))</f>
        <v/>
      </c>
      <c r="Y2247" t="b">
        <f>IF(X2247&lt;&gt;"",VLOOKUP(X2247,game_rosters!$C$43:$E$64,3,FALSE))</f>
        <v>0</v>
      </c>
      <c r="Z2247" t="e" cm="1" vm="1">
        <f t="array" aca="1" ref="Z2247" ca="1">IFERROR(IF(_xlfn._xlws.FILTER(game_rosters!$J:$J,(game_rosters!$G:$G=events!$AN2247)*(game_rosters!$J:$J=events!$X2247))&gt;0,1,""),"")</f>
        <v>#VALUE!</v>
      </c>
      <c r="AA2247">
        <f t="shared" si="219"/>
        <v>1000</v>
      </c>
      <c r="AB2247" t="str">
        <f t="shared" si="220"/>
        <v/>
      </c>
      <c r="AC2247">
        <f t="shared" si="221"/>
        <v>1000</v>
      </c>
      <c r="AD2247" s="6"/>
    </row>
    <row r="2248" spans="1:30" x14ac:dyDescent="0.2">
      <c r="A2248" t="str">
        <f t="shared" si="222"/>
        <v/>
      </c>
      <c r="X2248" t="str" cm="1">
        <f t="array" ref="X2248">IF(S2248="","",IF($I2248&lt;&gt;"",$I2248,INDEX($I$2:$I2247,ROW()-COUNTIFS($T$2:$T2247,"="&amp;$T2248,$S$2:$S2247,"&lt;&gt;"&amp;$S2248)-1)))</f>
        <v/>
      </c>
      <c r="Y2248" t="b">
        <f>IF(X2248&lt;&gt;"",VLOOKUP(X2248,game_rosters!$C$43:$E$64,3,FALSE))</f>
        <v>0</v>
      </c>
      <c r="Z2248" t="e" cm="1" vm="1">
        <f t="array" aca="1" ref="Z2248" ca="1">IFERROR(IF(_xlfn._xlws.FILTER(game_rosters!$J:$J,(game_rosters!$G:$G=events!$AN2248)*(game_rosters!$J:$J=events!$X2248))&gt;0,1,""),"")</f>
        <v>#VALUE!</v>
      </c>
      <c r="AA2248">
        <f t="shared" si="219"/>
        <v>1000</v>
      </c>
      <c r="AB2248" t="str">
        <f t="shared" si="220"/>
        <v/>
      </c>
      <c r="AC2248">
        <f t="shared" si="221"/>
        <v>1000</v>
      </c>
      <c r="AD2248" s="6"/>
    </row>
    <row r="2249" spans="1:30" x14ac:dyDescent="0.2">
      <c r="A2249" t="str">
        <f t="shared" si="222"/>
        <v/>
      </c>
      <c r="X2249" t="str" cm="1">
        <f t="array" ref="X2249">IF(S2249="","",IF($I2249&lt;&gt;"",$I2249,INDEX($I$2:$I2248,ROW()-COUNTIFS($T$2:$T2248,"="&amp;$T2249,$S$2:$S2248,"&lt;&gt;"&amp;$S2249)-1)))</f>
        <v/>
      </c>
      <c r="Y2249" t="b">
        <f>IF(X2249&lt;&gt;"",VLOOKUP(X2249,game_rosters!$C$43:$E$64,3,FALSE))</f>
        <v>0</v>
      </c>
      <c r="Z2249" t="e" cm="1" vm="1">
        <f t="array" aca="1" ref="Z2249" ca="1">IFERROR(IF(_xlfn._xlws.FILTER(game_rosters!$J:$J,(game_rosters!$G:$G=events!$AN2249)*(game_rosters!$J:$J=events!$X2249))&gt;0,1,""),"")</f>
        <v>#VALUE!</v>
      </c>
      <c r="AA2249">
        <f t="shared" si="219"/>
        <v>1000</v>
      </c>
      <c r="AB2249" t="str">
        <f t="shared" si="220"/>
        <v/>
      </c>
      <c r="AC2249">
        <f t="shared" si="221"/>
        <v>1000</v>
      </c>
      <c r="AD2249" s="6"/>
    </row>
    <row r="2250" spans="1:30" x14ac:dyDescent="0.2">
      <c r="A2250" t="str">
        <f t="shared" si="222"/>
        <v/>
      </c>
      <c r="X2250" t="str" cm="1">
        <f t="array" ref="X2250">IF(S2250="","",IF($I2250&lt;&gt;"",$I2250,INDEX($I$2:$I2249,ROW()-COUNTIFS($T$2:$T2249,"="&amp;$T2250,$S$2:$S2249,"&lt;&gt;"&amp;$S2250)-1)))</f>
        <v/>
      </c>
      <c r="Y2250" t="b">
        <f>IF(X2250&lt;&gt;"",VLOOKUP(X2250,game_rosters!$C$43:$E$64,3,FALSE))</f>
        <v>0</v>
      </c>
      <c r="Z2250" t="e" cm="1" vm="1">
        <f t="array" aca="1" ref="Z2250" ca="1">IFERROR(IF(_xlfn._xlws.FILTER(game_rosters!$J:$J,(game_rosters!$G:$G=events!$AN2250)*(game_rosters!$J:$J=events!$X2250))&gt;0,1,""),"")</f>
        <v>#VALUE!</v>
      </c>
      <c r="AA2250">
        <f t="shared" si="219"/>
        <v>1000</v>
      </c>
      <c r="AB2250" t="str">
        <f t="shared" si="220"/>
        <v/>
      </c>
      <c r="AC2250">
        <f t="shared" si="221"/>
        <v>1000</v>
      </c>
      <c r="AD2250" s="6"/>
    </row>
    <row r="2251" spans="1:30" x14ac:dyDescent="0.2">
      <c r="A2251" t="str">
        <f t="shared" si="222"/>
        <v/>
      </c>
      <c r="X2251" t="str" cm="1">
        <f t="array" ref="X2251">IF(S2251="","",IF($I2251&lt;&gt;"",$I2251,INDEX($I$2:$I2250,ROW()-COUNTIFS($T$2:$T2250,"="&amp;$T2251,$S$2:$S2250,"&lt;&gt;"&amp;$S2251)-1)))</f>
        <v/>
      </c>
      <c r="Y2251" t="b">
        <f>IF(X2251&lt;&gt;"",VLOOKUP(X2251,game_rosters!$C$43:$E$64,3,FALSE))</f>
        <v>0</v>
      </c>
      <c r="Z2251" t="e" cm="1" vm="1">
        <f t="array" aca="1" ref="Z2251" ca="1">IFERROR(IF(_xlfn._xlws.FILTER(game_rosters!$J:$J,(game_rosters!$G:$G=events!$AN2251)*(game_rosters!$J:$J=events!$X2251))&gt;0,1,""),"")</f>
        <v>#VALUE!</v>
      </c>
      <c r="AA2251">
        <f t="shared" si="219"/>
        <v>1000</v>
      </c>
      <c r="AB2251" t="str">
        <f t="shared" si="220"/>
        <v/>
      </c>
      <c r="AC2251">
        <f t="shared" si="221"/>
        <v>1000</v>
      </c>
      <c r="AD2251" s="6"/>
    </row>
    <row r="2252" spans="1:30" x14ac:dyDescent="0.2">
      <c r="A2252" t="str">
        <f t="shared" si="222"/>
        <v/>
      </c>
      <c r="X2252" t="str" cm="1">
        <f t="array" ref="X2252">IF(S2252="","",IF($I2252&lt;&gt;"",$I2252,INDEX($I$2:$I2251,ROW()-COUNTIFS($T$2:$T2251,"="&amp;$T2252,$S$2:$S2251,"&lt;&gt;"&amp;$S2252)-1)))</f>
        <v/>
      </c>
      <c r="Y2252" t="b">
        <f>IF(X2252&lt;&gt;"",VLOOKUP(X2252,game_rosters!$C$43:$E$64,3,FALSE))</f>
        <v>0</v>
      </c>
      <c r="Z2252" t="e" cm="1" vm="1">
        <f t="array" aca="1" ref="Z2252" ca="1">IFERROR(IF(_xlfn._xlws.FILTER(game_rosters!$J:$J,(game_rosters!$G:$G=events!$AN2252)*(game_rosters!$J:$J=events!$X2252))&gt;0,1,""),"")</f>
        <v>#VALUE!</v>
      </c>
      <c r="AA2252">
        <f t="shared" si="219"/>
        <v>1000</v>
      </c>
      <c r="AB2252" t="str">
        <f t="shared" si="220"/>
        <v/>
      </c>
      <c r="AC2252">
        <f t="shared" si="221"/>
        <v>1000</v>
      </c>
      <c r="AD2252" s="6"/>
    </row>
    <row r="2253" spans="1:30" x14ac:dyDescent="0.2">
      <c r="A2253" t="str">
        <f t="shared" si="222"/>
        <v/>
      </c>
      <c r="X2253" t="str" cm="1">
        <f t="array" ref="X2253">IF(S2253="","",IF($I2253&lt;&gt;"",$I2253,INDEX($I$2:$I2252,ROW()-COUNTIFS($T$2:$T2252,"="&amp;$T2253,$S$2:$S2252,"&lt;&gt;"&amp;$S2253)-1)))</f>
        <v/>
      </c>
      <c r="Y2253" t="b">
        <f>IF(X2253&lt;&gt;"",VLOOKUP(X2253,game_rosters!$C$43:$E$64,3,FALSE))</f>
        <v>0</v>
      </c>
      <c r="Z2253" t="e" cm="1" vm="1">
        <f t="array" aca="1" ref="Z2253" ca="1">IFERROR(IF(_xlfn._xlws.FILTER(game_rosters!$J:$J,(game_rosters!$G:$G=events!$AN2253)*(game_rosters!$J:$J=events!$X2253))&gt;0,1,""),"")</f>
        <v>#VALUE!</v>
      </c>
      <c r="AA2253">
        <f t="shared" si="219"/>
        <v>1000</v>
      </c>
      <c r="AB2253" t="str">
        <f t="shared" si="220"/>
        <v/>
      </c>
      <c r="AC2253">
        <f t="shared" si="221"/>
        <v>1000</v>
      </c>
      <c r="AD2253" s="6"/>
    </row>
    <row r="2254" spans="1:30" x14ac:dyDescent="0.2">
      <c r="A2254" t="str">
        <f t="shared" si="222"/>
        <v/>
      </c>
      <c r="X2254" t="str" cm="1">
        <f t="array" ref="X2254">IF(S2254="","",IF($I2254&lt;&gt;"",$I2254,INDEX($I$2:$I2253,ROW()-COUNTIFS($T$2:$T2253,"="&amp;$T2254,$S$2:$S2253,"&lt;&gt;"&amp;$S2254)-1)))</f>
        <v/>
      </c>
      <c r="Y2254" t="b">
        <f>IF(X2254&lt;&gt;"",VLOOKUP(X2254,game_rosters!$C$43:$E$64,3,FALSE))</f>
        <v>0</v>
      </c>
      <c r="Z2254" t="e" cm="1" vm="1">
        <f t="array" aca="1" ref="Z2254" ca="1">IFERROR(IF(_xlfn._xlws.FILTER(game_rosters!$J:$J,(game_rosters!$G:$G=events!$AN2254)*(game_rosters!$J:$J=events!$X2254))&gt;0,1,""),"")</f>
        <v>#VALUE!</v>
      </c>
      <c r="AA2254">
        <f t="shared" si="219"/>
        <v>1000</v>
      </c>
      <c r="AB2254" t="str">
        <f t="shared" si="220"/>
        <v/>
      </c>
      <c r="AC2254">
        <f t="shared" si="221"/>
        <v>1000</v>
      </c>
      <c r="AD2254" s="6"/>
    </row>
    <row r="2255" spans="1:30" x14ac:dyDescent="0.2">
      <c r="A2255" t="str">
        <f t="shared" si="222"/>
        <v/>
      </c>
      <c r="X2255" t="str" cm="1">
        <f t="array" ref="X2255">IF(S2255="","",IF($I2255&lt;&gt;"",$I2255,INDEX($I$2:$I2254,ROW()-COUNTIFS($T$2:$T2254,"="&amp;$T2255,$S$2:$S2254,"&lt;&gt;"&amp;$S2255)-1)))</f>
        <v/>
      </c>
      <c r="Y2255" t="b">
        <f>IF(X2255&lt;&gt;"",VLOOKUP(X2255,game_rosters!$C$43:$E$64,3,FALSE))</f>
        <v>0</v>
      </c>
      <c r="Z2255" t="e" cm="1" vm="1">
        <f t="array" aca="1" ref="Z2255" ca="1">IFERROR(IF(_xlfn._xlws.FILTER(game_rosters!$J:$J,(game_rosters!$G:$G=events!$AN2255)*(game_rosters!$J:$J=events!$X2255))&gt;0,1,""),"")</f>
        <v>#VALUE!</v>
      </c>
      <c r="AA2255">
        <f t="shared" si="219"/>
        <v>1000</v>
      </c>
      <c r="AB2255" t="str">
        <f t="shared" si="220"/>
        <v/>
      </c>
      <c r="AC2255">
        <f t="shared" si="221"/>
        <v>1000</v>
      </c>
      <c r="AD2255" s="6"/>
    </row>
    <row r="2256" spans="1:30" x14ac:dyDescent="0.2">
      <c r="A2256" t="str">
        <f t="shared" si="222"/>
        <v/>
      </c>
      <c r="X2256" t="str" cm="1">
        <f t="array" ref="X2256">IF(S2256="","",IF($I2256&lt;&gt;"",$I2256,INDEX($I$2:$I2255,ROW()-COUNTIFS($T$2:$T2255,"="&amp;$T2256,$S$2:$S2255,"&lt;&gt;"&amp;$S2256)-1)))</f>
        <v/>
      </c>
      <c r="Y2256" t="b">
        <f>IF(X2256&lt;&gt;"",VLOOKUP(X2256,game_rosters!$C$43:$E$64,3,FALSE))</f>
        <v>0</v>
      </c>
      <c r="Z2256" t="e" cm="1" vm="1">
        <f t="array" aca="1" ref="Z2256" ca="1">IFERROR(IF(_xlfn._xlws.FILTER(game_rosters!$J:$J,(game_rosters!$G:$G=events!$AN2256)*(game_rosters!$J:$J=events!$X2256))&gt;0,1,""),"")</f>
        <v>#VALUE!</v>
      </c>
      <c r="AA2256">
        <f t="shared" si="219"/>
        <v>1000</v>
      </c>
      <c r="AB2256" t="str">
        <f t="shared" si="220"/>
        <v/>
      </c>
      <c r="AC2256">
        <f t="shared" si="221"/>
        <v>1000</v>
      </c>
      <c r="AD2256" s="6"/>
    </row>
    <row r="2257" spans="1:30" x14ac:dyDescent="0.2">
      <c r="A2257" t="str">
        <f t="shared" si="222"/>
        <v/>
      </c>
      <c r="X2257" t="str" cm="1">
        <f t="array" ref="X2257">IF(S2257="","",IF($I2257&lt;&gt;"",$I2257,INDEX($I$2:$I2256,ROW()-COUNTIFS($T$2:$T2256,"="&amp;$T2257,$S$2:$S2256,"&lt;&gt;"&amp;$S2257)-1)))</f>
        <v/>
      </c>
      <c r="Y2257" t="b">
        <f>IF(X2257&lt;&gt;"",VLOOKUP(X2257,game_rosters!$C$43:$E$64,3,FALSE))</f>
        <v>0</v>
      </c>
      <c r="Z2257" t="e" cm="1" vm="1">
        <f t="array" aca="1" ref="Z2257" ca="1">IFERROR(IF(_xlfn._xlws.FILTER(game_rosters!$J:$J,(game_rosters!$G:$G=events!$AN2257)*(game_rosters!$J:$J=events!$X2257))&gt;0,1,""),"")</f>
        <v>#VALUE!</v>
      </c>
      <c r="AA2257">
        <f t="shared" si="219"/>
        <v>1000</v>
      </c>
      <c r="AB2257" t="str">
        <f t="shared" si="220"/>
        <v/>
      </c>
      <c r="AC2257">
        <f t="shared" si="221"/>
        <v>1000</v>
      </c>
      <c r="AD2257" s="6"/>
    </row>
    <row r="2258" spans="1:30" x14ac:dyDescent="0.2">
      <c r="A2258" t="str">
        <f t="shared" si="222"/>
        <v/>
      </c>
      <c r="X2258" t="str" cm="1">
        <f t="array" ref="X2258">IF(S2258="","",IF($I2258&lt;&gt;"",$I2258,INDEX($I$2:$I2257,ROW()-COUNTIFS($T$2:$T2257,"="&amp;$T2258,$S$2:$S2257,"&lt;&gt;"&amp;$S2258)-1)))</f>
        <v/>
      </c>
      <c r="Y2258" t="b">
        <f>IF(X2258&lt;&gt;"",VLOOKUP(X2258,game_rosters!$C$43:$E$64,3,FALSE))</f>
        <v>0</v>
      </c>
      <c r="Z2258" t="e" cm="1" vm="1">
        <f t="array" aca="1" ref="Z2258" ca="1">IFERROR(IF(_xlfn._xlws.FILTER(game_rosters!$J:$J,(game_rosters!$G:$G=events!$AN2258)*(game_rosters!$J:$J=events!$X2258))&gt;0,1,""),"")</f>
        <v>#VALUE!</v>
      </c>
      <c r="AA2258">
        <f t="shared" si="219"/>
        <v>1000</v>
      </c>
      <c r="AB2258" t="str">
        <f t="shared" si="220"/>
        <v/>
      </c>
      <c r="AC2258">
        <f t="shared" si="221"/>
        <v>1000</v>
      </c>
      <c r="AD2258" s="6"/>
    </row>
    <row r="2259" spans="1:30" x14ac:dyDescent="0.2">
      <c r="A2259" t="str">
        <f t="shared" si="222"/>
        <v/>
      </c>
      <c r="X2259" t="str" cm="1">
        <f t="array" ref="X2259">IF(S2259="","",IF($I2259&lt;&gt;"",$I2259,INDEX($I$2:$I2258,ROW()-COUNTIFS($T$2:$T2258,"="&amp;$T2259,$S$2:$S2258,"&lt;&gt;"&amp;$S2259)-1)))</f>
        <v/>
      </c>
      <c r="Y2259" t="b">
        <f>IF(X2259&lt;&gt;"",VLOOKUP(X2259,game_rosters!$C$43:$E$64,3,FALSE))</f>
        <v>0</v>
      </c>
      <c r="Z2259" t="e" cm="1" vm="1">
        <f t="array" aca="1" ref="Z2259" ca="1">IFERROR(IF(_xlfn._xlws.FILTER(game_rosters!$J:$J,(game_rosters!$G:$G=events!$AN2259)*(game_rosters!$J:$J=events!$X2259))&gt;0,1,""),"")</f>
        <v>#VALUE!</v>
      </c>
      <c r="AA2259">
        <f t="shared" si="219"/>
        <v>1000</v>
      </c>
      <c r="AB2259" t="str">
        <f t="shared" si="220"/>
        <v/>
      </c>
      <c r="AC2259">
        <f t="shared" si="221"/>
        <v>1000</v>
      </c>
      <c r="AD2259" s="6"/>
    </row>
    <row r="2260" spans="1:30" x14ac:dyDescent="0.2">
      <c r="A2260" t="str">
        <f t="shared" si="222"/>
        <v/>
      </c>
      <c r="X2260" t="str" cm="1">
        <f t="array" ref="X2260">IF(S2260="","",IF($I2260&lt;&gt;"",$I2260,INDEX($I$2:$I2259,ROW()-COUNTIFS($T$2:$T2259,"="&amp;$T2260,$S$2:$S2259,"&lt;&gt;"&amp;$S2260)-1)))</f>
        <v/>
      </c>
      <c r="Y2260" t="b">
        <f>IF(X2260&lt;&gt;"",VLOOKUP(X2260,game_rosters!$C$43:$E$64,3,FALSE))</f>
        <v>0</v>
      </c>
      <c r="Z2260" t="e" cm="1" vm="1">
        <f t="array" aca="1" ref="Z2260" ca="1">IFERROR(IF(_xlfn._xlws.FILTER(game_rosters!$J:$J,(game_rosters!$G:$G=events!$AN2260)*(game_rosters!$J:$J=events!$X2260))&gt;0,1,""),"")</f>
        <v>#VALUE!</v>
      </c>
      <c r="AA2260">
        <f t="shared" si="219"/>
        <v>1000</v>
      </c>
      <c r="AB2260" t="str">
        <f t="shared" si="220"/>
        <v/>
      </c>
      <c r="AC2260">
        <f t="shared" si="221"/>
        <v>1000</v>
      </c>
      <c r="AD2260" s="6"/>
    </row>
    <row r="2261" spans="1:30" x14ac:dyDescent="0.2">
      <c r="A2261" t="str">
        <f t="shared" si="222"/>
        <v/>
      </c>
      <c r="X2261" t="str" cm="1">
        <f t="array" ref="X2261">IF(S2261="","",IF($I2261&lt;&gt;"",$I2261,INDEX($I$2:$I2260,ROW()-COUNTIFS($T$2:$T2260,"="&amp;$T2261,$S$2:$S2260,"&lt;&gt;"&amp;$S2261)-1)))</f>
        <v/>
      </c>
      <c r="Y2261" t="b">
        <f>IF(X2261&lt;&gt;"",VLOOKUP(X2261,game_rosters!$C$43:$E$64,3,FALSE))</f>
        <v>0</v>
      </c>
      <c r="Z2261" t="e" cm="1" vm="1">
        <f t="array" aca="1" ref="Z2261" ca="1">IFERROR(IF(_xlfn._xlws.FILTER(game_rosters!$J:$J,(game_rosters!$G:$G=events!$AN2261)*(game_rosters!$J:$J=events!$X2261))&gt;0,1,""),"")</f>
        <v>#VALUE!</v>
      </c>
      <c r="AA2261">
        <f t="shared" si="219"/>
        <v>1000</v>
      </c>
      <c r="AB2261" t="str">
        <f t="shared" si="220"/>
        <v/>
      </c>
      <c r="AC2261">
        <f t="shared" si="221"/>
        <v>1000</v>
      </c>
      <c r="AD2261" s="6"/>
    </row>
    <row r="2262" spans="1:30" x14ac:dyDescent="0.2">
      <c r="A2262" t="str">
        <f t="shared" si="222"/>
        <v/>
      </c>
      <c r="X2262" t="str" cm="1">
        <f t="array" ref="X2262">IF(S2262="","",IF($I2262&lt;&gt;"",$I2262,INDEX($I$2:$I2261,ROW()-COUNTIFS($T$2:$T2261,"="&amp;$T2262,$S$2:$S2261,"&lt;&gt;"&amp;$S2262)-1)))</f>
        <v/>
      </c>
      <c r="Y2262" t="b">
        <f>IF(X2262&lt;&gt;"",VLOOKUP(X2262,game_rosters!$C$43:$E$64,3,FALSE))</f>
        <v>0</v>
      </c>
      <c r="Z2262" t="e" cm="1" vm="1">
        <f t="array" aca="1" ref="Z2262" ca="1">IFERROR(IF(_xlfn._xlws.FILTER(game_rosters!$J:$J,(game_rosters!$G:$G=events!$AN2262)*(game_rosters!$J:$J=events!$X2262))&gt;0,1,""),"")</f>
        <v>#VALUE!</v>
      </c>
      <c r="AA2262">
        <f t="shared" si="219"/>
        <v>1000</v>
      </c>
      <c r="AB2262" t="str">
        <f t="shared" si="220"/>
        <v/>
      </c>
      <c r="AC2262">
        <f t="shared" si="221"/>
        <v>1000</v>
      </c>
      <c r="AD2262" s="6"/>
    </row>
    <row r="2263" spans="1:30" x14ac:dyDescent="0.2">
      <c r="A2263" t="str">
        <f t="shared" si="222"/>
        <v/>
      </c>
      <c r="X2263" t="str" cm="1">
        <f t="array" ref="X2263">IF(S2263="","",IF($I2263&lt;&gt;"",$I2263,INDEX($I$2:$I2262,ROW()-COUNTIFS($T$2:$T2262,"="&amp;$T2263,$S$2:$S2262,"&lt;&gt;"&amp;$S2263)-1)))</f>
        <v/>
      </c>
      <c r="Y2263" t="b">
        <f>IF(X2263&lt;&gt;"",VLOOKUP(X2263,game_rosters!$C$43:$E$64,3,FALSE))</f>
        <v>0</v>
      </c>
      <c r="Z2263" t="e" cm="1" vm="1">
        <f t="array" aca="1" ref="Z2263" ca="1">IFERROR(IF(_xlfn._xlws.FILTER(game_rosters!$J:$J,(game_rosters!$G:$G=events!$AN2263)*(game_rosters!$J:$J=events!$X2263))&gt;0,1,""),"")</f>
        <v>#VALUE!</v>
      </c>
      <c r="AA2263">
        <f t="shared" si="219"/>
        <v>1000</v>
      </c>
      <c r="AB2263" t="str">
        <f t="shared" si="220"/>
        <v/>
      </c>
      <c r="AC2263">
        <f t="shared" si="221"/>
        <v>1000</v>
      </c>
      <c r="AD2263" s="6"/>
    </row>
    <row r="2264" spans="1:30" x14ac:dyDescent="0.2">
      <c r="A2264" t="str">
        <f t="shared" si="222"/>
        <v/>
      </c>
      <c r="X2264" t="str" cm="1">
        <f t="array" ref="X2264">IF(S2264="","",IF($I2264&lt;&gt;"",$I2264,INDEX($I$2:$I2263,ROW()-COUNTIFS($T$2:$T2263,"="&amp;$T2264,$S$2:$S2263,"&lt;&gt;"&amp;$S2264)-1)))</f>
        <v/>
      </c>
      <c r="Y2264" t="b">
        <f>IF(X2264&lt;&gt;"",VLOOKUP(X2264,game_rosters!$C$43:$E$64,3,FALSE))</f>
        <v>0</v>
      </c>
      <c r="Z2264" t="e" cm="1" vm="1">
        <f t="array" aca="1" ref="Z2264" ca="1">IFERROR(IF(_xlfn._xlws.FILTER(game_rosters!$J:$J,(game_rosters!$G:$G=events!$AN2264)*(game_rosters!$J:$J=events!$X2264))&gt;0,1,""),"")</f>
        <v>#VALUE!</v>
      </c>
      <c r="AA2264">
        <f t="shared" si="219"/>
        <v>1000</v>
      </c>
      <c r="AB2264" t="str">
        <f t="shared" si="220"/>
        <v/>
      </c>
      <c r="AC2264">
        <f t="shared" si="221"/>
        <v>1000</v>
      </c>
      <c r="AD2264" s="6"/>
    </row>
    <row r="2265" spans="1:30" x14ac:dyDescent="0.2">
      <c r="A2265" t="str">
        <f t="shared" si="222"/>
        <v/>
      </c>
      <c r="X2265" t="str" cm="1">
        <f t="array" ref="X2265">IF(S2265="","",IF($I2265&lt;&gt;"",$I2265,INDEX($I$2:$I2264,ROW()-COUNTIFS($T$2:$T2264,"="&amp;$T2265,$S$2:$S2264,"&lt;&gt;"&amp;$S2265)-1)))</f>
        <v/>
      </c>
      <c r="Y2265" t="b">
        <f>IF(X2265&lt;&gt;"",VLOOKUP(X2265,game_rosters!$C$43:$E$64,3,FALSE))</f>
        <v>0</v>
      </c>
      <c r="Z2265" t="e" cm="1" vm="1">
        <f t="array" aca="1" ref="Z2265" ca="1">IFERROR(IF(_xlfn._xlws.FILTER(game_rosters!$J:$J,(game_rosters!$G:$G=events!$AN2265)*(game_rosters!$J:$J=events!$X2265))&gt;0,1,""),"")</f>
        <v>#VALUE!</v>
      </c>
      <c r="AA2265">
        <f t="shared" si="219"/>
        <v>1000</v>
      </c>
      <c r="AB2265" t="str">
        <f t="shared" si="220"/>
        <v/>
      </c>
      <c r="AC2265">
        <f t="shared" si="221"/>
        <v>1000</v>
      </c>
      <c r="AD2265" s="6"/>
    </row>
    <row r="2266" spans="1:30" x14ac:dyDescent="0.2">
      <c r="A2266" t="str">
        <f t="shared" si="222"/>
        <v/>
      </c>
      <c r="X2266" t="str" cm="1">
        <f t="array" ref="X2266">IF(S2266="","",IF($I2266&lt;&gt;"",$I2266,INDEX($I$2:$I2265,ROW()-COUNTIFS($T$2:$T2265,"="&amp;$T2266,$S$2:$S2265,"&lt;&gt;"&amp;$S2266)-1)))</f>
        <v/>
      </c>
      <c r="Y2266" t="b">
        <f>IF(X2266&lt;&gt;"",VLOOKUP(X2266,game_rosters!$C$43:$E$64,3,FALSE))</f>
        <v>0</v>
      </c>
      <c r="Z2266" t="e" cm="1" vm="1">
        <f t="array" aca="1" ref="Z2266" ca="1">IFERROR(IF(_xlfn._xlws.FILTER(game_rosters!$J:$J,(game_rosters!$G:$G=events!$AN2266)*(game_rosters!$J:$J=events!$X2266))&gt;0,1,""),"")</f>
        <v>#VALUE!</v>
      </c>
      <c r="AA2266">
        <f t="shared" si="219"/>
        <v>1000</v>
      </c>
      <c r="AB2266" t="str">
        <f t="shared" si="220"/>
        <v/>
      </c>
      <c r="AC2266">
        <f t="shared" si="221"/>
        <v>1000</v>
      </c>
      <c r="AD2266" s="6"/>
    </row>
    <row r="2267" spans="1:30" x14ac:dyDescent="0.2">
      <c r="A2267" t="str">
        <f t="shared" si="222"/>
        <v/>
      </c>
      <c r="X2267" t="str" cm="1">
        <f t="array" ref="X2267">IF(S2267="","",IF($I2267&lt;&gt;"",$I2267,INDEX($I$2:$I2266,ROW()-COUNTIFS($T$2:$T2266,"="&amp;$T2267,$S$2:$S2266,"&lt;&gt;"&amp;$S2267)-1)))</f>
        <v/>
      </c>
      <c r="Y2267" t="b">
        <f>IF(X2267&lt;&gt;"",VLOOKUP(X2267,game_rosters!$C$43:$E$64,3,FALSE))</f>
        <v>0</v>
      </c>
      <c r="Z2267" t="e" cm="1" vm="1">
        <f t="array" aca="1" ref="Z2267" ca="1">IFERROR(IF(_xlfn._xlws.FILTER(game_rosters!$J:$J,(game_rosters!$G:$G=events!$AN2267)*(game_rosters!$J:$J=events!$X2267))&gt;0,1,""),"")</f>
        <v>#VALUE!</v>
      </c>
      <c r="AA2267">
        <f t="shared" si="219"/>
        <v>1000</v>
      </c>
      <c r="AB2267" t="str">
        <f t="shared" si="220"/>
        <v/>
      </c>
      <c r="AC2267">
        <f t="shared" si="221"/>
        <v>1000</v>
      </c>
      <c r="AD2267" s="6"/>
    </row>
    <row r="2268" spans="1:30" x14ac:dyDescent="0.2">
      <c r="A2268" t="str">
        <f t="shared" si="222"/>
        <v/>
      </c>
      <c r="X2268" t="str" cm="1">
        <f t="array" ref="X2268">IF(S2268="","",IF($I2268&lt;&gt;"",$I2268,INDEX($I$2:$I2267,ROW()-COUNTIFS($T$2:$T2267,"="&amp;$T2268,$S$2:$S2267,"&lt;&gt;"&amp;$S2268)-1)))</f>
        <v/>
      </c>
      <c r="Y2268" t="b">
        <f>IF(X2268&lt;&gt;"",VLOOKUP(X2268,game_rosters!$C$43:$E$64,3,FALSE))</f>
        <v>0</v>
      </c>
      <c r="Z2268" t="e" cm="1" vm="1">
        <f t="array" aca="1" ref="Z2268" ca="1">IFERROR(IF(_xlfn._xlws.FILTER(game_rosters!$J:$J,(game_rosters!$G:$G=events!$AN2268)*(game_rosters!$J:$J=events!$X2268))&gt;0,1,""),"")</f>
        <v>#VALUE!</v>
      </c>
      <c r="AA2268">
        <f t="shared" si="219"/>
        <v>1000</v>
      </c>
      <c r="AB2268" t="str">
        <f t="shared" si="220"/>
        <v/>
      </c>
      <c r="AC2268">
        <f t="shared" si="221"/>
        <v>1000</v>
      </c>
      <c r="AD2268" s="6"/>
    </row>
    <row r="2269" spans="1:30" x14ac:dyDescent="0.2">
      <c r="A2269" t="str">
        <f t="shared" si="222"/>
        <v/>
      </c>
      <c r="X2269" t="str" cm="1">
        <f t="array" ref="X2269">IF(S2269="","",IF($I2269&lt;&gt;"",$I2269,INDEX($I$2:$I2268,ROW()-COUNTIFS($T$2:$T2268,"="&amp;$T2269,$S$2:$S2268,"&lt;&gt;"&amp;$S2269)-1)))</f>
        <v/>
      </c>
      <c r="Y2269" t="b">
        <f>IF(X2269&lt;&gt;"",VLOOKUP(X2269,game_rosters!$C$43:$E$64,3,FALSE))</f>
        <v>0</v>
      </c>
      <c r="Z2269" t="e" cm="1" vm="1">
        <f t="array" aca="1" ref="Z2269" ca="1">IFERROR(IF(_xlfn._xlws.FILTER(game_rosters!$J:$J,(game_rosters!$G:$G=events!$AN2269)*(game_rosters!$J:$J=events!$X2269))&gt;0,1,""),"")</f>
        <v>#VALUE!</v>
      </c>
      <c r="AA2269">
        <f t="shared" ref="AA2269:AA2332" si="223">S2269+1000</f>
        <v>1000</v>
      </c>
      <c r="AB2269" t="str">
        <f t="shared" ref="AB2269:AB2332" si="224">IF(T2269&lt;&gt;"",9000+T2269,"")</f>
        <v/>
      </c>
      <c r="AC2269">
        <f t="shared" si="221"/>
        <v>1000</v>
      </c>
      <c r="AD2269" s="6"/>
    </row>
    <row r="2270" spans="1:30" x14ac:dyDescent="0.2">
      <c r="A2270" t="str">
        <f t="shared" si="222"/>
        <v/>
      </c>
      <c r="X2270" t="str" cm="1">
        <f t="array" ref="X2270">IF(S2270="","",IF($I2270&lt;&gt;"",$I2270,INDEX($I$2:$I2269,ROW()-COUNTIFS($T$2:$T2269,"="&amp;$T2270,$S$2:$S2269,"&lt;&gt;"&amp;$S2270)-1)))</f>
        <v/>
      </c>
      <c r="Y2270" t="b">
        <f>IF(X2270&lt;&gt;"",VLOOKUP(X2270,game_rosters!$C$43:$E$64,3,FALSE))</f>
        <v>0</v>
      </c>
      <c r="Z2270" t="e" cm="1" vm="1">
        <f t="array" aca="1" ref="Z2270" ca="1">IFERROR(IF(_xlfn._xlws.FILTER(game_rosters!$J:$J,(game_rosters!$G:$G=events!$AN2270)*(game_rosters!$J:$J=events!$X2270))&gt;0,1,""),"")</f>
        <v>#VALUE!</v>
      </c>
      <c r="AA2270">
        <f t="shared" si="223"/>
        <v>1000</v>
      </c>
      <c r="AB2270" t="str">
        <f t="shared" si="224"/>
        <v/>
      </c>
      <c r="AC2270">
        <f t="shared" si="221"/>
        <v>1000</v>
      </c>
      <c r="AD2270" s="6"/>
    </row>
    <row r="2271" spans="1:30" x14ac:dyDescent="0.2">
      <c r="A2271" t="str">
        <f t="shared" si="222"/>
        <v/>
      </c>
      <c r="X2271" t="str" cm="1">
        <f t="array" ref="X2271">IF(S2271="","",IF($I2271&lt;&gt;"",$I2271,INDEX($I$2:$I2270,ROW()-COUNTIFS($T$2:$T2270,"="&amp;$T2271,$S$2:$S2270,"&lt;&gt;"&amp;$S2271)-1)))</f>
        <v/>
      </c>
      <c r="Y2271" t="b">
        <f>IF(X2271&lt;&gt;"",VLOOKUP(X2271,game_rosters!$C$43:$E$64,3,FALSE))</f>
        <v>0</v>
      </c>
      <c r="Z2271" t="e" cm="1" vm="1">
        <f t="array" aca="1" ref="Z2271" ca="1">IFERROR(IF(_xlfn._xlws.FILTER(game_rosters!$J:$J,(game_rosters!$G:$G=events!$AN2271)*(game_rosters!$J:$J=events!$X2271))&gt;0,1,""),"")</f>
        <v>#VALUE!</v>
      </c>
      <c r="AA2271">
        <f t="shared" si="223"/>
        <v>1000</v>
      </c>
      <c r="AB2271" t="str">
        <f t="shared" si="224"/>
        <v/>
      </c>
      <c r="AC2271">
        <f t="shared" si="221"/>
        <v>1000</v>
      </c>
      <c r="AD2271" s="6"/>
    </row>
    <row r="2272" spans="1:30" x14ac:dyDescent="0.2">
      <c r="A2272" t="str">
        <f t="shared" si="222"/>
        <v/>
      </c>
      <c r="X2272" t="str" cm="1">
        <f t="array" ref="X2272">IF(S2272="","",IF($I2272&lt;&gt;"",$I2272,INDEX($I$2:$I2271,ROW()-COUNTIFS($T$2:$T2271,"="&amp;$T2272,$S$2:$S2271,"&lt;&gt;"&amp;$S2272)-1)))</f>
        <v/>
      </c>
      <c r="Y2272" t="b">
        <f>IF(X2272&lt;&gt;"",VLOOKUP(X2272,game_rosters!$C$43:$E$64,3,FALSE))</f>
        <v>0</v>
      </c>
      <c r="Z2272" t="e" cm="1" vm="1">
        <f t="array" aca="1" ref="Z2272" ca="1">IFERROR(IF(_xlfn._xlws.FILTER(game_rosters!$J:$J,(game_rosters!$G:$G=events!$AN2272)*(game_rosters!$J:$J=events!$X2272))&gt;0,1,""),"")</f>
        <v>#VALUE!</v>
      </c>
      <c r="AA2272">
        <f t="shared" si="223"/>
        <v>1000</v>
      </c>
      <c r="AB2272" t="str">
        <f t="shared" si="224"/>
        <v/>
      </c>
      <c r="AC2272">
        <f t="shared" si="221"/>
        <v>1000</v>
      </c>
      <c r="AD2272" s="6"/>
    </row>
    <row r="2273" spans="1:30" x14ac:dyDescent="0.2">
      <c r="A2273" t="str">
        <f t="shared" si="222"/>
        <v/>
      </c>
      <c r="X2273" t="str" cm="1">
        <f t="array" ref="X2273">IF(S2273="","",IF($I2273&lt;&gt;"",$I2273,INDEX($I$2:$I2272,ROW()-COUNTIFS($T$2:$T2272,"="&amp;$T2273,$S$2:$S2272,"&lt;&gt;"&amp;$S2273)-1)))</f>
        <v/>
      </c>
      <c r="Y2273" t="b">
        <f>IF(X2273&lt;&gt;"",VLOOKUP(X2273,game_rosters!$C$43:$E$64,3,FALSE))</f>
        <v>0</v>
      </c>
      <c r="Z2273" t="e" cm="1" vm="1">
        <f t="array" aca="1" ref="Z2273" ca="1">IFERROR(IF(_xlfn._xlws.FILTER(game_rosters!$J:$J,(game_rosters!$G:$G=events!$AN2273)*(game_rosters!$J:$J=events!$X2273))&gt;0,1,""),"")</f>
        <v>#VALUE!</v>
      </c>
      <c r="AA2273">
        <f t="shared" si="223"/>
        <v>1000</v>
      </c>
      <c r="AB2273" t="str">
        <f t="shared" si="224"/>
        <v/>
      </c>
      <c r="AC2273">
        <f t="shared" si="221"/>
        <v>1000</v>
      </c>
      <c r="AD2273" s="6"/>
    </row>
    <row r="2274" spans="1:30" x14ac:dyDescent="0.2">
      <c r="A2274" t="str">
        <f t="shared" si="222"/>
        <v/>
      </c>
      <c r="X2274" t="str" cm="1">
        <f t="array" ref="X2274">IF(S2274="","",IF($I2274&lt;&gt;"",$I2274,INDEX($I$2:$I2273,ROW()-COUNTIFS($T$2:$T2273,"="&amp;$T2274,$S$2:$S2273,"&lt;&gt;"&amp;$S2274)-1)))</f>
        <v/>
      </c>
      <c r="Y2274" t="b">
        <f>IF(X2274&lt;&gt;"",VLOOKUP(X2274,game_rosters!$C$43:$E$64,3,FALSE))</f>
        <v>0</v>
      </c>
      <c r="Z2274" t="e" cm="1" vm="1">
        <f t="array" aca="1" ref="Z2274" ca="1">IFERROR(IF(_xlfn._xlws.FILTER(game_rosters!$J:$J,(game_rosters!$G:$G=events!$AN2274)*(game_rosters!$J:$J=events!$X2274))&gt;0,1,""),"")</f>
        <v>#VALUE!</v>
      </c>
      <c r="AA2274">
        <f t="shared" si="223"/>
        <v>1000</v>
      </c>
      <c r="AB2274" t="str">
        <f t="shared" si="224"/>
        <v/>
      </c>
      <c r="AC2274">
        <f t="shared" si="221"/>
        <v>1000</v>
      </c>
      <c r="AD2274" s="6"/>
    </row>
    <row r="2275" spans="1:30" x14ac:dyDescent="0.2">
      <c r="A2275" t="str">
        <f t="shared" si="222"/>
        <v/>
      </c>
      <c r="X2275" t="str" cm="1">
        <f t="array" ref="X2275">IF(S2275="","",IF($I2275&lt;&gt;"",$I2275,INDEX($I$2:$I2274,ROW()-COUNTIFS($T$2:$T2274,"="&amp;$T2275,$S$2:$S2274,"&lt;&gt;"&amp;$S2275)-1)))</f>
        <v/>
      </c>
      <c r="Y2275" t="b">
        <f>IF(X2275&lt;&gt;"",VLOOKUP(X2275,game_rosters!$C$43:$E$64,3,FALSE))</f>
        <v>0</v>
      </c>
      <c r="Z2275" t="e" cm="1" vm="1">
        <f t="array" aca="1" ref="Z2275" ca="1">IFERROR(IF(_xlfn._xlws.FILTER(game_rosters!$J:$J,(game_rosters!$G:$G=events!$AN2275)*(game_rosters!$J:$J=events!$X2275))&gt;0,1,""),"")</f>
        <v>#VALUE!</v>
      </c>
      <c r="AA2275">
        <f t="shared" si="223"/>
        <v>1000</v>
      </c>
      <c r="AB2275" t="str">
        <f t="shared" si="224"/>
        <v/>
      </c>
      <c r="AC2275">
        <f t="shared" si="221"/>
        <v>1000</v>
      </c>
      <c r="AD2275" s="6"/>
    </row>
    <row r="2276" spans="1:30" x14ac:dyDescent="0.2">
      <c r="A2276" t="str">
        <f t="shared" si="222"/>
        <v/>
      </c>
      <c r="X2276" t="str" cm="1">
        <f t="array" ref="X2276">IF(S2276="","",IF($I2276&lt;&gt;"",$I2276,INDEX($I$2:$I2275,ROW()-COUNTIFS($T$2:$T2275,"="&amp;$T2276,$S$2:$S2275,"&lt;&gt;"&amp;$S2276)-1)))</f>
        <v/>
      </c>
      <c r="Y2276" t="b">
        <f>IF(X2276&lt;&gt;"",VLOOKUP(X2276,game_rosters!$C$43:$E$64,3,FALSE))</f>
        <v>0</v>
      </c>
      <c r="Z2276" t="e" cm="1" vm="1">
        <f t="array" aca="1" ref="Z2276" ca="1">IFERROR(IF(_xlfn._xlws.FILTER(game_rosters!$J:$J,(game_rosters!$G:$G=events!$AN2276)*(game_rosters!$J:$J=events!$X2276))&gt;0,1,""),"")</f>
        <v>#VALUE!</v>
      </c>
      <c r="AA2276">
        <f t="shared" si="223"/>
        <v>1000</v>
      </c>
      <c r="AB2276" t="str">
        <f t="shared" si="224"/>
        <v/>
      </c>
      <c r="AC2276">
        <f t="shared" si="221"/>
        <v>1000</v>
      </c>
      <c r="AD2276" s="6"/>
    </row>
    <row r="2277" spans="1:30" x14ac:dyDescent="0.2">
      <c r="A2277" t="str">
        <f t="shared" si="222"/>
        <v/>
      </c>
      <c r="X2277" t="str" cm="1">
        <f t="array" ref="X2277">IF(S2277="","",IF($I2277&lt;&gt;"",$I2277,INDEX($I$2:$I2276,ROW()-COUNTIFS($T$2:$T2276,"="&amp;$T2277,$S$2:$S2276,"&lt;&gt;"&amp;$S2277)-1)))</f>
        <v/>
      </c>
      <c r="Y2277" t="b">
        <f>IF(X2277&lt;&gt;"",VLOOKUP(X2277,game_rosters!$C$43:$E$64,3,FALSE))</f>
        <v>0</v>
      </c>
      <c r="Z2277" t="e" cm="1" vm="1">
        <f t="array" aca="1" ref="Z2277" ca="1">IFERROR(IF(_xlfn._xlws.FILTER(game_rosters!$J:$J,(game_rosters!$G:$G=events!$AN2277)*(game_rosters!$J:$J=events!$X2277))&gt;0,1,""),"")</f>
        <v>#VALUE!</v>
      </c>
      <c r="AA2277">
        <f t="shared" si="223"/>
        <v>1000</v>
      </c>
      <c r="AB2277" t="str">
        <f t="shared" si="224"/>
        <v/>
      </c>
      <c r="AC2277">
        <f t="shared" si="221"/>
        <v>1000</v>
      </c>
      <c r="AD2277" s="6"/>
    </row>
    <row r="2278" spans="1:30" x14ac:dyDescent="0.2">
      <c r="A2278" t="str">
        <f t="shared" si="222"/>
        <v/>
      </c>
      <c r="X2278" t="str" cm="1">
        <f t="array" ref="X2278">IF(S2278="","",IF($I2278&lt;&gt;"",$I2278,INDEX($I$2:$I2277,ROW()-COUNTIFS($T$2:$T2277,"="&amp;$T2278,$S$2:$S2277,"&lt;&gt;"&amp;$S2278)-1)))</f>
        <v/>
      </c>
      <c r="Y2278" t="b">
        <f>IF(X2278&lt;&gt;"",VLOOKUP(X2278,game_rosters!$C$43:$E$64,3,FALSE))</f>
        <v>0</v>
      </c>
      <c r="Z2278" t="e" cm="1" vm="1">
        <f t="array" aca="1" ref="Z2278" ca="1">IFERROR(IF(_xlfn._xlws.FILTER(game_rosters!$J:$J,(game_rosters!$G:$G=events!$AN2278)*(game_rosters!$J:$J=events!$X2278))&gt;0,1,""),"")</f>
        <v>#VALUE!</v>
      </c>
      <c r="AA2278">
        <f t="shared" si="223"/>
        <v>1000</v>
      </c>
      <c r="AB2278" t="str">
        <f t="shared" si="224"/>
        <v/>
      </c>
      <c r="AC2278">
        <f t="shared" si="221"/>
        <v>1000</v>
      </c>
      <c r="AD2278" s="6"/>
    </row>
    <row r="2279" spans="1:30" x14ac:dyDescent="0.2">
      <c r="A2279" t="str">
        <f t="shared" si="222"/>
        <v/>
      </c>
      <c r="X2279" t="str" cm="1">
        <f t="array" ref="X2279">IF(S2279="","",IF($I2279&lt;&gt;"",$I2279,INDEX($I$2:$I2278,ROW()-COUNTIFS($T$2:$T2278,"="&amp;$T2279,$S$2:$S2278,"&lt;&gt;"&amp;$S2279)-1)))</f>
        <v/>
      </c>
      <c r="Y2279" t="b">
        <f>IF(X2279&lt;&gt;"",VLOOKUP(X2279,game_rosters!$C$43:$E$64,3,FALSE))</f>
        <v>0</v>
      </c>
      <c r="Z2279" t="e" cm="1" vm="1">
        <f t="array" aca="1" ref="Z2279" ca="1">IFERROR(IF(_xlfn._xlws.FILTER(game_rosters!$J:$J,(game_rosters!$G:$G=events!$AN2279)*(game_rosters!$J:$J=events!$X2279))&gt;0,1,""),"")</f>
        <v>#VALUE!</v>
      </c>
      <c r="AA2279">
        <f t="shared" si="223"/>
        <v>1000</v>
      </c>
      <c r="AB2279" t="str">
        <f t="shared" si="224"/>
        <v/>
      </c>
      <c r="AC2279">
        <f t="shared" si="221"/>
        <v>1000</v>
      </c>
      <c r="AD2279" s="6"/>
    </row>
    <row r="2280" spans="1:30" x14ac:dyDescent="0.2">
      <c r="A2280" t="str">
        <f t="shared" si="222"/>
        <v/>
      </c>
      <c r="X2280" t="str" cm="1">
        <f t="array" ref="X2280">IF(S2280="","",IF($I2280&lt;&gt;"",$I2280,INDEX($I$2:$I2279,ROW()-COUNTIFS($T$2:$T2279,"="&amp;$T2280,$S$2:$S2279,"&lt;&gt;"&amp;$S2280)-1)))</f>
        <v/>
      </c>
      <c r="Y2280" t="b">
        <f>IF(X2280&lt;&gt;"",VLOOKUP(X2280,game_rosters!$C$43:$E$64,3,FALSE))</f>
        <v>0</v>
      </c>
      <c r="Z2280" t="e" cm="1" vm="1">
        <f t="array" aca="1" ref="Z2280" ca="1">IFERROR(IF(_xlfn._xlws.FILTER(game_rosters!$J:$J,(game_rosters!$G:$G=events!$AN2280)*(game_rosters!$J:$J=events!$X2280))&gt;0,1,""),"")</f>
        <v>#VALUE!</v>
      </c>
      <c r="AA2280">
        <f t="shared" si="223"/>
        <v>1000</v>
      </c>
      <c r="AB2280" t="str">
        <f t="shared" si="224"/>
        <v/>
      </c>
      <c r="AC2280">
        <f t="shared" si="221"/>
        <v>1000</v>
      </c>
      <c r="AD2280" s="6"/>
    </row>
    <row r="2281" spans="1:30" x14ac:dyDescent="0.2">
      <c r="A2281" t="str">
        <f t="shared" si="222"/>
        <v/>
      </c>
      <c r="X2281" t="str" cm="1">
        <f t="array" ref="X2281">IF(S2281="","",IF($I2281&lt;&gt;"",$I2281,INDEX($I$2:$I2280,ROW()-COUNTIFS($T$2:$T2280,"="&amp;$T2281,$S$2:$S2280,"&lt;&gt;"&amp;$S2281)-1)))</f>
        <v/>
      </c>
      <c r="Y2281" t="b">
        <f>IF(X2281&lt;&gt;"",VLOOKUP(X2281,game_rosters!$C$43:$E$64,3,FALSE))</f>
        <v>0</v>
      </c>
      <c r="Z2281" t="e" cm="1" vm="1">
        <f t="array" aca="1" ref="Z2281" ca="1">IFERROR(IF(_xlfn._xlws.FILTER(game_rosters!$J:$J,(game_rosters!$G:$G=events!$AN2281)*(game_rosters!$J:$J=events!$X2281))&gt;0,1,""),"")</f>
        <v>#VALUE!</v>
      </c>
      <c r="AA2281">
        <f t="shared" si="223"/>
        <v>1000</v>
      </c>
      <c r="AB2281" t="str">
        <f t="shared" si="224"/>
        <v/>
      </c>
      <c r="AC2281">
        <f t="shared" si="221"/>
        <v>1000</v>
      </c>
      <c r="AD2281" s="6"/>
    </row>
    <row r="2282" spans="1:30" x14ac:dyDescent="0.2">
      <c r="A2282" t="str">
        <f t="shared" si="222"/>
        <v/>
      </c>
      <c r="X2282" t="str" cm="1">
        <f t="array" ref="X2282">IF(S2282="","",IF($I2282&lt;&gt;"",$I2282,INDEX($I$2:$I2281,ROW()-COUNTIFS($T$2:$T2281,"="&amp;$T2282,$S$2:$S2281,"&lt;&gt;"&amp;$S2282)-1)))</f>
        <v/>
      </c>
      <c r="Y2282" t="b">
        <f>IF(X2282&lt;&gt;"",VLOOKUP(X2282,game_rosters!$C$43:$E$64,3,FALSE))</f>
        <v>0</v>
      </c>
      <c r="Z2282" t="e" cm="1" vm="1">
        <f t="array" aca="1" ref="Z2282" ca="1">IFERROR(IF(_xlfn._xlws.FILTER(game_rosters!$J:$J,(game_rosters!$G:$G=events!$AN2282)*(game_rosters!$J:$J=events!$X2282))&gt;0,1,""),"")</f>
        <v>#VALUE!</v>
      </c>
      <c r="AA2282">
        <f t="shared" si="223"/>
        <v>1000</v>
      </c>
      <c r="AB2282" t="str">
        <f t="shared" si="224"/>
        <v/>
      </c>
      <c r="AC2282">
        <f t="shared" si="221"/>
        <v>1000</v>
      </c>
      <c r="AD2282" s="6"/>
    </row>
    <row r="2283" spans="1:30" x14ac:dyDescent="0.2">
      <c r="A2283" t="str">
        <f t="shared" si="222"/>
        <v/>
      </c>
      <c r="X2283" t="str" cm="1">
        <f t="array" ref="X2283">IF(S2283="","",IF($I2283&lt;&gt;"",$I2283,INDEX($I$2:$I2282,ROW()-COUNTIFS($T$2:$T2282,"="&amp;$T2283,$S$2:$S2282,"&lt;&gt;"&amp;$S2283)-1)))</f>
        <v/>
      </c>
      <c r="Y2283" t="b">
        <f>IF(X2283&lt;&gt;"",VLOOKUP(X2283,game_rosters!$C$43:$E$64,3,FALSE))</f>
        <v>0</v>
      </c>
      <c r="Z2283" t="e" cm="1" vm="1">
        <f t="array" aca="1" ref="Z2283" ca="1">IFERROR(IF(_xlfn._xlws.FILTER(game_rosters!$J:$J,(game_rosters!$G:$G=events!$AN2283)*(game_rosters!$J:$J=events!$X2283))&gt;0,1,""),"")</f>
        <v>#VALUE!</v>
      </c>
      <c r="AA2283">
        <f t="shared" si="223"/>
        <v>1000</v>
      </c>
      <c r="AB2283" t="str">
        <f t="shared" si="224"/>
        <v/>
      </c>
      <c r="AC2283">
        <f t="shared" si="221"/>
        <v>1000</v>
      </c>
      <c r="AD2283" s="6"/>
    </row>
    <row r="2284" spans="1:30" x14ac:dyDescent="0.2">
      <c r="A2284" t="str">
        <f t="shared" si="222"/>
        <v/>
      </c>
      <c r="X2284" t="str" cm="1">
        <f t="array" ref="X2284">IF(S2284="","",IF($I2284&lt;&gt;"",$I2284,INDEX($I$2:$I2283,ROW()-COUNTIFS($T$2:$T2283,"="&amp;$T2284,$S$2:$S2283,"&lt;&gt;"&amp;$S2284)-1)))</f>
        <v/>
      </c>
      <c r="Y2284" t="b">
        <f>IF(X2284&lt;&gt;"",VLOOKUP(X2284,game_rosters!$C$43:$E$64,3,FALSE))</f>
        <v>0</v>
      </c>
      <c r="Z2284" t="e" cm="1" vm="1">
        <f t="array" aca="1" ref="Z2284" ca="1">IFERROR(IF(_xlfn._xlws.FILTER(game_rosters!$J:$J,(game_rosters!$G:$G=events!$AN2284)*(game_rosters!$J:$J=events!$X2284))&gt;0,1,""),"")</f>
        <v>#VALUE!</v>
      </c>
      <c r="AA2284">
        <f t="shared" si="223"/>
        <v>1000</v>
      </c>
      <c r="AB2284" t="str">
        <f t="shared" si="224"/>
        <v/>
      </c>
      <c r="AC2284">
        <f t="shared" si="221"/>
        <v>1000</v>
      </c>
      <c r="AD2284" s="6"/>
    </row>
    <row r="2285" spans="1:30" x14ac:dyDescent="0.2">
      <c r="A2285" t="str">
        <f t="shared" si="222"/>
        <v/>
      </c>
      <c r="X2285" t="str" cm="1">
        <f t="array" ref="X2285">IF(S2285="","",IF($I2285&lt;&gt;"",$I2285,INDEX($I$2:$I2284,ROW()-COUNTIFS($T$2:$T2284,"="&amp;$T2285,$S$2:$S2284,"&lt;&gt;"&amp;$S2285)-1)))</f>
        <v/>
      </c>
      <c r="Y2285" t="b">
        <f>IF(X2285&lt;&gt;"",VLOOKUP(X2285,game_rosters!$C$43:$E$64,3,FALSE))</f>
        <v>0</v>
      </c>
      <c r="Z2285" t="e" cm="1" vm="1">
        <f t="array" aca="1" ref="Z2285" ca="1">IFERROR(IF(_xlfn._xlws.FILTER(game_rosters!$J:$J,(game_rosters!$G:$G=events!$AN2285)*(game_rosters!$J:$J=events!$X2285))&gt;0,1,""),"")</f>
        <v>#VALUE!</v>
      </c>
      <c r="AA2285">
        <f t="shared" si="223"/>
        <v>1000</v>
      </c>
      <c r="AB2285" t="str">
        <f t="shared" si="224"/>
        <v/>
      </c>
      <c r="AC2285">
        <f t="shared" si="221"/>
        <v>1000</v>
      </c>
      <c r="AD2285" s="6"/>
    </row>
    <row r="2286" spans="1:30" x14ac:dyDescent="0.2">
      <c r="A2286" t="str">
        <f t="shared" si="222"/>
        <v/>
      </c>
      <c r="X2286" t="str" cm="1">
        <f t="array" ref="X2286">IF(S2286="","",IF($I2286&lt;&gt;"",$I2286,INDEX($I$2:$I2285,ROW()-COUNTIFS($T$2:$T2285,"="&amp;$T2286,$S$2:$S2285,"&lt;&gt;"&amp;$S2286)-1)))</f>
        <v/>
      </c>
      <c r="Y2286" t="b">
        <f>IF(X2286&lt;&gt;"",VLOOKUP(X2286,game_rosters!$C$43:$E$64,3,FALSE))</f>
        <v>0</v>
      </c>
      <c r="Z2286" t="e" cm="1" vm="1">
        <f t="array" aca="1" ref="Z2286" ca="1">IFERROR(IF(_xlfn._xlws.FILTER(game_rosters!$J:$J,(game_rosters!$G:$G=events!$AN2286)*(game_rosters!$J:$J=events!$X2286))&gt;0,1,""),"")</f>
        <v>#VALUE!</v>
      </c>
      <c r="AA2286">
        <f t="shared" si="223"/>
        <v>1000</v>
      </c>
      <c r="AB2286" t="str">
        <f t="shared" si="224"/>
        <v/>
      </c>
      <c r="AC2286">
        <f t="shared" si="221"/>
        <v>1000</v>
      </c>
      <c r="AD2286" s="6"/>
    </row>
    <row r="2287" spans="1:30" x14ac:dyDescent="0.2">
      <c r="A2287" t="str">
        <f t="shared" si="222"/>
        <v/>
      </c>
      <c r="X2287" t="str" cm="1">
        <f t="array" ref="X2287">IF(S2287="","",IF($I2287&lt;&gt;"",$I2287,INDEX($I$2:$I2286,ROW()-COUNTIFS($T$2:$T2286,"="&amp;$T2287,$S$2:$S2286,"&lt;&gt;"&amp;$S2287)-1)))</f>
        <v/>
      </c>
      <c r="Y2287" t="b">
        <f>IF(X2287&lt;&gt;"",VLOOKUP(X2287,game_rosters!$C$43:$E$64,3,FALSE))</f>
        <v>0</v>
      </c>
      <c r="Z2287" t="e" cm="1" vm="1">
        <f t="array" aca="1" ref="Z2287" ca="1">IFERROR(IF(_xlfn._xlws.FILTER(game_rosters!$J:$J,(game_rosters!$G:$G=events!$AN2287)*(game_rosters!$J:$J=events!$X2287))&gt;0,1,""),"")</f>
        <v>#VALUE!</v>
      </c>
      <c r="AA2287">
        <f t="shared" si="223"/>
        <v>1000</v>
      </c>
      <c r="AB2287" t="str">
        <f t="shared" si="224"/>
        <v/>
      </c>
      <c r="AC2287">
        <f t="shared" si="221"/>
        <v>1000</v>
      </c>
      <c r="AD2287" s="6"/>
    </row>
    <row r="2288" spans="1:30" x14ac:dyDescent="0.2">
      <c r="A2288" t="str">
        <f t="shared" si="222"/>
        <v/>
      </c>
      <c r="X2288" t="str" cm="1">
        <f t="array" ref="X2288">IF(S2288="","",IF($I2288&lt;&gt;"",$I2288,INDEX($I$2:$I2287,ROW()-COUNTIFS($T$2:$T2287,"="&amp;$T2288,$S$2:$S2287,"&lt;&gt;"&amp;$S2288)-1)))</f>
        <v/>
      </c>
      <c r="Y2288" t="b">
        <f>IF(X2288&lt;&gt;"",VLOOKUP(X2288,game_rosters!$C$43:$E$64,3,FALSE))</f>
        <v>0</v>
      </c>
      <c r="Z2288" t="e" cm="1" vm="1">
        <f t="array" aca="1" ref="Z2288" ca="1">IFERROR(IF(_xlfn._xlws.FILTER(game_rosters!$J:$J,(game_rosters!$G:$G=events!$AN2288)*(game_rosters!$J:$J=events!$X2288))&gt;0,1,""),"")</f>
        <v>#VALUE!</v>
      </c>
      <c r="AA2288">
        <f t="shared" si="223"/>
        <v>1000</v>
      </c>
      <c r="AB2288" t="str">
        <f t="shared" si="224"/>
        <v/>
      </c>
      <c r="AC2288">
        <f t="shared" si="221"/>
        <v>1000</v>
      </c>
      <c r="AD2288" s="6"/>
    </row>
    <row r="2289" spans="1:30" x14ac:dyDescent="0.2">
      <c r="A2289" t="str">
        <f t="shared" si="222"/>
        <v/>
      </c>
      <c r="X2289" t="str" cm="1">
        <f t="array" ref="X2289">IF(S2289="","",IF($I2289&lt;&gt;"",$I2289,INDEX($I$2:$I2288,ROW()-COUNTIFS($T$2:$T2288,"="&amp;$T2289,$S$2:$S2288,"&lt;&gt;"&amp;$S2289)-1)))</f>
        <v/>
      </c>
      <c r="Y2289" t="b">
        <f>IF(X2289&lt;&gt;"",VLOOKUP(X2289,game_rosters!$C$43:$E$64,3,FALSE))</f>
        <v>0</v>
      </c>
      <c r="Z2289" t="e" cm="1" vm="1">
        <f t="array" aca="1" ref="Z2289" ca="1">IFERROR(IF(_xlfn._xlws.FILTER(game_rosters!$J:$J,(game_rosters!$G:$G=events!$AN2289)*(game_rosters!$J:$J=events!$X2289))&gt;0,1,""),"")</f>
        <v>#VALUE!</v>
      </c>
      <c r="AA2289">
        <f t="shared" si="223"/>
        <v>1000</v>
      </c>
      <c r="AB2289" t="str">
        <f t="shared" si="224"/>
        <v/>
      </c>
      <c r="AC2289">
        <f t="shared" si="221"/>
        <v>1000</v>
      </c>
      <c r="AD2289" s="6"/>
    </row>
    <row r="2290" spans="1:30" x14ac:dyDescent="0.2">
      <c r="A2290" t="str">
        <f t="shared" si="222"/>
        <v/>
      </c>
      <c r="X2290" t="str" cm="1">
        <f t="array" ref="X2290">IF(S2290="","",IF($I2290&lt;&gt;"",$I2290,INDEX($I$2:$I2289,ROW()-COUNTIFS($T$2:$T2289,"="&amp;$T2290,$S$2:$S2289,"&lt;&gt;"&amp;$S2290)-1)))</f>
        <v/>
      </c>
      <c r="Y2290" t="b">
        <f>IF(X2290&lt;&gt;"",VLOOKUP(X2290,game_rosters!$C$43:$E$64,3,FALSE))</f>
        <v>0</v>
      </c>
      <c r="Z2290" t="e" cm="1" vm="1">
        <f t="array" aca="1" ref="Z2290" ca="1">IFERROR(IF(_xlfn._xlws.FILTER(game_rosters!$J:$J,(game_rosters!$G:$G=events!$AN2290)*(game_rosters!$J:$J=events!$X2290))&gt;0,1,""),"")</f>
        <v>#VALUE!</v>
      </c>
      <c r="AA2290">
        <f t="shared" si="223"/>
        <v>1000</v>
      </c>
      <c r="AB2290" t="str">
        <f t="shared" si="224"/>
        <v/>
      </c>
      <c r="AC2290">
        <f t="shared" si="221"/>
        <v>1000</v>
      </c>
      <c r="AD2290" s="6"/>
    </row>
    <row r="2291" spans="1:30" x14ac:dyDescent="0.2">
      <c r="A2291" t="str">
        <f t="shared" si="222"/>
        <v/>
      </c>
      <c r="X2291" t="str" cm="1">
        <f t="array" ref="X2291">IF(S2291="","",IF($I2291&lt;&gt;"",$I2291,INDEX($I$2:$I2290,ROW()-COUNTIFS($T$2:$T2290,"="&amp;$T2291,$S$2:$S2290,"&lt;&gt;"&amp;$S2291)-1)))</f>
        <v/>
      </c>
      <c r="Y2291" t="b">
        <f>IF(X2291&lt;&gt;"",VLOOKUP(X2291,game_rosters!$C$43:$E$64,3,FALSE))</f>
        <v>0</v>
      </c>
      <c r="Z2291" t="e" cm="1" vm="1">
        <f t="array" aca="1" ref="Z2291" ca="1">IFERROR(IF(_xlfn._xlws.FILTER(game_rosters!$J:$J,(game_rosters!$G:$G=events!$AN2291)*(game_rosters!$J:$J=events!$X2291))&gt;0,1,""),"")</f>
        <v>#VALUE!</v>
      </c>
      <c r="AA2291">
        <f t="shared" si="223"/>
        <v>1000</v>
      </c>
      <c r="AB2291" t="str">
        <f t="shared" si="224"/>
        <v/>
      </c>
      <c r="AC2291">
        <f t="shared" si="221"/>
        <v>1000</v>
      </c>
      <c r="AD2291" s="6"/>
    </row>
    <row r="2292" spans="1:30" x14ac:dyDescent="0.2">
      <c r="A2292" t="str">
        <f t="shared" si="222"/>
        <v/>
      </c>
      <c r="X2292" t="str" cm="1">
        <f t="array" ref="X2292">IF(S2292="","",IF($I2292&lt;&gt;"",$I2292,INDEX($I$2:$I2291,ROW()-COUNTIFS($T$2:$T2291,"="&amp;$T2292,$S$2:$S2291,"&lt;&gt;"&amp;$S2292)-1)))</f>
        <v/>
      </c>
      <c r="Y2292" t="b">
        <f>IF(X2292&lt;&gt;"",VLOOKUP(X2292,game_rosters!$C$43:$E$64,3,FALSE))</f>
        <v>0</v>
      </c>
      <c r="Z2292" t="e" cm="1" vm="1">
        <f t="array" aca="1" ref="Z2292" ca="1">IFERROR(IF(_xlfn._xlws.FILTER(game_rosters!$J:$J,(game_rosters!$G:$G=events!$AN2292)*(game_rosters!$J:$J=events!$X2292))&gt;0,1,""),"")</f>
        <v>#VALUE!</v>
      </c>
      <c r="AA2292">
        <f t="shared" si="223"/>
        <v>1000</v>
      </c>
      <c r="AB2292" t="str">
        <f t="shared" si="224"/>
        <v/>
      </c>
      <c r="AC2292">
        <f t="shared" si="221"/>
        <v>1000</v>
      </c>
      <c r="AD2292" s="6"/>
    </row>
    <row r="2293" spans="1:30" x14ac:dyDescent="0.2">
      <c r="A2293" t="str">
        <f t="shared" si="222"/>
        <v/>
      </c>
      <c r="X2293" t="str" cm="1">
        <f t="array" ref="X2293">IF(S2293="","",IF($I2293&lt;&gt;"",$I2293,INDEX($I$2:$I2292,ROW()-COUNTIFS($T$2:$T2292,"="&amp;$T2293,$S$2:$S2292,"&lt;&gt;"&amp;$S2293)-1)))</f>
        <v/>
      </c>
      <c r="Y2293" t="b">
        <f>IF(X2293&lt;&gt;"",VLOOKUP(X2293,game_rosters!$C$43:$E$64,3,FALSE))</f>
        <v>0</v>
      </c>
      <c r="Z2293" t="e" cm="1" vm="1">
        <f t="array" aca="1" ref="Z2293" ca="1">IFERROR(IF(_xlfn._xlws.FILTER(game_rosters!$J:$J,(game_rosters!$G:$G=events!$AN2293)*(game_rosters!$J:$J=events!$X2293))&gt;0,1,""),"")</f>
        <v>#VALUE!</v>
      </c>
      <c r="AA2293">
        <f t="shared" si="223"/>
        <v>1000</v>
      </c>
      <c r="AB2293" t="str">
        <f t="shared" si="224"/>
        <v/>
      </c>
      <c r="AC2293">
        <f t="shared" si="221"/>
        <v>1000</v>
      </c>
      <c r="AD2293" s="6"/>
    </row>
    <row r="2294" spans="1:30" x14ac:dyDescent="0.2">
      <c r="A2294" t="str">
        <f t="shared" si="222"/>
        <v/>
      </c>
      <c r="X2294" t="str" cm="1">
        <f t="array" ref="X2294">IF(S2294="","",IF($I2294&lt;&gt;"",$I2294,INDEX($I$2:$I2293,ROW()-COUNTIFS($T$2:$T2293,"="&amp;$T2294,$S$2:$S2293,"&lt;&gt;"&amp;$S2294)-1)))</f>
        <v/>
      </c>
      <c r="Y2294" t="b">
        <f>IF(X2294&lt;&gt;"",VLOOKUP(X2294,game_rosters!$C$43:$E$64,3,FALSE))</f>
        <v>0</v>
      </c>
      <c r="Z2294" t="e" cm="1" vm="1">
        <f t="array" aca="1" ref="Z2294" ca="1">IFERROR(IF(_xlfn._xlws.FILTER(game_rosters!$J:$J,(game_rosters!$G:$G=events!$AN2294)*(game_rosters!$J:$J=events!$X2294))&gt;0,1,""),"")</f>
        <v>#VALUE!</v>
      </c>
      <c r="AA2294">
        <f t="shared" si="223"/>
        <v>1000</v>
      </c>
      <c r="AB2294" t="str">
        <f t="shared" si="224"/>
        <v/>
      </c>
      <c r="AC2294">
        <f t="shared" si="221"/>
        <v>1000</v>
      </c>
      <c r="AD2294" s="6"/>
    </row>
    <row r="2295" spans="1:30" x14ac:dyDescent="0.2">
      <c r="A2295" t="str">
        <f t="shared" si="222"/>
        <v/>
      </c>
      <c r="X2295" t="str" cm="1">
        <f t="array" ref="X2295">IF(S2295="","",IF($I2295&lt;&gt;"",$I2295,INDEX($I$2:$I2294,ROW()-COUNTIFS($T$2:$T2294,"="&amp;$T2295,$S$2:$S2294,"&lt;&gt;"&amp;$S2295)-1)))</f>
        <v/>
      </c>
      <c r="Y2295" t="b">
        <f>IF(X2295&lt;&gt;"",VLOOKUP(X2295,game_rosters!$C$43:$E$64,3,FALSE))</f>
        <v>0</v>
      </c>
      <c r="Z2295" t="e" cm="1" vm="1">
        <f t="array" aca="1" ref="Z2295" ca="1">IFERROR(IF(_xlfn._xlws.FILTER(game_rosters!$J:$J,(game_rosters!$G:$G=events!$AN2295)*(game_rosters!$J:$J=events!$X2295))&gt;0,1,""),"")</f>
        <v>#VALUE!</v>
      </c>
      <c r="AA2295">
        <f t="shared" si="223"/>
        <v>1000</v>
      </c>
      <c r="AB2295" t="str">
        <f t="shared" si="224"/>
        <v/>
      </c>
      <c r="AC2295">
        <f t="shared" si="221"/>
        <v>1000</v>
      </c>
      <c r="AD2295" s="6"/>
    </row>
    <row r="2296" spans="1:30" x14ac:dyDescent="0.2">
      <c r="A2296" t="str">
        <f t="shared" si="222"/>
        <v/>
      </c>
      <c r="X2296" t="str" cm="1">
        <f t="array" ref="X2296">IF(S2296="","",IF($I2296&lt;&gt;"",$I2296,INDEX($I$2:$I2295,ROW()-COUNTIFS($T$2:$T2295,"="&amp;$T2296,$S$2:$S2295,"&lt;&gt;"&amp;$S2296)-1)))</f>
        <v/>
      </c>
      <c r="Y2296" t="b">
        <f>IF(X2296&lt;&gt;"",VLOOKUP(X2296,game_rosters!$C$43:$E$64,3,FALSE))</f>
        <v>0</v>
      </c>
      <c r="Z2296" t="e" cm="1" vm="1">
        <f t="array" aca="1" ref="Z2296" ca="1">IFERROR(IF(_xlfn._xlws.FILTER(game_rosters!$J:$J,(game_rosters!$G:$G=events!$AN2296)*(game_rosters!$J:$J=events!$X2296))&gt;0,1,""),"")</f>
        <v>#VALUE!</v>
      </c>
      <c r="AA2296">
        <f t="shared" si="223"/>
        <v>1000</v>
      </c>
      <c r="AB2296" t="str">
        <f t="shared" si="224"/>
        <v/>
      </c>
      <c r="AC2296">
        <f t="shared" si="221"/>
        <v>1000</v>
      </c>
      <c r="AD2296" s="6"/>
    </row>
    <row r="2297" spans="1:30" x14ac:dyDescent="0.2">
      <c r="A2297" t="str">
        <f t="shared" si="222"/>
        <v/>
      </c>
      <c r="X2297" t="str" cm="1">
        <f t="array" ref="X2297">IF(S2297="","",IF($I2297&lt;&gt;"",$I2297,INDEX($I$2:$I2296,ROW()-COUNTIFS($T$2:$T2296,"="&amp;$T2297,$S$2:$S2296,"&lt;&gt;"&amp;$S2297)-1)))</f>
        <v/>
      </c>
      <c r="Y2297" t="b">
        <f>IF(X2297&lt;&gt;"",VLOOKUP(X2297,game_rosters!$C$43:$E$64,3,FALSE))</f>
        <v>0</v>
      </c>
      <c r="Z2297" t="e" cm="1" vm="1">
        <f t="array" aca="1" ref="Z2297" ca="1">IFERROR(IF(_xlfn._xlws.FILTER(game_rosters!$J:$J,(game_rosters!$G:$G=events!$AN2297)*(game_rosters!$J:$J=events!$X2297))&gt;0,1,""),"")</f>
        <v>#VALUE!</v>
      </c>
      <c r="AA2297">
        <f t="shared" si="223"/>
        <v>1000</v>
      </c>
      <c r="AB2297" t="str">
        <f t="shared" si="224"/>
        <v/>
      </c>
      <c r="AC2297">
        <f t="shared" si="221"/>
        <v>1000</v>
      </c>
      <c r="AD2297" s="6"/>
    </row>
    <row r="2298" spans="1:30" x14ac:dyDescent="0.2">
      <c r="A2298" t="str">
        <f t="shared" si="222"/>
        <v/>
      </c>
      <c r="X2298" t="str" cm="1">
        <f t="array" ref="X2298">IF(S2298="","",IF($I2298&lt;&gt;"",$I2298,INDEX($I$2:$I2297,ROW()-COUNTIFS($T$2:$T2297,"="&amp;$T2298,$S$2:$S2297,"&lt;&gt;"&amp;$S2298)-1)))</f>
        <v/>
      </c>
      <c r="Y2298" t="b">
        <f>IF(X2298&lt;&gt;"",VLOOKUP(X2298,game_rosters!$C$43:$E$64,3,FALSE))</f>
        <v>0</v>
      </c>
      <c r="Z2298" t="e" cm="1" vm="1">
        <f t="array" aca="1" ref="Z2298" ca="1">IFERROR(IF(_xlfn._xlws.FILTER(game_rosters!$J:$J,(game_rosters!$G:$G=events!$AN2298)*(game_rosters!$J:$J=events!$X2298))&gt;0,1,""),"")</f>
        <v>#VALUE!</v>
      </c>
      <c r="AA2298">
        <f t="shared" si="223"/>
        <v>1000</v>
      </c>
      <c r="AB2298" t="str">
        <f t="shared" si="224"/>
        <v/>
      </c>
      <c r="AC2298">
        <f t="shared" si="221"/>
        <v>1000</v>
      </c>
      <c r="AD2298" s="6"/>
    </row>
    <row r="2299" spans="1:30" x14ac:dyDescent="0.2">
      <c r="A2299" t="str">
        <f t="shared" si="222"/>
        <v/>
      </c>
      <c r="X2299" t="str" cm="1">
        <f t="array" ref="X2299">IF(S2299="","",IF($I2299&lt;&gt;"",$I2299,INDEX($I$2:$I2298,ROW()-COUNTIFS($T$2:$T2298,"="&amp;$T2299,$S$2:$S2298,"&lt;&gt;"&amp;$S2299)-1)))</f>
        <v/>
      </c>
      <c r="Y2299" t="b">
        <f>IF(X2299&lt;&gt;"",VLOOKUP(X2299,game_rosters!$C$43:$E$64,3,FALSE))</f>
        <v>0</v>
      </c>
      <c r="Z2299" t="e" cm="1" vm="1">
        <f t="array" aca="1" ref="Z2299" ca="1">IFERROR(IF(_xlfn._xlws.FILTER(game_rosters!$J:$J,(game_rosters!$G:$G=events!$AN2299)*(game_rosters!$J:$J=events!$X2299))&gt;0,1,""),"")</f>
        <v>#VALUE!</v>
      </c>
      <c r="AA2299">
        <f t="shared" si="223"/>
        <v>1000</v>
      </c>
      <c r="AB2299" t="str">
        <f t="shared" si="224"/>
        <v/>
      </c>
      <c r="AC2299">
        <f t="shared" si="221"/>
        <v>1000</v>
      </c>
      <c r="AD2299" s="6"/>
    </row>
    <row r="2300" spans="1:30" x14ac:dyDescent="0.2">
      <c r="A2300" t="str">
        <f t="shared" si="222"/>
        <v/>
      </c>
      <c r="X2300" t="str" cm="1">
        <f t="array" ref="X2300">IF(S2300="","",IF($I2300&lt;&gt;"",$I2300,INDEX($I$2:$I2299,ROW()-COUNTIFS($T$2:$T2299,"="&amp;$T2300,$S$2:$S2299,"&lt;&gt;"&amp;$S2300)-1)))</f>
        <v/>
      </c>
      <c r="Y2300" t="b">
        <f>IF(X2300&lt;&gt;"",VLOOKUP(X2300,game_rosters!$C$43:$E$64,3,FALSE))</f>
        <v>0</v>
      </c>
      <c r="Z2300" t="e" cm="1" vm="1">
        <f t="array" aca="1" ref="Z2300" ca="1">IFERROR(IF(_xlfn._xlws.FILTER(game_rosters!$J:$J,(game_rosters!$G:$G=events!$AN2300)*(game_rosters!$J:$J=events!$X2300))&gt;0,1,""),"")</f>
        <v>#VALUE!</v>
      </c>
      <c r="AA2300">
        <f t="shared" si="223"/>
        <v>1000</v>
      </c>
      <c r="AB2300" t="str">
        <f t="shared" si="224"/>
        <v/>
      </c>
      <c r="AC2300">
        <f t="shared" si="221"/>
        <v>1000</v>
      </c>
      <c r="AD2300" s="6"/>
    </row>
    <row r="2301" spans="1:30" x14ac:dyDescent="0.2">
      <c r="A2301" t="str">
        <f t="shared" si="222"/>
        <v/>
      </c>
      <c r="X2301" t="str" cm="1">
        <f t="array" ref="X2301">IF(S2301="","",IF($I2301&lt;&gt;"",$I2301,INDEX($I$2:$I2300,ROW()-COUNTIFS($T$2:$T2300,"="&amp;$T2301,$S$2:$S2300,"&lt;&gt;"&amp;$S2301)-1)))</f>
        <v/>
      </c>
      <c r="Y2301" t="b">
        <f>IF(X2301&lt;&gt;"",VLOOKUP(X2301,game_rosters!$C$43:$E$64,3,FALSE))</f>
        <v>0</v>
      </c>
      <c r="Z2301" t="e" cm="1" vm="1">
        <f t="array" aca="1" ref="Z2301" ca="1">IFERROR(IF(_xlfn._xlws.FILTER(game_rosters!$J:$J,(game_rosters!$G:$G=events!$AN2301)*(game_rosters!$J:$J=events!$X2301))&gt;0,1,""),"")</f>
        <v>#VALUE!</v>
      </c>
      <c r="AA2301">
        <f t="shared" si="223"/>
        <v>1000</v>
      </c>
      <c r="AB2301" t="str">
        <f t="shared" si="224"/>
        <v/>
      </c>
      <c r="AC2301">
        <f t="shared" si="221"/>
        <v>1000</v>
      </c>
      <c r="AD2301" s="6"/>
    </row>
    <row r="2302" spans="1:30" x14ac:dyDescent="0.2">
      <c r="A2302" t="str">
        <f t="shared" si="222"/>
        <v/>
      </c>
      <c r="X2302" t="str" cm="1">
        <f t="array" ref="X2302">IF(S2302="","",IF($I2302&lt;&gt;"",$I2302,INDEX($I$2:$I2301,ROW()-COUNTIFS($T$2:$T2301,"="&amp;$T2302,$S$2:$S2301,"&lt;&gt;"&amp;$S2302)-1)))</f>
        <v/>
      </c>
      <c r="Y2302" t="b">
        <f>IF(X2302&lt;&gt;"",VLOOKUP(X2302,game_rosters!$C$43:$E$64,3,FALSE))</f>
        <v>0</v>
      </c>
      <c r="Z2302" t="e" cm="1" vm="1">
        <f t="array" aca="1" ref="Z2302" ca="1">IFERROR(IF(_xlfn._xlws.FILTER(game_rosters!$J:$J,(game_rosters!$G:$G=events!$AN2302)*(game_rosters!$J:$J=events!$X2302))&gt;0,1,""),"")</f>
        <v>#VALUE!</v>
      </c>
      <c r="AA2302">
        <f t="shared" si="223"/>
        <v>1000</v>
      </c>
      <c r="AB2302" t="str">
        <f t="shared" si="224"/>
        <v/>
      </c>
      <c r="AC2302">
        <f t="shared" si="221"/>
        <v>1000</v>
      </c>
      <c r="AD2302" s="6"/>
    </row>
    <row r="2303" spans="1:30" x14ac:dyDescent="0.2">
      <c r="A2303" t="str">
        <f t="shared" si="222"/>
        <v/>
      </c>
      <c r="X2303" t="str" cm="1">
        <f t="array" ref="X2303">IF(S2303="","",IF($I2303&lt;&gt;"",$I2303,INDEX($I$2:$I2302,ROW()-COUNTIFS($T$2:$T2302,"="&amp;$T2303,$S$2:$S2302,"&lt;&gt;"&amp;$S2303)-1)))</f>
        <v/>
      </c>
      <c r="Y2303" t="b">
        <f>IF(X2303&lt;&gt;"",VLOOKUP(X2303,game_rosters!$C$43:$E$64,3,FALSE))</f>
        <v>0</v>
      </c>
      <c r="Z2303" t="e" cm="1" vm="1">
        <f t="array" aca="1" ref="Z2303" ca="1">IFERROR(IF(_xlfn._xlws.FILTER(game_rosters!$J:$J,(game_rosters!$G:$G=events!$AN2303)*(game_rosters!$J:$J=events!$X2303))&gt;0,1,""),"")</f>
        <v>#VALUE!</v>
      </c>
      <c r="AA2303">
        <f t="shared" si="223"/>
        <v>1000</v>
      </c>
      <c r="AB2303" t="str">
        <f t="shared" si="224"/>
        <v/>
      </c>
      <c r="AC2303">
        <f t="shared" si="221"/>
        <v>1000</v>
      </c>
      <c r="AD2303" s="6"/>
    </row>
    <row r="2304" spans="1:30" x14ac:dyDescent="0.2">
      <c r="A2304" t="str">
        <f t="shared" si="222"/>
        <v/>
      </c>
      <c r="X2304" t="str" cm="1">
        <f t="array" ref="X2304">IF(S2304="","",IF($I2304&lt;&gt;"",$I2304,INDEX($I$2:$I2303,ROW()-COUNTIFS($T$2:$T2303,"="&amp;$T2304,$S$2:$S2303,"&lt;&gt;"&amp;$S2304)-1)))</f>
        <v/>
      </c>
      <c r="Y2304" t="b">
        <f>IF(X2304&lt;&gt;"",VLOOKUP(X2304,game_rosters!$C$43:$E$64,3,FALSE))</f>
        <v>0</v>
      </c>
      <c r="Z2304" t="e" cm="1" vm="1">
        <f t="array" aca="1" ref="Z2304" ca="1">IFERROR(IF(_xlfn._xlws.FILTER(game_rosters!$J:$J,(game_rosters!$G:$G=events!$AN2304)*(game_rosters!$J:$J=events!$X2304))&gt;0,1,""),"")</f>
        <v>#VALUE!</v>
      </c>
      <c r="AA2304">
        <f t="shared" si="223"/>
        <v>1000</v>
      </c>
      <c r="AB2304" t="str">
        <f t="shared" si="224"/>
        <v/>
      </c>
      <c r="AC2304">
        <f t="shared" si="221"/>
        <v>1000</v>
      </c>
      <c r="AD2304" s="6"/>
    </row>
    <row r="2305" spans="1:30" x14ac:dyDescent="0.2">
      <c r="A2305" t="str">
        <f t="shared" si="222"/>
        <v/>
      </c>
      <c r="X2305" t="str" cm="1">
        <f t="array" ref="X2305">IF(S2305="","",IF($I2305&lt;&gt;"",$I2305,INDEX($I$2:$I2304,ROW()-COUNTIFS($T$2:$T2304,"="&amp;$T2305,$S$2:$S2304,"&lt;&gt;"&amp;$S2305)-1)))</f>
        <v/>
      </c>
      <c r="Y2305" t="b">
        <f>IF(X2305&lt;&gt;"",VLOOKUP(X2305,game_rosters!$C$43:$E$64,3,FALSE))</f>
        <v>0</v>
      </c>
      <c r="Z2305" t="e" cm="1" vm="1">
        <f t="array" aca="1" ref="Z2305" ca="1">IFERROR(IF(_xlfn._xlws.FILTER(game_rosters!$J:$J,(game_rosters!$G:$G=events!$AN2305)*(game_rosters!$J:$J=events!$X2305))&gt;0,1,""),"")</f>
        <v>#VALUE!</v>
      </c>
      <c r="AA2305">
        <f t="shared" si="223"/>
        <v>1000</v>
      </c>
      <c r="AB2305" t="str">
        <f t="shared" si="224"/>
        <v/>
      </c>
      <c r="AC2305">
        <f t="shared" si="221"/>
        <v>1000</v>
      </c>
      <c r="AD2305" s="6"/>
    </row>
    <row r="2306" spans="1:30" x14ac:dyDescent="0.2">
      <c r="A2306" t="str">
        <f t="shared" si="222"/>
        <v/>
      </c>
      <c r="X2306" t="str" cm="1">
        <f t="array" ref="X2306">IF(S2306="","",IF($I2306&lt;&gt;"",$I2306,INDEX($I$2:$I2305,ROW()-COUNTIFS($T$2:$T2305,"="&amp;$T2306,$S$2:$S2305,"&lt;&gt;"&amp;$S2306)-1)))</f>
        <v/>
      </c>
      <c r="Y2306" t="b">
        <f>IF(X2306&lt;&gt;"",VLOOKUP(X2306,game_rosters!$C$43:$E$64,3,FALSE))</f>
        <v>0</v>
      </c>
      <c r="Z2306" t="e" cm="1" vm="1">
        <f t="array" aca="1" ref="Z2306" ca="1">IFERROR(IF(_xlfn._xlws.FILTER(game_rosters!$J:$J,(game_rosters!$G:$G=events!$AN2306)*(game_rosters!$J:$J=events!$X2306))&gt;0,1,""),"")</f>
        <v>#VALUE!</v>
      </c>
      <c r="AA2306">
        <f t="shared" si="223"/>
        <v>1000</v>
      </c>
      <c r="AB2306" t="str">
        <f t="shared" si="224"/>
        <v/>
      </c>
      <c r="AC2306">
        <f t="shared" ref="AC2306:AC2369" si="225">IF(AB2306&lt;&gt;"",AB2306,S2306+1000)</f>
        <v>1000</v>
      </c>
      <c r="AD2306" s="6"/>
    </row>
    <row r="2307" spans="1:30" x14ac:dyDescent="0.2">
      <c r="A2307" t="str">
        <f t="shared" si="222"/>
        <v/>
      </c>
      <c r="X2307" t="str" cm="1">
        <f t="array" ref="X2307">IF(S2307="","",IF($I2307&lt;&gt;"",$I2307,INDEX($I$2:$I2306,ROW()-COUNTIFS($T$2:$T2306,"="&amp;$T2307,$S$2:$S2306,"&lt;&gt;"&amp;$S2307)-1)))</f>
        <v/>
      </c>
      <c r="Y2307" t="b">
        <f>IF(X2307&lt;&gt;"",VLOOKUP(X2307,game_rosters!$C$43:$E$64,3,FALSE))</f>
        <v>0</v>
      </c>
      <c r="Z2307" t="e" cm="1" vm="1">
        <f t="array" aca="1" ref="Z2307" ca="1">IFERROR(IF(_xlfn._xlws.FILTER(game_rosters!$J:$J,(game_rosters!$G:$G=events!$AN2307)*(game_rosters!$J:$J=events!$X2307))&gt;0,1,""),"")</f>
        <v>#VALUE!</v>
      </c>
      <c r="AA2307">
        <f t="shared" si="223"/>
        <v>1000</v>
      </c>
      <c r="AB2307" t="str">
        <f t="shared" si="224"/>
        <v/>
      </c>
      <c r="AC2307">
        <f t="shared" si="225"/>
        <v>1000</v>
      </c>
      <c r="AD2307" s="6"/>
    </row>
    <row r="2308" spans="1:30" x14ac:dyDescent="0.2">
      <c r="A2308" t="str">
        <f t="shared" si="222"/>
        <v/>
      </c>
      <c r="X2308" t="str" cm="1">
        <f t="array" ref="X2308">IF(S2308="","",IF($I2308&lt;&gt;"",$I2308,INDEX($I$2:$I2307,ROW()-COUNTIFS($T$2:$T2307,"="&amp;$T2308,$S$2:$S2307,"&lt;&gt;"&amp;$S2308)-1)))</f>
        <v/>
      </c>
      <c r="Y2308" t="b">
        <f>IF(X2308&lt;&gt;"",VLOOKUP(X2308,game_rosters!$C$43:$E$64,3,FALSE))</f>
        <v>0</v>
      </c>
      <c r="Z2308" t="e" cm="1" vm="1">
        <f t="array" aca="1" ref="Z2308" ca="1">IFERROR(IF(_xlfn._xlws.FILTER(game_rosters!$J:$J,(game_rosters!$G:$G=events!$AN2308)*(game_rosters!$J:$J=events!$X2308))&gt;0,1,""),"")</f>
        <v>#VALUE!</v>
      </c>
      <c r="AA2308">
        <f t="shared" si="223"/>
        <v>1000</v>
      </c>
      <c r="AB2308" t="str">
        <f t="shared" si="224"/>
        <v/>
      </c>
      <c r="AC2308">
        <f t="shared" si="225"/>
        <v>1000</v>
      </c>
      <c r="AD2308" s="6"/>
    </row>
    <row r="2309" spans="1:30" x14ac:dyDescent="0.2">
      <c r="A2309" t="str">
        <f t="shared" ref="A2309:A2372" si="226">IF(K2309&lt;&gt;"",1,IF(D2309="x","x",""))</f>
        <v/>
      </c>
      <c r="X2309" t="str" cm="1">
        <f t="array" ref="X2309">IF(S2309="","",IF($I2309&lt;&gt;"",$I2309,INDEX($I$2:$I2308,ROW()-COUNTIFS($T$2:$T2308,"="&amp;$T2309,$S$2:$S2308,"&lt;&gt;"&amp;$S2309)-1)))</f>
        <v/>
      </c>
      <c r="Y2309" t="b">
        <f>IF(X2309&lt;&gt;"",VLOOKUP(X2309,game_rosters!$C$43:$E$64,3,FALSE))</f>
        <v>0</v>
      </c>
      <c r="Z2309" t="e" cm="1" vm="1">
        <f t="array" aca="1" ref="Z2309" ca="1">IFERROR(IF(_xlfn._xlws.FILTER(game_rosters!$J:$J,(game_rosters!$G:$G=events!$AN2309)*(game_rosters!$J:$J=events!$X2309))&gt;0,1,""),"")</f>
        <v>#VALUE!</v>
      </c>
      <c r="AA2309">
        <f t="shared" si="223"/>
        <v>1000</v>
      </c>
      <c r="AB2309" t="str">
        <f t="shared" si="224"/>
        <v/>
      </c>
      <c r="AC2309">
        <f t="shared" si="225"/>
        <v>1000</v>
      </c>
      <c r="AD2309" s="6"/>
    </row>
    <row r="2310" spans="1:30" x14ac:dyDescent="0.2">
      <c r="A2310" t="str">
        <f t="shared" si="226"/>
        <v/>
      </c>
      <c r="X2310" t="str" cm="1">
        <f t="array" ref="X2310">IF(S2310="","",IF($I2310&lt;&gt;"",$I2310,INDEX($I$2:$I2309,ROW()-COUNTIFS($T$2:$T2309,"="&amp;$T2310,$S$2:$S2309,"&lt;&gt;"&amp;$S2310)-1)))</f>
        <v/>
      </c>
      <c r="Y2310" t="b">
        <f>IF(X2310&lt;&gt;"",VLOOKUP(X2310,game_rosters!$C$43:$E$64,3,FALSE))</f>
        <v>0</v>
      </c>
      <c r="Z2310" t="e" cm="1" vm="1">
        <f t="array" aca="1" ref="Z2310" ca="1">IFERROR(IF(_xlfn._xlws.FILTER(game_rosters!$J:$J,(game_rosters!$G:$G=events!$AN2310)*(game_rosters!$J:$J=events!$X2310))&gt;0,1,""),"")</f>
        <v>#VALUE!</v>
      </c>
      <c r="AA2310">
        <f t="shared" si="223"/>
        <v>1000</v>
      </c>
      <c r="AB2310" t="str">
        <f t="shared" si="224"/>
        <v/>
      </c>
      <c r="AC2310">
        <f t="shared" si="225"/>
        <v>1000</v>
      </c>
      <c r="AD2310" s="6"/>
    </row>
    <row r="2311" spans="1:30" x14ac:dyDescent="0.2">
      <c r="A2311" t="str">
        <f t="shared" si="226"/>
        <v/>
      </c>
      <c r="X2311" t="str" cm="1">
        <f t="array" ref="X2311">IF(S2311="","",IF($I2311&lt;&gt;"",$I2311,INDEX($I$2:$I2310,ROW()-COUNTIFS($T$2:$T2310,"="&amp;$T2311,$S$2:$S2310,"&lt;&gt;"&amp;$S2311)-1)))</f>
        <v/>
      </c>
      <c r="Y2311" t="b">
        <f>IF(X2311&lt;&gt;"",VLOOKUP(X2311,game_rosters!$C$43:$E$64,3,FALSE))</f>
        <v>0</v>
      </c>
      <c r="Z2311" t="e" cm="1" vm="1">
        <f t="array" aca="1" ref="Z2311" ca="1">IFERROR(IF(_xlfn._xlws.FILTER(game_rosters!$J:$J,(game_rosters!$G:$G=events!$AN2311)*(game_rosters!$J:$J=events!$X2311))&gt;0,1,""),"")</f>
        <v>#VALUE!</v>
      </c>
      <c r="AA2311">
        <f t="shared" si="223"/>
        <v>1000</v>
      </c>
      <c r="AB2311" t="str">
        <f t="shared" si="224"/>
        <v/>
      </c>
      <c r="AC2311">
        <f t="shared" si="225"/>
        <v>1000</v>
      </c>
      <c r="AD2311" s="6"/>
    </row>
    <row r="2312" spans="1:30" x14ac:dyDescent="0.2">
      <c r="A2312" t="str">
        <f t="shared" si="226"/>
        <v/>
      </c>
      <c r="X2312" t="str" cm="1">
        <f t="array" ref="X2312">IF(S2312="","",IF($I2312&lt;&gt;"",$I2312,INDEX($I$2:$I2311,ROW()-COUNTIFS($T$2:$T2311,"="&amp;$T2312,$S$2:$S2311,"&lt;&gt;"&amp;$S2312)-1)))</f>
        <v/>
      </c>
      <c r="Y2312" t="b">
        <f>IF(X2312&lt;&gt;"",VLOOKUP(X2312,game_rosters!$C$43:$E$64,3,FALSE))</f>
        <v>0</v>
      </c>
      <c r="Z2312" t="e" cm="1" vm="1">
        <f t="array" aca="1" ref="Z2312" ca="1">IFERROR(IF(_xlfn._xlws.FILTER(game_rosters!$J:$J,(game_rosters!$G:$G=events!$AN2312)*(game_rosters!$J:$J=events!$X2312))&gt;0,1,""),"")</f>
        <v>#VALUE!</v>
      </c>
      <c r="AA2312">
        <f t="shared" si="223"/>
        <v>1000</v>
      </c>
      <c r="AB2312" t="str">
        <f t="shared" si="224"/>
        <v/>
      </c>
      <c r="AC2312">
        <f t="shared" si="225"/>
        <v>1000</v>
      </c>
      <c r="AD2312" s="6"/>
    </row>
    <row r="2313" spans="1:30" x14ac:dyDescent="0.2">
      <c r="A2313" t="str">
        <f t="shared" si="226"/>
        <v/>
      </c>
      <c r="X2313" t="str" cm="1">
        <f t="array" ref="X2313">IF(S2313="","",IF($I2313&lt;&gt;"",$I2313,INDEX($I$2:$I2312,ROW()-COUNTIFS($T$2:$T2312,"="&amp;$T2313,$S$2:$S2312,"&lt;&gt;"&amp;$S2313)-1)))</f>
        <v/>
      </c>
      <c r="Y2313" t="b">
        <f>IF(X2313&lt;&gt;"",VLOOKUP(X2313,game_rosters!$C$43:$E$64,3,FALSE))</f>
        <v>0</v>
      </c>
      <c r="Z2313" t="e" cm="1" vm="1">
        <f t="array" aca="1" ref="Z2313" ca="1">IFERROR(IF(_xlfn._xlws.FILTER(game_rosters!$J:$J,(game_rosters!$G:$G=events!$AN2313)*(game_rosters!$J:$J=events!$X2313))&gt;0,1,""),"")</f>
        <v>#VALUE!</v>
      </c>
      <c r="AA2313">
        <f t="shared" si="223"/>
        <v>1000</v>
      </c>
      <c r="AB2313" t="str">
        <f t="shared" si="224"/>
        <v/>
      </c>
      <c r="AC2313">
        <f t="shared" si="225"/>
        <v>1000</v>
      </c>
      <c r="AD2313" s="6"/>
    </row>
    <row r="2314" spans="1:30" x14ac:dyDescent="0.2">
      <c r="A2314" t="str">
        <f t="shared" si="226"/>
        <v/>
      </c>
      <c r="X2314" t="str" cm="1">
        <f t="array" ref="X2314">IF(S2314="","",IF($I2314&lt;&gt;"",$I2314,INDEX($I$2:$I2313,ROW()-COUNTIFS($T$2:$T2313,"="&amp;$T2314,$S$2:$S2313,"&lt;&gt;"&amp;$S2314)-1)))</f>
        <v/>
      </c>
      <c r="Y2314" t="b">
        <f>IF(X2314&lt;&gt;"",VLOOKUP(X2314,game_rosters!$C$43:$E$64,3,FALSE))</f>
        <v>0</v>
      </c>
      <c r="Z2314" t="e" cm="1" vm="1">
        <f t="array" aca="1" ref="Z2314" ca="1">IFERROR(IF(_xlfn._xlws.FILTER(game_rosters!$J:$J,(game_rosters!$G:$G=events!$AN2314)*(game_rosters!$J:$J=events!$X2314))&gt;0,1,""),"")</f>
        <v>#VALUE!</v>
      </c>
      <c r="AA2314">
        <f t="shared" si="223"/>
        <v>1000</v>
      </c>
      <c r="AB2314" t="str">
        <f t="shared" si="224"/>
        <v/>
      </c>
      <c r="AC2314">
        <f t="shared" si="225"/>
        <v>1000</v>
      </c>
      <c r="AD2314" s="6"/>
    </row>
    <row r="2315" spans="1:30" x14ac:dyDescent="0.2">
      <c r="A2315" t="str">
        <f t="shared" si="226"/>
        <v/>
      </c>
      <c r="X2315" t="str" cm="1">
        <f t="array" ref="X2315">IF(S2315="","",IF($I2315&lt;&gt;"",$I2315,INDEX($I$2:$I2314,ROW()-COUNTIFS($T$2:$T2314,"="&amp;$T2315,$S$2:$S2314,"&lt;&gt;"&amp;$S2315)-1)))</f>
        <v/>
      </c>
      <c r="Y2315" t="b">
        <f>IF(X2315&lt;&gt;"",VLOOKUP(X2315,game_rosters!$C$43:$E$64,3,FALSE))</f>
        <v>0</v>
      </c>
      <c r="Z2315" t="e" cm="1" vm="1">
        <f t="array" aca="1" ref="Z2315" ca="1">IFERROR(IF(_xlfn._xlws.FILTER(game_rosters!$J:$J,(game_rosters!$G:$G=events!$AN2315)*(game_rosters!$J:$J=events!$X2315))&gt;0,1,""),"")</f>
        <v>#VALUE!</v>
      </c>
      <c r="AA2315">
        <f t="shared" si="223"/>
        <v>1000</v>
      </c>
      <c r="AB2315" t="str">
        <f t="shared" si="224"/>
        <v/>
      </c>
      <c r="AC2315">
        <f t="shared" si="225"/>
        <v>1000</v>
      </c>
      <c r="AD2315" s="6"/>
    </row>
    <row r="2316" spans="1:30" x14ac:dyDescent="0.2">
      <c r="A2316" t="str">
        <f t="shared" si="226"/>
        <v/>
      </c>
      <c r="X2316" t="str" cm="1">
        <f t="array" ref="X2316">IF(S2316="","",IF($I2316&lt;&gt;"",$I2316,INDEX($I$2:$I2315,ROW()-COUNTIFS($T$2:$T2315,"="&amp;$T2316,$S$2:$S2315,"&lt;&gt;"&amp;$S2316)-1)))</f>
        <v/>
      </c>
      <c r="Y2316" t="b">
        <f>IF(X2316&lt;&gt;"",VLOOKUP(X2316,game_rosters!$C$43:$E$64,3,FALSE))</f>
        <v>0</v>
      </c>
      <c r="Z2316" t="e" cm="1" vm="1">
        <f t="array" aca="1" ref="Z2316" ca="1">IFERROR(IF(_xlfn._xlws.FILTER(game_rosters!$J:$J,(game_rosters!$G:$G=events!$AN2316)*(game_rosters!$J:$J=events!$X2316))&gt;0,1,""),"")</f>
        <v>#VALUE!</v>
      </c>
      <c r="AA2316">
        <f t="shared" si="223"/>
        <v>1000</v>
      </c>
      <c r="AB2316" t="str">
        <f t="shared" si="224"/>
        <v/>
      </c>
      <c r="AC2316">
        <f t="shared" si="225"/>
        <v>1000</v>
      </c>
      <c r="AD2316" s="6"/>
    </row>
    <row r="2317" spans="1:30" x14ac:dyDescent="0.2">
      <c r="A2317" t="str">
        <f t="shared" si="226"/>
        <v/>
      </c>
      <c r="X2317" t="str" cm="1">
        <f t="array" ref="X2317">IF(S2317="","",IF($I2317&lt;&gt;"",$I2317,INDEX($I$2:$I2316,ROW()-COUNTIFS($T$2:$T2316,"="&amp;$T2317,$S$2:$S2316,"&lt;&gt;"&amp;$S2317)-1)))</f>
        <v/>
      </c>
      <c r="Y2317" t="b">
        <f>IF(X2317&lt;&gt;"",VLOOKUP(X2317,game_rosters!$C$43:$E$64,3,FALSE))</f>
        <v>0</v>
      </c>
      <c r="Z2317" t="e" cm="1" vm="1">
        <f t="array" aca="1" ref="Z2317" ca="1">IFERROR(IF(_xlfn._xlws.FILTER(game_rosters!$J:$J,(game_rosters!$G:$G=events!$AN2317)*(game_rosters!$J:$J=events!$X2317))&gt;0,1,""),"")</f>
        <v>#VALUE!</v>
      </c>
      <c r="AA2317">
        <f t="shared" si="223"/>
        <v>1000</v>
      </c>
      <c r="AB2317" t="str">
        <f t="shared" si="224"/>
        <v/>
      </c>
      <c r="AC2317">
        <f t="shared" si="225"/>
        <v>1000</v>
      </c>
      <c r="AD2317" s="6"/>
    </row>
    <row r="2318" spans="1:30" x14ac:dyDescent="0.2">
      <c r="A2318" t="str">
        <f t="shared" si="226"/>
        <v/>
      </c>
      <c r="X2318" t="str" cm="1">
        <f t="array" ref="X2318">IF(S2318="","",IF($I2318&lt;&gt;"",$I2318,INDEX($I$2:$I2317,ROW()-COUNTIFS($T$2:$T2317,"="&amp;$T2318,$S$2:$S2317,"&lt;&gt;"&amp;$S2318)-1)))</f>
        <v/>
      </c>
      <c r="Y2318" t="b">
        <f>IF(X2318&lt;&gt;"",VLOOKUP(X2318,game_rosters!$C$43:$E$64,3,FALSE))</f>
        <v>0</v>
      </c>
      <c r="Z2318" t="e" cm="1" vm="1">
        <f t="array" aca="1" ref="Z2318" ca="1">IFERROR(IF(_xlfn._xlws.FILTER(game_rosters!$J:$J,(game_rosters!$G:$G=events!$AN2318)*(game_rosters!$J:$J=events!$X2318))&gt;0,1,""),"")</f>
        <v>#VALUE!</v>
      </c>
      <c r="AA2318">
        <f t="shared" si="223"/>
        <v>1000</v>
      </c>
      <c r="AB2318" t="str">
        <f t="shared" si="224"/>
        <v/>
      </c>
      <c r="AC2318">
        <f t="shared" si="225"/>
        <v>1000</v>
      </c>
      <c r="AD2318" s="6"/>
    </row>
    <row r="2319" spans="1:30" x14ac:dyDescent="0.2">
      <c r="A2319" t="str">
        <f t="shared" si="226"/>
        <v/>
      </c>
      <c r="X2319" t="str" cm="1">
        <f t="array" ref="X2319">IF(S2319="","",IF($I2319&lt;&gt;"",$I2319,INDEX($I$2:$I2318,ROW()-COUNTIFS($T$2:$T2318,"="&amp;$T2319,$S$2:$S2318,"&lt;&gt;"&amp;$S2319)-1)))</f>
        <v/>
      </c>
      <c r="Y2319" t="b">
        <f>IF(X2319&lt;&gt;"",VLOOKUP(X2319,game_rosters!$C$43:$E$64,3,FALSE))</f>
        <v>0</v>
      </c>
      <c r="Z2319" t="e" cm="1" vm="1">
        <f t="array" aca="1" ref="Z2319" ca="1">IFERROR(IF(_xlfn._xlws.FILTER(game_rosters!$J:$J,(game_rosters!$G:$G=events!$AN2319)*(game_rosters!$J:$J=events!$X2319))&gt;0,1,""),"")</f>
        <v>#VALUE!</v>
      </c>
      <c r="AA2319">
        <f t="shared" si="223"/>
        <v>1000</v>
      </c>
      <c r="AB2319" t="str">
        <f t="shared" si="224"/>
        <v/>
      </c>
      <c r="AC2319">
        <f t="shared" si="225"/>
        <v>1000</v>
      </c>
      <c r="AD2319" s="6"/>
    </row>
    <row r="2320" spans="1:30" x14ac:dyDescent="0.2">
      <c r="A2320" t="str">
        <f t="shared" si="226"/>
        <v/>
      </c>
      <c r="X2320" t="str" cm="1">
        <f t="array" ref="X2320">IF(S2320="","",IF($I2320&lt;&gt;"",$I2320,INDEX($I$2:$I2319,ROW()-COUNTIFS($T$2:$T2319,"="&amp;$T2320,$S$2:$S2319,"&lt;&gt;"&amp;$S2320)-1)))</f>
        <v/>
      </c>
      <c r="Y2320" t="b">
        <f>IF(X2320&lt;&gt;"",VLOOKUP(X2320,game_rosters!$C$43:$E$64,3,FALSE))</f>
        <v>0</v>
      </c>
      <c r="Z2320" t="e" cm="1" vm="1">
        <f t="array" aca="1" ref="Z2320" ca="1">IFERROR(IF(_xlfn._xlws.FILTER(game_rosters!$J:$J,(game_rosters!$G:$G=events!$AN2320)*(game_rosters!$J:$J=events!$X2320))&gt;0,1,""),"")</f>
        <v>#VALUE!</v>
      </c>
      <c r="AA2320">
        <f t="shared" si="223"/>
        <v>1000</v>
      </c>
      <c r="AB2320" t="str">
        <f t="shared" si="224"/>
        <v/>
      </c>
      <c r="AC2320">
        <f t="shared" si="225"/>
        <v>1000</v>
      </c>
      <c r="AD2320" s="6"/>
    </row>
    <row r="2321" spans="1:30" x14ac:dyDescent="0.2">
      <c r="A2321" t="str">
        <f t="shared" si="226"/>
        <v/>
      </c>
      <c r="X2321" t="str" cm="1">
        <f t="array" ref="X2321">IF(S2321="","",IF($I2321&lt;&gt;"",$I2321,INDEX($I$2:$I2320,ROW()-COUNTIFS($T$2:$T2320,"="&amp;$T2321,$S$2:$S2320,"&lt;&gt;"&amp;$S2321)-1)))</f>
        <v/>
      </c>
      <c r="Y2321" t="b">
        <f>IF(X2321&lt;&gt;"",VLOOKUP(X2321,game_rosters!$C$43:$E$64,3,FALSE))</f>
        <v>0</v>
      </c>
      <c r="Z2321" t="e" cm="1" vm="1">
        <f t="array" aca="1" ref="Z2321" ca="1">IFERROR(IF(_xlfn._xlws.FILTER(game_rosters!$J:$J,(game_rosters!$G:$G=events!$AN2321)*(game_rosters!$J:$J=events!$X2321))&gt;0,1,""),"")</f>
        <v>#VALUE!</v>
      </c>
      <c r="AA2321">
        <f t="shared" si="223"/>
        <v>1000</v>
      </c>
      <c r="AB2321" t="str">
        <f t="shared" si="224"/>
        <v/>
      </c>
      <c r="AC2321">
        <f t="shared" si="225"/>
        <v>1000</v>
      </c>
      <c r="AD2321" s="6"/>
    </row>
    <row r="2322" spans="1:30" x14ac:dyDescent="0.2">
      <c r="A2322" t="str">
        <f t="shared" si="226"/>
        <v/>
      </c>
      <c r="X2322" t="str" cm="1">
        <f t="array" ref="X2322">IF(S2322="","",IF($I2322&lt;&gt;"",$I2322,INDEX($I$2:$I2321,ROW()-COUNTIFS($T$2:$T2321,"="&amp;$T2322,$S$2:$S2321,"&lt;&gt;"&amp;$S2322)-1)))</f>
        <v/>
      </c>
      <c r="Y2322" t="b">
        <f>IF(X2322&lt;&gt;"",VLOOKUP(X2322,game_rosters!$C$43:$E$64,3,FALSE))</f>
        <v>0</v>
      </c>
      <c r="Z2322" t="e" cm="1" vm="1">
        <f t="array" aca="1" ref="Z2322" ca="1">IFERROR(IF(_xlfn._xlws.FILTER(game_rosters!$J:$J,(game_rosters!$G:$G=events!$AN2322)*(game_rosters!$J:$J=events!$X2322))&gt;0,1,""),"")</f>
        <v>#VALUE!</v>
      </c>
      <c r="AA2322">
        <f t="shared" si="223"/>
        <v>1000</v>
      </c>
      <c r="AB2322" t="str">
        <f t="shared" si="224"/>
        <v/>
      </c>
      <c r="AC2322">
        <f t="shared" si="225"/>
        <v>1000</v>
      </c>
      <c r="AD2322" s="6"/>
    </row>
    <row r="2323" spans="1:30" x14ac:dyDescent="0.2">
      <c r="A2323" t="str">
        <f t="shared" si="226"/>
        <v/>
      </c>
      <c r="X2323" t="str" cm="1">
        <f t="array" ref="X2323">IF(S2323="","",IF($I2323&lt;&gt;"",$I2323,INDEX($I$2:$I2322,ROW()-COUNTIFS($T$2:$T2322,"="&amp;$T2323,$S$2:$S2322,"&lt;&gt;"&amp;$S2323)-1)))</f>
        <v/>
      </c>
      <c r="Y2323" t="b">
        <f>IF(X2323&lt;&gt;"",VLOOKUP(X2323,game_rosters!$C$43:$E$64,3,FALSE))</f>
        <v>0</v>
      </c>
      <c r="Z2323" t="e" cm="1" vm="1">
        <f t="array" aca="1" ref="Z2323" ca="1">IFERROR(IF(_xlfn._xlws.FILTER(game_rosters!$J:$J,(game_rosters!$G:$G=events!$AN2323)*(game_rosters!$J:$J=events!$X2323))&gt;0,1,""),"")</f>
        <v>#VALUE!</v>
      </c>
      <c r="AA2323">
        <f t="shared" si="223"/>
        <v>1000</v>
      </c>
      <c r="AB2323" t="str">
        <f t="shared" si="224"/>
        <v/>
      </c>
      <c r="AC2323">
        <f t="shared" si="225"/>
        <v>1000</v>
      </c>
      <c r="AD2323" s="6"/>
    </row>
    <row r="2324" spans="1:30" x14ac:dyDescent="0.2">
      <c r="A2324" t="str">
        <f t="shared" si="226"/>
        <v/>
      </c>
      <c r="X2324" t="str" cm="1">
        <f t="array" ref="X2324">IF(S2324="","",IF($I2324&lt;&gt;"",$I2324,INDEX($I$2:$I2323,ROW()-COUNTIFS($T$2:$T2323,"="&amp;$T2324,$S$2:$S2323,"&lt;&gt;"&amp;$S2324)-1)))</f>
        <v/>
      </c>
      <c r="Y2324" t="b">
        <f>IF(X2324&lt;&gt;"",VLOOKUP(X2324,game_rosters!$C$43:$E$64,3,FALSE))</f>
        <v>0</v>
      </c>
      <c r="Z2324" t="e" cm="1" vm="1">
        <f t="array" aca="1" ref="Z2324" ca="1">IFERROR(IF(_xlfn._xlws.FILTER(game_rosters!$J:$J,(game_rosters!$G:$G=events!$AN2324)*(game_rosters!$J:$J=events!$X2324))&gt;0,1,""),"")</f>
        <v>#VALUE!</v>
      </c>
      <c r="AA2324">
        <f t="shared" si="223"/>
        <v>1000</v>
      </c>
      <c r="AB2324" t="str">
        <f t="shared" si="224"/>
        <v/>
      </c>
      <c r="AC2324">
        <f t="shared" si="225"/>
        <v>1000</v>
      </c>
      <c r="AD2324" s="6"/>
    </row>
    <row r="2325" spans="1:30" x14ac:dyDescent="0.2">
      <c r="A2325" t="str">
        <f t="shared" si="226"/>
        <v/>
      </c>
      <c r="X2325" t="str" cm="1">
        <f t="array" ref="X2325">IF(S2325="","",IF($I2325&lt;&gt;"",$I2325,INDEX($I$2:$I2324,ROW()-COUNTIFS($T$2:$T2324,"="&amp;$T2325,$S$2:$S2324,"&lt;&gt;"&amp;$S2325)-1)))</f>
        <v/>
      </c>
      <c r="Y2325" t="b">
        <f>IF(X2325&lt;&gt;"",VLOOKUP(X2325,game_rosters!$C$43:$E$64,3,FALSE))</f>
        <v>0</v>
      </c>
      <c r="Z2325" t="e" cm="1" vm="1">
        <f t="array" aca="1" ref="Z2325" ca="1">IFERROR(IF(_xlfn._xlws.FILTER(game_rosters!$J:$J,(game_rosters!$G:$G=events!$AN2325)*(game_rosters!$J:$J=events!$X2325))&gt;0,1,""),"")</f>
        <v>#VALUE!</v>
      </c>
      <c r="AA2325">
        <f t="shared" si="223"/>
        <v>1000</v>
      </c>
      <c r="AB2325" t="str">
        <f t="shared" si="224"/>
        <v/>
      </c>
      <c r="AC2325">
        <f t="shared" si="225"/>
        <v>1000</v>
      </c>
      <c r="AD2325" s="6"/>
    </row>
    <row r="2326" spans="1:30" x14ac:dyDescent="0.2">
      <c r="A2326" t="str">
        <f t="shared" si="226"/>
        <v/>
      </c>
      <c r="X2326" t="str" cm="1">
        <f t="array" ref="X2326">IF(S2326="","",IF($I2326&lt;&gt;"",$I2326,INDEX($I$2:$I2325,ROW()-COUNTIFS($T$2:$T2325,"="&amp;$T2326,$S$2:$S2325,"&lt;&gt;"&amp;$S2326)-1)))</f>
        <v/>
      </c>
      <c r="Y2326" t="b">
        <f>IF(X2326&lt;&gt;"",VLOOKUP(X2326,game_rosters!$C$43:$E$64,3,FALSE))</f>
        <v>0</v>
      </c>
      <c r="Z2326" t="e" cm="1" vm="1">
        <f t="array" aca="1" ref="Z2326" ca="1">IFERROR(IF(_xlfn._xlws.FILTER(game_rosters!$J:$J,(game_rosters!$G:$G=events!$AN2326)*(game_rosters!$J:$J=events!$X2326))&gt;0,1,""),"")</f>
        <v>#VALUE!</v>
      </c>
      <c r="AA2326">
        <f t="shared" si="223"/>
        <v>1000</v>
      </c>
      <c r="AB2326" t="str">
        <f t="shared" si="224"/>
        <v/>
      </c>
      <c r="AC2326">
        <f t="shared" si="225"/>
        <v>1000</v>
      </c>
      <c r="AD2326" s="6"/>
    </row>
    <row r="2327" spans="1:30" x14ac:dyDescent="0.2">
      <c r="A2327" t="str">
        <f t="shared" si="226"/>
        <v/>
      </c>
      <c r="X2327" t="str" cm="1">
        <f t="array" ref="X2327">IF(S2327="","",IF($I2327&lt;&gt;"",$I2327,INDEX($I$2:$I2326,ROW()-COUNTIFS($T$2:$T2326,"="&amp;$T2327,$S$2:$S2326,"&lt;&gt;"&amp;$S2327)-1)))</f>
        <v/>
      </c>
      <c r="Y2327" t="b">
        <f>IF(X2327&lt;&gt;"",VLOOKUP(X2327,game_rosters!$C$43:$E$64,3,FALSE))</f>
        <v>0</v>
      </c>
      <c r="Z2327" t="e" cm="1" vm="1">
        <f t="array" aca="1" ref="Z2327" ca="1">IFERROR(IF(_xlfn._xlws.FILTER(game_rosters!$J:$J,(game_rosters!$G:$G=events!$AN2327)*(game_rosters!$J:$J=events!$X2327))&gt;0,1,""),"")</f>
        <v>#VALUE!</v>
      </c>
      <c r="AA2327">
        <f t="shared" si="223"/>
        <v>1000</v>
      </c>
      <c r="AB2327" t="str">
        <f t="shared" si="224"/>
        <v/>
      </c>
      <c r="AC2327">
        <f t="shared" si="225"/>
        <v>1000</v>
      </c>
      <c r="AD2327" s="6"/>
    </row>
    <row r="2328" spans="1:30" x14ac:dyDescent="0.2">
      <c r="A2328" t="str">
        <f t="shared" si="226"/>
        <v/>
      </c>
      <c r="X2328" t="str" cm="1">
        <f t="array" ref="X2328">IF(S2328="","",IF($I2328&lt;&gt;"",$I2328,INDEX($I$2:$I2327,ROW()-COUNTIFS($T$2:$T2327,"="&amp;$T2328,$S$2:$S2327,"&lt;&gt;"&amp;$S2328)-1)))</f>
        <v/>
      </c>
      <c r="Y2328" t="b">
        <f>IF(X2328&lt;&gt;"",VLOOKUP(X2328,game_rosters!$C$43:$E$64,3,FALSE))</f>
        <v>0</v>
      </c>
      <c r="Z2328" t="e" cm="1" vm="1">
        <f t="array" aca="1" ref="Z2328" ca="1">IFERROR(IF(_xlfn._xlws.FILTER(game_rosters!$J:$J,(game_rosters!$G:$G=events!$AN2328)*(game_rosters!$J:$J=events!$X2328))&gt;0,1,""),"")</f>
        <v>#VALUE!</v>
      </c>
      <c r="AA2328">
        <f t="shared" si="223"/>
        <v>1000</v>
      </c>
      <c r="AB2328" t="str">
        <f t="shared" si="224"/>
        <v/>
      </c>
      <c r="AC2328">
        <f t="shared" si="225"/>
        <v>1000</v>
      </c>
      <c r="AD2328" s="6"/>
    </row>
    <row r="2329" spans="1:30" x14ac:dyDescent="0.2">
      <c r="A2329" t="str">
        <f t="shared" si="226"/>
        <v/>
      </c>
      <c r="X2329" t="str" cm="1">
        <f t="array" ref="X2329">IF(S2329="","",IF($I2329&lt;&gt;"",$I2329,INDEX($I$2:$I2328,ROW()-COUNTIFS($T$2:$T2328,"="&amp;$T2329,$S$2:$S2328,"&lt;&gt;"&amp;$S2329)-1)))</f>
        <v/>
      </c>
      <c r="Y2329" t="b">
        <f>IF(X2329&lt;&gt;"",VLOOKUP(X2329,game_rosters!$C$43:$E$64,3,FALSE))</f>
        <v>0</v>
      </c>
      <c r="Z2329" t="e" cm="1" vm="1">
        <f t="array" aca="1" ref="Z2329" ca="1">IFERROR(IF(_xlfn._xlws.FILTER(game_rosters!$J:$J,(game_rosters!$G:$G=events!$AN2329)*(game_rosters!$J:$J=events!$X2329))&gt;0,1,""),"")</f>
        <v>#VALUE!</v>
      </c>
      <c r="AA2329">
        <f t="shared" si="223"/>
        <v>1000</v>
      </c>
      <c r="AB2329" t="str">
        <f t="shared" si="224"/>
        <v/>
      </c>
      <c r="AC2329">
        <f t="shared" si="225"/>
        <v>1000</v>
      </c>
      <c r="AD2329" s="6"/>
    </row>
    <row r="2330" spans="1:30" x14ac:dyDescent="0.2">
      <c r="A2330" t="str">
        <f t="shared" si="226"/>
        <v/>
      </c>
      <c r="X2330" t="str" cm="1">
        <f t="array" ref="X2330">IF(S2330="","",IF($I2330&lt;&gt;"",$I2330,INDEX($I$2:$I2329,ROW()-COUNTIFS($T$2:$T2329,"="&amp;$T2330,$S$2:$S2329,"&lt;&gt;"&amp;$S2330)-1)))</f>
        <v/>
      </c>
      <c r="Y2330" t="b">
        <f>IF(X2330&lt;&gt;"",VLOOKUP(X2330,game_rosters!$C$43:$E$64,3,FALSE))</f>
        <v>0</v>
      </c>
      <c r="Z2330" t="e" cm="1" vm="1">
        <f t="array" aca="1" ref="Z2330" ca="1">IFERROR(IF(_xlfn._xlws.FILTER(game_rosters!$J:$J,(game_rosters!$G:$G=events!$AN2330)*(game_rosters!$J:$J=events!$X2330))&gt;0,1,""),"")</f>
        <v>#VALUE!</v>
      </c>
      <c r="AA2330">
        <f t="shared" si="223"/>
        <v>1000</v>
      </c>
      <c r="AB2330" t="str">
        <f t="shared" si="224"/>
        <v/>
      </c>
      <c r="AC2330">
        <f t="shared" si="225"/>
        <v>1000</v>
      </c>
      <c r="AD2330" s="6"/>
    </row>
    <row r="2331" spans="1:30" x14ac:dyDescent="0.2">
      <c r="A2331" t="str">
        <f t="shared" si="226"/>
        <v/>
      </c>
      <c r="X2331" t="str" cm="1">
        <f t="array" ref="X2331">IF(S2331="","",IF($I2331&lt;&gt;"",$I2331,INDEX($I$2:$I2330,ROW()-COUNTIFS($T$2:$T2330,"="&amp;$T2331,$S$2:$S2330,"&lt;&gt;"&amp;$S2331)-1)))</f>
        <v/>
      </c>
      <c r="Y2331" t="b">
        <f>IF(X2331&lt;&gt;"",VLOOKUP(X2331,game_rosters!$C$43:$E$64,3,FALSE))</f>
        <v>0</v>
      </c>
      <c r="Z2331" t="e" cm="1" vm="1">
        <f t="array" aca="1" ref="Z2331" ca="1">IFERROR(IF(_xlfn._xlws.FILTER(game_rosters!$J:$J,(game_rosters!$G:$G=events!$AN2331)*(game_rosters!$J:$J=events!$X2331))&gt;0,1,""),"")</f>
        <v>#VALUE!</v>
      </c>
      <c r="AA2331">
        <f t="shared" si="223"/>
        <v>1000</v>
      </c>
      <c r="AB2331" t="str">
        <f t="shared" si="224"/>
        <v/>
      </c>
      <c r="AC2331">
        <f t="shared" si="225"/>
        <v>1000</v>
      </c>
      <c r="AD2331" s="6"/>
    </row>
    <row r="2332" spans="1:30" x14ac:dyDescent="0.2">
      <c r="A2332" t="str">
        <f t="shared" si="226"/>
        <v/>
      </c>
      <c r="X2332" t="str" cm="1">
        <f t="array" ref="X2332">IF(S2332="","",IF($I2332&lt;&gt;"",$I2332,INDEX($I$2:$I2331,ROW()-COUNTIFS($T$2:$T2331,"="&amp;$T2332,$S$2:$S2331,"&lt;&gt;"&amp;$S2332)-1)))</f>
        <v/>
      </c>
      <c r="Y2332" t="b">
        <f>IF(X2332&lt;&gt;"",VLOOKUP(X2332,game_rosters!$C$43:$E$64,3,FALSE))</f>
        <v>0</v>
      </c>
      <c r="Z2332" t="e" cm="1" vm="1">
        <f t="array" aca="1" ref="Z2332" ca="1">IFERROR(IF(_xlfn._xlws.FILTER(game_rosters!$J:$J,(game_rosters!$G:$G=events!$AN2332)*(game_rosters!$J:$J=events!$X2332))&gt;0,1,""),"")</f>
        <v>#VALUE!</v>
      </c>
      <c r="AA2332">
        <f t="shared" si="223"/>
        <v>1000</v>
      </c>
      <c r="AB2332" t="str">
        <f t="shared" si="224"/>
        <v/>
      </c>
      <c r="AC2332">
        <f t="shared" si="225"/>
        <v>1000</v>
      </c>
      <c r="AD2332" s="6"/>
    </row>
    <row r="2333" spans="1:30" x14ac:dyDescent="0.2">
      <c r="A2333" t="str">
        <f t="shared" si="226"/>
        <v/>
      </c>
      <c r="X2333" t="str" cm="1">
        <f t="array" ref="X2333">IF(S2333="","",IF($I2333&lt;&gt;"",$I2333,INDEX($I$2:$I2332,ROW()-COUNTIFS($T$2:$T2332,"="&amp;$T2333,$S$2:$S2332,"&lt;&gt;"&amp;$S2333)-1)))</f>
        <v/>
      </c>
      <c r="Y2333" t="b">
        <f>IF(X2333&lt;&gt;"",VLOOKUP(X2333,game_rosters!$C$43:$E$64,3,FALSE))</f>
        <v>0</v>
      </c>
      <c r="Z2333" t="e" cm="1" vm="1">
        <f t="array" aca="1" ref="Z2333" ca="1">IFERROR(IF(_xlfn._xlws.FILTER(game_rosters!$J:$J,(game_rosters!$G:$G=events!$AN2333)*(game_rosters!$J:$J=events!$X2333))&gt;0,1,""),"")</f>
        <v>#VALUE!</v>
      </c>
      <c r="AA2333">
        <f t="shared" ref="AA2333:AA2396" si="227">S2333+1000</f>
        <v>1000</v>
      </c>
      <c r="AB2333" t="str">
        <f t="shared" ref="AB2333:AB2396" si="228">IF(T2333&lt;&gt;"",9000+T2333,"")</f>
        <v/>
      </c>
      <c r="AC2333">
        <f t="shared" si="225"/>
        <v>1000</v>
      </c>
      <c r="AD2333" s="6"/>
    </row>
    <row r="2334" spans="1:30" x14ac:dyDescent="0.2">
      <c r="A2334" t="str">
        <f t="shared" si="226"/>
        <v/>
      </c>
      <c r="X2334" t="str" cm="1">
        <f t="array" ref="X2334">IF(S2334="","",IF($I2334&lt;&gt;"",$I2334,INDEX($I$2:$I2333,ROW()-COUNTIFS($T$2:$T2333,"="&amp;$T2334,$S$2:$S2333,"&lt;&gt;"&amp;$S2334)-1)))</f>
        <v/>
      </c>
      <c r="Y2334" t="b">
        <f>IF(X2334&lt;&gt;"",VLOOKUP(X2334,game_rosters!$C$43:$E$64,3,FALSE))</f>
        <v>0</v>
      </c>
      <c r="Z2334" t="e" cm="1" vm="1">
        <f t="array" aca="1" ref="Z2334" ca="1">IFERROR(IF(_xlfn._xlws.FILTER(game_rosters!$J:$J,(game_rosters!$G:$G=events!$AN2334)*(game_rosters!$J:$J=events!$X2334))&gt;0,1,""),"")</f>
        <v>#VALUE!</v>
      </c>
      <c r="AA2334">
        <f t="shared" si="227"/>
        <v>1000</v>
      </c>
      <c r="AB2334" t="str">
        <f t="shared" si="228"/>
        <v/>
      </c>
      <c r="AC2334">
        <f t="shared" si="225"/>
        <v>1000</v>
      </c>
      <c r="AD2334" s="6"/>
    </row>
    <row r="2335" spans="1:30" x14ac:dyDescent="0.2">
      <c r="A2335" t="str">
        <f t="shared" si="226"/>
        <v/>
      </c>
      <c r="X2335" t="str" cm="1">
        <f t="array" ref="X2335">IF(S2335="","",IF($I2335&lt;&gt;"",$I2335,INDEX($I$2:$I2334,ROW()-COUNTIFS($T$2:$T2334,"="&amp;$T2335,$S$2:$S2334,"&lt;&gt;"&amp;$S2335)-1)))</f>
        <v/>
      </c>
      <c r="Y2335" t="b">
        <f>IF(X2335&lt;&gt;"",VLOOKUP(X2335,game_rosters!$C$43:$E$64,3,FALSE))</f>
        <v>0</v>
      </c>
      <c r="Z2335" t="e" cm="1" vm="1">
        <f t="array" aca="1" ref="Z2335" ca="1">IFERROR(IF(_xlfn._xlws.FILTER(game_rosters!$J:$J,(game_rosters!$G:$G=events!$AN2335)*(game_rosters!$J:$J=events!$X2335))&gt;0,1,""),"")</f>
        <v>#VALUE!</v>
      </c>
      <c r="AA2335">
        <f t="shared" si="227"/>
        <v>1000</v>
      </c>
      <c r="AB2335" t="str">
        <f t="shared" si="228"/>
        <v/>
      </c>
      <c r="AC2335">
        <f t="shared" si="225"/>
        <v>1000</v>
      </c>
      <c r="AD2335" s="6"/>
    </row>
    <row r="2336" spans="1:30" x14ac:dyDescent="0.2">
      <c r="A2336" t="str">
        <f t="shared" si="226"/>
        <v/>
      </c>
      <c r="X2336" t="str" cm="1">
        <f t="array" ref="X2336">IF(S2336="","",IF($I2336&lt;&gt;"",$I2336,INDEX($I$2:$I2335,ROW()-COUNTIFS($T$2:$T2335,"="&amp;$T2336,$S$2:$S2335,"&lt;&gt;"&amp;$S2336)-1)))</f>
        <v/>
      </c>
      <c r="Y2336" t="b">
        <f>IF(X2336&lt;&gt;"",VLOOKUP(X2336,game_rosters!$C$43:$E$64,3,FALSE))</f>
        <v>0</v>
      </c>
      <c r="Z2336" t="e" cm="1" vm="1">
        <f t="array" aca="1" ref="Z2336" ca="1">IFERROR(IF(_xlfn._xlws.FILTER(game_rosters!$J:$J,(game_rosters!$G:$G=events!$AN2336)*(game_rosters!$J:$J=events!$X2336))&gt;0,1,""),"")</f>
        <v>#VALUE!</v>
      </c>
      <c r="AA2336">
        <f t="shared" si="227"/>
        <v>1000</v>
      </c>
      <c r="AB2336" t="str">
        <f t="shared" si="228"/>
        <v/>
      </c>
      <c r="AC2336">
        <f t="shared" si="225"/>
        <v>1000</v>
      </c>
      <c r="AD2336" s="6"/>
    </row>
    <row r="2337" spans="1:30" x14ac:dyDescent="0.2">
      <c r="A2337" t="str">
        <f t="shared" si="226"/>
        <v/>
      </c>
      <c r="X2337" t="str" cm="1">
        <f t="array" ref="X2337">IF(S2337="","",IF($I2337&lt;&gt;"",$I2337,INDEX($I$2:$I2336,ROW()-COUNTIFS($T$2:$T2336,"="&amp;$T2337,$S$2:$S2336,"&lt;&gt;"&amp;$S2337)-1)))</f>
        <v/>
      </c>
      <c r="Y2337" t="b">
        <f>IF(X2337&lt;&gt;"",VLOOKUP(X2337,game_rosters!$C$43:$E$64,3,FALSE))</f>
        <v>0</v>
      </c>
      <c r="Z2337" t="e" cm="1" vm="1">
        <f t="array" aca="1" ref="Z2337" ca="1">IFERROR(IF(_xlfn._xlws.FILTER(game_rosters!$J:$J,(game_rosters!$G:$G=events!$AN2337)*(game_rosters!$J:$J=events!$X2337))&gt;0,1,""),"")</f>
        <v>#VALUE!</v>
      </c>
      <c r="AA2337">
        <f t="shared" si="227"/>
        <v>1000</v>
      </c>
      <c r="AB2337" t="str">
        <f t="shared" si="228"/>
        <v/>
      </c>
      <c r="AC2337">
        <f t="shared" si="225"/>
        <v>1000</v>
      </c>
      <c r="AD2337" s="6"/>
    </row>
    <row r="2338" spans="1:30" x14ac:dyDescent="0.2">
      <c r="A2338" t="str">
        <f t="shared" si="226"/>
        <v/>
      </c>
      <c r="X2338" t="str" cm="1">
        <f t="array" ref="X2338">IF(S2338="","",IF($I2338&lt;&gt;"",$I2338,INDEX($I$2:$I2337,ROW()-COUNTIFS($T$2:$T2337,"="&amp;$T2338,$S$2:$S2337,"&lt;&gt;"&amp;$S2338)-1)))</f>
        <v/>
      </c>
      <c r="Y2338" t="b">
        <f>IF(X2338&lt;&gt;"",VLOOKUP(X2338,game_rosters!$C$43:$E$64,3,FALSE))</f>
        <v>0</v>
      </c>
      <c r="Z2338" t="e" cm="1" vm="1">
        <f t="array" aca="1" ref="Z2338" ca="1">IFERROR(IF(_xlfn._xlws.FILTER(game_rosters!$J:$J,(game_rosters!$G:$G=events!$AN2338)*(game_rosters!$J:$J=events!$X2338))&gt;0,1,""),"")</f>
        <v>#VALUE!</v>
      </c>
      <c r="AA2338">
        <f t="shared" si="227"/>
        <v>1000</v>
      </c>
      <c r="AB2338" t="str">
        <f t="shared" si="228"/>
        <v/>
      </c>
      <c r="AC2338">
        <f t="shared" si="225"/>
        <v>1000</v>
      </c>
      <c r="AD2338" s="6"/>
    </row>
    <row r="2339" spans="1:30" x14ac:dyDescent="0.2">
      <c r="A2339" t="str">
        <f t="shared" si="226"/>
        <v/>
      </c>
      <c r="X2339" t="str" cm="1">
        <f t="array" ref="X2339">IF(S2339="","",IF($I2339&lt;&gt;"",$I2339,INDEX($I$2:$I2338,ROW()-COUNTIFS($T$2:$T2338,"="&amp;$T2339,$S$2:$S2338,"&lt;&gt;"&amp;$S2339)-1)))</f>
        <v/>
      </c>
      <c r="Y2339" t="b">
        <f>IF(X2339&lt;&gt;"",VLOOKUP(X2339,game_rosters!$C$43:$E$64,3,FALSE))</f>
        <v>0</v>
      </c>
      <c r="Z2339" t="e" cm="1" vm="1">
        <f t="array" aca="1" ref="Z2339" ca="1">IFERROR(IF(_xlfn._xlws.FILTER(game_rosters!$J:$J,(game_rosters!$G:$G=events!$AN2339)*(game_rosters!$J:$J=events!$X2339))&gt;0,1,""),"")</f>
        <v>#VALUE!</v>
      </c>
      <c r="AA2339">
        <f t="shared" si="227"/>
        <v>1000</v>
      </c>
      <c r="AB2339" t="str">
        <f t="shared" si="228"/>
        <v/>
      </c>
      <c r="AC2339">
        <f t="shared" si="225"/>
        <v>1000</v>
      </c>
      <c r="AD2339" s="6"/>
    </row>
    <row r="2340" spans="1:30" x14ac:dyDescent="0.2">
      <c r="A2340" t="str">
        <f t="shared" si="226"/>
        <v/>
      </c>
      <c r="X2340" t="str" cm="1">
        <f t="array" ref="X2340">IF(S2340="","",IF($I2340&lt;&gt;"",$I2340,INDEX($I$2:$I2339,ROW()-COUNTIFS($T$2:$T2339,"="&amp;$T2340,$S$2:$S2339,"&lt;&gt;"&amp;$S2340)-1)))</f>
        <v/>
      </c>
      <c r="Y2340" t="b">
        <f>IF(X2340&lt;&gt;"",VLOOKUP(X2340,game_rosters!$C$43:$E$64,3,FALSE))</f>
        <v>0</v>
      </c>
      <c r="Z2340" t="e" cm="1" vm="1">
        <f t="array" aca="1" ref="Z2340" ca="1">IFERROR(IF(_xlfn._xlws.FILTER(game_rosters!$J:$J,(game_rosters!$G:$G=events!$AN2340)*(game_rosters!$J:$J=events!$X2340))&gt;0,1,""),"")</f>
        <v>#VALUE!</v>
      </c>
      <c r="AA2340">
        <f t="shared" si="227"/>
        <v>1000</v>
      </c>
      <c r="AB2340" t="str">
        <f t="shared" si="228"/>
        <v/>
      </c>
      <c r="AC2340">
        <f t="shared" si="225"/>
        <v>1000</v>
      </c>
      <c r="AD2340" s="6"/>
    </row>
    <row r="2341" spans="1:30" x14ac:dyDescent="0.2">
      <c r="A2341" t="str">
        <f t="shared" si="226"/>
        <v/>
      </c>
      <c r="X2341" t="str" cm="1">
        <f t="array" ref="X2341">IF(S2341="","",IF($I2341&lt;&gt;"",$I2341,INDEX($I$2:$I2340,ROW()-COUNTIFS($T$2:$T2340,"="&amp;$T2341,$S$2:$S2340,"&lt;&gt;"&amp;$S2341)-1)))</f>
        <v/>
      </c>
      <c r="Y2341" t="b">
        <f>IF(X2341&lt;&gt;"",VLOOKUP(X2341,game_rosters!$C$43:$E$64,3,FALSE))</f>
        <v>0</v>
      </c>
      <c r="Z2341" t="e" cm="1" vm="1">
        <f t="array" aca="1" ref="Z2341" ca="1">IFERROR(IF(_xlfn._xlws.FILTER(game_rosters!$J:$J,(game_rosters!$G:$G=events!$AN2341)*(game_rosters!$J:$J=events!$X2341))&gt;0,1,""),"")</f>
        <v>#VALUE!</v>
      </c>
      <c r="AA2341">
        <f t="shared" si="227"/>
        <v>1000</v>
      </c>
      <c r="AB2341" t="str">
        <f t="shared" si="228"/>
        <v/>
      </c>
      <c r="AC2341">
        <f t="shared" si="225"/>
        <v>1000</v>
      </c>
      <c r="AD2341" s="6"/>
    </row>
    <row r="2342" spans="1:30" x14ac:dyDescent="0.2">
      <c r="A2342" t="str">
        <f t="shared" si="226"/>
        <v/>
      </c>
      <c r="X2342" t="str" cm="1">
        <f t="array" ref="X2342">IF(S2342="","",IF($I2342&lt;&gt;"",$I2342,INDEX($I$2:$I2341,ROW()-COUNTIFS($T$2:$T2341,"="&amp;$T2342,$S$2:$S2341,"&lt;&gt;"&amp;$S2342)-1)))</f>
        <v/>
      </c>
      <c r="Y2342" t="b">
        <f>IF(X2342&lt;&gt;"",VLOOKUP(X2342,game_rosters!$C$43:$E$64,3,FALSE))</f>
        <v>0</v>
      </c>
      <c r="Z2342" t="e" cm="1" vm="1">
        <f t="array" aca="1" ref="Z2342" ca="1">IFERROR(IF(_xlfn._xlws.FILTER(game_rosters!$J:$J,(game_rosters!$G:$G=events!$AN2342)*(game_rosters!$J:$J=events!$X2342))&gt;0,1,""),"")</f>
        <v>#VALUE!</v>
      </c>
      <c r="AA2342">
        <f t="shared" si="227"/>
        <v>1000</v>
      </c>
      <c r="AB2342" t="str">
        <f t="shared" si="228"/>
        <v/>
      </c>
      <c r="AC2342">
        <f t="shared" si="225"/>
        <v>1000</v>
      </c>
      <c r="AD2342" s="6"/>
    </row>
    <row r="2343" spans="1:30" x14ac:dyDescent="0.2">
      <c r="A2343" t="str">
        <f t="shared" si="226"/>
        <v/>
      </c>
      <c r="X2343" t="str" cm="1">
        <f t="array" ref="X2343">IF(S2343="","",IF($I2343&lt;&gt;"",$I2343,INDEX($I$2:$I2342,ROW()-COUNTIFS($T$2:$T2342,"="&amp;$T2343,$S$2:$S2342,"&lt;&gt;"&amp;$S2343)-1)))</f>
        <v/>
      </c>
      <c r="Y2343" t="b">
        <f>IF(X2343&lt;&gt;"",VLOOKUP(X2343,game_rosters!$C$43:$E$64,3,FALSE))</f>
        <v>0</v>
      </c>
      <c r="Z2343" t="e" cm="1" vm="1">
        <f t="array" aca="1" ref="Z2343" ca="1">IFERROR(IF(_xlfn._xlws.FILTER(game_rosters!$J:$J,(game_rosters!$G:$G=events!$AN2343)*(game_rosters!$J:$J=events!$X2343))&gt;0,1,""),"")</f>
        <v>#VALUE!</v>
      </c>
      <c r="AA2343">
        <f t="shared" si="227"/>
        <v>1000</v>
      </c>
      <c r="AB2343" t="str">
        <f t="shared" si="228"/>
        <v/>
      </c>
      <c r="AC2343">
        <f t="shared" si="225"/>
        <v>1000</v>
      </c>
      <c r="AD2343" s="6"/>
    </row>
    <row r="2344" spans="1:30" x14ac:dyDescent="0.2">
      <c r="A2344" t="str">
        <f t="shared" si="226"/>
        <v/>
      </c>
      <c r="X2344" t="str" cm="1">
        <f t="array" ref="X2344">IF(S2344="","",IF($I2344&lt;&gt;"",$I2344,INDEX($I$2:$I2343,ROW()-COUNTIFS($T$2:$T2343,"="&amp;$T2344,$S$2:$S2343,"&lt;&gt;"&amp;$S2344)-1)))</f>
        <v/>
      </c>
      <c r="Y2344" t="b">
        <f>IF(X2344&lt;&gt;"",VLOOKUP(X2344,game_rosters!$C$43:$E$64,3,FALSE))</f>
        <v>0</v>
      </c>
      <c r="Z2344" t="e" cm="1" vm="1">
        <f t="array" aca="1" ref="Z2344" ca="1">IFERROR(IF(_xlfn._xlws.FILTER(game_rosters!$J:$J,(game_rosters!$G:$G=events!$AN2344)*(game_rosters!$J:$J=events!$X2344))&gt;0,1,""),"")</f>
        <v>#VALUE!</v>
      </c>
      <c r="AA2344">
        <f t="shared" si="227"/>
        <v>1000</v>
      </c>
      <c r="AB2344" t="str">
        <f t="shared" si="228"/>
        <v/>
      </c>
      <c r="AC2344">
        <f t="shared" si="225"/>
        <v>1000</v>
      </c>
      <c r="AD2344" s="6"/>
    </row>
    <row r="2345" spans="1:30" x14ac:dyDescent="0.2">
      <c r="A2345" t="str">
        <f t="shared" si="226"/>
        <v/>
      </c>
      <c r="X2345" t="str" cm="1">
        <f t="array" ref="X2345">IF(S2345="","",IF($I2345&lt;&gt;"",$I2345,INDEX($I$2:$I2344,ROW()-COUNTIFS($T$2:$T2344,"="&amp;$T2345,$S$2:$S2344,"&lt;&gt;"&amp;$S2345)-1)))</f>
        <v/>
      </c>
      <c r="Y2345" t="b">
        <f>IF(X2345&lt;&gt;"",VLOOKUP(X2345,game_rosters!$C$43:$E$64,3,FALSE))</f>
        <v>0</v>
      </c>
      <c r="Z2345" t="e" cm="1" vm="1">
        <f t="array" aca="1" ref="Z2345" ca="1">IFERROR(IF(_xlfn._xlws.FILTER(game_rosters!$J:$J,(game_rosters!$G:$G=events!$AN2345)*(game_rosters!$J:$J=events!$X2345))&gt;0,1,""),"")</f>
        <v>#VALUE!</v>
      </c>
      <c r="AA2345">
        <f t="shared" si="227"/>
        <v>1000</v>
      </c>
      <c r="AB2345" t="str">
        <f t="shared" si="228"/>
        <v/>
      </c>
      <c r="AC2345">
        <f t="shared" si="225"/>
        <v>1000</v>
      </c>
      <c r="AD2345" s="6"/>
    </row>
    <row r="2346" spans="1:30" x14ac:dyDescent="0.2">
      <c r="A2346" t="str">
        <f t="shared" si="226"/>
        <v/>
      </c>
      <c r="X2346" t="str" cm="1">
        <f t="array" ref="X2346">IF(S2346="","",IF($I2346&lt;&gt;"",$I2346,INDEX($I$2:$I2345,ROW()-COUNTIFS($T$2:$T2345,"="&amp;$T2346,$S$2:$S2345,"&lt;&gt;"&amp;$S2346)-1)))</f>
        <v/>
      </c>
      <c r="Y2346" t="b">
        <f>IF(X2346&lt;&gt;"",VLOOKUP(X2346,game_rosters!$C$43:$E$64,3,FALSE))</f>
        <v>0</v>
      </c>
      <c r="Z2346" t="e" cm="1" vm="1">
        <f t="array" aca="1" ref="Z2346" ca="1">IFERROR(IF(_xlfn._xlws.FILTER(game_rosters!$J:$J,(game_rosters!$G:$G=events!$AN2346)*(game_rosters!$J:$J=events!$X2346))&gt;0,1,""),"")</f>
        <v>#VALUE!</v>
      </c>
      <c r="AA2346">
        <f t="shared" si="227"/>
        <v>1000</v>
      </c>
      <c r="AB2346" t="str">
        <f t="shared" si="228"/>
        <v/>
      </c>
      <c r="AC2346">
        <f t="shared" si="225"/>
        <v>1000</v>
      </c>
      <c r="AD2346" s="6"/>
    </row>
    <row r="2347" spans="1:30" x14ac:dyDescent="0.2">
      <c r="A2347" t="str">
        <f t="shared" si="226"/>
        <v/>
      </c>
      <c r="X2347" t="str" cm="1">
        <f t="array" ref="X2347">IF(S2347="","",IF($I2347&lt;&gt;"",$I2347,INDEX($I$2:$I2346,ROW()-COUNTIFS($T$2:$T2346,"="&amp;$T2347,$S$2:$S2346,"&lt;&gt;"&amp;$S2347)-1)))</f>
        <v/>
      </c>
      <c r="Y2347" t="b">
        <f>IF(X2347&lt;&gt;"",VLOOKUP(X2347,game_rosters!$C$43:$E$64,3,FALSE))</f>
        <v>0</v>
      </c>
      <c r="Z2347" t="e" cm="1" vm="1">
        <f t="array" aca="1" ref="Z2347" ca="1">IFERROR(IF(_xlfn._xlws.FILTER(game_rosters!$J:$J,(game_rosters!$G:$G=events!$AN2347)*(game_rosters!$J:$J=events!$X2347))&gt;0,1,""),"")</f>
        <v>#VALUE!</v>
      </c>
      <c r="AA2347">
        <f t="shared" si="227"/>
        <v>1000</v>
      </c>
      <c r="AB2347" t="str">
        <f t="shared" si="228"/>
        <v/>
      </c>
      <c r="AC2347">
        <f t="shared" si="225"/>
        <v>1000</v>
      </c>
      <c r="AD2347" s="6"/>
    </row>
    <row r="2348" spans="1:30" x14ac:dyDescent="0.2">
      <c r="A2348" t="str">
        <f t="shared" si="226"/>
        <v/>
      </c>
      <c r="X2348" t="str" cm="1">
        <f t="array" ref="X2348">IF(S2348="","",IF($I2348&lt;&gt;"",$I2348,INDEX($I$2:$I2347,ROW()-COUNTIFS($T$2:$T2347,"="&amp;$T2348,$S$2:$S2347,"&lt;&gt;"&amp;$S2348)-1)))</f>
        <v/>
      </c>
      <c r="Y2348" t="b">
        <f>IF(X2348&lt;&gt;"",VLOOKUP(X2348,game_rosters!$C$43:$E$64,3,FALSE))</f>
        <v>0</v>
      </c>
      <c r="Z2348" t="e" cm="1" vm="1">
        <f t="array" aca="1" ref="Z2348" ca="1">IFERROR(IF(_xlfn._xlws.FILTER(game_rosters!$J:$J,(game_rosters!$G:$G=events!$AN2348)*(game_rosters!$J:$J=events!$X2348))&gt;0,1,""),"")</f>
        <v>#VALUE!</v>
      </c>
      <c r="AA2348">
        <f t="shared" si="227"/>
        <v>1000</v>
      </c>
      <c r="AB2348" t="str">
        <f t="shared" si="228"/>
        <v/>
      </c>
      <c r="AC2348">
        <f t="shared" si="225"/>
        <v>1000</v>
      </c>
      <c r="AD2348" s="6"/>
    </row>
    <row r="2349" spans="1:30" x14ac:dyDescent="0.2">
      <c r="A2349" t="str">
        <f t="shared" si="226"/>
        <v/>
      </c>
      <c r="X2349" t="str" cm="1">
        <f t="array" ref="X2349">IF(S2349="","",IF($I2349&lt;&gt;"",$I2349,INDEX($I$2:$I2348,ROW()-COUNTIFS($T$2:$T2348,"="&amp;$T2349,$S$2:$S2348,"&lt;&gt;"&amp;$S2349)-1)))</f>
        <v/>
      </c>
      <c r="Y2349" t="b">
        <f>IF(X2349&lt;&gt;"",VLOOKUP(X2349,game_rosters!$C$43:$E$64,3,FALSE))</f>
        <v>0</v>
      </c>
      <c r="Z2349" t="e" cm="1" vm="1">
        <f t="array" aca="1" ref="Z2349" ca="1">IFERROR(IF(_xlfn._xlws.FILTER(game_rosters!$J:$J,(game_rosters!$G:$G=events!$AN2349)*(game_rosters!$J:$J=events!$X2349))&gt;0,1,""),"")</f>
        <v>#VALUE!</v>
      </c>
      <c r="AA2349">
        <f t="shared" si="227"/>
        <v>1000</v>
      </c>
      <c r="AB2349" t="str">
        <f t="shared" si="228"/>
        <v/>
      </c>
      <c r="AC2349">
        <f t="shared" si="225"/>
        <v>1000</v>
      </c>
      <c r="AD2349" s="6"/>
    </row>
    <row r="2350" spans="1:30" x14ac:dyDescent="0.2">
      <c r="A2350" t="str">
        <f t="shared" si="226"/>
        <v/>
      </c>
      <c r="X2350" t="str" cm="1">
        <f t="array" ref="X2350">IF(S2350="","",IF($I2350&lt;&gt;"",$I2350,INDEX($I$2:$I2349,ROW()-COUNTIFS($T$2:$T2349,"="&amp;$T2350,$S$2:$S2349,"&lt;&gt;"&amp;$S2350)-1)))</f>
        <v/>
      </c>
      <c r="Y2350" t="b">
        <f>IF(X2350&lt;&gt;"",VLOOKUP(X2350,game_rosters!$C$43:$E$64,3,FALSE))</f>
        <v>0</v>
      </c>
      <c r="Z2350" t="e" cm="1" vm="1">
        <f t="array" aca="1" ref="Z2350" ca="1">IFERROR(IF(_xlfn._xlws.FILTER(game_rosters!$J:$J,(game_rosters!$G:$G=events!$AN2350)*(game_rosters!$J:$J=events!$X2350))&gt;0,1,""),"")</f>
        <v>#VALUE!</v>
      </c>
      <c r="AA2350">
        <f t="shared" si="227"/>
        <v>1000</v>
      </c>
      <c r="AB2350" t="str">
        <f t="shared" si="228"/>
        <v/>
      </c>
      <c r="AC2350">
        <f t="shared" si="225"/>
        <v>1000</v>
      </c>
      <c r="AD2350" s="6"/>
    </row>
    <row r="2351" spans="1:30" x14ac:dyDescent="0.2">
      <c r="A2351" t="str">
        <f t="shared" si="226"/>
        <v/>
      </c>
      <c r="X2351" t="str" cm="1">
        <f t="array" ref="X2351">IF(S2351="","",IF($I2351&lt;&gt;"",$I2351,INDEX($I$2:$I2350,ROW()-COUNTIFS($T$2:$T2350,"="&amp;$T2351,$S$2:$S2350,"&lt;&gt;"&amp;$S2351)-1)))</f>
        <v/>
      </c>
      <c r="Y2351" t="b">
        <f>IF(X2351&lt;&gt;"",VLOOKUP(X2351,game_rosters!$C$43:$E$64,3,FALSE))</f>
        <v>0</v>
      </c>
      <c r="Z2351" t="e" cm="1" vm="1">
        <f t="array" aca="1" ref="Z2351" ca="1">IFERROR(IF(_xlfn._xlws.FILTER(game_rosters!$J:$J,(game_rosters!$G:$G=events!$AN2351)*(game_rosters!$J:$J=events!$X2351))&gt;0,1,""),"")</f>
        <v>#VALUE!</v>
      </c>
      <c r="AA2351">
        <f t="shared" si="227"/>
        <v>1000</v>
      </c>
      <c r="AB2351" t="str">
        <f t="shared" si="228"/>
        <v/>
      </c>
      <c r="AC2351">
        <f t="shared" si="225"/>
        <v>1000</v>
      </c>
      <c r="AD2351" s="6"/>
    </row>
    <row r="2352" spans="1:30" x14ac:dyDescent="0.2">
      <c r="A2352" t="str">
        <f t="shared" si="226"/>
        <v/>
      </c>
      <c r="X2352" t="str" cm="1">
        <f t="array" ref="X2352">IF(S2352="","",IF($I2352&lt;&gt;"",$I2352,INDEX($I$2:$I2351,ROW()-COUNTIFS($T$2:$T2351,"="&amp;$T2352,$S$2:$S2351,"&lt;&gt;"&amp;$S2352)-1)))</f>
        <v/>
      </c>
      <c r="Y2352" t="b">
        <f>IF(X2352&lt;&gt;"",VLOOKUP(X2352,game_rosters!$C$43:$E$64,3,FALSE))</f>
        <v>0</v>
      </c>
      <c r="Z2352" t="e" cm="1" vm="1">
        <f t="array" aca="1" ref="Z2352" ca="1">IFERROR(IF(_xlfn._xlws.FILTER(game_rosters!$J:$J,(game_rosters!$G:$G=events!$AN2352)*(game_rosters!$J:$J=events!$X2352))&gt;0,1,""),"")</f>
        <v>#VALUE!</v>
      </c>
      <c r="AA2352">
        <f t="shared" si="227"/>
        <v>1000</v>
      </c>
      <c r="AB2352" t="str">
        <f t="shared" si="228"/>
        <v/>
      </c>
      <c r="AC2352">
        <f t="shared" si="225"/>
        <v>1000</v>
      </c>
      <c r="AD2352" s="6"/>
    </row>
    <row r="2353" spans="1:30" x14ac:dyDescent="0.2">
      <c r="A2353" t="str">
        <f t="shared" si="226"/>
        <v/>
      </c>
      <c r="X2353" t="str" cm="1">
        <f t="array" ref="X2353">IF(S2353="","",IF($I2353&lt;&gt;"",$I2353,INDEX($I$2:$I2352,ROW()-COUNTIFS($T$2:$T2352,"="&amp;$T2353,$S$2:$S2352,"&lt;&gt;"&amp;$S2353)-1)))</f>
        <v/>
      </c>
      <c r="Y2353" t="b">
        <f>IF(X2353&lt;&gt;"",VLOOKUP(X2353,game_rosters!$C$43:$E$64,3,FALSE))</f>
        <v>0</v>
      </c>
      <c r="Z2353" t="e" cm="1" vm="1">
        <f t="array" aca="1" ref="Z2353" ca="1">IFERROR(IF(_xlfn._xlws.FILTER(game_rosters!$J:$J,(game_rosters!$G:$G=events!$AN2353)*(game_rosters!$J:$J=events!$X2353))&gt;0,1,""),"")</f>
        <v>#VALUE!</v>
      </c>
      <c r="AA2353">
        <f t="shared" si="227"/>
        <v>1000</v>
      </c>
      <c r="AB2353" t="str">
        <f t="shared" si="228"/>
        <v/>
      </c>
      <c r="AC2353">
        <f t="shared" si="225"/>
        <v>1000</v>
      </c>
      <c r="AD2353" s="6"/>
    </row>
    <row r="2354" spans="1:30" x14ac:dyDescent="0.2">
      <c r="A2354" t="str">
        <f t="shared" si="226"/>
        <v/>
      </c>
      <c r="X2354" t="str" cm="1">
        <f t="array" ref="X2354">IF(S2354="","",IF($I2354&lt;&gt;"",$I2354,INDEX($I$2:$I2353,ROW()-COUNTIFS($T$2:$T2353,"="&amp;$T2354,$S$2:$S2353,"&lt;&gt;"&amp;$S2354)-1)))</f>
        <v/>
      </c>
      <c r="Y2354" t="b">
        <f>IF(X2354&lt;&gt;"",VLOOKUP(X2354,game_rosters!$C$43:$E$64,3,FALSE))</f>
        <v>0</v>
      </c>
      <c r="Z2354" t="e" cm="1" vm="1">
        <f t="array" aca="1" ref="Z2354" ca="1">IFERROR(IF(_xlfn._xlws.FILTER(game_rosters!$J:$J,(game_rosters!$G:$G=events!$AN2354)*(game_rosters!$J:$J=events!$X2354))&gt;0,1,""),"")</f>
        <v>#VALUE!</v>
      </c>
      <c r="AA2354">
        <f t="shared" si="227"/>
        <v>1000</v>
      </c>
      <c r="AB2354" t="str">
        <f t="shared" si="228"/>
        <v/>
      </c>
      <c r="AC2354">
        <f t="shared" si="225"/>
        <v>1000</v>
      </c>
      <c r="AD2354" s="6"/>
    </row>
    <row r="2355" spans="1:30" x14ac:dyDescent="0.2">
      <c r="A2355" t="str">
        <f t="shared" si="226"/>
        <v/>
      </c>
      <c r="X2355" t="str" cm="1">
        <f t="array" ref="X2355">IF(S2355="","",IF($I2355&lt;&gt;"",$I2355,INDEX($I$2:$I2354,ROW()-COUNTIFS($T$2:$T2354,"="&amp;$T2355,$S$2:$S2354,"&lt;&gt;"&amp;$S2355)-1)))</f>
        <v/>
      </c>
      <c r="Y2355" t="b">
        <f>IF(X2355&lt;&gt;"",VLOOKUP(X2355,game_rosters!$C$43:$E$64,3,FALSE))</f>
        <v>0</v>
      </c>
      <c r="Z2355" t="e" cm="1" vm="1">
        <f t="array" aca="1" ref="Z2355" ca="1">IFERROR(IF(_xlfn._xlws.FILTER(game_rosters!$J:$J,(game_rosters!$G:$G=events!$AN2355)*(game_rosters!$J:$J=events!$X2355))&gt;0,1,""),"")</f>
        <v>#VALUE!</v>
      </c>
      <c r="AA2355">
        <f t="shared" si="227"/>
        <v>1000</v>
      </c>
      <c r="AB2355" t="str">
        <f t="shared" si="228"/>
        <v/>
      </c>
      <c r="AC2355">
        <f t="shared" si="225"/>
        <v>1000</v>
      </c>
      <c r="AD2355" s="6"/>
    </row>
    <row r="2356" spans="1:30" x14ac:dyDescent="0.2">
      <c r="A2356" t="str">
        <f t="shared" si="226"/>
        <v/>
      </c>
      <c r="X2356" t="str" cm="1">
        <f t="array" ref="X2356">IF(S2356="","",IF($I2356&lt;&gt;"",$I2356,INDEX($I$2:$I2355,ROW()-COUNTIFS($T$2:$T2355,"="&amp;$T2356,$S$2:$S2355,"&lt;&gt;"&amp;$S2356)-1)))</f>
        <v/>
      </c>
      <c r="Y2356" t="b">
        <f>IF(X2356&lt;&gt;"",VLOOKUP(X2356,game_rosters!$C$43:$E$64,3,FALSE))</f>
        <v>0</v>
      </c>
      <c r="Z2356" t="e" cm="1" vm="1">
        <f t="array" aca="1" ref="Z2356" ca="1">IFERROR(IF(_xlfn._xlws.FILTER(game_rosters!$J:$J,(game_rosters!$G:$G=events!$AN2356)*(game_rosters!$J:$J=events!$X2356))&gt;0,1,""),"")</f>
        <v>#VALUE!</v>
      </c>
      <c r="AA2356">
        <f t="shared" si="227"/>
        <v>1000</v>
      </c>
      <c r="AB2356" t="str">
        <f t="shared" si="228"/>
        <v/>
      </c>
      <c r="AC2356">
        <f t="shared" si="225"/>
        <v>1000</v>
      </c>
      <c r="AD2356" s="6"/>
    </row>
    <row r="2357" spans="1:30" x14ac:dyDescent="0.2">
      <c r="A2357" t="str">
        <f t="shared" si="226"/>
        <v/>
      </c>
      <c r="X2357" t="str" cm="1">
        <f t="array" ref="X2357">IF(S2357="","",IF($I2357&lt;&gt;"",$I2357,INDEX($I$2:$I2356,ROW()-COUNTIFS($T$2:$T2356,"="&amp;$T2357,$S$2:$S2356,"&lt;&gt;"&amp;$S2357)-1)))</f>
        <v/>
      </c>
      <c r="Y2357" t="b">
        <f>IF(X2357&lt;&gt;"",VLOOKUP(X2357,game_rosters!$C$43:$E$64,3,FALSE))</f>
        <v>0</v>
      </c>
      <c r="Z2357" t="e" cm="1" vm="1">
        <f t="array" aca="1" ref="Z2357" ca="1">IFERROR(IF(_xlfn._xlws.FILTER(game_rosters!$J:$J,(game_rosters!$G:$G=events!$AN2357)*(game_rosters!$J:$J=events!$X2357))&gt;0,1,""),"")</f>
        <v>#VALUE!</v>
      </c>
      <c r="AA2357">
        <f t="shared" si="227"/>
        <v>1000</v>
      </c>
      <c r="AB2357" t="str">
        <f t="shared" si="228"/>
        <v/>
      </c>
      <c r="AC2357">
        <f t="shared" si="225"/>
        <v>1000</v>
      </c>
      <c r="AD2357" s="6"/>
    </row>
    <row r="2358" spans="1:30" x14ac:dyDescent="0.2">
      <c r="A2358" t="str">
        <f t="shared" si="226"/>
        <v/>
      </c>
      <c r="X2358" t="str" cm="1">
        <f t="array" ref="X2358">IF(S2358="","",IF($I2358&lt;&gt;"",$I2358,INDEX($I$2:$I2357,ROW()-COUNTIFS($T$2:$T2357,"="&amp;$T2358,$S$2:$S2357,"&lt;&gt;"&amp;$S2358)-1)))</f>
        <v/>
      </c>
      <c r="Y2358" t="b">
        <f>IF(X2358&lt;&gt;"",VLOOKUP(X2358,game_rosters!$C$43:$E$64,3,FALSE))</f>
        <v>0</v>
      </c>
      <c r="Z2358" t="e" cm="1" vm="1">
        <f t="array" aca="1" ref="Z2358" ca="1">IFERROR(IF(_xlfn._xlws.FILTER(game_rosters!$J:$J,(game_rosters!$G:$G=events!$AN2358)*(game_rosters!$J:$J=events!$X2358))&gt;0,1,""),"")</f>
        <v>#VALUE!</v>
      </c>
      <c r="AA2358">
        <f t="shared" si="227"/>
        <v>1000</v>
      </c>
      <c r="AB2358" t="str">
        <f t="shared" si="228"/>
        <v/>
      </c>
      <c r="AC2358">
        <f t="shared" si="225"/>
        <v>1000</v>
      </c>
      <c r="AD2358" s="6"/>
    </row>
    <row r="2359" spans="1:30" x14ac:dyDescent="0.2">
      <c r="A2359" t="str">
        <f t="shared" si="226"/>
        <v/>
      </c>
      <c r="X2359" t="str" cm="1">
        <f t="array" ref="X2359">IF(S2359="","",IF($I2359&lt;&gt;"",$I2359,INDEX($I$2:$I2358,ROW()-COUNTIFS($T$2:$T2358,"="&amp;$T2359,$S$2:$S2358,"&lt;&gt;"&amp;$S2359)-1)))</f>
        <v/>
      </c>
      <c r="Y2359" t="b">
        <f>IF(X2359&lt;&gt;"",VLOOKUP(X2359,game_rosters!$C$43:$E$64,3,FALSE))</f>
        <v>0</v>
      </c>
      <c r="Z2359" t="e" cm="1" vm="1">
        <f t="array" aca="1" ref="Z2359" ca="1">IFERROR(IF(_xlfn._xlws.FILTER(game_rosters!$J:$J,(game_rosters!$G:$G=events!$AN2359)*(game_rosters!$J:$J=events!$X2359))&gt;0,1,""),"")</f>
        <v>#VALUE!</v>
      </c>
      <c r="AA2359">
        <f t="shared" si="227"/>
        <v>1000</v>
      </c>
      <c r="AB2359" t="str">
        <f t="shared" si="228"/>
        <v/>
      </c>
      <c r="AC2359">
        <f t="shared" si="225"/>
        <v>1000</v>
      </c>
      <c r="AD2359" s="6"/>
    </row>
    <row r="2360" spans="1:30" x14ac:dyDescent="0.2">
      <c r="A2360" t="str">
        <f t="shared" si="226"/>
        <v/>
      </c>
      <c r="X2360" t="str" cm="1">
        <f t="array" ref="X2360">IF(S2360="","",IF($I2360&lt;&gt;"",$I2360,INDEX($I$2:$I2359,ROW()-COUNTIFS($T$2:$T2359,"="&amp;$T2360,$S$2:$S2359,"&lt;&gt;"&amp;$S2360)-1)))</f>
        <v/>
      </c>
      <c r="Y2360" t="b">
        <f>IF(X2360&lt;&gt;"",VLOOKUP(X2360,game_rosters!$C$43:$E$64,3,FALSE))</f>
        <v>0</v>
      </c>
      <c r="Z2360" t="e" cm="1" vm="1">
        <f t="array" aca="1" ref="Z2360" ca="1">IFERROR(IF(_xlfn._xlws.FILTER(game_rosters!$J:$J,(game_rosters!$G:$G=events!$AN2360)*(game_rosters!$J:$J=events!$X2360))&gt;0,1,""),"")</f>
        <v>#VALUE!</v>
      </c>
      <c r="AA2360">
        <f t="shared" si="227"/>
        <v>1000</v>
      </c>
      <c r="AB2360" t="str">
        <f t="shared" si="228"/>
        <v/>
      </c>
      <c r="AC2360">
        <f t="shared" si="225"/>
        <v>1000</v>
      </c>
      <c r="AD2360" s="6"/>
    </row>
    <row r="2361" spans="1:30" x14ac:dyDescent="0.2">
      <c r="A2361" t="str">
        <f t="shared" si="226"/>
        <v/>
      </c>
      <c r="X2361" t="str" cm="1">
        <f t="array" ref="X2361">IF(S2361="","",IF($I2361&lt;&gt;"",$I2361,INDEX($I$2:$I2360,ROW()-COUNTIFS($T$2:$T2360,"="&amp;$T2361,$S$2:$S2360,"&lt;&gt;"&amp;$S2361)-1)))</f>
        <v/>
      </c>
      <c r="Y2361" t="b">
        <f>IF(X2361&lt;&gt;"",VLOOKUP(X2361,game_rosters!$C$43:$E$64,3,FALSE))</f>
        <v>0</v>
      </c>
      <c r="Z2361" t="e" cm="1" vm="1">
        <f t="array" aca="1" ref="Z2361" ca="1">IFERROR(IF(_xlfn._xlws.FILTER(game_rosters!$J:$J,(game_rosters!$G:$G=events!$AN2361)*(game_rosters!$J:$J=events!$X2361))&gt;0,1,""),"")</f>
        <v>#VALUE!</v>
      </c>
      <c r="AA2361">
        <f t="shared" si="227"/>
        <v>1000</v>
      </c>
      <c r="AB2361" t="str">
        <f t="shared" si="228"/>
        <v/>
      </c>
      <c r="AC2361">
        <f t="shared" si="225"/>
        <v>1000</v>
      </c>
      <c r="AD2361" s="6"/>
    </row>
    <row r="2362" spans="1:30" x14ac:dyDescent="0.2">
      <c r="A2362" t="str">
        <f t="shared" si="226"/>
        <v/>
      </c>
      <c r="X2362" t="str" cm="1">
        <f t="array" ref="X2362">IF(S2362="","",IF($I2362&lt;&gt;"",$I2362,INDEX($I$2:$I2361,ROW()-COUNTIFS($T$2:$T2361,"="&amp;$T2362,$S$2:$S2361,"&lt;&gt;"&amp;$S2362)-1)))</f>
        <v/>
      </c>
      <c r="Y2362" t="b">
        <f>IF(X2362&lt;&gt;"",VLOOKUP(X2362,game_rosters!$C$43:$E$64,3,FALSE))</f>
        <v>0</v>
      </c>
      <c r="Z2362" t="e" cm="1" vm="1">
        <f t="array" aca="1" ref="Z2362" ca="1">IFERROR(IF(_xlfn._xlws.FILTER(game_rosters!$J:$J,(game_rosters!$G:$G=events!$AN2362)*(game_rosters!$J:$J=events!$X2362))&gt;0,1,""),"")</f>
        <v>#VALUE!</v>
      </c>
      <c r="AA2362">
        <f t="shared" si="227"/>
        <v>1000</v>
      </c>
      <c r="AB2362" t="str">
        <f t="shared" si="228"/>
        <v/>
      </c>
      <c r="AC2362">
        <f t="shared" si="225"/>
        <v>1000</v>
      </c>
      <c r="AD2362" s="6"/>
    </row>
    <row r="2363" spans="1:30" x14ac:dyDescent="0.2">
      <c r="A2363" t="str">
        <f t="shared" si="226"/>
        <v/>
      </c>
      <c r="X2363" t="str" cm="1">
        <f t="array" ref="X2363">IF(S2363="","",IF($I2363&lt;&gt;"",$I2363,INDEX($I$2:$I2362,ROW()-COUNTIFS($T$2:$T2362,"="&amp;$T2363,$S$2:$S2362,"&lt;&gt;"&amp;$S2363)-1)))</f>
        <v/>
      </c>
      <c r="Y2363" t="b">
        <f>IF(X2363&lt;&gt;"",VLOOKUP(X2363,game_rosters!$C$43:$E$64,3,FALSE))</f>
        <v>0</v>
      </c>
      <c r="Z2363" t="e" cm="1" vm="1">
        <f t="array" aca="1" ref="Z2363" ca="1">IFERROR(IF(_xlfn._xlws.FILTER(game_rosters!$J:$J,(game_rosters!$G:$G=events!$AN2363)*(game_rosters!$J:$J=events!$X2363))&gt;0,1,""),"")</f>
        <v>#VALUE!</v>
      </c>
      <c r="AA2363">
        <f t="shared" si="227"/>
        <v>1000</v>
      </c>
      <c r="AB2363" t="str">
        <f t="shared" si="228"/>
        <v/>
      </c>
      <c r="AC2363">
        <f t="shared" si="225"/>
        <v>1000</v>
      </c>
      <c r="AD2363" s="6"/>
    </row>
    <row r="2364" spans="1:30" x14ac:dyDescent="0.2">
      <c r="A2364" t="str">
        <f t="shared" si="226"/>
        <v/>
      </c>
      <c r="X2364" t="str" cm="1">
        <f t="array" ref="X2364">IF(S2364="","",IF($I2364&lt;&gt;"",$I2364,INDEX($I$2:$I2363,ROW()-COUNTIFS($T$2:$T2363,"="&amp;$T2364,$S$2:$S2363,"&lt;&gt;"&amp;$S2364)-1)))</f>
        <v/>
      </c>
      <c r="Y2364" t="b">
        <f>IF(X2364&lt;&gt;"",VLOOKUP(X2364,game_rosters!$C$43:$E$64,3,FALSE))</f>
        <v>0</v>
      </c>
      <c r="Z2364" t="e" cm="1" vm="1">
        <f t="array" aca="1" ref="Z2364" ca="1">IFERROR(IF(_xlfn._xlws.FILTER(game_rosters!$J:$J,(game_rosters!$G:$G=events!$AN2364)*(game_rosters!$J:$J=events!$X2364))&gt;0,1,""),"")</f>
        <v>#VALUE!</v>
      </c>
      <c r="AA2364">
        <f t="shared" si="227"/>
        <v>1000</v>
      </c>
      <c r="AB2364" t="str">
        <f t="shared" si="228"/>
        <v/>
      </c>
      <c r="AC2364">
        <f t="shared" si="225"/>
        <v>1000</v>
      </c>
      <c r="AD2364" s="6"/>
    </row>
    <row r="2365" spans="1:30" x14ac:dyDescent="0.2">
      <c r="A2365" t="str">
        <f t="shared" si="226"/>
        <v/>
      </c>
      <c r="X2365" t="str" cm="1">
        <f t="array" ref="X2365">IF(S2365="","",IF($I2365&lt;&gt;"",$I2365,INDEX($I$2:$I2364,ROW()-COUNTIFS($T$2:$T2364,"="&amp;$T2365,$S$2:$S2364,"&lt;&gt;"&amp;$S2365)-1)))</f>
        <v/>
      </c>
      <c r="Y2365" t="b">
        <f>IF(X2365&lt;&gt;"",VLOOKUP(X2365,game_rosters!$C$43:$E$64,3,FALSE))</f>
        <v>0</v>
      </c>
      <c r="Z2365" t="e" cm="1" vm="1">
        <f t="array" aca="1" ref="Z2365" ca="1">IFERROR(IF(_xlfn._xlws.FILTER(game_rosters!$J:$J,(game_rosters!$G:$G=events!$AN2365)*(game_rosters!$J:$J=events!$X2365))&gt;0,1,""),"")</f>
        <v>#VALUE!</v>
      </c>
      <c r="AA2365">
        <f t="shared" si="227"/>
        <v>1000</v>
      </c>
      <c r="AB2365" t="str">
        <f t="shared" si="228"/>
        <v/>
      </c>
      <c r="AC2365">
        <f t="shared" si="225"/>
        <v>1000</v>
      </c>
      <c r="AD2365" s="6"/>
    </row>
    <row r="2366" spans="1:30" x14ac:dyDescent="0.2">
      <c r="A2366" t="str">
        <f t="shared" si="226"/>
        <v/>
      </c>
      <c r="X2366" t="str" cm="1">
        <f t="array" ref="X2366">IF(S2366="","",IF($I2366&lt;&gt;"",$I2366,INDEX($I$2:$I2365,ROW()-COUNTIFS($T$2:$T2365,"="&amp;$T2366,$S$2:$S2365,"&lt;&gt;"&amp;$S2366)-1)))</f>
        <v/>
      </c>
      <c r="Y2366" t="b">
        <f>IF(X2366&lt;&gt;"",VLOOKUP(X2366,game_rosters!$C$43:$E$64,3,FALSE))</f>
        <v>0</v>
      </c>
      <c r="Z2366" t="e" cm="1" vm="1">
        <f t="array" aca="1" ref="Z2366" ca="1">IFERROR(IF(_xlfn._xlws.FILTER(game_rosters!$J:$J,(game_rosters!$G:$G=events!$AN2366)*(game_rosters!$J:$J=events!$X2366))&gt;0,1,""),"")</f>
        <v>#VALUE!</v>
      </c>
      <c r="AA2366">
        <f t="shared" si="227"/>
        <v>1000</v>
      </c>
      <c r="AB2366" t="str">
        <f t="shared" si="228"/>
        <v/>
      </c>
      <c r="AC2366">
        <f t="shared" si="225"/>
        <v>1000</v>
      </c>
      <c r="AD2366" s="6"/>
    </row>
    <row r="2367" spans="1:30" x14ac:dyDescent="0.2">
      <c r="A2367" t="str">
        <f t="shared" si="226"/>
        <v/>
      </c>
      <c r="X2367" t="str" cm="1">
        <f t="array" ref="X2367">IF(S2367="","",IF($I2367&lt;&gt;"",$I2367,INDEX($I$2:$I2366,ROW()-COUNTIFS($T$2:$T2366,"="&amp;$T2367,$S$2:$S2366,"&lt;&gt;"&amp;$S2367)-1)))</f>
        <v/>
      </c>
      <c r="Y2367" t="b">
        <f>IF(X2367&lt;&gt;"",VLOOKUP(X2367,game_rosters!$C$43:$E$64,3,FALSE))</f>
        <v>0</v>
      </c>
      <c r="Z2367" t="e" cm="1" vm="1">
        <f t="array" aca="1" ref="Z2367" ca="1">IFERROR(IF(_xlfn._xlws.FILTER(game_rosters!$J:$J,(game_rosters!$G:$G=events!$AN2367)*(game_rosters!$J:$J=events!$X2367))&gt;0,1,""),"")</f>
        <v>#VALUE!</v>
      </c>
      <c r="AA2367">
        <f t="shared" si="227"/>
        <v>1000</v>
      </c>
      <c r="AB2367" t="str">
        <f t="shared" si="228"/>
        <v/>
      </c>
      <c r="AC2367">
        <f t="shared" si="225"/>
        <v>1000</v>
      </c>
      <c r="AD2367" s="6"/>
    </row>
    <row r="2368" spans="1:30" x14ac:dyDescent="0.2">
      <c r="A2368" t="str">
        <f t="shared" si="226"/>
        <v/>
      </c>
      <c r="X2368" t="str" cm="1">
        <f t="array" ref="X2368">IF(S2368="","",IF($I2368&lt;&gt;"",$I2368,INDEX($I$2:$I2367,ROW()-COUNTIFS($T$2:$T2367,"="&amp;$T2368,$S$2:$S2367,"&lt;&gt;"&amp;$S2368)-1)))</f>
        <v/>
      </c>
      <c r="Y2368" t="b">
        <f>IF(X2368&lt;&gt;"",VLOOKUP(X2368,game_rosters!$C$43:$E$64,3,FALSE))</f>
        <v>0</v>
      </c>
      <c r="Z2368" t="e" cm="1" vm="1">
        <f t="array" aca="1" ref="Z2368" ca="1">IFERROR(IF(_xlfn._xlws.FILTER(game_rosters!$J:$J,(game_rosters!$G:$G=events!$AN2368)*(game_rosters!$J:$J=events!$X2368))&gt;0,1,""),"")</f>
        <v>#VALUE!</v>
      </c>
      <c r="AA2368">
        <f t="shared" si="227"/>
        <v>1000</v>
      </c>
      <c r="AB2368" t="str">
        <f t="shared" si="228"/>
        <v/>
      </c>
      <c r="AC2368">
        <f t="shared" si="225"/>
        <v>1000</v>
      </c>
      <c r="AD2368" s="6"/>
    </row>
    <row r="2369" spans="1:30" x14ac:dyDescent="0.2">
      <c r="A2369" t="str">
        <f t="shared" si="226"/>
        <v/>
      </c>
      <c r="X2369" t="str" cm="1">
        <f t="array" ref="X2369">IF(S2369="","",IF($I2369&lt;&gt;"",$I2369,INDEX($I$2:$I2368,ROW()-COUNTIFS($T$2:$T2368,"="&amp;$T2369,$S$2:$S2368,"&lt;&gt;"&amp;$S2369)-1)))</f>
        <v/>
      </c>
      <c r="Y2369" t="b">
        <f>IF(X2369&lt;&gt;"",VLOOKUP(X2369,game_rosters!$C$43:$E$64,3,FALSE))</f>
        <v>0</v>
      </c>
      <c r="Z2369" t="e" cm="1" vm="1">
        <f t="array" aca="1" ref="Z2369" ca="1">IFERROR(IF(_xlfn._xlws.FILTER(game_rosters!$J:$J,(game_rosters!$G:$G=events!$AN2369)*(game_rosters!$J:$J=events!$X2369))&gt;0,1,""),"")</f>
        <v>#VALUE!</v>
      </c>
      <c r="AA2369">
        <f t="shared" si="227"/>
        <v>1000</v>
      </c>
      <c r="AB2369" t="str">
        <f t="shared" si="228"/>
        <v/>
      </c>
      <c r="AC2369">
        <f t="shared" si="225"/>
        <v>1000</v>
      </c>
      <c r="AD2369" s="6"/>
    </row>
    <row r="2370" spans="1:30" x14ac:dyDescent="0.2">
      <c r="A2370" t="str">
        <f t="shared" si="226"/>
        <v/>
      </c>
      <c r="X2370" t="str" cm="1">
        <f t="array" ref="X2370">IF(S2370="","",IF($I2370&lt;&gt;"",$I2370,INDEX($I$2:$I2369,ROW()-COUNTIFS($T$2:$T2369,"="&amp;$T2370,$S$2:$S2369,"&lt;&gt;"&amp;$S2370)-1)))</f>
        <v/>
      </c>
      <c r="Y2370" t="b">
        <f>IF(X2370&lt;&gt;"",VLOOKUP(X2370,game_rosters!$C$43:$E$64,3,FALSE))</f>
        <v>0</v>
      </c>
      <c r="Z2370" t="e" cm="1" vm="1">
        <f t="array" aca="1" ref="Z2370" ca="1">IFERROR(IF(_xlfn._xlws.FILTER(game_rosters!$J:$J,(game_rosters!$G:$G=events!$AN2370)*(game_rosters!$J:$J=events!$X2370))&gt;0,1,""),"")</f>
        <v>#VALUE!</v>
      </c>
      <c r="AA2370">
        <f t="shared" si="227"/>
        <v>1000</v>
      </c>
      <c r="AB2370" t="str">
        <f t="shared" si="228"/>
        <v/>
      </c>
      <c r="AC2370">
        <f t="shared" ref="AC2370:AC2433" si="229">IF(AB2370&lt;&gt;"",AB2370,S2370+1000)</f>
        <v>1000</v>
      </c>
      <c r="AD2370" s="6"/>
    </row>
    <row r="2371" spans="1:30" x14ac:dyDescent="0.2">
      <c r="A2371" t="str">
        <f t="shared" si="226"/>
        <v/>
      </c>
      <c r="X2371" t="str" cm="1">
        <f t="array" ref="X2371">IF(S2371="","",IF($I2371&lt;&gt;"",$I2371,INDEX($I$2:$I2370,ROW()-COUNTIFS($T$2:$T2370,"="&amp;$T2371,$S$2:$S2370,"&lt;&gt;"&amp;$S2371)-1)))</f>
        <v/>
      </c>
      <c r="Y2371" t="b">
        <f>IF(X2371&lt;&gt;"",VLOOKUP(X2371,game_rosters!$C$43:$E$64,3,FALSE))</f>
        <v>0</v>
      </c>
      <c r="Z2371" t="e" cm="1" vm="1">
        <f t="array" aca="1" ref="Z2371" ca="1">IFERROR(IF(_xlfn._xlws.FILTER(game_rosters!$J:$J,(game_rosters!$G:$G=events!$AN2371)*(game_rosters!$J:$J=events!$X2371))&gt;0,1,""),"")</f>
        <v>#VALUE!</v>
      </c>
      <c r="AA2371">
        <f t="shared" si="227"/>
        <v>1000</v>
      </c>
      <c r="AB2371" t="str">
        <f t="shared" si="228"/>
        <v/>
      </c>
      <c r="AC2371">
        <f t="shared" si="229"/>
        <v>1000</v>
      </c>
      <c r="AD2371" s="6"/>
    </row>
    <row r="2372" spans="1:30" x14ac:dyDescent="0.2">
      <c r="A2372" t="str">
        <f t="shared" si="226"/>
        <v/>
      </c>
      <c r="X2372" t="str" cm="1">
        <f t="array" ref="X2372">IF(S2372="","",IF($I2372&lt;&gt;"",$I2372,INDEX($I$2:$I2371,ROW()-COUNTIFS($T$2:$T2371,"="&amp;$T2372,$S$2:$S2371,"&lt;&gt;"&amp;$S2372)-1)))</f>
        <v/>
      </c>
      <c r="Y2372" t="b">
        <f>IF(X2372&lt;&gt;"",VLOOKUP(X2372,game_rosters!$C$43:$E$64,3,FALSE))</f>
        <v>0</v>
      </c>
      <c r="Z2372" t="e" cm="1" vm="1">
        <f t="array" aca="1" ref="Z2372" ca="1">IFERROR(IF(_xlfn._xlws.FILTER(game_rosters!$J:$J,(game_rosters!$G:$G=events!$AN2372)*(game_rosters!$J:$J=events!$X2372))&gt;0,1,""),"")</f>
        <v>#VALUE!</v>
      </c>
      <c r="AA2372">
        <f t="shared" si="227"/>
        <v>1000</v>
      </c>
      <c r="AB2372" t="str">
        <f t="shared" si="228"/>
        <v/>
      </c>
      <c r="AC2372">
        <f t="shared" si="229"/>
        <v>1000</v>
      </c>
      <c r="AD2372" s="6"/>
    </row>
    <row r="2373" spans="1:30" x14ac:dyDescent="0.2">
      <c r="A2373" t="str">
        <f t="shared" ref="A2373:A2436" si="230">IF(K2373&lt;&gt;"",1,IF(D2373="x","x",""))</f>
        <v/>
      </c>
      <c r="X2373" t="str" cm="1">
        <f t="array" ref="X2373">IF(S2373="","",IF($I2373&lt;&gt;"",$I2373,INDEX($I$2:$I2372,ROW()-COUNTIFS($T$2:$T2372,"="&amp;$T2373,$S$2:$S2372,"&lt;&gt;"&amp;$S2373)-1)))</f>
        <v/>
      </c>
      <c r="Y2373" t="b">
        <f>IF(X2373&lt;&gt;"",VLOOKUP(X2373,game_rosters!$C$43:$E$64,3,FALSE))</f>
        <v>0</v>
      </c>
      <c r="Z2373" t="e" cm="1" vm="1">
        <f t="array" aca="1" ref="Z2373" ca="1">IFERROR(IF(_xlfn._xlws.FILTER(game_rosters!$J:$J,(game_rosters!$G:$G=events!$AN2373)*(game_rosters!$J:$J=events!$X2373))&gt;0,1,""),"")</f>
        <v>#VALUE!</v>
      </c>
      <c r="AA2373">
        <f t="shared" si="227"/>
        <v>1000</v>
      </c>
      <c r="AB2373" t="str">
        <f t="shared" si="228"/>
        <v/>
      </c>
      <c r="AC2373">
        <f t="shared" si="229"/>
        <v>1000</v>
      </c>
      <c r="AD2373" s="6"/>
    </row>
    <row r="2374" spans="1:30" x14ac:dyDescent="0.2">
      <c r="A2374" t="str">
        <f t="shared" si="230"/>
        <v/>
      </c>
      <c r="X2374" t="str" cm="1">
        <f t="array" ref="X2374">IF(S2374="","",IF($I2374&lt;&gt;"",$I2374,INDEX($I$2:$I2373,ROW()-COUNTIFS($T$2:$T2373,"="&amp;$T2374,$S$2:$S2373,"&lt;&gt;"&amp;$S2374)-1)))</f>
        <v/>
      </c>
      <c r="Y2374" t="b">
        <f>IF(X2374&lt;&gt;"",VLOOKUP(X2374,game_rosters!$C$43:$E$64,3,FALSE))</f>
        <v>0</v>
      </c>
      <c r="Z2374" t="e" cm="1" vm="1">
        <f t="array" aca="1" ref="Z2374" ca="1">IFERROR(IF(_xlfn._xlws.FILTER(game_rosters!$J:$J,(game_rosters!$G:$G=events!$AN2374)*(game_rosters!$J:$J=events!$X2374))&gt;0,1,""),"")</f>
        <v>#VALUE!</v>
      </c>
      <c r="AA2374">
        <f t="shared" si="227"/>
        <v>1000</v>
      </c>
      <c r="AB2374" t="str">
        <f t="shared" si="228"/>
        <v/>
      </c>
      <c r="AC2374">
        <f t="shared" si="229"/>
        <v>1000</v>
      </c>
      <c r="AD2374" s="6"/>
    </row>
    <row r="2375" spans="1:30" x14ac:dyDescent="0.2">
      <c r="A2375" t="str">
        <f t="shared" si="230"/>
        <v/>
      </c>
      <c r="X2375" t="str" cm="1">
        <f t="array" ref="X2375">IF(S2375="","",IF($I2375&lt;&gt;"",$I2375,INDEX($I$2:$I2374,ROW()-COUNTIFS($T$2:$T2374,"="&amp;$T2375,$S$2:$S2374,"&lt;&gt;"&amp;$S2375)-1)))</f>
        <v/>
      </c>
      <c r="Y2375" t="b">
        <f>IF(X2375&lt;&gt;"",VLOOKUP(X2375,game_rosters!$C$43:$E$64,3,FALSE))</f>
        <v>0</v>
      </c>
      <c r="Z2375" t="e" cm="1" vm="1">
        <f t="array" aca="1" ref="Z2375" ca="1">IFERROR(IF(_xlfn._xlws.FILTER(game_rosters!$J:$J,(game_rosters!$G:$G=events!$AN2375)*(game_rosters!$J:$J=events!$X2375))&gt;0,1,""),"")</f>
        <v>#VALUE!</v>
      </c>
      <c r="AA2375">
        <f t="shared" si="227"/>
        <v>1000</v>
      </c>
      <c r="AB2375" t="str">
        <f t="shared" si="228"/>
        <v/>
      </c>
      <c r="AC2375">
        <f t="shared" si="229"/>
        <v>1000</v>
      </c>
      <c r="AD2375" s="6"/>
    </row>
    <row r="2376" spans="1:30" x14ac:dyDescent="0.2">
      <c r="A2376" t="str">
        <f t="shared" si="230"/>
        <v/>
      </c>
      <c r="X2376" t="str" cm="1">
        <f t="array" ref="X2376">IF(S2376="","",IF($I2376&lt;&gt;"",$I2376,INDEX($I$2:$I2375,ROW()-COUNTIFS($T$2:$T2375,"="&amp;$T2376,$S$2:$S2375,"&lt;&gt;"&amp;$S2376)-1)))</f>
        <v/>
      </c>
      <c r="Y2376" t="b">
        <f>IF(X2376&lt;&gt;"",VLOOKUP(X2376,game_rosters!$C$43:$E$64,3,FALSE))</f>
        <v>0</v>
      </c>
      <c r="Z2376" t="e" cm="1" vm="1">
        <f t="array" aca="1" ref="Z2376" ca="1">IFERROR(IF(_xlfn._xlws.FILTER(game_rosters!$J:$J,(game_rosters!$G:$G=events!$AN2376)*(game_rosters!$J:$J=events!$X2376))&gt;0,1,""),"")</f>
        <v>#VALUE!</v>
      </c>
      <c r="AA2376">
        <f t="shared" si="227"/>
        <v>1000</v>
      </c>
      <c r="AB2376" t="str">
        <f t="shared" si="228"/>
        <v/>
      </c>
      <c r="AC2376">
        <f t="shared" si="229"/>
        <v>1000</v>
      </c>
      <c r="AD2376" s="6"/>
    </row>
    <row r="2377" spans="1:30" x14ac:dyDescent="0.2">
      <c r="A2377" t="str">
        <f t="shared" si="230"/>
        <v/>
      </c>
      <c r="X2377" t="str" cm="1">
        <f t="array" ref="X2377">IF(S2377="","",IF($I2377&lt;&gt;"",$I2377,INDEX($I$2:$I2376,ROW()-COUNTIFS($T$2:$T2376,"="&amp;$T2377,$S$2:$S2376,"&lt;&gt;"&amp;$S2377)-1)))</f>
        <v/>
      </c>
      <c r="Y2377" t="b">
        <f>IF(X2377&lt;&gt;"",VLOOKUP(X2377,game_rosters!$C$43:$E$64,3,FALSE))</f>
        <v>0</v>
      </c>
      <c r="Z2377" t="e" cm="1" vm="1">
        <f t="array" aca="1" ref="Z2377" ca="1">IFERROR(IF(_xlfn._xlws.FILTER(game_rosters!$J:$J,(game_rosters!$G:$G=events!$AN2377)*(game_rosters!$J:$J=events!$X2377))&gt;0,1,""),"")</f>
        <v>#VALUE!</v>
      </c>
      <c r="AA2377">
        <f t="shared" si="227"/>
        <v>1000</v>
      </c>
      <c r="AB2377" t="str">
        <f t="shared" si="228"/>
        <v/>
      </c>
      <c r="AC2377">
        <f t="shared" si="229"/>
        <v>1000</v>
      </c>
      <c r="AD2377" s="6"/>
    </row>
    <row r="2378" spans="1:30" x14ac:dyDescent="0.2">
      <c r="A2378" t="str">
        <f t="shared" si="230"/>
        <v/>
      </c>
      <c r="X2378" t="str" cm="1">
        <f t="array" ref="X2378">IF(S2378="","",IF($I2378&lt;&gt;"",$I2378,INDEX($I$2:$I2377,ROW()-COUNTIFS($T$2:$T2377,"="&amp;$T2378,$S$2:$S2377,"&lt;&gt;"&amp;$S2378)-1)))</f>
        <v/>
      </c>
      <c r="Y2378" t="b">
        <f>IF(X2378&lt;&gt;"",VLOOKUP(X2378,game_rosters!$C$43:$E$64,3,FALSE))</f>
        <v>0</v>
      </c>
      <c r="Z2378" t="e" cm="1" vm="1">
        <f t="array" aca="1" ref="Z2378" ca="1">IFERROR(IF(_xlfn._xlws.FILTER(game_rosters!$J:$J,(game_rosters!$G:$G=events!$AN2378)*(game_rosters!$J:$J=events!$X2378))&gt;0,1,""),"")</f>
        <v>#VALUE!</v>
      </c>
      <c r="AA2378">
        <f t="shared" si="227"/>
        <v>1000</v>
      </c>
      <c r="AB2378" t="str">
        <f t="shared" si="228"/>
        <v/>
      </c>
      <c r="AC2378">
        <f t="shared" si="229"/>
        <v>1000</v>
      </c>
      <c r="AD2378" s="6"/>
    </row>
    <row r="2379" spans="1:30" x14ac:dyDescent="0.2">
      <c r="A2379" t="str">
        <f t="shared" si="230"/>
        <v/>
      </c>
      <c r="X2379" t="str" cm="1">
        <f t="array" ref="X2379">IF(S2379="","",IF($I2379&lt;&gt;"",$I2379,INDEX($I$2:$I2378,ROW()-COUNTIFS($T$2:$T2378,"="&amp;$T2379,$S$2:$S2378,"&lt;&gt;"&amp;$S2379)-1)))</f>
        <v/>
      </c>
      <c r="Y2379" t="b">
        <f>IF(X2379&lt;&gt;"",VLOOKUP(X2379,game_rosters!$C$43:$E$64,3,FALSE))</f>
        <v>0</v>
      </c>
      <c r="Z2379" t="e" cm="1" vm="1">
        <f t="array" aca="1" ref="Z2379" ca="1">IFERROR(IF(_xlfn._xlws.FILTER(game_rosters!$J:$J,(game_rosters!$G:$G=events!$AN2379)*(game_rosters!$J:$J=events!$X2379))&gt;0,1,""),"")</f>
        <v>#VALUE!</v>
      </c>
      <c r="AA2379">
        <f t="shared" si="227"/>
        <v>1000</v>
      </c>
      <c r="AB2379" t="str">
        <f t="shared" si="228"/>
        <v/>
      </c>
      <c r="AC2379">
        <f t="shared" si="229"/>
        <v>1000</v>
      </c>
      <c r="AD2379" s="6"/>
    </row>
    <row r="2380" spans="1:30" x14ac:dyDescent="0.2">
      <c r="A2380" t="str">
        <f t="shared" si="230"/>
        <v/>
      </c>
      <c r="X2380" t="str" cm="1">
        <f t="array" ref="X2380">IF(S2380="","",IF($I2380&lt;&gt;"",$I2380,INDEX($I$2:$I2379,ROW()-COUNTIFS($T$2:$T2379,"="&amp;$T2380,$S$2:$S2379,"&lt;&gt;"&amp;$S2380)-1)))</f>
        <v/>
      </c>
      <c r="Y2380" t="b">
        <f>IF(X2380&lt;&gt;"",VLOOKUP(X2380,game_rosters!$C$43:$E$64,3,FALSE))</f>
        <v>0</v>
      </c>
      <c r="Z2380" t="e" cm="1" vm="1">
        <f t="array" aca="1" ref="Z2380" ca="1">IFERROR(IF(_xlfn._xlws.FILTER(game_rosters!$J:$J,(game_rosters!$G:$G=events!$AN2380)*(game_rosters!$J:$J=events!$X2380))&gt;0,1,""),"")</f>
        <v>#VALUE!</v>
      </c>
      <c r="AA2380">
        <f t="shared" si="227"/>
        <v>1000</v>
      </c>
      <c r="AB2380" t="str">
        <f t="shared" si="228"/>
        <v/>
      </c>
      <c r="AC2380">
        <f t="shared" si="229"/>
        <v>1000</v>
      </c>
      <c r="AD2380" s="6"/>
    </row>
    <row r="2381" spans="1:30" x14ac:dyDescent="0.2">
      <c r="A2381" t="str">
        <f t="shared" si="230"/>
        <v/>
      </c>
      <c r="X2381" t="str" cm="1">
        <f t="array" ref="X2381">IF(S2381="","",IF($I2381&lt;&gt;"",$I2381,INDEX($I$2:$I2380,ROW()-COUNTIFS($T$2:$T2380,"="&amp;$T2381,$S$2:$S2380,"&lt;&gt;"&amp;$S2381)-1)))</f>
        <v/>
      </c>
      <c r="Y2381" t="b">
        <f>IF(X2381&lt;&gt;"",VLOOKUP(X2381,game_rosters!$C$43:$E$64,3,FALSE))</f>
        <v>0</v>
      </c>
      <c r="Z2381" t="e" cm="1" vm="1">
        <f t="array" aca="1" ref="Z2381" ca="1">IFERROR(IF(_xlfn._xlws.FILTER(game_rosters!$J:$J,(game_rosters!$G:$G=events!$AN2381)*(game_rosters!$J:$J=events!$X2381))&gt;0,1,""),"")</f>
        <v>#VALUE!</v>
      </c>
      <c r="AA2381">
        <f t="shared" si="227"/>
        <v>1000</v>
      </c>
      <c r="AB2381" t="str">
        <f t="shared" si="228"/>
        <v/>
      </c>
      <c r="AC2381">
        <f t="shared" si="229"/>
        <v>1000</v>
      </c>
      <c r="AD2381" s="6"/>
    </row>
    <row r="2382" spans="1:30" x14ac:dyDescent="0.2">
      <c r="A2382" t="str">
        <f t="shared" si="230"/>
        <v/>
      </c>
      <c r="X2382" t="str" cm="1">
        <f t="array" ref="X2382">IF(S2382="","",IF($I2382&lt;&gt;"",$I2382,INDEX($I$2:$I2381,ROW()-COUNTIFS($T$2:$T2381,"="&amp;$T2382,$S$2:$S2381,"&lt;&gt;"&amp;$S2382)-1)))</f>
        <v/>
      </c>
      <c r="Y2382" t="b">
        <f>IF(X2382&lt;&gt;"",VLOOKUP(X2382,game_rosters!$C$43:$E$64,3,FALSE))</f>
        <v>0</v>
      </c>
      <c r="Z2382" t="e" cm="1" vm="1">
        <f t="array" aca="1" ref="Z2382" ca="1">IFERROR(IF(_xlfn._xlws.FILTER(game_rosters!$J:$J,(game_rosters!$G:$G=events!$AN2382)*(game_rosters!$J:$J=events!$X2382))&gt;0,1,""),"")</f>
        <v>#VALUE!</v>
      </c>
      <c r="AA2382">
        <f t="shared" si="227"/>
        <v>1000</v>
      </c>
      <c r="AB2382" t="str">
        <f t="shared" si="228"/>
        <v/>
      </c>
      <c r="AC2382">
        <f t="shared" si="229"/>
        <v>1000</v>
      </c>
      <c r="AD2382" s="6"/>
    </row>
    <row r="2383" spans="1:30" x14ac:dyDescent="0.2">
      <c r="A2383" t="str">
        <f t="shared" si="230"/>
        <v/>
      </c>
      <c r="X2383" t="str" cm="1">
        <f t="array" ref="X2383">IF(S2383="","",IF($I2383&lt;&gt;"",$I2383,INDEX($I$2:$I2382,ROW()-COUNTIFS($T$2:$T2382,"="&amp;$T2383,$S$2:$S2382,"&lt;&gt;"&amp;$S2383)-1)))</f>
        <v/>
      </c>
      <c r="Y2383" t="b">
        <f>IF(X2383&lt;&gt;"",VLOOKUP(X2383,game_rosters!$C$43:$E$64,3,FALSE))</f>
        <v>0</v>
      </c>
      <c r="Z2383" t="e" cm="1" vm="1">
        <f t="array" aca="1" ref="Z2383" ca="1">IFERROR(IF(_xlfn._xlws.FILTER(game_rosters!$J:$J,(game_rosters!$G:$G=events!$AN2383)*(game_rosters!$J:$J=events!$X2383))&gt;0,1,""),"")</f>
        <v>#VALUE!</v>
      </c>
      <c r="AA2383">
        <f t="shared" si="227"/>
        <v>1000</v>
      </c>
      <c r="AB2383" t="str">
        <f t="shared" si="228"/>
        <v/>
      </c>
      <c r="AC2383">
        <f t="shared" si="229"/>
        <v>1000</v>
      </c>
      <c r="AD2383" s="6"/>
    </row>
    <row r="2384" spans="1:30" x14ac:dyDescent="0.2">
      <c r="A2384" t="str">
        <f t="shared" si="230"/>
        <v/>
      </c>
      <c r="X2384" t="str" cm="1">
        <f t="array" ref="X2384">IF(S2384="","",IF($I2384&lt;&gt;"",$I2384,INDEX($I$2:$I2383,ROW()-COUNTIFS($T$2:$T2383,"="&amp;$T2384,$S$2:$S2383,"&lt;&gt;"&amp;$S2384)-1)))</f>
        <v/>
      </c>
      <c r="Y2384" t="b">
        <f>IF(X2384&lt;&gt;"",VLOOKUP(X2384,game_rosters!$C$43:$E$64,3,FALSE))</f>
        <v>0</v>
      </c>
      <c r="Z2384" t="e" cm="1" vm="1">
        <f t="array" aca="1" ref="Z2384" ca="1">IFERROR(IF(_xlfn._xlws.FILTER(game_rosters!$J:$J,(game_rosters!$G:$G=events!$AN2384)*(game_rosters!$J:$J=events!$X2384))&gt;0,1,""),"")</f>
        <v>#VALUE!</v>
      </c>
      <c r="AA2384">
        <f t="shared" si="227"/>
        <v>1000</v>
      </c>
      <c r="AB2384" t="str">
        <f t="shared" si="228"/>
        <v/>
      </c>
      <c r="AC2384">
        <f t="shared" si="229"/>
        <v>1000</v>
      </c>
      <c r="AD2384" s="6"/>
    </row>
    <row r="2385" spans="1:30" x14ac:dyDescent="0.2">
      <c r="A2385" t="str">
        <f t="shared" si="230"/>
        <v/>
      </c>
      <c r="X2385" t="str" cm="1">
        <f t="array" ref="X2385">IF(S2385="","",IF($I2385&lt;&gt;"",$I2385,INDEX($I$2:$I2384,ROW()-COUNTIFS($T$2:$T2384,"="&amp;$T2385,$S$2:$S2384,"&lt;&gt;"&amp;$S2385)-1)))</f>
        <v/>
      </c>
      <c r="Y2385" t="b">
        <f>IF(X2385&lt;&gt;"",VLOOKUP(X2385,game_rosters!$C$43:$E$64,3,FALSE))</f>
        <v>0</v>
      </c>
      <c r="Z2385" t="e" cm="1" vm="1">
        <f t="array" aca="1" ref="Z2385" ca="1">IFERROR(IF(_xlfn._xlws.FILTER(game_rosters!$J:$J,(game_rosters!$G:$G=events!$AN2385)*(game_rosters!$J:$J=events!$X2385))&gt;0,1,""),"")</f>
        <v>#VALUE!</v>
      </c>
      <c r="AA2385">
        <f t="shared" si="227"/>
        <v>1000</v>
      </c>
      <c r="AB2385" t="str">
        <f t="shared" si="228"/>
        <v/>
      </c>
      <c r="AC2385">
        <f t="shared" si="229"/>
        <v>1000</v>
      </c>
      <c r="AD2385" s="6"/>
    </row>
    <row r="2386" spans="1:30" x14ac:dyDescent="0.2">
      <c r="A2386" t="str">
        <f t="shared" si="230"/>
        <v/>
      </c>
      <c r="X2386" t="str" cm="1">
        <f t="array" ref="X2386">IF(S2386="","",IF($I2386&lt;&gt;"",$I2386,INDEX($I$2:$I2385,ROW()-COUNTIFS($T$2:$T2385,"="&amp;$T2386,$S$2:$S2385,"&lt;&gt;"&amp;$S2386)-1)))</f>
        <v/>
      </c>
      <c r="Y2386" t="b">
        <f>IF(X2386&lt;&gt;"",VLOOKUP(X2386,game_rosters!$C$43:$E$64,3,FALSE))</f>
        <v>0</v>
      </c>
      <c r="Z2386" t="e" cm="1" vm="1">
        <f t="array" aca="1" ref="Z2386" ca="1">IFERROR(IF(_xlfn._xlws.FILTER(game_rosters!$J:$J,(game_rosters!$G:$G=events!$AN2386)*(game_rosters!$J:$J=events!$X2386))&gt;0,1,""),"")</f>
        <v>#VALUE!</v>
      </c>
      <c r="AA2386">
        <f t="shared" si="227"/>
        <v>1000</v>
      </c>
      <c r="AB2386" t="str">
        <f t="shared" si="228"/>
        <v/>
      </c>
      <c r="AC2386">
        <f t="shared" si="229"/>
        <v>1000</v>
      </c>
      <c r="AD2386" s="6"/>
    </row>
    <row r="2387" spans="1:30" x14ac:dyDescent="0.2">
      <c r="A2387" t="str">
        <f t="shared" si="230"/>
        <v/>
      </c>
      <c r="X2387" t="str" cm="1">
        <f t="array" ref="X2387">IF(S2387="","",IF($I2387&lt;&gt;"",$I2387,INDEX($I$2:$I2386,ROW()-COUNTIFS($T$2:$T2386,"="&amp;$T2387,$S$2:$S2386,"&lt;&gt;"&amp;$S2387)-1)))</f>
        <v/>
      </c>
      <c r="Y2387" t="b">
        <f>IF(X2387&lt;&gt;"",VLOOKUP(X2387,game_rosters!$C$43:$E$64,3,FALSE))</f>
        <v>0</v>
      </c>
      <c r="Z2387" t="e" cm="1" vm="1">
        <f t="array" aca="1" ref="Z2387" ca="1">IFERROR(IF(_xlfn._xlws.FILTER(game_rosters!$J:$J,(game_rosters!$G:$G=events!$AN2387)*(game_rosters!$J:$J=events!$X2387))&gt;0,1,""),"")</f>
        <v>#VALUE!</v>
      </c>
      <c r="AA2387">
        <f t="shared" si="227"/>
        <v>1000</v>
      </c>
      <c r="AB2387" t="str">
        <f t="shared" si="228"/>
        <v/>
      </c>
      <c r="AC2387">
        <f t="shared" si="229"/>
        <v>1000</v>
      </c>
      <c r="AD2387" s="6"/>
    </row>
    <row r="2388" spans="1:30" x14ac:dyDescent="0.2">
      <c r="A2388" t="str">
        <f t="shared" si="230"/>
        <v/>
      </c>
      <c r="X2388" t="str" cm="1">
        <f t="array" ref="X2388">IF(S2388="","",IF($I2388&lt;&gt;"",$I2388,INDEX($I$2:$I2387,ROW()-COUNTIFS($T$2:$T2387,"="&amp;$T2388,$S$2:$S2387,"&lt;&gt;"&amp;$S2388)-1)))</f>
        <v/>
      </c>
      <c r="Y2388" t="b">
        <f>IF(X2388&lt;&gt;"",VLOOKUP(X2388,game_rosters!$C$43:$E$64,3,FALSE))</f>
        <v>0</v>
      </c>
      <c r="Z2388" t="e" cm="1" vm="1">
        <f t="array" aca="1" ref="Z2388" ca="1">IFERROR(IF(_xlfn._xlws.FILTER(game_rosters!$J:$J,(game_rosters!$G:$G=events!$AN2388)*(game_rosters!$J:$J=events!$X2388))&gt;0,1,""),"")</f>
        <v>#VALUE!</v>
      </c>
      <c r="AA2388">
        <f t="shared" si="227"/>
        <v>1000</v>
      </c>
      <c r="AB2388" t="str">
        <f t="shared" si="228"/>
        <v/>
      </c>
      <c r="AC2388">
        <f t="shared" si="229"/>
        <v>1000</v>
      </c>
      <c r="AD2388" s="6"/>
    </row>
    <row r="2389" spans="1:30" x14ac:dyDescent="0.2">
      <c r="A2389" t="str">
        <f t="shared" si="230"/>
        <v/>
      </c>
      <c r="X2389" t="str" cm="1">
        <f t="array" ref="X2389">IF(S2389="","",IF($I2389&lt;&gt;"",$I2389,INDEX($I$2:$I2388,ROW()-COUNTIFS($T$2:$T2388,"="&amp;$T2389,$S$2:$S2388,"&lt;&gt;"&amp;$S2389)-1)))</f>
        <v/>
      </c>
      <c r="Y2389" t="b">
        <f>IF(X2389&lt;&gt;"",VLOOKUP(X2389,game_rosters!$C$43:$E$64,3,FALSE))</f>
        <v>0</v>
      </c>
      <c r="Z2389" t="e" cm="1" vm="1">
        <f t="array" aca="1" ref="Z2389" ca="1">IFERROR(IF(_xlfn._xlws.FILTER(game_rosters!$J:$J,(game_rosters!$G:$G=events!$AN2389)*(game_rosters!$J:$J=events!$X2389))&gt;0,1,""),"")</f>
        <v>#VALUE!</v>
      </c>
      <c r="AA2389">
        <f t="shared" si="227"/>
        <v>1000</v>
      </c>
      <c r="AB2389" t="str">
        <f t="shared" si="228"/>
        <v/>
      </c>
      <c r="AC2389">
        <f t="shared" si="229"/>
        <v>1000</v>
      </c>
      <c r="AD2389" s="6"/>
    </row>
    <row r="2390" spans="1:30" x14ac:dyDescent="0.2">
      <c r="A2390" t="str">
        <f t="shared" si="230"/>
        <v/>
      </c>
      <c r="X2390" t="str" cm="1">
        <f t="array" ref="X2390">IF(S2390="","",IF($I2390&lt;&gt;"",$I2390,INDEX($I$2:$I2389,ROW()-COUNTIFS($T$2:$T2389,"="&amp;$T2390,$S$2:$S2389,"&lt;&gt;"&amp;$S2390)-1)))</f>
        <v/>
      </c>
      <c r="Y2390" t="b">
        <f>IF(X2390&lt;&gt;"",VLOOKUP(X2390,game_rosters!$C$43:$E$64,3,FALSE))</f>
        <v>0</v>
      </c>
      <c r="Z2390" t="e" cm="1" vm="1">
        <f t="array" aca="1" ref="Z2390" ca="1">IFERROR(IF(_xlfn._xlws.FILTER(game_rosters!$J:$J,(game_rosters!$G:$G=events!$AN2390)*(game_rosters!$J:$J=events!$X2390))&gt;0,1,""),"")</f>
        <v>#VALUE!</v>
      </c>
      <c r="AA2390">
        <f t="shared" si="227"/>
        <v>1000</v>
      </c>
      <c r="AB2390" t="str">
        <f t="shared" si="228"/>
        <v/>
      </c>
      <c r="AC2390">
        <f t="shared" si="229"/>
        <v>1000</v>
      </c>
      <c r="AD2390" s="6"/>
    </row>
    <row r="2391" spans="1:30" x14ac:dyDescent="0.2">
      <c r="A2391" t="str">
        <f t="shared" si="230"/>
        <v/>
      </c>
      <c r="X2391" t="str" cm="1">
        <f t="array" ref="X2391">IF(S2391="","",IF($I2391&lt;&gt;"",$I2391,INDEX($I$2:$I2390,ROW()-COUNTIFS($T$2:$T2390,"="&amp;$T2391,$S$2:$S2390,"&lt;&gt;"&amp;$S2391)-1)))</f>
        <v/>
      </c>
      <c r="Y2391" t="b">
        <f>IF(X2391&lt;&gt;"",VLOOKUP(X2391,game_rosters!$C$43:$E$64,3,FALSE))</f>
        <v>0</v>
      </c>
      <c r="Z2391" t="e" cm="1" vm="1">
        <f t="array" aca="1" ref="Z2391" ca="1">IFERROR(IF(_xlfn._xlws.FILTER(game_rosters!$J:$J,(game_rosters!$G:$G=events!$AN2391)*(game_rosters!$J:$J=events!$X2391))&gt;0,1,""),"")</f>
        <v>#VALUE!</v>
      </c>
      <c r="AA2391">
        <f t="shared" si="227"/>
        <v>1000</v>
      </c>
      <c r="AB2391" t="str">
        <f t="shared" si="228"/>
        <v/>
      </c>
      <c r="AC2391">
        <f t="shared" si="229"/>
        <v>1000</v>
      </c>
      <c r="AD2391" s="6"/>
    </row>
    <row r="2392" spans="1:30" x14ac:dyDescent="0.2">
      <c r="A2392" t="str">
        <f t="shared" si="230"/>
        <v/>
      </c>
      <c r="X2392" t="str" cm="1">
        <f t="array" ref="X2392">IF(S2392="","",IF($I2392&lt;&gt;"",$I2392,INDEX($I$2:$I2391,ROW()-COUNTIFS($T$2:$T2391,"="&amp;$T2392,$S$2:$S2391,"&lt;&gt;"&amp;$S2392)-1)))</f>
        <v/>
      </c>
      <c r="Y2392" t="b">
        <f>IF(X2392&lt;&gt;"",VLOOKUP(X2392,game_rosters!$C$43:$E$64,3,FALSE))</f>
        <v>0</v>
      </c>
      <c r="Z2392" t="e" cm="1" vm="1">
        <f t="array" aca="1" ref="Z2392" ca="1">IFERROR(IF(_xlfn._xlws.FILTER(game_rosters!$J:$J,(game_rosters!$G:$G=events!$AN2392)*(game_rosters!$J:$J=events!$X2392))&gt;0,1,""),"")</f>
        <v>#VALUE!</v>
      </c>
      <c r="AA2392">
        <f t="shared" si="227"/>
        <v>1000</v>
      </c>
      <c r="AB2392" t="str">
        <f t="shared" si="228"/>
        <v/>
      </c>
      <c r="AC2392">
        <f t="shared" si="229"/>
        <v>1000</v>
      </c>
      <c r="AD2392" s="6"/>
    </row>
    <row r="2393" spans="1:30" x14ac:dyDescent="0.2">
      <c r="A2393" t="str">
        <f t="shared" si="230"/>
        <v/>
      </c>
      <c r="X2393" t="str" cm="1">
        <f t="array" ref="X2393">IF(S2393="","",IF($I2393&lt;&gt;"",$I2393,INDEX($I$2:$I2392,ROW()-COUNTIFS($T$2:$T2392,"="&amp;$T2393,$S$2:$S2392,"&lt;&gt;"&amp;$S2393)-1)))</f>
        <v/>
      </c>
      <c r="Y2393" t="b">
        <f>IF(X2393&lt;&gt;"",VLOOKUP(X2393,game_rosters!$C$43:$E$64,3,FALSE))</f>
        <v>0</v>
      </c>
      <c r="Z2393" t="e" cm="1" vm="1">
        <f t="array" aca="1" ref="Z2393" ca="1">IFERROR(IF(_xlfn._xlws.FILTER(game_rosters!$J:$J,(game_rosters!$G:$G=events!$AN2393)*(game_rosters!$J:$J=events!$X2393))&gt;0,1,""),"")</f>
        <v>#VALUE!</v>
      </c>
      <c r="AA2393">
        <f t="shared" si="227"/>
        <v>1000</v>
      </c>
      <c r="AB2393" t="str">
        <f t="shared" si="228"/>
        <v/>
      </c>
      <c r="AC2393">
        <f t="shared" si="229"/>
        <v>1000</v>
      </c>
      <c r="AD2393" s="6"/>
    </row>
    <row r="2394" spans="1:30" x14ac:dyDescent="0.2">
      <c r="A2394" t="str">
        <f t="shared" si="230"/>
        <v/>
      </c>
      <c r="X2394" t="str" cm="1">
        <f t="array" ref="X2394">IF(S2394="","",IF($I2394&lt;&gt;"",$I2394,INDEX($I$2:$I2393,ROW()-COUNTIFS($T$2:$T2393,"="&amp;$T2394,$S$2:$S2393,"&lt;&gt;"&amp;$S2394)-1)))</f>
        <v/>
      </c>
      <c r="Y2394" t="b">
        <f>IF(X2394&lt;&gt;"",VLOOKUP(X2394,game_rosters!$C$43:$E$64,3,FALSE))</f>
        <v>0</v>
      </c>
      <c r="Z2394" t="e" cm="1" vm="1">
        <f t="array" aca="1" ref="Z2394" ca="1">IFERROR(IF(_xlfn._xlws.FILTER(game_rosters!$J:$J,(game_rosters!$G:$G=events!$AN2394)*(game_rosters!$J:$J=events!$X2394))&gt;0,1,""),"")</f>
        <v>#VALUE!</v>
      </c>
      <c r="AA2394">
        <f t="shared" si="227"/>
        <v>1000</v>
      </c>
      <c r="AB2394" t="str">
        <f t="shared" si="228"/>
        <v/>
      </c>
      <c r="AC2394">
        <f t="shared" si="229"/>
        <v>1000</v>
      </c>
      <c r="AD2394" s="6"/>
    </row>
    <row r="2395" spans="1:30" x14ac:dyDescent="0.2">
      <c r="A2395" t="str">
        <f t="shared" si="230"/>
        <v/>
      </c>
      <c r="X2395" t="str" cm="1">
        <f t="array" ref="X2395">IF(S2395="","",IF($I2395&lt;&gt;"",$I2395,INDEX($I$2:$I2394,ROW()-COUNTIFS($T$2:$T2394,"="&amp;$T2395,$S$2:$S2394,"&lt;&gt;"&amp;$S2395)-1)))</f>
        <v/>
      </c>
      <c r="Y2395" t="b">
        <f>IF(X2395&lt;&gt;"",VLOOKUP(X2395,game_rosters!$C$43:$E$64,3,FALSE))</f>
        <v>0</v>
      </c>
      <c r="Z2395" t="e" cm="1" vm="1">
        <f t="array" aca="1" ref="Z2395" ca="1">IFERROR(IF(_xlfn._xlws.FILTER(game_rosters!$J:$J,(game_rosters!$G:$G=events!$AN2395)*(game_rosters!$J:$J=events!$X2395))&gt;0,1,""),"")</f>
        <v>#VALUE!</v>
      </c>
      <c r="AA2395">
        <f t="shared" si="227"/>
        <v>1000</v>
      </c>
      <c r="AB2395" t="str">
        <f t="shared" si="228"/>
        <v/>
      </c>
      <c r="AC2395">
        <f t="shared" si="229"/>
        <v>1000</v>
      </c>
      <c r="AD2395" s="6"/>
    </row>
    <row r="2396" spans="1:30" x14ac:dyDescent="0.2">
      <c r="A2396" t="str">
        <f t="shared" si="230"/>
        <v/>
      </c>
      <c r="X2396" t="str" cm="1">
        <f t="array" ref="X2396">IF(S2396="","",IF($I2396&lt;&gt;"",$I2396,INDEX($I$2:$I2395,ROW()-COUNTIFS($T$2:$T2395,"="&amp;$T2396,$S$2:$S2395,"&lt;&gt;"&amp;$S2396)-1)))</f>
        <v/>
      </c>
      <c r="Y2396" t="b">
        <f>IF(X2396&lt;&gt;"",VLOOKUP(X2396,game_rosters!$C$43:$E$64,3,FALSE))</f>
        <v>0</v>
      </c>
      <c r="Z2396" t="e" cm="1" vm="1">
        <f t="array" aca="1" ref="Z2396" ca="1">IFERROR(IF(_xlfn._xlws.FILTER(game_rosters!$J:$J,(game_rosters!$G:$G=events!$AN2396)*(game_rosters!$J:$J=events!$X2396))&gt;0,1,""),"")</f>
        <v>#VALUE!</v>
      </c>
      <c r="AA2396">
        <f t="shared" si="227"/>
        <v>1000</v>
      </c>
      <c r="AB2396" t="str">
        <f t="shared" si="228"/>
        <v/>
      </c>
      <c r="AC2396">
        <f t="shared" si="229"/>
        <v>1000</v>
      </c>
      <c r="AD2396" s="6"/>
    </row>
    <row r="2397" spans="1:30" x14ac:dyDescent="0.2">
      <c r="A2397" t="str">
        <f t="shared" si="230"/>
        <v/>
      </c>
      <c r="X2397" t="str" cm="1">
        <f t="array" ref="X2397">IF(S2397="","",IF($I2397&lt;&gt;"",$I2397,INDEX($I$2:$I2396,ROW()-COUNTIFS($T$2:$T2396,"="&amp;$T2397,$S$2:$S2396,"&lt;&gt;"&amp;$S2397)-1)))</f>
        <v/>
      </c>
      <c r="Y2397" t="b">
        <f>IF(X2397&lt;&gt;"",VLOOKUP(X2397,game_rosters!$C$43:$E$64,3,FALSE))</f>
        <v>0</v>
      </c>
      <c r="Z2397" t="e" cm="1" vm="1">
        <f t="array" aca="1" ref="Z2397" ca="1">IFERROR(IF(_xlfn._xlws.FILTER(game_rosters!$J:$J,(game_rosters!$G:$G=events!$AN2397)*(game_rosters!$J:$J=events!$X2397))&gt;0,1,""),"")</f>
        <v>#VALUE!</v>
      </c>
      <c r="AA2397">
        <f t="shared" ref="AA2397:AA2460" si="231">S2397+1000</f>
        <v>1000</v>
      </c>
      <c r="AB2397" t="str">
        <f t="shared" ref="AB2397:AB2460" si="232">IF(T2397&lt;&gt;"",9000+T2397,"")</f>
        <v/>
      </c>
      <c r="AC2397">
        <f t="shared" si="229"/>
        <v>1000</v>
      </c>
      <c r="AD2397" s="6"/>
    </row>
    <row r="2398" spans="1:30" x14ac:dyDescent="0.2">
      <c r="A2398" t="str">
        <f t="shared" si="230"/>
        <v/>
      </c>
      <c r="X2398" t="str" cm="1">
        <f t="array" ref="X2398">IF(S2398="","",IF($I2398&lt;&gt;"",$I2398,INDEX($I$2:$I2397,ROW()-COUNTIFS($T$2:$T2397,"="&amp;$T2398,$S$2:$S2397,"&lt;&gt;"&amp;$S2398)-1)))</f>
        <v/>
      </c>
      <c r="Y2398" t="b">
        <f>IF(X2398&lt;&gt;"",VLOOKUP(X2398,game_rosters!$C$43:$E$64,3,FALSE))</f>
        <v>0</v>
      </c>
      <c r="Z2398" t="e" cm="1" vm="1">
        <f t="array" aca="1" ref="Z2398" ca="1">IFERROR(IF(_xlfn._xlws.FILTER(game_rosters!$J:$J,(game_rosters!$G:$G=events!$AN2398)*(game_rosters!$J:$J=events!$X2398))&gt;0,1,""),"")</f>
        <v>#VALUE!</v>
      </c>
      <c r="AA2398">
        <f t="shared" si="231"/>
        <v>1000</v>
      </c>
      <c r="AB2398" t="str">
        <f t="shared" si="232"/>
        <v/>
      </c>
      <c r="AC2398">
        <f t="shared" si="229"/>
        <v>1000</v>
      </c>
      <c r="AD2398" s="6"/>
    </row>
    <row r="2399" spans="1:30" x14ac:dyDescent="0.2">
      <c r="A2399" t="str">
        <f t="shared" si="230"/>
        <v/>
      </c>
      <c r="X2399" t="str" cm="1">
        <f t="array" ref="X2399">IF(S2399="","",IF($I2399&lt;&gt;"",$I2399,INDEX($I$2:$I2398,ROW()-COUNTIFS($T$2:$T2398,"="&amp;$T2399,$S$2:$S2398,"&lt;&gt;"&amp;$S2399)-1)))</f>
        <v/>
      </c>
      <c r="Y2399" t="b">
        <f>IF(X2399&lt;&gt;"",VLOOKUP(X2399,game_rosters!$C$43:$E$64,3,FALSE))</f>
        <v>0</v>
      </c>
      <c r="Z2399" t="e" cm="1" vm="1">
        <f t="array" aca="1" ref="Z2399" ca="1">IFERROR(IF(_xlfn._xlws.FILTER(game_rosters!$J:$J,(game_rosters!$G:$G=events!$AN2399)*(game_rosters!$J:$J=events!$X2399))&gt;0,1,""),"")</f>
        <v>#VALUE!</v>
      </c>
      <c r="AA2399">
        <f t="shared" si="231"/>
        <v>1000</v>
      </c>
      <c r="AB2399" t="str">
        <f t="shared" si="232"/>
        <v/>
      </c>
      <c r="AC2399">
        <f t="shared" si="229"/>
        <v>1000</v>
      </c>
      <c r="AD2399" s="6"/>
    </row>
    <row r="2400" spans="1:30" x14ac:dyDescent="0.2">
      <c r="A2400" t="str">
        <f t="shared" si="230"/>
        <v/>
      </c>
      <c r="X2400" t="str" cm="1">
        <f t="array" ref="X2400">IF(S2400="","",IF($I2400&lt;&gt;"",$I2400,INDEX($I$2:$I2399,ROW()-COUNTIFS($T$2:$T2399,"="&amp;$T2400,$S$2:$S2399,"&lt;&gt;"&amp;$S2400)-1)))</f>
        <v/>
      </c>
      <c r="Y2400" t="b">
        <f>IF(X2400&lt;&gt;"",VLOOKUP(X2400,game_rosters!$C$43:$E$64,3,FALSE))</f>
        <v>0</v>
      </c>
      <c r="Z2400" t="e" cm="1" vm="1">
        <f t="array" aca="1" ref="Z2400" ca="1">IFERROR(IF(_xlfn._xlws.FILTER(game_rosters!$J:$J,(game_rosters!$G:$G=events!$AN2400)*(game_rosters!$J:$J=events!$X2400))&gt;0,1,""),"")</f>
        <v>#VALUE!</v>
      </c>
      <c r="AA2400">
        <f t="shared" si="231"/>
        <v>1000</v>
      </c>
      <c r="AB2400" t="str">
        <f t="shared" si="232"/>
        <v/>
      </c>
      <c r="AC2400">
        <f t="shared" si="229"/>
        <v>1000</v>
      </c>
      <c r="AD2400" s="6"/>
    </row>
    <row r="2401" spans="1:30" x14ac:dyDescent="0.2">
      <c r="A2401" t="str">
        <f t="shared" si="230"/>
        <v/>
      </c>
      <c r="X2401" t="str" cm="1">
        <f t="array" ref="X2401">IF(S2401="","",IF($I2401&lt;&gt;"",$I2401,INDEX($I$2:$I2400,ROW()-COUNTIFS($T$2:$T2400,"="&amp;$T2401,$S$2:$S2400,"&lt;&gt;"&amp;$S2401)-1)))</f>
        <v/>
      </c>
      <c r="Y2401" t="b">
        <f>IF(X2401&lt;&gt;"",VLOOKUP(X2401,game_rosters!$C$43:$E$64,3,FALSE))</f>
        <v>0</v>
      </c>
      <c r="Z2401" t="e" cm="1" vm="1">
        <f t="array" aca="1" ref="Z2401" ca="1">IFERROR(IF(_xlfn._xlws.FILTER(game_rosters!$J:$J,(game_rosters!$G:$G=events!$AN2401)*(game_rosters!$J:$J=events!$X2401))&gt;0,1,""),"")</f>
        <v>#VALUE!</v>
      </c>
      <c r="AA2401">
        <f t="shared" si="231"/>
        <v>1000</v>
      </c>
      <c r="AB2401" t="str">
        <f t="shared" si="232"/>
        <v/>
      </c>
      <c r="AC2401">
        <f t="shared" si="229"/>
        <v>1000</v>
      </c>
      <c r="AD2401" s="6"/>
    </row>
    <row r="2402" spans="1:30" x14ac:dyDescent="0.2">
      <c r="A2402" t="str">
        <f t="shared" si="230"/>
        <v/>
      </c>
      <c r="X2402" t="str" cm="1">
        <f t="array" ref="X2402">IF(S2402="","",IF($I2402&lt;&gt;"",$I2402,INDEX($I$2:$I2401,ROW()-COUNTIFS($T$2:$T2401,"="&amp;$T2402,$S$2:$S2401,"&lt;&gt;"&amp;$S2402)-1)))</f>
        <v/>
      </c>
      <c r="Y2402" t="b">
        <f>IF(X2402&lt;&gt;"",VLOOKUP(X2402,game_rosters!$C$43:$E$64,3,FALSE))</f>
        <v>0</v>
      </c>
      <c r="Z2402" t="e" cm="1" vm="1">
        <f t="array" aca="1" ref="Z2402" ca="1">IFERROR(IF(_xlfn._xlws.FILTER(game_rosters!$J:$J,(game_rosters!$G:$G=events!$AN2402)*(game_rosters!$J:$J=events!$X2402))&gt;0,1,""),"")</f>
        <v>#VALUE!</v>
      </c>
      <c r="AA2402">
        <f t="shared" si="231"/>
        <v>1000</v>
      </c>
      <c r="AB2402" t="str">
        <f t="shared" si="232"/>
        <v/>
      </c>
      <c r="AC2402">
        <f t="shared" si="229"/>
        <v>1000</v>
      </c>
      <c r="AD2402" s="6"/>
    </row>
    <row r="2403" spans="1:30" x14ac:dyDescent="0.2">
      <c r="A2403" t="str">
        <f t="shared" si="230"/>
        <v/>
      </c>
      <c r="X2403" t="str" cm="1">
        <f t="array" ref="X2403">IF(S2403="","",IF($I2403&lt;&gt;"",$I2403,INDEX($I$2:$I2402,ROW()-COUNTIFS($T$2:$T2402,"="&amp;$T2403,$S$2:$S2402,"&lt;&gt;"&amp;$S2403)-1)))</f>
        <v/>
      </c>
      <c r="Y2403" t="b">
        <f>IF(X2403&lt;&gt;"",VLOOKUP(X2403,game_rosters!$C$43:$E$64,3,FALSE))</f>
        <v>0</v>
      </c>
      <c r="Z2403" t="e" cm="1" vm="1">
        <f t="array" aca="1" ref="Z2403" ca="1">IFERROR(IF(_xlfn._xlws.FILTER(game_rosters!$J:$J,(game_rosters!$G:$G=events!$AN2403)*(game_rosters!$J:$J=events!$X2403))&gt;0,1,""),"")</f>
        <v>#VALUE!</v>
      </c>
      <c r="AA2403">
        <f t="shared" si="231"/>
        <v>1000</v>
      </c>
      <c r="AB2403" t="str">
        <f t="shared" si="232"/>
        <v/>
      </c>
      <c r="AC2403">
        <f t="shared" si="229"/>
        <v>1000</v>
      </c>
      <c r="AD2403" s="6"/>
    </row>
    <row r="2404" spans="1:30" x14ac:dyDescent="0.2">
      <c r="A2404" t="str">
        <f t="shared" si="230"/>
        <v/>
      </c>
      <c r="X2404" t="str" cm="1">
        <f t="array" ref="X2404">IF(S2404="","",IF($I2404&lt;&gt;"",$I2404,INDEX($I$2:$I2403,ROW()-COUNTIFS($T$2:$T2403,"="&amp;$T2404,$S$2:$S2403,"&lt;&gt;"&amp;$S2404)-1)))</f>
        <v/>
      </c>
      <c r="Y2404" t="b">
        <f>IF(X2404&lt;&gt;"",VLOOKUP(X2404,game_rosters!$C$43:$E$64,3,FALSE))</f>
        <v>0</v>
      </c>
      <c r="Z2404" t="e" cm="1" vm="1">
        <f t="array" aca="1" ref="Z2404" ca="1">IFERROR(IF(_xlfn._xlws.FILTER(game_rosters!$J:$J,(game_rosters!$G:$G=events!$AN2404)*(game_rosters!$J:$J=events!$X2404))&gt;0,1,""),"")</f>
        <v>#VALUE!</v>
      </c>
      <c r="AA2404">
        <f t="shared" si="231"/>
        <v>1000</v>
      </c>
      <c r="AB2404" t="str">
        <f t="shared" si="232"/>
        <v/>
      </c>
      <c r="AC2404">
        <f t="shared" si="229"/>
        <v>1000</v>
      </c>
      <c r="AD2404" s="6"/>
    </row>
    <row r="2405" spans="1:30" x14ac:dyDescent="0.2">
      <c r="A2405" t="str">
        <f t="shared" si="230"/>
        <v/>
      </c>
      <c r="X2405" t="str" cm="1">
        <f t="array" ref="X2405">IF(S2405="","",IF($I2405&lt;&gt;"",$I2405,INDEX($I$2:$I2404,ROW()-COUNTIFS($T$2:$T2404,"="&amp;$T2405,$S$2:$S2404,"&lt;&gt;"&amp;$S2405)-1)))</f>
        <v/>
      </c>
      <c r="Y2405" t="b">
        <f>IF(X2405&lt;&gt;"",VLOOKUP(X2405,game_rosters!$C$43:$E$64,3,FALSE))</f>
        <v>0</v>
      </c>
      <c r="Z2405" t="e" cm="1" vm="1">
        <f t="array" aca="1" ref="Z2405" ca="1">IFERROR(IF(_xlfn._xlws.FILTER(game_rosters!$J:$J,(game_rosters!$G:$G=events!$AN2405)*(game_rosters!$J:$J=events!$X2405))&gt;0,1,""),"")</f>
        <v>#VALUE!</v>
      </c>
      <c r="AA2405">
        <f t="shared" si="231"/>
        <v>1000</v>
      </c>
      <c r="AB2405" t="str">
        <f t="shared" si="232"/>
        <v/>
      </c>
      <c r="AC2405">
        <f t="shared" si="229"/>
        <v>1000</v>
      </c>
      <c r="AD2405" s="6"/>
    </row>
    <row r="2406" spans="1:30" x14ac:dyDescent="0.2">
      <c r="A2406" t="str">
        <f t="shared" si="230"/>
        <v/>
      </c>
      <c r="X2406" t="str" cm="1">
        <f t="array" ref="X2406">IF(S2406="","",IF($I2406&lt;&gt;"",$I2406,INDEX($I$2:$I2405,ROW()-COUNTIFS($T$2:$T2405,"="&amp;$T2406,$S$2:$S2405,"&lt;&gt;"&amp;$S2406)-1)))</f>
        <v/>
      </c>
      <c r="Y2406" t="b">
        <f>IF(X2406&lt;&gt;"",VLOOKUP(X2406,game_rosters!$C$43:$E$64,3,FALSE))</f>
        <v>0</v>
      </c>
      <c r="Z2406" t="e" cm="1" vm="1">
        <f t="array" aca="1" ref="Z2406" ca="1">IFERROR(IF(_xlfn._xlws.FILTER(game_rosters!$J:$J,(game_rosters!$G:$G=events!$AN2406)*(game_rosters!$J:$J=events!$X2406))&gt;0,1,""),"")</f>
        <v>#VALUE!</v>
      </c>
      <c r="AA2406">
        <f t="shared" si="231"/>
        <v>1000</v>
      </c>
      <c r="AB2406" t="str">
        <f t="shared" si="232"/>
        <v/>
      </c>
      <c r="AC2406">
        <f t="shared" si="229"/>
        <v>1000</v>
      </c>
      <c r="AD2406" s="6"/>
    </row>
    <row r="2407" spans="1:30" x14ac:dyDescent="0.2">
      <c r="A2407" t="str">
        <f t="shared" si="230"/>
        <v/>
      </c>
      <c r="X2407" t="str" cm="1">
        <f t="array" ref="X2407">IF(S2407="","",IF($I2407&lt;&gt;"",$I2407,INDEX($I$2:$I2406,ROW()-COUNTIFS($T$2:$T2406,"="&amp;$T2407,$S$2:$S2406,"&lt;&gt;"&amp;$S2407)-1)))</f>
        <v/>
      </c>
      <c r="Y2407" t="b">
        <f>IF(X2407&lt;&gt;"",VLOOKUP(X2407,game_rosters!$C$43:$E$64,3,FALSE))</f>
        <v>0</v>
      </c>
      <c r="Z2407" t="e" cm="1" vm="1">
        <f t="array" aca="1" ref="Z2407" ca="1">IFERROR(IF(_xlfn._xlws.FILTER(game_rosters!$J:$J,(game_rosters!$G:$G=events!$AN2407)*(game_rosters!$J:$J=events!$X2407))&gt;0,1,""),"")</f>
        <v>#VALUE!</v>
      </c>
      <c r="AA2407">
        <f t="shared" si="231"/>
        <v>1000</v>
      </c>
      <c r="AB2407" t="str">
        <f t="shared" si="232"/>
        <v/>
      </c>
      <c r="AC2407">
        <f t="shared" si="229"/>
        <v>1000</v>
      </c>
      <c r="AD2407" s="6"/>
    </row>
    <row r="2408" spans="1:30" x14ac:dyDescent="0.2">
      <c r="A2408" t="str">
        <f t="shared" si="230"/>
        <v/>
      </c>
      <c r="X2408" t="str" cm="1">
        <f t="array" ref="X2408">IF(S2408="","",IF($I2408&lt;&gt;"",$I2408,INDEX($I$2:$I2407,ROW()-COUNTIFS($T$2:$T2407,"="&amp;$T2408,$S$2:$S2407,"&lt;&gt;"&amp;$S2408)-1)))</f>
        <v/>
      </c>
      <c r="Y2408" t="b">
        <f>IF(X2408&lt;&gt;"",VLOOKUP(X2408,game_rosters!$C$43:$E$64,3,FALSE))</f>
        <v>0</v>
      </c>
      <c r="Z2408" t="e" cm="1" vm="1">
        <f t="array" aca="1" ref="Z2408" ca="1">IFERROR(IF(_xlfn._xlws.FILTER(game_rosters!$J:$J,(game_rosters!$G:$G=events!$AN2408)*(game_rosters!$J:$J=events!$X2408))&gt;0,1,""),"")</f>
        <v>#VALUE!</v>
      </c>
      <c r="AA2408">
        <f t="shared" si="231"/>
        <v>1000</v>
      </c>
      <c r="AB2408" t="str">
        <f t="shared" si="232"/>
        <v/>
      </c>
      <c r="AC2408">
        <f t="shared" si="229"/>
        <v>1000</v>
      </c>
      <c r="AD2408" s="6"/>
    </row>
    <row r="2409" spans="1:30" x14ac:dyDescent="0.2">
      <c r="A2409" t="str">
        <f t="shared" si="230"/>
        <v/>
      </c>
      <c r="X2409" t="str" cm="1">
        <f t="array" ref="X2409">IF(S2409="","",IF($I2409&lt;&gt;"",$I2409,INDEX($I$2:$I2408,ROW()-COUNTIFS($T$2:$T2408,"="&amp;$T2409,$S$2:$S2408,"&lt;&gt;"&amp;$S2409)-1)))</f>
        <v/>
      </c>
      <c r="Y2409" t="b">
        <f>IF(X2409&lt;&gt;"",VLOOKUP(X2409,game_rosters!$C$43:$E$64,3,FALSE))</f>
        <v>0</v>
      </c>
      <c r="Z2409" t="e" cm="1" vm="1">
        <f t="array" aca="1" ref="Z2409" ca="1">IFERROR(IF(_xlfn._xlws.FILTER(game_rosters!$J:$J,(game_rosters!$G:$G=events!$AN2409)*(game_rosters!$J:$J=events!$X2409))&gt;0,1,""),"")</f>
        <v>#VALUE!</v>
      </c>
      <c r="AA2409">
        <f t="shared" si="231"/>
        <v>1000</v>
      </c>
      <c r="AB2409" t="str">
        <f t="shared" si="232"/>
        <v/>
      </c>
      <c r="AC2409">
        <f t="shared" si="229"/>
        <v>1000</v>
      </c>
      <c r="AD2409" s="6"/>
    </row>
    <row r="2410" spans="1:30" x14ac:dyDescent="0.2">
      <c r="A2410" t="str">
        <f t="shared" si="230"/>
        <v/>
      </c>
      <c r="X2410" t="str" cm="1">
        <f t="array" ref="X2410">IF(S2410="","",IF($I2410&lt;&gt;"",$I2410,INDEX($I$2:$I2409,ROW()-COUNTIFS($T$2:$T2409,"="&amp;$T2410,$S$2:$S2409,"&lt;&gt;"&amp;$S2410)-1)))</f>
        <v/>
      </c>
      <c r="Y2410" t="b">
        <f>IF(X2410&lt;&gt;"",VLOOKUP(X2410,game_rosters!$C$43:$E$64,3,FALSE))</f>
        <v>0</v>
      </c>
      <c r="Z2410" t="e" cm="1" vm="1">
        <f t="array" aca="1" ref="Z2410" ca="1">IFERROR(IF(_xlfn._xlws.FILTER(game_rosters!$J:$J,(game_rosters!$G:$G=events!$AN2410)*(game_rosters!$J:$J=events!$X2410))&gt;0,1,""),"")</f>
        <v>#VALUE!</v>
      </c>
      <c r="AA2410">
        <f t="shared" si="231"/>
        <v>1000</v>
      </c>
      <c r="AB2410" t="str">
        <f t="shared" si="232"/>
        <v/>
      </c>
      <c r="AC2410">
        <f t="shared" si="229"/>
        <v>1000</v>
      </c>
      <c r="AD2410" s="6"/>
    </row>
    <row r="2411" spans="1:30" x14ac:dyDescent="0.2">
      <c r="A2411" t="str">
        <f t="shared" si="230"/>
        <v/>
      </c>
      <c r="X2411" t="str" cm="1">
        <f t="array" ref="X2411">IF(S2411="","",IF($I2411&lt;&gt;"",$I2411,INDEX($I$2:$I2410,ROW()-COUNTIFS($T$2:$T2410,"="&amp;$T2411,$S$2:$S2410,"&lt;&gt;"&amp;$S2411)-1)))</f>
        <v/>
      </c>
      <c r="Y2411" t="b">
        <f>IF(X2411&lt;&gt;"",VLOOKUP(X2411,game_rosters!$C$43:$E$64,3,FALSE))</f>
        <v>0</v>
      </c>
      <c r="Z2411" t="e" cm="1" vm="1">
        <f t="array" aca="1" ref="Z2411" ca="1">IFERROR(IF(_xlfn._xlws.FILTER(game_rosters!$J:$J,(game_rosters!$G:$G=events!$AN2411)*(game_rosters!$J:$J=events!$X2411))&gt;0,1,""),"")</f>
        <v>#VALUE!</v>
      </c>
      <c r="AA2411">
        <f t="shared" si="231"/>
        <v>1000</v>
      </c>
      <c r="AB2411" t="str">
        <f t="shared" si="232"/>
        <v/>
      </c>
      <c r="AC2411">
        <f t="shared" si="229"/>
        <v>1000</v>
      </c>
      <c r="AD2411" s="6"/>
    </row>
    <row r="2412" spans="1:30" x14ac:dyDescent="0.2">
      <c r="A2412" t="str">
        <f t="shared" si="230"/>
        <v/>
      </c>
      <c r="X2412" t="str" cm="1">
        <f t="array" ref="X2412">IF(S2412="","",IF($I2412&lt;&gt;"",$I2412,INDEX($I$2:$I2411,ROW()-COUNTIFS($T$2:$T2411,"="&amp;$T2412,$S$2:$S2411,"&lt;&gt;"&amp;$S2412)-1)))</f>
        <v/>
      </c>
      <c r="Y2412" t="b">
        <f>IF(X2412&lt;&gt;"",VLOOKUP(X2412,game_rosters!$C$43:$E$64,3,FALSE))</f>
        <v>0</v>
      </c>
      <c r="Z2412" t="e" cm="1" vm="1">
        <f t="array" aca="1" ref="Z2412" ca="1">IFERROR(IF(_xlfn._xlws.FILTER(game_rosters!$J:$J,(game_rosters!$G:$G=events!$AN2412)*(game_rosters!$J:$J=events!$X2412))&gt;0,1,""),"")</f>
        <v>#VALUE!</v>
      </c>
      <c r="AA2412">
        <f t="shared" si="231"/>
        <v>1000</v>
      </c>
      <c r="AB2412" t="str">
        <f t="shared" si="232"/>
        <v/>
      </c>
      <c r="AC2412">
        <f t="shared" si="229"/>
        <v>1000</v>
      </c>
      <c r="AD2412" s="6"/>
    </row>
    <row r="2413" spans="1:30" x14ac:dyDescent="0.2">
      <c r="A2413" t="str">
        <f t="shared" si="230"/>
        <v/>
      </c>
      <c r="X2413" t="str" cm="1">
        <f t="array" ref="X2413">IF(S2413="","",IF($I2413&lt;&gt;"",$I2413,INDEX($I$2:$I2412,ROW()-COUNTIFS($T$2:$T2412,"="&amp;$T2413,$S$2:$S2412,"&lt;&gt;"&amp;$S2413)-1)))</f>
        <v/>
      </c>
      <c r="Y2413" t="b">
        <f>IF(X2413&lt;&gt;"",VLOOKUP(X2413,game_rosters!$C$43:$E$64,3,FALSE))</f>
        <v>0</v>
      </c>
      <c r="Z2413" t="e" cm="1" vm="1">
        <f t="array" aca="1" ref="Z2413" ca="1">IFERROR(IF(_xlfn._xlws.FILTER(game_rosters!$J:$J,(game_rosters!$G:$G=events!$AN2413)*(game_rosters!$J:$J=events!$X2413))&gt;0,1,""),"")</f>
        <v>#VALUE!</v>
      </c>
      <c r="AA2413">
        <f t="shared" si="231"/>
        <v>1000</v>
      </c>
      <c r="AB2413" t="str">
        <f t="shared" si="232"/>
        <v/>
      </c>
      <c r="AC2413">
        <f t="shared" si="229"/>
        <v>1000</v>
      </c>
      <c r="AD2413" s="6"/>
    </row>
    <row r="2414" spans="1:30" x14ac:dyDescent="0.2">
      <c r="A2414" t="str">
        <f t="shared" si="230"/>
        <v/>
      </c>
      <c r="X2414" t="str" cm="1">
        <f t="array" ref="X2414">IF(S2414="","",IF($I2414&lt;&gt;"",$I2414,INDEX($I$2:$I2413,ROW()-COUNTIFS($T$2:$T2413,"="&amp;$T2414,$S$2:$S2413,"&lt;&gt;"&amp;$S2414)-1)))</f>
        <v/>
      </c>
      <c r="Y2414" t="b">
        <f>IF(X2414&lt;&gt;"",VLOOKUP(X2414,game_rosters!$C$43:$E$64,3,FALSE))</f>
        <v>0</v>
      </c>
      <c r="Z2414" t="e" cm="1" vm="1">
        <f t="array" aca="1" ref="Z2414" ca="1">IFERROR(IF(_xlfn._xlws.FILTER(game_rosters!$J:$J,(game_rosters!$G:$G=events!$AN2414)*(game_rosters!$J:$J=events!$X2414))&gt;0,1,""),"")</f>
        <v>#VALUE!</v>
      </c>
      <c r="AA2414">
        <f t="shared" si="231"/>
        <v>1000</v>
      </c>
      <c r="AB2414" t="str">
        <f t="shared" si="232"/>
        <v/>
      </c>
      <c r="AC2414">
        <f t="shared" si="229"/>
        <v>1000</v>
      </c>
      <c r="AD2414" s="6"/>
    </row>
    <row r="2415" spans="1:30" x14ac:dyDescent="0.2">
      <c r="A2415" t="str">
        <f t="shared" si="230"/>
        <v/>
      </c>
      <c r="X2415" t="str" cm="1">
        <f t="array" ref="X2415">IF(S2415="","",IF($I2415&lt;&gt;"",$I2415,INDEX($I$2:$I2414,ROW()-COUNTIFS($T$2:$T2414,"="&amp;$T2415,$S$2:$S2414,"&lt;&gt;"&amp;$S2415)-1)))</f>
        <v/>
      </c>
      <c r="Y2415" t="b">
        <f>IF(X2415&lt;&gt;"",VLOOKUP(X2415,game_rosters!$C$43:$E$64,3,FALSE))</f>
        <v>0</v>
      </c>
      <c r="Z2415" t="e" cm="1" vm="1">
        <f t="array" aca="1" ref="Z2415" ca="1">IFERROR(IF(_xlfn._xlws.FILTER(game_rosters!$J:$J,(game_rosters!$G:$G=events!$AN2415)*(game_rosters!$J:$J=events!$X2415))&gt;0,1,""),"")</f>
        <v>#VALUE!</v>
      </c>
      <c r="AA2415">
        <f t="shared" si="231"/>
        <v>1000</v>
      </c>
      <c r="AB2415" t="str">
        <f t="shared" si="232"/>
        <v/>
      </c>
      <c r="AC2415">
        <f t="shared" si="229"/>
        <v>1000</v>
      </c>
      <c r="AD2415" s="6"/>
    </row>
    <row r="2416" spans="1:30" x14ac:dyDescent="0.2">
      <c r="A2416" t="str">
        <f t="shared" si="230"/>
        <v/>
      </c>
      <c r="X2416" t="str" cm="1">
        <f t="array" ref="X2416">IF(S2416="","",IF($I2416&lt;&gt;"",$I2416,INDEX($I$2:$I2415,ROW()-COUNTIFS($T$2:$T2415,"="&amp;$T2416,$S$2:$S2415,"&lt;&gt;"&amp;$S2416)-1)))</f>
        <v/>
      </c>
      <c r="Y2416" t="b">
        <f>IF(X2416&lt;&gt;"",VLOOKUP(X2416,game_rosters!$C$43:$E$64,3,FALSE))</f>
        <v>0</v>
      </c>
      <c r="Z2416" t="e" cm="1" vm="1">
        <f t="array" aca="1" ref="Z2416" ca="1">IFERROR(IF(_xlfn._xlws.FILTER(game_rosters!$J:$J,(game_rosters!$G:$G=events!$AN2416)*(game_rosters!$J:$J=events!$X2416))&gt;0,1,""),"")</f>
        <v>#VALUE!</v>
      </c>
      <c r="AA2416">
        <f t="shared" si="231"/>
        <v>1000</v>
      </c>
      <c r="AB2416" t="str">
        <f t="shared" si="232"/>
        <v/>
      </c>
      <c r="AC2416">
        <f t="shared" si="229"/>
        <v>1000</v>
      </c>
      <c r="AD2416" s="6"/>
    </row>
    <row r="2417" spans="1:30" x14ac:dyDescent="0.2">
      <c r="A2417" t="str">
        <f t="shared" si="230"/>
        <v/>
      </c>
      <c r="X2417" t="str" cm="1">
        <f t="array" ref="X2417">IF(S2417="","",IF($I2417&lt;&gt;"",$I2417,INDEX($I$2:$I2416,ROW()-COUNTIFS($T$2:$T2416,"="&amp;$T2417,$S$2:$S2416,"&lt;&gt;"&amp;$S2417)-1)))</f>
        <v/>
      </c>
      <c r="Y2417" t="b">
        <f>IF(X2417&lt;&gt;"",VLOOKUP(X2417,game_rosters!$C$43:$E$64,3,FALSE))</f>
        <v>0</v>
      </c>
      <c r="Z2417" t="e" cm="1" vm="1">
        <f t="array" aca="1" ref="Z2417" ca="1">IFERROR(IF(_xlfn._xlws.FILTER(game_rosters!$J:$J,(game_rosters!$G:$G=events!$AN2417)*(game_rosters!$J:$J=events!$X2417))&gt;0,1,""),"")</f>
        <v>#VALUE!</v>
      </c>
      <c r="AA2417">
        <f t="shared" si="231"/>
        <v>1000</v>
      </c>
      <c r="AB2417" t="str">
        <f t="shared" si="232"/>
        <v/>
      </c>
      <c r="AC2417">
        <f t="shared" si="229"/>
        <v>1000</v>
      </c>
      <c r="AD2417" s="6"/>
    </row>
    <row r="2418" spans="1:30" x14ac:dyDescent="0.2">
      <c r="A2418" t="str">
        <f t="shared" si="230"/>
        <v/>
      </c>
      <c r="X2418" t="str" cm="1">
        <f t="array" ref="X2418">IF(S2418="","",IF($I2418&lt;&gt;"",$I2418,INDEX($I$2:$I2417,ROW()-COUNTIFS($T$2:$T2417,"="&amp;$T2418,$S$2:$S2417,"&lt;&gt;"&amp;$S2418)-1)))</f>
        <v/>
      </c>
      <c r="Y2418" t="b">
        <f>IF(X2418&lt;&gt;"",VLOOKUP(X2418,game_rosters!$C$43:$E$64,3,FALSE))</f>
        <v>0</v>
      </c>
      <c r="Z2418" t="e" cm="1" vm="1">
        <f t="array" aca="1" ref="Z2418" ca="1">IFERROR(IF(_xlfn._xlws.FILTER(game_rosters!$J:$J,(game_rosters!$G:$G=events!$AN2418)*(game_rosters!$J:$J=events!$X2418))&gt;0,1,""),"")</f>
        <v>#VALUE!</v>
      </c>
      <c r="AA2418">
        <f t="shared" si="231"/>
        <v>1000</v>
      </c>
      <c r="AB2418" t="str">
        <f t="shared" si="232"/>
        <v/>
      </c>
      <c r="AC2418">
        <f t="shared" si="229"/>
        <v>1000</v>
      </c>
      <c r="AD2418" s="6"/>
    </row>
    <row r="2419" spans="1:30" x14ac:dyDescent="0.2">
      <c r="A2419" t="str">
        <f t="shared" si="230"/>
        <v/>
      </c>
      <c r="X2419" t="str" cm="1">
        <f t="array" ref="X2419">IF(S2419="","",IF($I2419&lt;&gt;"",$I2419,INDEX($I$2:$I2418,ROW()-COUNTIFS($T$2:$T2418,"="&amp;$T2419,$S$2:$S2418,"&lt;&gt;"&amp;$S2419)-1)))</f>
        <v/>
      </c>
      <c r="Y2419" t="b">
        <f>IF(X2419&lt;&gt;"",VLOOKUP(X2419,game_rosters!$C$43:$E$64,3,FALSE))</f>
        <v>0</v>
      </c>
      <c r="Z2419" t="e" cm="1" vm="1">
        <f t="array" aca="1" ref="Z2419" ca="1">IFERROR(IF(_xlfn._xlws.FILTER(game_rosters!$J:$J,(game_rosters!$G:$G=events!$AN2419)*(game_rosters!$J:$J=events!$X2419))&gt;0,1,""),"")</f>
        <v>#VALUE!</v>
      </c>
      <c r="AA2419">
        <f t="shared" si="231"/>
        <v>1000</v>
      </c>
      <c r="AB2419" t="str">
        <f t="shared" si="232"/>
        <v/>
      </c>
      <c r="AC2419">
        <f t="shared" si="229"/>
        <v>1000</v>
      </c>
      <c r="AD2419" s="6"/>
    </row>
    <row r="2420" spans="1:30" x14ac:dyDescent="0.2">
      <c r="A2420" t="str">
        <f t="shared" si="230"/>
        <v/>
      </c>
      <c r="X2420" t="str" cm="1">
        <f t="array" ref="X2420">IF(S2420="","",IF($I2420&lt;&gt;"",$I2420,INDEX($I$2:$I2419,ROW()-COUNTIFS($T$2:$T2419,"="&amp;$T2420,$S$2:$S2419,"&lt;&gt;"&amp;$S2420)-1)))</f>
        <v/>
      </c>
      <c r="Y2420" t="b">
        <f>IF(X2420&lt;&gt;"",VLOOKUP(X2420,game_rosters!$C$43:$E$64,3,FALSE))</f>
        <v>0</v>
      </c>
      <c r="Z2420" t="e" cm="1" vm="1">
        <f t="array" aca="1" ref="Z2420" ca="1">IFERROR(IF(_xlfn._xlws.FILTER(game_rosters!$J:$J,(game_rosters!$G:$G=events!$AN2420)*(game_rosters!$J:$J=events!$X2420))&gt;0,1,""),"")</f>
        <v>#VALUE!</v>
      </c>
      <c r="AA2420">
        <f t="shared" si="231"/>
        <v>1000</v>
      </c>
      <c r="AB2420" t="str">
        <f t="shared" si="232"/>
        <v/>
      </c>
      <c r="AC2420">
        <f t="shared" si="229"/>
        <v>1000</v>
      </c>
      <c r="AD2420" s="6"/>
    </row>
    <row r="2421" spans="1:30" x14ac:dyDescent="0.2">
      <c r="A2421" t="str">
        <f t="shared" si="230"/>
        <v/>
      </c>
      <c r="X2421" t="str" cm="1">
        <f t="array" ref="X2421">IF(S2421="","",IF($I2421&lt;&gt;"",$I2421,INDEX($I$2:$I2420,ROW()-COUNTIFS($T$2:$T2420,"="&amp;$T2421,$S$2:$S2420,"&lt;&gt;"&amp;$S2421)-1)))</f>
        <v/>
      </c>
      <c r="Y2421" t="b">
        <f>IF(X2421&lt;&gt;"",VLOOKUP(X2421,game_rosters!$C$43:$E$64,3,FALSE))</f>
        <v>0</v>
      </c>
      <c r="Z2421" t="e" cm="1" vm="1">
        <f t="array" aca="1" ref="Z2421" ca="1">IFERROR(IF(_xlfn._xlws.FILTER(game_rosters!$J:$J,(game_rosters!$G:$G=events!$AN2421)*(game_rosters!$J:$J=events!$X2421))&gt;0,1,""),"")</f>
        <v>#VALUE!</v>
      </c>
      <c r="AA2421">
        <f t="shared" si="231"/>
        <v>1000</v>
      </c>
      <c r="AB2421" t="str">
        <f t="shared" si="232"/>
        <v/>
      </c>
      <c r="AC2421">
        <f t="shared" si="229"/>
        <v>1000</v>
      </c>
      <c r="AD2421" s="6"/>
    </row>
    <row r="2422" spans="1:30" x14ac:dyDescent="0.2">
      <c r="A2422" t="str">
        <f t="shared" si="230"/>
        <v/>
      </c>
      <c r="X2422" t="str" cm="1">
        <f t="array" ref="X2422">IF(S2422="","",IF($I2422&lt;&gt;"",$I2422,INDEX($I$2:$I2421,ROW()-COUNTIFS($T$2:$T2421,"="&amp;$T2422,$S$2:$S2421,"&lt;&gt;"&amp;$S2422)-1)))</f>
        <v/>
      </c>
      <c r="Y2422" t="b">
        <f>IF(X2422&lt;&gt;"",VLOOKUP(X2422,game_rosters!$C$43:$E$64,3,FALSE))</f>
        <v>0</v>
      </c>
      <c r="Z2422" t="e" cm="1" vm="1">
        <f t="array" aca="1" ref="Z2422" ca="1">IFERROR(IF(_xlfn._xlws.FILTER(game_rosters!$J:$J,(game_rosters!$G:$G=events!$AN2422)*(game_rosters!$J:$J=events!$X2422))&gt;0,1,""),"")</f>
        <v>#VALUE!</v>
      </c>
      <c r="AA2422">
        <f t="shared" si="231"/>
        <v>1000</v>
      </c>
      <c r="AB2422" t="str">
        <f t="shared" si="232"/>
        <v/>
      </c>
      <c r="AC2422">
        <f t="shared" si="229"/>
        <v>1000</v>
      </c>
      <c r="AD2422" s="6"/>
    </row>
    <row r="2423" spans="1:30" x14ac:dyDescent="0.2">
      <c r="A2423" t="str">
        <f t="shared" si="230"/>
        <v/>
      </c>
      <c r="X2423" t="str" cm="1">
        <f t="array" ref="X2423">IF(S2423="","",IF($I2423&lt;&gt;"",$I2423,INDEX($I$2:$I2422,ROW()-COUNTIFS($T$2:$T2422,"="&amp;$T2423,$S$2:$S2422,"&lt;&gt;"&amp;$S2423)-1)))</f>
        <v/>
      </c>
      <c r="Y2423" t="b">
        <f>IF(X2423&lt;&gt;"",VLOOKUP(X2423,game_rosters!$C$43:$E$64,3,FALSE))</f>
        <v>0</v>
      </c>
      <c r="Z2423" t="e" cm="1" vm="1">
        <f t="array" aca="1" ref="Z2423" ca="1">IFERROR(IF(_xlfn._xlws.FILTER(game_rosters!$J:$J,(game_rosters!$G:$G=events!$AN2423)*(game_rosters!$J:$J=events!$X2423))&gt;0,1,""),"")</f>
        <v>#VALUE!</v>
      </c>
      <c r="AA2423">
        <f t="shared" si="231"/>
        <v>1000</v>
      </c>
      <c r="AB2423" t="str">
        <f t="shared" si="232"/>
        <v/>
      </c>
      <c r="AC2423">
        <f t="shared" si="229"/>
        <v>1000</v>
      </c>
      <c r="AD2423" s="6"/>
    </row>
    <row r="2424" spans="1:30" x14ac:dyDescent="0.2">
      <c r="A2424" t="str">
        <f t="shared" si="230"/>
        <v/>
      </c>
      <c r="X2424" t="str" cm="1">
        <f t="array" ref="X2424">IF(S2424="","",IF($I2424&lt;&gt;"",$I2424,INDEX($I$2:$I2423,ROW()-COUNTIFS($T$2:$T2423,"="&amp;$T2424,$S$2:$S2423,"&lt;&gt;"&amp;$S2424)-1)))</f>
        <v/>
      </c>
      <c r="Y2424" t="b">
        <f>IF(X2424&lt;&gt;"",VLOOKUP(X2424,game_rosters!$C$43:$E$64,3,FALSE))</f>
        <v>0</v>
      </c>
      <c r="Z2424" t="e" cm="1" vm="1">
        <f t="array" aca="1" ref="Z2424" ca="1">IFERROR(IF(_xlfn._xlws.FILTER(game_rosters!$J:$J,(game_rosters!$G:$G=events!$AN2424)*(game_rosters!$J:$J=events!$X2424))&gt;0,1,""),"")</f>
        <v>#VALUE!</v>
      </c>
      <c r="AA2424">
        <f t="shared" si="231"/>
        <v>1000</v>
      </c>
      <c r="AB2424" t="str">
        <f t="shared" si="232"/>
        <v/>
      </c>
      <c r="AC2424">
        <f t="shared" si="229"/>
        <v>1000</v>
      </c>
      <c r="AD2424" s="6"/>
    </row>
    <row r="2425" spans="1:30" x14ac:dyDescent="0.2">
      <c r="A2425" t="str">
        <f t="shared" si="230"/>
        <v/>
      </c>
      <c r="X2425" t="str" cm="1">
        <f t="array" ref="X2425">IF(S2425="","",IF($I2425&lt;&gt;"",$I2425,INDEX($I$2:$I2424,ROW()-COUNTIFS($T$2:$T2424,"="&amp;$T2425,$S$2:$S2424,"&lt;&gt;"&amp;$S2425)-1)))</f>
        <v/>
      </c>
      <c r="Y2425" t="b">
        <f>IF(X2425&lt;&gt;"",VLOOKUP(X2425,game_rosters!$C$43:$E$64,3,FALSE))</f>
        <v>0</v>
      </c>
      <c r="Z2425" t="e" cm="1" vm="1">
        <f t="array" aca="1" ref="Z2425" ca="1">IFERROR(IF(_xlfn._xlws.FILTER(game_rosters!$J:$J,(game_rosters!$G:$G=events!$AN2425)*(game_rosters!$J:$J=events!$X2425))&gt;0,1,""),"")</f>
        <v>#VALUE!</v>
      </c>
      <c r="AA2425">
        <f t="shared" si="231"/>
        <v>1000</v>
      </c>
      <c r="AB2425" t="str">
        <f t="shared" si="232"/>
        <v/>
      </c>
      <c r="AC2425">
        <f t="shared" si="229"/>
        <v>1000</v>
      </c>
      <c r="AD2425" s="6"/>
    </row>
    <row r="2426" spans="1:30" x14ac:dyDescent="0.2">
      <c r="A2426" t="str">
        <f t="shared" si="230"/>
        <v/>
      </c>
      <c r="X2426" t="str" cm="1">
        <f t="array" ref="X2426">IF(S2426="","",IF($I2426&lt;&gt;"",$I2426,INDEX($I$2:$I2425,ROW()-COUNTIFS($T$2:$T2425,"="&amp;$T2426,$S$2:$S2425,"&lt;&gt;"&amp;$S2426)-1)))</f>
        <v/>
      </c>
      <c r="Y2426" t="b">
        <f>IF(X2426&lt;&gt;"",VLOOKUP(X2426,game_rosters!$C$43:$E$64,3,FALSE))</f>
        <v>0</v>
      </c>
      <c r="Z2426" t="e" cm="1" vm="1">
        <f t="array" aca="1" ref="Z2426" ca="1">IFERROR(IF(_xlfn._xlws.FILTER(game_rosters!$J:$J,(game_rosters!$G:$G=events!$AN2426)*(game_rosters!$J:$J=events!$X2426))&gt;0,1,""),"")</f>
        <v>#VALUE!</v>
      </c>
      <c r="AA2426">
        <f t="shared" si="231"/>
        <v>1000</v>
      </c>
      <c r="AB2426" t="str">
        <f t="shared" si="232"/>
        <v/>
      </c>
      <c r="AC2426">
        <f t="shared" si="229"/>
        <v>1000</v>
      </c>
      <c r="AD2426" s="6"/>
    </row>
    <row r="2427" spans="1:30" x14ac:dyDescent="0.2">
      <c r="A2427" t="str">
        <f t="shared" si="230"/>
        <v/>
      </c>
      <c r="X2427" t="str" cm="1">
        <f t="array" ref="X2427">IF(S2427="","",IF($I2427&lt;&gt;"",$I2427,INDEX($I$2:$I2426,ROW()-COUNTIFS($T$2:$T2426,"="&amp;$T2427,$S$2:$S2426,"&lt;&gt;"&amp;$S2427)-1)))</f>
        <v/>
      </c>
      <c r="Y2427" t="b">
        <f>IF(X2427&lt;&gt;"",VLOOKUP(X2427,game_rosters!$C$43:$E$64,3,FALSE))</f>
        <v>0</v>
      </c>
      <c r="Z2427" t="e" cm="1" vm="1">
        <f t="array" aca="1" ref="Z2427" ca="1">IFERROR(IF(_xlfn._xlws.FILTER(game_rosters!$J:$J,(game_rosters!$G:$G=events!$AN2427)*(game_rosters!$J:$J=events!$X2427))&gt;0,1,""),"")</f>
        <v>#VALUE!</v>
      </c>
      <c r="AA2427">
        <f t="shared" si="231"/>
        <v>1000</v>
      </c>
      <c r="AB2427" t="str">
        <f t="shared" si="232"/>
        <v/>
      </c>
      <c r="AC2427">
        <f t="shared" si="229"/>
        <v>1000</v>
      </c>
      <c r="AD2427" s="6"/>
    </row>
    <row r="2428" spans="1:30" x14ac:dyDescent="0.2">
      <c r="A2428" t="str">
        <f t="shared" si="230"/>
        <v/>
      </c>
      <c r="X2428" t="str" cm="1">
        <f t="array" ref="X2428">IF(S2428="","",IF($I2428&lt;&gt;"",$I2428,INDEX($I$2:$I2427,ROW()-COUNTIFS($T$2:$T2427,"="&amp;$T2428,$S$2:$S2427,"&lt;&gt;"&amp;$S2428)-1)))</f>
        <v/>
      </c>
      <c r="Y2428" t="b">
        <f>IF(X2428&lt;&gt;"",VLOOKUP(X2428,game_rosters!$C$43:$E$64,3,FALSE))</f>
        <v>0</v>
      </c>
      <c r="Z2428" t="e" cm="1" vm="1">
        <f t="array" aca="1" ref="Z2428" ca="1">IFERROR(IF(_xlfn._xlws.FILTER(game_rosters!$J:$J,(game_rosters!$G:$G=events!$AN2428)*(game_rosters!$J:$J=events!$X2428))&gt;0,1,""),"")</f>
        <v>#VALUE!</v>
      </c>
      <c r="AA2428">
        <f t="shared" si="231"/>
        <v>1000</v>
      </c>
      <c r="AB2428" t="str">
        <f t="shared" si="232"/>
        <v/>
      </c>
      <c r="AC2428">
        <f t="shared" si="229"/>
        <v>1000</v>
      </c>
      <c r="AD2428" s="6"/>
    </row>
    <row r="2429" spans="1:30" x14ac:dyDescent="0.2">
      <c r="A2429" t="str">
        <f t="shared" si="230"/>
        <v/>
      </c>
      <c r="X2429" t="str" cm="1">
        <f t="array" ref="X2429">IF(S2429="","",IF($I2429&lt;&gt;"",$I2429,INDEX($I$2:$I2428,ROW()-COUNTIFS($T$2:$T2428,"="&amp;$T2429,$S$2:$S2428,"&lt;&gt;"&amp;$S2429)-1)))</f>
        <v/>
      </c>
      <c r="Y2429" t="b">
        <f>IF(X2429&lt;&gt;"",VLOOKUP(X2429,game_rosters!$C$43:$E$64,3,FALSE))</f>
        <v>0</v>
      </c>
      <c r="Z2429" t="e" cm="1" vm="1">
        <f t="array" aca="1" ref="Z2429" ca="1">IFERROR(IF(_xlfn._xlws.FILTER(game_rosters!$J:$J,(game_rosters!$G:$G=events!$AN2429)*(game_rosters!$J:$J=events!$X2429))&gt;0,1,""),"")</f>
        <v>#VALUE!</v>
      </c>
      <c r="AA2429">
        <f t="shared" si="231"/>
        <v>1000</v>
      </c>
      <c r="AB2429" t="str">
        <f t="shared" si="232"/>
        <v/>
      </c>
      <c r="AC2429">
        <f t="shared" si="229"/>
        <v>1000</v>
      </c>
      <c r="AD2429" s="6"/>
    </row>
    <row r="2430" spans="1:30" x14ac:dyDescent="0.2">
      <c r="A2430" t="str">
        <f t="shared" si="230"/>
        <v/>
      </c>
      <c r="X2430" t="str" cm="1">
        <f t="array" ref="X2430">IF(S2430="","",IF($I2430&lt;&gt;"",$I2430,INDEX($I$2:$I2429,ROW()-COUNTIFS($T$2:$T2429,"="&amp;$T2430,$S$2:$S2429,"&lt;&gt;"&amp;$S2430)-1)))</f>
        <v/>
      </c>
      <c r="Y2430" t="b">
        <f>IF(X2430&lt;&gt;"",VLOOKUP(X2430,game_rosters!$C$43:$E$64,3,FALSE))</f>
        <v>0</v>
      </c>
      <c r="Z2430" t="e" cm="1" vm="1">
        <f t="array" aca="1" ref="Z2430" ca="1">IFERROR(IF(_xlfn._xlws.FILTER(game_rosters!$J:$J,(game_rosters!$G:$G=events!$AN2430)*(game_rosters!$J:$J=events!$X2430))&gt;0,1,""),"")</f>
        <v>#VALUE!</v>
      </c>
      <c r="AA2430">
        <f t="shared" si="231"/>
        <v>1000</v>
      </c>
      <c r="AB2430" t="str">
        <f t="shared" si="232"/>
        <v/>
      </c>
      <c r="AC2430">
        <f t="shared" si="229"/>
        <v>1000</v>
      </c>
      <c r="AD2430" s="6"/>
    </row>
    <row r="2431" spans="1:30" x14ac:dyDescent="0.2">
      <c r="A2431" t="str">
        <f t="shared" si="230"/>
        <v/>
      </c>
      <c r="X2431" t="str" cm="1">
        <f t="array" ref="X2431">IF(S2431="","",IF($I2431&lt;&gt;"",$I2431,INDEX($I$2:$I2430,ROW()-COUNTIFS($T$2:$T2430,"="&amp;$T2431,$S$2:$S2430,"&lt;&gt;"&amp;$S2431)-1)))</f>
        <v/>
      </c>
      <c r="Y2431" t="b">
        <f>IF(X2431&lt;&gt;"",VLOOKUP(X2431,game_rosters!$C$43:$E$64,3,FALSE))</f>
        <v>0</v>
      </c>
      <c r="Z2431" t="e" cm="1" vm="1">
        <f t="array" aca="1" ref="Z2431" ca="1">IFERROR(IF(_xlfn._xlws.FILTER(game_rosters!$J:$J,(game_rosters!$G:$G=events!$AN2431)*(game_rosters!$J:$J=events!$X2431))&gt;0,1,""),"")</f>
        <v>#VALUE!</v>
      </c>
      <c r="AA2431">
        <f t="shared" si="231"/>
        <v>1000</v>
      </c>
      <c r="AB2431" t="str">
        <f t="shared" si="232"/>
        <v/>
      </c>
      <c r="AC2431">
        <f t="shared" si="229"/>
        <v>1000</v>
      </c>
      <c r="AD2431" s="6"/>
    </row>
    <row r="2432" spans="1:30" x14ac:dyDescent="0.2">
      <c r="A2432" t="str">
        <f t="shared" si="230"/>
        <v/>
      </c>
      <c r="X2432" t="str" cm="1">
        <f t="array" ref="X2432">IF(S2432="","",IF($I2432&lt;&gt;"",$I2432,INDEX($I$2:$I2431,ROW()-COUNTIFS($T$2:$T2431,"="&amp;$T2432,$S$2:$S2431,"&lt;&gt;"&amp;$S2432)-1)))</f>
        <v/>
      </c>
      <c r="Y2432" t="b">
        <f>IF(X2432&lt;&gt;"",VLOOKUP(X2432,game_rosters!$C$43:$E$64,3,FALSE))</f>
        <v>0</v>
      </c>
      <c r="Z2432" t="e" cm="1" vm="1">
        <f t="array" aca="1" ref="Z2432" ca="1">IFERROR(IF(_xlfn._xlws.FILTER(game_rosters!$J:$J,(game_rosters!$G:$G=events!$AN2432)*(game_rosters!$J:$J=events!$X2432))&gt;0,1,""),"")</f>
        <v>#VALUE!</v>
      </c>
      <c r="AA2432">
        <f t="shared" si="231"/>
        <v>1000</v>
      </c>
      <c r="AB2432" t="str">
        <f t="shared" si="232"/>
        <v/>
      </c>
      <c r="AC2432">
        <f t="shared" si="229"/>
        <v>1000</v>
      </c>
      <c r="AD2432" s="6"/>
    </row>
    <row r="2433" spans="1:30" x14ac:dyDescent="0.2">
      <c r="A2433" t="str">
        <f t="shared" si="230"/>
        <v/>
      </c>
      <c r="X2433" t="str" cm="1">
        <f t="array" ref="X2433">IF(S2433="","",IF($I2433&lt;&gt;"",$I2433,INDEX($I$2:$I2432,ROW()-COUNTIFS($T$2:$T2432,"="&amp;$T2433,$S$2:$S2432,"&lt;&gt;"&amp;$S2433)-1)))</f>
        <v/>
      </c>
      <c r="Y2433" t="b">
        <f>IF(X2433&lt;&gt;"",VLOOKUP(X2433,game_rosters!$C$43:$E$64,3,FALSE))</f>
        <v>0</v>
      </c>
      <c r="Z2433" t="e" cm="1" vm="1">
        <f t="array" aca="1" ref="Z2433" ca="1">IFERROR(IF(_xlfn._xlws.FILTER(game_rosters!$J:$J,(game_rosters!$G:$G=events!$AN2433)*(game_rosters!$J:$J=events!$X2433))&gt;0,1,""),"")</f>
        <v>#VALUE!</v>
      </c>
      <c r="AA2433">
        <f t="shared" si="231"/>
        <v>1000</v>
      </c>
      <c r="AB2433" t="str">
        <f t="shared" si="232"/>
        <v/>
      </c>
      <c r="AC2433">
        <f t="shared" si="229"/>
        <v>1000</v>
      </c>
      <c r="AD2433" s="6"/>
    </row>
    <row r="2434" spans="1:30" x14ac:dyDescent="0.2">
      <c r="A2434" t="str">
        <f t="shared" si="230"/>
        <v/>
      </c>
      <c r="X2434" t="str" cm="1">
        <f t="array" ref="X2434">IF(S2434="","",IF($I2434&lt;&gt;"",$I2434,INDEX($I$2:$I2433,ROW()-COUNTIFS($T$2:$T2433,"="&amp;$T2434,$S$2:$S2433,"&lt;&gt;"&amp;$S2434)-1)))</f>
        <v/>
      </c>
      <c r="Y2434" t="b">
        <f>IF(X2434&lt;&gt;"",VLOOKUP(X2434,game_rosters!$C$43:$E$64,3,FALSE))</f>
        <v>0</v>
      </c>
      <c r="Z2434" t="e" cm="1" vm="1">
        <f t="array" aca="1" ref="Z2434" ca="1">IFERROR(IF(_xlfn._xlws.FILTER(game_rosters!$J:$J,(game_rosters!$G:$G=events!$AN2434)*(game_rosters!$J:$J=events!$X2434))&gt;0,1,""),"")</f>
        <v>#VALUE!</v>
      </c>
      <c r="AA2434">
        <f t="shared" si="231"/>
        <v>1000</v>
      </c>
      <c r="AB2434" t="str">
        <f t="shared" si="232"/>
        <v/>
      </c>
      <c r="AC2434">
        <f t="shared" ref="AC2434:AC2497" si="233">IF(AB2434&lt;&gt;"",AB2434,S2434+1000)</f>
        <v>1000</v>
      </c>
      <c r="AD2434" s="6"/>
    </row>
    <row r="2435" spans="1:30" x14ac:dyDescent="0.2">
      <c r="A2435" t="str">
        <f t="shared" si="230"/>
        <v/>
      </c>
      <c r="X2435" t="str" cm="1">
        <f t="array" ref="X2435">IF(S2435="","",IF($I2435&lt;&gt;"",$I2435,INDEX($I$2:$I2434,ROW()-COUNTIFS($T$2:$T2434,"="&amp;$T2435,$S$2:$S2434,"&lt;&gt;"&amp;$S2435)-1)))</f>
        <v/>
      </c>
      <c r="Y2435" t="b">
        <f>IF(X2435&lt;&gt;"",VLOOKUP(X2435,game_rosters!$C$43:$E$64,3,FALSE))</f>
        <v>0</v>
      </c>
      <c r="Z2435" t="e" cm="1" vm="1">
        <f t="array" aca="1" ref="Z2435" ca="1">IFERROR(IF(_xlfn._xlws.FILTER(game_rosters!$J:$J,(game_rosters!$G:$G=events!$AN2435)*(game_rosters!$J:$J=events!$X2435))&gt;0,1,""),"")</f>
        <v>#VALUE!</v>
      </c>
      <c r="AA2435">
        <f t="shared" si="231"/>
        <v>1000</v>
      </c>
      <c r="AB2435" t="str">
        <f t="shared" si="232"/>
        <v/>
      </c>
      <c r="AC2435">
        <f t="shared" si="233"/>
        <v>1000</v>
      </c>
      <c r="AD2435" s="6"/>
    </row>
    <row r="2436" spans="1:30" x14ac:dyDescent="0.2">
      <c r="A2436" t="str">
        <f t="shared" si="230"/>
        <v/>
      </c>
      <c r="X2436" t="str" cm="1">
        <f t="array" ref="X2436">IF(S2436="","",IF($I2436&lt;&gt;"",$I2436,INDEX($I$2:$I2435,ROW()-COUNTIFS($T$2:$T2435,"="&amp;$T2436,$S$2:$S2435,"&lt;&gt;"&amp;$S2436)-1)))</f>
        <v/>
      </c>
      <c r="Y2436" t="b">
        <f>IF(X2436&lt;&gt;"",VLOOKUP(X2436,game_rosters!$C$43:$E$64,3,FALSE))</f>
        <v>0</v>
      </c>
      <c r="Z2436" t="e" cm="1" vm="1">
        <f t="array" aca="1" ref="Z2436" ca="1">IFERROR(IF(_xlfn._xlws.FILTER(game_rosters!$J:$J,(game_rosters!$G:$G=events!$AN2436)*(game_rosters!$J:$J=events!$X2436))&gt;0,1,""),"")</f>
        <v>#VALUE!</v>
      </c>
      <c r="AA2436">
        <f t="shared" si="231"/>
        <v>1000</v>
      </c>
      <c r="AB2436" t="str">
        <f t="shared" si="232"/>
        <v/>
      </c>
      <c r="AC2436">
        <f t="shared" si="233"/>
        <v>1000</v>
      </c>
      <c r="AD2436" s="6"/>
    </row>
    <row r="2437" spans="1:30" x14ac:dyDescent="0.2">
      <c r="A2437" t="str">
        <f t="shared" ref="A2437:A2500" si="234">IF(K2437&lt;&gt;"",1,IF(D2437="x","x",""))</f>
        <v/>
      </c>
      <c r="X2437" t="str" cm="1">
        <f t="array" ref="X2437">IF(S2437="","",IF($I2437&lt;&gt;"",$I2437,INDEX($I$2:$I2436,ROW()-COUNTIFS($T$2:$T2436,"="&amp;$T2437,$S$2:$S2436,"&lt;&gt;"&amp;$S2437)-1)))</f>
        <v/>
      </c>
      <c r="Y2437" t="b">
        <f>IF(X2437&lt;&gt;"",VLOOKUP(X2437,game_rosters!$C$43:$E$64,3,FALSE))</f>
        <v>0</v>
      </c>
      <c r="Z2437" t="e" cm="1" vm="1">
        <f t="array" aca="1" ref="Z2437" ca="1">IFERROR(IF(_xlfn._xlws.FILTER(game_rosters!$J:$J,(game_rosters!$G:$G=events!$AN2437)*(game_rosters!$J:$J=events!$X2437))&gt;0,1,""),"")</f>
        <v>#VALUE!</v>
      </c>
      <c r="AA2437">
        <f t="shared" si="231"/>
        <v>1000</v>
      </c>
      <c r="AB2437" t="str">
        <f t="shared" si="232"/>
        <v/>
      </c>
      <c r="AC2437">
        <f t="shared" si="233"/>
        <v>1000</v>
      </c>
      <c r="AD2437" s="6"/>
    </row>
    <row r="2438" spans="1:30" x14ac:dyDescent="0.2">
      <c r="A2438" t="str">
        <f t="shared" si="234"/>
        <v/>
      </c>
      <c r="X2438" t="str" cm="1">
        <f t="array" ref="X2438">IF(S2438="","",IF($I2438&lt;&gt;"",$I2438,INDEX($I$2:$I2437,ROW()-COUNTIFS($T$2:$T2437,"="&amp;$T2438,$S$2:$S2437,"&lt;&gt;"&amp;$S2438)-1)))</f>
        <v/>
      </c>
      <c r="Y2438" t="b">
        <f>IF(X2438&lt;&gt;"",VLOOKUP(X2438,game_rosters!$C$43:$E$64,3,FALSE))</f>
        <v>0</v>
      </c>
      <c r="Z2438" t="e" cm="1" vm="1">
        <f t="array" aca="1" ref="Z2438" ca="1">IFERROR(IF(_xlfn._xlws.FILTER(game_rosters!$J:$J,(game_rosters!$G:$G=events!$AN2438)*(game_rosters!$J:$J=events!$X2438))&gt;0,1,""),"")</f>
        <v>#VALUE!</v>
      </c>
      <c r="AA2438">
        <f t="shared" si="231"/>
        <v>1000</v>
      </c>
      <c r="AB2438" t="str">
        <f t="shared" si="232"/>
        <v/>
      </c>
      <c r="AC2438">
        <f t="shared" si="233"/>
        <v>1000</v>
      </c>
      <c r="AD2438" s="6"/>
    </row>
    <row r="2439" spans="1:30" x14ac:dyDescent="0.2">
      <c r="A2439" t="str">
        <f t="shared" si="234"/>
        <v/>
      </c>
      <c r="X2439" t="str" cm="1">
        <f t="array" ref="X2439">IF(S2439="","",IF($I2439&lt;&gt;"",$I2439,INDEX($I$2:$I2438,ROW()-COUNTIFS($T$2:$T2438,"="&amp;$T2439,$S$2:$S2438,"&lt;&gt;"&amp;$S2439)-1)))</f>
        <v/>
      </c>
      <c r="Y2439" t="b">
        <f>IF(X2439&lt;&gt;"",VLOOKUP(X2439,game_rosters!$C$43:$E$64,3,FALSE))</f>
        <v>0</v>
      </c>
      <c r="Z2439" t="e" cm="1" vm="1">
        <f t="array" aca="1" ref="Z2439" ca="1">IFERROR(IF(_xlfn._xlws.FILTER(game_rosters!$J:$J,(game_rosters!$G:$G=events!$AN2439)*(game_rosters!$J:$J=events!$X2439))&gt;0,1,""),"")</f>
        <v>#VALUE!</v>
      </c>
      <c r="AA2439">
        <f t="shared" si="231"/>
        <v>1000</v>
      </c>
      <c r="AB2439" t="str">
        <f t="shared" si="232"/>
        <v/>
      </c>
      <c r="AC2439">
        <f t="shared" si="233"/>
        <v>1000</v>
      </c>
      <c r="AD2439" s="6"/>
    </row>
    <row r="2440" spans="1:30" x14ac:dyDescent="0.2">
      <c r="A2440" t="str">
        <f t="shared" si="234"/>
        <v/>
      </c>
      <c r="X2440" t="str" cm="1">
        <f t="array" ref="X2440">IF(S2440="","",IF($I2440&lt;&gt;"",$I2440,INDEX($I$2:$I2439,ROW()-COUNTIFS($T$2:$T2439,"="&amp;$T2440,$S$2:$S2439,"&lt;&gt;"&amp;$S2440)-1)))</f>
        <v/>
      </c>
      <c r="Y2440" t="b">
        <f>IF(X2440&lt;&gt;"",VLOOKUP(X2440,game_rosters!$C$43:$E$64,3,FALSE))</f>
        <v>0</v>
      </c>
      <c r="Z2440" t="e" cm="1" vm="1">
        <f t="array" aca="1" ref="Z2440" ca="1">IFERROR(IF(_xlfn._xlws.FILTER(game_rosters!$J:$J,(game_rosters!$G:$G=events!$AN2440)*(game_rosters!$J:$J=events!$X2440))&gt;0,1,""),"")</f>
        <v>#VALUE!</v>
      </c>
      <c r="AA2440">
        <f t="shared" si="231"/>
        <v>1000</v>
      </c>
      <c r="AB2440" t="str">
        <f t="shared" si="232"/>
        <v/>
      </c>
      <c r="AC2440">
        <f t="shared" si="233"/>
        <v>1000</v>
      </c>
      <c r="AD2440" s="6"/>
    </row>
    <row r="2441" spans="1:30" x14ac:dyDescent="0.2">
      <c r="A2441" t="str">
        <f t="shared" si="234"/>
        <v/>
      </c>
      <c r="X2441" t="str" cm="1">
        <f t="array" ref="X2441">IF(S2441="","",IF($I2441&lt;&gt;"",$I2441,INDEX($I$2:$I2440,ROW()-COUNTIFS($T$2:$T2440,"="&amp;$T2441,$S$2:$S2440,"&lt;&gt;"&amp;$S2441)-1)))</f>
        <v/>
      </c>
      <c r="Y2441" t="b">
        <f>IF(X2441&lt;&gt;"",VLOOKUP(X2441,game_rosters!$C$43:$E$64,3,FALSE))</f>
        <v>0</v>
      </c>
      <c r="Z2441" t="e" cm="1" vm="1">
        <f t="array" aca="1" ref="Z2441" ca="1">IFERROR(IF(_xlfn._xlws.FILTER(game_rosters!$J:$J,(game_rosters!$G:$G=events!$AN2441)*(game_rosters!$J:$J=events!$X2441))&gt;0,1,""),"")</f>
        <v>#VALUE!</v>
      </c>
      <c r="AA2441">
        <f t="shared" si="231"/>
        <v>1000</v>
      </c>
      <c r="AB2441" t="str">
        <f t="shared" si="232"/>
        <v/>
      </c>
      <c r="AC2441">
        <f t="shared" si="233"/>
        <v>1000</v>
      </c>
      <c r="AD2441" s="6"/>
    </row>
    <row r="2442" spans="1:30" x14ac:dyDescent="0.2">
      <c r="A2442" t="str">
        <f t="shared" si="234"/>
        <v/>
      </c>
      <c r="X2442" t="str" cm="1">
        <f t="array" ref="X2442">IF(S2442="","",IF($I2442&lt;&gt;"",$I2442,INDEX($I$2:$I2441,ROW()-COUNTIFS($T$2:$T2441,"="&amp;$T2442,$S$2:$S2441,"&lt;&gt;"&amp;$S2442)-1)))</f>
        <v/>
      </c>
      <c r="Y2442" t="b">
        <f>IF(X2442&lt;&gt;"",VLOOKUP(X2442,game_rosters!$C$43:$E$64,3,FALSE))</f>
        <v>0</v>
      </c>
      <c r="Z2442" t="e" cm="1" vm="1">
        <f t="array" aca="1" ref="Z2442" ca="1">IFERROR(IF(_xlfn._xlws.FILTER(game_rosters!$J:$J,(game_rosters!$G:$G=events!$AN2442)*(game_rosters!$J:$J=events!$X2442))&gt;0,1,""),"")</f>
        <v>#VALUE!</v>
      </c>
      <c r="AA2442">
        <f t="shared" si="231"/>
        <v>1000</v>
      </c>
      <c r="AB2442" t="str">
        <f t="shared" si="232"/>
        <v/>
      </c>
      <c r="AC2442">
        <f t="shared" si="233"/>
        <v>1000</v>
      </c>
      <c r="AD2442" s="6"/>
    </row>
    <row r="2443" spans="1:30" x14ac:dyDescent="0.2">
      <c r="A2443" t="str">
        <f t="shared" si="234"/>
        <v/>
      </c>
      <c r="X2443" t="str" cm="1">
        <f t="array" ref="X2443">IF(S2443="","",IF($I2443&lt;&gt;"",$I2443,INDEX($I$2:$I2442,ROW()-COUNTIFS($T$2:$T2442,"="&amp;$T2443,$S$2:$S2442,"&lt;&gt;"&amp;$S2443)-1)))</f>
        <v/>
      </c>
      <c r="Y2443" t="b">
        <f>IF(X2443&lt;&gt;"",VLOOKUP(X2443,game_rosters!$C$43:$E$64,3,FALSE))</f>
        <v>0</v>
      </c>
      <c r="Z2443" t="e" cm="1" vm="1">
        <f t="array" aca="1" ref="Z2443" ca="1">IFERROR(IF(_xlfn._xlws.FILTER(game_rosters!$J:$J,(game_rosters!$G:$G=events!$AN2443)*(game_rosters!$J:$J=events!$X2443))&gt;0,1,""),"")</f>
        <v>#VALUE!</v>
      </c>
      <c r="AA2443">
        <f t="shared" si="231"/>
        <v>1000</v>
      </c>
      <c r="AB2443" t="str">
        <f t="shared" si="232"/>
        <v/>
      </c>
      <c r="AC2443">
        <f t="shared" si="233"/>
        <v>1000</v>
      </c>
      <c r="AD2443" s="6"/>
    </row>
    <row r="2444" spans="1:30" x14ac:dyDescent="0.2">
      <c r="A2444" t="str">
        <f t="shared" si="234"/>
        <v/>
      </c>
      <c r="X2444" t="str" cm="1">
        <f t="array" ref="X2444">IF(S2444="","",IF($I2444&lt;&gt;"",$I2444,INDEX($I$2:$I2443,ROW()-COUNTIFS($T$2:$T2443,"="&amp;$T2444,$S$2:$S2443,"&lt;&gt;"&amp;$S2444)-1)))</f>
        <v/>
      </c>
      <c r="Y2444" t="b">
        <f>IF(X2444&lt;&gt;"",VLOOKUP(X2444,game_rosters!$C$43:$E$64,3,FALSE))</f>
        <v>0</v>
      </c>
      <c r="Z2444" t="e" cm="1" vm="1">
        <f t="array" aca="1" ref="Z2444" ca="1">IFERROR(IF(_xlfn._xlws.FILTER(game_rosters!$J:$J,(game_rosters!$G:$G=events!$AN2444)*(game_rosters!$J:$J=events!$X2444))&gt;0,1,""),"")</f>
        <v>#VALUE!</v>
      </c>
      <c r="AA2444">
        <f t="shared" si="231"/>
        <v>1000</v>
      </c>
      <c r="AB2444" t="str">
        <f t="shared" si="232"/>
        <v/>
      </c>
      <c r="AC2444">
        <f t="shared" si="233"/>
        <v>1000</v>
      </c>
      <c r="AD2444" s="6"/>
    </row>
    <row r="2445" spans="1:30" x14ac:dyDescent="0.2">
      <c r="A2445" t="str">
        <f t="shared" si="234"/>
        <v/>
      </c>
      <c r="X2445" t="str" cm="1">
        <f t="array" ref="X2445">IF(S2445="","",IF($I2445&lt;&gt;"",$I2445,INDEX($I$2:$I2444,ROW()-COUNTIFS($T$2:$T2444,"="&amp;$T2445,$S$2:$S2444,"&lt;&gt;"&amp;$S2445)-1)))</f>
        <v/>
      </c>
      <c r="Y2445" t="b">
        <f>IF(X2445&lt;&gt;"",VLOOKUP(X2445,game_rosters!$C$43:$E$64,3,FALSE))</f>
        <v>0</v>
      </c>
      <c r="Z2445" t="e" cm="1" vm="1">
        <f t="array" aca="1" ref="Z2445" ca="1">IFERROR(IF(_xlfn._xlws.FILTER(game_rosters!$J:$J,(game_rosters!$G:$G=events!$AN2445)*(game_rosters!$J:$J=events!$X2445))&gt;0,1,""),"")</f>
        <v>#VALUE!</v>
      </c>
      <c r="AA2445">
        <f t="shared" si="231"/>
        <v>1000</v>
      </c>
      <c r="AB2445" t="str">
        <f t="shared" si="232"/>
        <v/>
      </c>
      <c r="AC2445">
        <f t="shared" si="233"/>
        <v>1000</v>
      </c>
      <c r="AD2445" s="6"/>
    </row>
    <row r="2446" spans="1:30" x14ac:dyDescent="0.2">
      <c r="A2446" t="str">
        <f t="shared" si="234"/>
        <v/>
      </c>
      <c r="X2446" t="str" cm="1">
        <f t="array" ref="X2446">IF(S2446="","",IF($I2446&lt;&gt;"",$I2446,INDEX($I$2:$I2445,ROW()-COUNTIFS($T$2:$T2445,"="&amp;$T2446,$S$2:$S2445,"&lt;&gt;"&amp;$S2446)-1)))</f>
        <v/>
      </c>
      <c r="Y2446" t="b">
        <f>IF(X2446&lt;&gt;"",VLOOKUP(X2446,game_rosters!$C$43:$E$64,3,FALSE))</f>
        <v>0</v>
      </c>
      <c r="Z2446" t="e" cm="1" vm="1">
        <f t="array" aca="1" ref="Z2446" ca="1">IFERROR(IF(_xlfn._xlws.FILTER(game_rosters!$J:$J,(game_rosters!$G:$G=events!$AN2446)*(game_rosters!$J:$J=events!$X2446))&gt;0,1,""),"")</f>
        <v>#VALUE!</v>
      </c>
      <c r="AA2446">
        <f t="shared" si="231"/>
        <v>1000</v>
      </c>
      <c r="AB2446" t="str">
        <f t="shared" si="232"/>
        <v/>
      </c>
      <c r="AC2446">
        <f t="shared" si="233"/>
        <v>1000</v>
      </c>
      <c r="AD2446" s="6"/>
    </row>
    <row r="2447" spans="1:30" x14ac:dyDescent="0.2">
      <c r="A2447" t="str">
        <f t="shared" si="234"/>
        <v/>
      </c>
      <c r="X2447" t="str" cm="1">
        <f t="array" ref="X2447">IF(S2447="","",IF($I2447&lt;&gt;"",$I2447,INDEX($I$2:$I2446,ROW()-COUNTIFS($T$2:$T2446,"="&amp;$T2447,$S$2:$S2446,"&lt;&gt;"&amp;$S2447)-1)))</f>
        <v/>
      </c>
      <c r="Y2447" t="b">
        <f>IF(X2447&lt;&gt;"",VLOOKUP(X2447,game_rosters!$C$43:$E$64,3,FALSE))</f>
        <v>0</v>
      </c>
      <c r="Z2447" t="e" cm="1" vm="1">
        <f t="array" aca="1" ref="Z2447" ca="1">IFERROR(IF(_xlfn._xlws.FILTER(game_rosters!$J:$J,(game_rosters!$G:$G=events!$AN2447)*(game_rosters!$J:$J=events!$X2447))&gt;0,1,""),"")</f>
        <v>#VALUE!</v>
      </c>
      <c r="AA2447">
        <f t="shared" si="231"/>
        <v>1000</v>
      </c>
      <c r="AB2447" t="str">
        <f t="shared" si="232"/>
        <v/>
      </c>
      <c r="AC2447">
        <f t="shared" si="233"/>
        <v>1000</v>
      </c>
      <c r="AD2447" s="6"/>
    </row>
    <row r="2448" spans="1:30" x14ac:dyDescent="0.2">
      <c r="A2448" t="str">
        <f t="shared" si="234"/>
        <v/>
      </c>
      <c r="X2448" t="str" cm="1">
        <f t="array" ref="X2448">IF(S2448="","",IF($I2448&lt;&gt;"",$I2448,INDEX($I$2:$I2447,ROW()-COUNTIFS($T$2:$T2447,"="&amp;$T2448,$S$2:$S2447,"&lt;&gt;"&amp;$S2448)-1)))</f>
        <v/>
      </c>
      <c r="Y2448" t="b">
        <f>IF(X2448&lt;&gt;"",VLOOKUP(X2448,game_rosters!$C$43:$E$64,3,FALSE))</f>
        <v>0</v>
      </c>
      <c r="Z2448" t="e" cm="1" vm="1">
        <f t="array" aca="1" ref="Z2448" ca="1">IFERROR(IF(_xlfn._xlws.FILTER(game_rosters!$J:$J,(game_rosters!$G:$G=events!$AN2448)*(game_rosters!$J:$J=events!$X2448))&gt;0,1,""),"")</f>
        <v>#VALUE!</v>
      </c>
      <c r="AA2448">
        <f t="shared" si="231"/>
        <v>1000</v>
      </c>
      <c r="AB2448" t="str">
        <f t="shared" si="232"/>
        <v/>
      </c>
      <c r="AC2448">
        <f t="shared" si="233"/>
        <v>1000</v>
      </c>
      <c r="AD2448" s="6"/>
    </row>
    <row r="2449" spans="1:30" x14ac:dyDescent="0.2">
      <c r="A2449" t="str">
        <f t="shared" si="234"/>
        <v/>
      </c>
      <c r="X2449" t="str" cm="1">
        <f t="array" ref="X2449">IF(S2449="","",IF($I2449&lt;&gt;"",$I2449,INDEX($I$2:$I2448,ROW()-COUNTIFS($T$2:$T2448,"="&amp;$T2449,$S$2:$S2448,"&lt;&gt;"&amp;$S2449)-1)))</f>
        <v/>
      </c>
      <c r="Y2449" t="b">
        <f>IF(X2449&lt;&gt;"",VLOOKUP(X2449,game_rosters!$C$43:$E$64,3,FALSE))</f>
        <v>0</v>
      </c>
      <c r="Z2449" t="e" cm="1" vm="1">
        <f t="array" aca="1" ref="Z2449" ca="1">IFERROR(IF(_xlfn._xlws.FILTER(game_rosters!$J:$J,(game_rosters!$G:$G=events!$AN2449)*(game_rosters!$J:$J=events!$X2449))&gt;0,1,""),"")</f>
        <v>#VALUE!</v>
      </c>
      <c r="AA2449">
        <f t="shared" si="231"/>
        <v>1000</v>
      </c>
      <c r="AB2449" t="str">
        <f t="shared" si="232"/>
        <v/>
      </c>
      <c r="AC2449">
        <f t="shared" si="233"/>
        <v>1000</v>
      </c>
      <c r="AD2449" s="6"/>
    </row>
    <row r="2450" spans="1:30" x14ac:dyDescent="0.2">
      <c r="A2450" t="str">
        <f t="shared" si="234"/>
        <v/>
      </c>
      <c r="X2450" t="str" cm="1">
        <f t="array" ref="X2450">IF(S2450="","",IF($I2450&lt;&gt;"",$I2450,INDEX($I$2:$I2449,ROW()-COUNTIFS($T$2:$T2449,"="&amp;$T2450,$S$2:$S2449,"&lt;&gt;"&amp;$S2450)-1)))</f>
        <v/>
      </c>
      <c r="Y2450" t="b">
        <f>IF(X2450&lt;&gt;"",VLOOKUP(X2450,game_rosters!$C$43:$E$64,3,FALSE))</f>
        <v>0</v>
      </c>
      <c r="Z2450" t="e" cm="1" vm="1">
        <f t="array" aca="1" ref="Z2450" ca="1">IFERROR(IF(_xlfn._xlws.FILTER(game_rosters!$J:$J,(game_rosters!$G:$G=events!$AN2450)*(game_rosters!$J:$J=events!$X2450))&gt;0,1,""),"")</f>
        <v>#VALUE!</v>
      </c>
      <c r="AA2450">
        <f t="shared" si="231"/>
        <v>1000</v>
      </c>
      <c r="AB2450" t="str">
        <f t="shared" si="232"/>
        <v/>
      </c>
      <c r="AC2450">
        <f t="shared" si="233"/>
        <v>1000</v>
      </c>
      <c r="AD2450" s="6"/>
    </row>
    <row r="2451" spans="1:30" x14ac:dyDescent="0.2">
      <c r="A2451" t="str">
        <f t="shared" si="234"/>
        <v/>
      </c>
      <c r="X2451" t="str" cm="1">
        <f t="array" ref="X2451">IF(S2451="","",IF($I2451&lt;&gt;"",$I2451,INDEX($I$2:$I2450,ROW()-COUNTIFS($T$2:$T2450,"="&amp;$T2451,$S$2:$S2450,"&lt;&gt;"&amp;$S2451)-1)))</f>
        <v/>
      </c>
      <c r="Y2451" t="b">
        <f>IF(X2451&lt;&gt;"",VLOOKUP(X2451,game_rosters!$C$43:$E$64,3,FALSE))</f>
        <v>0</v>
      </c>
      <c r="Z2451" t="e" cm="1" vm="1">
        <f t="array" aca="1" ref="Z2451" ca="1">IFERROR(IF(_xlfn._xlws.FILTER(game_rosters!$J:$J,(game_rosters!$G:$G=events!$AN2451)*(game_rosters!$J:$J=events!$X2451))&gt;0,1,""),"")</f>
        <v>#VALUE!</v>
      </c>
      <c r="AA2451">
        <f t="shared" si="231"/>
        <v>1000</v>
      </c>
      <c r="AB2451" t="str">
        <f t="shared" si="232"/>
        <v/>
      </c>
      <c r="AC2451">
        <f t="shared" si="233"/>
        <v>1000</v>
      </c>
      <c r="AD2451" s="6"/>
    </row>
    <row r="2452" spans="1:30" x14ac:dyDescent="0.2">
      <c r="A2452" t="str">
        <f t="shared" si="234"/>
        <v/>
      </c>
      <c r="X2452" t="str" cm="1">
        <f t="array" ref="X2452">IF(S2452="","",IF($I2452&lt;&gt;"",$I2452,INDEX($I$2:$I2451,ROW()-COUNTIFS($T$2:$T2451,"="&amp;$T2452,$S$2:$S2451,"&lt;&gt;"&amp;$S2452)-1)))</f>
        <v/>
      </c>
      <c r="Y2452" t="b">
        <f>IF(X2452&lt;&gt;"",VLOOKUP(X2452,game_rosters!$C$43:$E$64,3,FALSE))</f>
        <v>0</v>
      </c>
      <c r="Z2452" t="e" cm="1" vm="1">
        <f t="array" aca="1" ref="Z2452" ca="1">IFERROR(IF(_xlfn._xlws.FILTER(game_rosters!$J:$J,(game_rosters!$G:$G=events!$AN2452)*(game_rosters!$J:$J=events!$X2452))&gt;0,1,""),"")</f>
        <v>#VALUE!</v>
      </c>
      <c r="AA2452">
        <f t="shared" si="231"/>
        <v>1000</v>
      </c>
      <c r="AB2452" t="str">
        <f t="shared" si="232"/>
        <v/>
      </c>
      <c r="AC2452">
        <f t="shared" si="233"/>
        <v>1000</v>
      </c>
      <c r="AD2452" s="6"/>
    </row>
    <row r="2453" spans="1:30" x14ac:dyDescent="0.2">
      <c r="A2453" t="str">
        <f t="shared" si="234"/>
        <v/>
      </c>
      <c r="X2453" t="str" cm="1">
        <f t="array" ref="X2453">IF(S2453="","",IF($I2453&lt;&gt;"",$I2453,INDEX($I$2:$I2452,ROW()-COUNTIFS($T$2:$T2452,"="&amp;$T2453,$S$2:$S2452,"&lt;&gt;"&amp;$S2453)-1)))</f>
        <v/>
      </c>
      <c r="Y2453" t="b">
        <f>IF(X2453&lt;&gt;"",VLOOKUP(X2453,game_rosters!$C$43:$E$64,3,FALSE))</f>
        <v>0</v>
      </c>
      <c r="Z2453" t="e" cm="1" vm="1">
        <f t="array" aca="1" ref="Z2453" ca="1">IFERROR(IF(_xlfn._xlws.FILTER(game_rosters!$J:$J,(game_rosters!$G:$G=events!$AN2453)*(game_rosters!$J:$J=events!$X2453))&gt;0,1,""),"")</f>
        <v>#VALUE!</v>
      </c>
      <c r="AA2453">
        <f t="shared" si="231"/>
        <v>1000</v>
      </c>
      <c r="AB2453" t="str">
        <f t="shared" si="232"/>
        <v/>
      </c>
      <c r="AC2453">
        <f t="shared" si="233"/>
        <v>1000</v>
      </c>
      <c r="AD2453" s="6"/>
    </row>
    <row r="2454" spans="1:30" x14ac:dyDescent="0.2">
      <c r="A2454" t="str">
        <f t="shared" si="234"/>
        <v/>
      </c>
      <c r="X2454" t="str" cm="1">
        <f t="array" ref="X2454">IF(S2454="","",IF($I2454&lt;&gt;"",$I2454,INDEX($I$2:$I2453,ROW()-COUNTIFS($T$2:$T2453,"="&amp;$T2454,$S$2:$S2453,"&lt;&gt;"&amp;$S2454)-1)))</f>
        <v/>
      </c>
      <c r="Y2454" t="b">
        <f>IF(X2454&lt;&gt;"",VLOOKUP(X2454,game_rosters!$C$43:$E$64,3,FALSE))</f>
        <v>0</v>
      </c>
      <c r="Z2454" t="e" cm="1" vm="1">
        <f t="array" aca="1" ref="Z2454" ca="1">IFERROR(IF(_xlfn._xlws.FILTER(game_rosters!$J:$J,(game_rosters!$G:$G=events!$AN2454)*(game_rosters!$J:$J=events!$X2454))&gt;0,1,""),"")</f>
        <v>#VALUE!</v>
      </c>
      <c r="AA2454">
        <f t="shared" si="231"/>
        <v>1000</v>
      </c>
      <c r="AB2454" t="str">
        <f t="shared" si="232"/>
        <v/>
      </c>
      <c r="AC2454">
        <f t="shared" si="233"/>
        <v>1000</v>
      </c>
      <c r="AD2454" s="6"/>
    </row>
    <row r="2455" spans="1:30" x14ac:dyDescent="0.2">
      <c r="A2455" t="str">
        <f t="shared" si="234"/>
        <v/>
      </c>
      <c r="X2455" t="str" cm="1">
        <f t="array" ref="X2455">IF(S2455="","",IF($I2455&lt;&gt;"",$I2455,INDEX($I$2:$I2454,ROW()-COUNTIFS($T$2:$T2454,"="&amp;$T2455,$S$2:$S2454,"&lt;&gt;"&amp;$S2455)-1)))</f>
        <v/>
      </c>
      <c r="Y2455" t="b">
        <f>IF(X2455&lt;&gt;"",VLOOKUP(X2455,game_rosters!$C$43:$E$64,3,FALSE))</f>
        <v>0</v>
      </c>
      <c r="Z2455" t="e" cm="1" vm="1">
        <f t="array" aca="1" ref="Z2455" ca="1">IFERROR(IF(_xlfn._xlws.FILTER(game_rosters!$J:$J,(game_rosters!$G:$G=events!$AN2455)*(game_rosters!$J:$J=events!$X2455))&gt;0,1,""),"")</f>
        <v>#VALUE!</v>
      </c>
      <c r="AA2455">
        <f t="shared" si="231"/>
        <v>1000</v>
      </c>
      <c r="AB2455" t="str">
        <f t="shared" si="232"/>
        <v/>
      </c>
      <c r="AC2455">
        <f t="shared" si="233"/>
        <v>1000</v>
      </c>
      <c r="AD2455" s="6"/>
    </row>
    <row r="2456" spans="1:30" x14ac:dyDescent="0.2">
      <c r="A2456" t="str">
        <f t="shared" si="234"/>
        <v/>
      </c>
      <c r="X2456" t="str" cm="1">
        <f t="array" ref="X2456">IF(S2456="","",IF($I2456&lt;&gt;"",$I2456,INDEX($I$2:$I2455,ROW()-COUNTIFS($T$2:$T2455,"="&amp;$T2456,$S$2:$S2455,"&lt;&gt;"&amp;$S2456)-1)))</f>
        <v/>
      </c>
      <c r="Y2456" t="b">
        <f>IF(X2456&lt;&gt;"",VLOOKUP(X2456,game_rosters!$C$43:$E$64,3,FALSE))</f>
        <v>0</v>
      </c>
      <c r="Z2456" t="e" cm="1" vm="1">
        <f t="array" aca="1" ref="Z2456" ca="1">IFERROR(IF(_xlfn._xlws.FILTER(game_rosters!$J:$J,(game_rosters!$G:$G=events!$AN2456)*(game_rosters!$J:$J=events!$X2456))&gt;0,1,""),"")</f>
        <v>#VALUE!</v>
      </c>
      <c r="AA2456">
        <f t="shared" si="231"/>
        <v>1000</v>
      </c>
      <c r="AB2456" t="str">
        <f t="shared" si="232"/>
        <v/>
      </c>
      <c r="AC2456">
        <f t="shared" si="233"/>
        <v>1000</v>
      </c>
      <c r="AD2456" s="6"/>
    </row>
    <row r="2457" spans="1:30" x14ac:dyDescent="0.2">
      <c r="A2457" t="str">
        <f t="shared" si="234"/>
        <v/>
      </c>
      <c r="X2457" t="str" cm="1">
        <f t="array" ref="X2457">IF(S2457="","",IF($I2457&lt;&gt;"",$I2457,INDEX($I$2:$I2456,ROW()-COUNTIFS($T$2:$T2456,"="&amp;$T2457,$S$2:$S2456,"&lt;&gt;"&amp;$S2457)-1)))</f>
        <v/>
      </c>
      <c r="Y2457" t="b">
        <f>IF(X2457&lt;&gt;"",VLOOKUP(X2457,game_rosters!$C$43:$E$64,3,FALSE))</f>
        <v>0</v>
      </c>
      <c r="Z2457" t="e" cm="1" vm="1">
        <f t="array" aca="1" ref="Z2457" ca="1">IFERROR(IF(_xlfn._xlws.FILTER(game_rosters!$J:$J,(game_rosters!$G:$G=events!$AN2457)*(game_rosters!$J:$J=events!$X2457))&gt;0,1,""),"")</f>
        <v>#VALUE!</v>
      </c>
      <c r="AA2457">
        <f t="shared" si="231"/>
        <v>1000</v>
      </c>
      <c r="AB2457" t="str">
        <f t="shared" si="232"/>
        <v/>
      </c>
      <c r="AC2457">
        <f t="shared" si="233"/>
        <v>1000</v>
      </c>
      <c r="AD2457" s="6"/>
    </row>
    <row r="2458" spans="1:30" x14ac:dyDescent="0.2">
      <c r="A2458" t="str">
        <f t="shared" si="234"/>
        <v/>
      </c>
      <c r="X2458" t="str" cm="1">
        <f t="array" ref="X2458">IF(S2458="","",IF($I2458&lt;&gt;"",$I2458,INDEX($I$2:$I2457,ROW()-COUNTIFS($T$2:$T2457,"="&amp;$T2458,$S$2:$S2457,"&lt;&gt;"&amp;$S2458)-1)))</f>
        <v/>
      </c>
      <c r="Y2458" t="b">
        <f>IF(X2458&lt;&gt;"",VLOOKUP(X2458,game_rosters!$C$43:$E$64,3,FALSE))</f>
        <v>0</v>
      </c>
      <c r="Z2458" t="e" cm="1" vm="1">
        <f t="array" aca="1" ref="Z2458" ca="1">IFERROR(IF(_xlfn._xlws.FILTER(game_rosters!$J:$J,(game_rosters!$G:$G=events!$AN2458)*(game_rosters!$J:$J=events!$X2458))&gt;0,1,""),"")</f>
        <v>#VALUE!</v>
      </c>
      <c r="AA2458">
        <f t="shared" si="231"/>
        <v>1000</v>
      </c>
      <c r="AB2458" t="str">
        <f t="shared" si="232"/>
        <v/>
      </c>
      <c r="AC2458">
        <f t="shared" si="233"/>
        <v>1000</v>
      </c>
      <c r="AD2458" s="6"/>
    </row>
    <row r="2459" spans="1:30" x14ac:dyDescent="0.2">
      <c r="A2459" t="str">
        <f t="shared" si="234"/>
        <v/>
      </c>
      <c r="X2459" t="str" cm="1">
        <f t="array" ref="X2459">IF(S2459="","",IF($I2459&lt;&gt;"",$I2459,INDEX($I$2:$I2458,ROW()-COUNTIFS($T$2:$T2458,"="&amp;$T2459,$S$2:$S2458,"&lt;&gt;"&amp;$S2459)-1)))</f>
        <v/>
      </c>
      <c r="Y2459" t="b">
        <f>IF(X2459&lt;&gt;"",VLOOKUP(X2459,game_rosters!$C$43:$E$64,3,FALSE))</f>
        <v>0</v>
      </c>
      <c r="Z2459" t="e" cm="1" vm="1">
        <f t="array" aca="1" ref="Z2459" ca="1">IFERROR(IF(_xlfn._xlws.FILTER(game_rosters!$J:$J,(game_rosters!$G:$G=events!$AN2459)*(game_rosters!$J:$J=events!$X2459))&gt;0,1,""),"")</f>
        <v>#VALUE!</v>
      </c>
      <c r="AA2459">
        <f t="shared" si="231"/>
        <v>1000</v>
      </c>
      <c r="AB2459" t="str">
        <f t="shared" si="232"/>
        <v/>
      </c>
      <c r="AC2459">
        <f t="shared" si="233"/>
        <v>1000</v>
      </c>
      <c r="AD2459" s="6"/>
    </row>
    <row r="2460" spans="1:30" x14ac:dyDescent="0.2">
      <c r="A2460" t="str">
        <f t="shared" si="234"/>
        <v/>
      </c>
      <c r="X2460" t="str" cm="1">
        <f t="array" ref="X2460">IF(S2460="","",IF($I2460&lt;&gt;"",$I2460,INDEX($I$2:$I2459,ROW()-COUNTIFS($T$2:$T2459,"="&amp;$T2460,$S$2:$S2459,"&lt;&gt;"&amp;$S2460)-1)))</f>
        <v/>
      </c>
      <c r="Y2460" t="b">
        <f>IF(X2460&lt;&gt;"",VLOOKUP(X2460,game_rosters!$C$43:$E$64,3,FALSE))</f>
        <v>0</v>
      </c>
      <c r="Z2460" t="e" cm="1" vm="1">
        <f t="array" aca="1" ref="Z2460" ca="1">IFERROR(IF(_xlfn._xlws.FILTER(game_rosters!$J:$J,(game_rosters!$G:$G=events!$AN2460)*(game_rosters!$J:$J=events!$X2460))&gt;0,1,""),"")</f>
        <v>#VALUE!</v>
      </c>
      <c r="AA2460">
        <f t="shared" si="231"/>
        <v>1000</v>
      </c>
      <c r="AB2460" t="str">
        <f t="shared" si="232"/>
        <v/>
      </c>
      <c r="AC2460">
        <f t="shared" si="233"/>
        <v>1000</v>
      </c>
      <c r="AD2460" s="6"/>
    </row>
    <row r="2461" spans="1:30" x14ac:dyDescent="0.2">
      <c r="A2461" t="str">
        <f t="shared" si="234"/>
        <v/>
      </c>
      <c r="X2461" t="str" cm="1">
        <f t="array" ref="X2461">IF(S2461="","",IF($I2461&lt;&gt;"",$I2461,INDEX($I$2:$I2460,ROW()-COUNTIFS($T$2:$T2460,"="&amp;$T2461,$S$2:$S2460,"&lt;&gt;"&amp;$S2461)-1)))</f>
        <v/>
      </c>
      <c r="Y2461" t="b">
        <f>IF(X2461&lt;&gt;"",VLOOKUP(X2461,game_rosters!$C$43:$E$64,3,FALSE))</f>
        <v>0</v>
      </c>
      <c r="Z2461" t="e" cm="1" vm="1">
        <f t="array" aca="1" ref="Z2461" ca="1">IFERROR(IF(_xlfn._xlws.FILTER(game_rosters!$J:$J,(game_rosters!$G:$G=events!$AN2461)*(game_rosters!$J:$J=events!$X2461))&gt;0,1,""),"")</f>
        <v>#VALUE!</v>
      </c>
      <c r="AA2461">
        <f t="shared" ref="AA2461:AA2524" si="235">S2461+1000</f>
        <v>1000</v>
      </c>
      <c r="AB2461" t="str">
        <f t="shared" ref="AB2461:AB2524" si="236">IF(T2461&lt;&gt;"",9000+T2461,"")</f>
        <v/>
      </c>
      <c r="AC2461">
        <f t="shared" si="233"/>
        <v>1000</v>
      </c>
      <c r="AD2461" s="6"/>
    </row>
    <row r="2462" spans="1:30" x14ac:dyDescent="0.2">
      <c r="A2462" t="str">
        <f t="shared" si="234"/>
        <v/>
      </c>
      <c r="X2462" t="str" cm="1">
        <f t="array" ref="X2462">IF(S2462="","",IF($I2462&lt;&gt;"",$I2462,INDEX($I$2:$I2461,ROW()-COUNTIFS($T$2:$T2461,"="&amp;$T2462,$S$2:$S2461,"&lt;&gt;"&amp;$S2462)-1)))</f>
        <v/>
      </c>
      <c r="Y2462" t="b">
        <f>IF(X2462&lt;&gt;"",VLOOKUP(X2462,game_rosters!$C$43:$E$64,3,FALSE))</f>
        <v>0</v>
      </c>
      <c r="Z2462" t="e" cm="1" vm="1">
        <f t="array" aca="1" ref="Z2462" ca="1">IFERROR(IF(_xlfn._xlws.FILTER(game_rosters!$J:$J,(game_rosters!$G:$G=events!$AN2462)*(game_rosters!$J:$J=events!$X2462))&gt;0,1,""),"")</f>
        <v>#VALUE!</v>
      </c>
      <c r="AA2462">
        <f t="shared" si="235"/>
        <v>1000</v>
      </c>
      <c r="AB2462" t="str">
        <f t="shared" si="236"/>
        <v/>
      </c>
      <c r="AC2462">
        <f t="shared" si="233"/>
        <v>1000</v>
      </c>
      <c r="AD2462" s="6"/>
    </row>
    <row r="2463" spans="1:30" x14ac:dyDescent="0.2">
      <c r="A2463" t="str">
        <f t="shared" si="234"/>
        <v/>
      </c>
      <c r="X2463" t="str" cm="1">
        <f t="array" ref="X2463">IF(S2463="","",IF($I2463&lt;&gt;"",$I2463,INDEX($I$2:$I2462,ROW()-COUNTIFS($T$2:$T2462,"="&amp;$T2463,$S$2:$S2462,"&lt;&gt;"&amp;$S2463)-1)))</f>
        <v/>
      </c>
      <c r="Y2463" t="b">
        <f>IF(X2463&lt;&gt;"",VLOOKUP(X2463,game_rosters!$C$43:$E$64,3,FALSE))</f>
        <v>0</v>
      </c>
      <c r="Z2463" t="e" cm="1" vm="1">
        <f t="array" aca="1" ref="Z2463" ca="1">IFERROR(IF(_xlfn._xlws.FILTER(game_rosters!$J:$J,(game_rosters!$G:$G=events!$AN2463)*(game_rosters!$J:$J=events!$X2463))&gt;0,1,""),"")</f>
        <v>#VALUE!</v>
      </c>
      <c r="AA2463">
        <f t="shared" si="235"/>
        <v>1000</v>
      </c>
      <c r="AB2463" t="str">
        <f t="shared" si="236"/>
        <v/>
      </c>
      <c r="AC2463">
        <f t="shared" si="233"/>
        <v>1000</v>
      </c>
      <c r="AD2463" s="6"/>
    </row>
    <row r="2464" spans="1:30" x14ac:dyDescent="0.2">
      <c r="A2464" t="str">
        <f t="shared" si="234"/>
        <v/>
      </c>
      <c r="X2464" t="str" cm="1">
        <f t="array" ref="X2464">IF(S2464="","",IF($I2464&lt;&gt;"",$I2464,INDEX($I$2:$I2463,ROW()-COUNTIFS($T$2:$T2463,"="&amp;$T2464,$S$2:$S2463,"&lt;&gt;"&amp;$S2464)-1)))</f>
        <v/>
      </c>
      <c r="Y2464" t="b">
        <f>IF(X2464&lt;&gt;"",VLOOKUP(X2464,game_rosters!$C$43:$E$64,3,FALSE))</f>
        <v>0</v>
      </c>
      <c r="Z2464" t="e" cm="1" vm="1">
        <f t="array" aca="1" ref="Z2464" ca="1">IFERROR(IF(_xlfn._xlws.FILTER(game_rosters!$J:$J,(game_rosters!$G:$G=events!$AN2464)*(game_rosters!$J:$J=events!$X2464))&gt;0,1,""),"")</f>
        <v>#VALUE!</v>
      </c>
      <c r="AA2464">
        <f t="shared" si="235"/>
        <v>1000</v>
      </c>
      <c r="AB2464" t="str">
        <f t="shared" si="236"/>
        <v/>
      </c>
      <c r="AC2464">
        <f t="shared" si="233"/>
        <v>1000</v>
      </c>
      <c r="AD2464" s="6"/>
    </row>
    <row r="2465" spans="1:30" x14ac:dyDescent="0.2">
      <c r="A2465" t="str">
        <f t="shared" si="234"/>
        <v/>
      </c>
      <c r="X2465" t="str" cm="1">
        <f t="array" ref="X2465">IF(S2465="","",IF($I2465&lt;&gt;"",$I2465,INDEX($I$2:$I2464,ROW()-COUNTIFS($T$2:$T2464,"="&amp;$T2465,$S$2:$S2464,"&lt;&gt;"&amp;$S2465)-1)))</f>
        <v/>
      </c>
      <c r="Y2465" t="b">
        <f>IF(X2465&lt;&gt;"",VLOOKUP(X2465,game_rosters!$C$43:$E$64,3,FALSE))</f>
        <v>0</v>
      </c>
      <c r="Z2465" t="e" cm="1" vm="1">
        <f t="array" aca="1" ref="Z2465" ca="1">IFERROR(IF(_xlfn._xlws.FILTER(game_rosters!$J:$J,(game_rosters!$G:$G=events!$AN2465)*(game_rosters!$J:$J=events!$X2465))&gt;0,1,""),"")</f>
        <v>#VALUE!</v>
      </c>
      <c r="AA2465">
        <f t="shared" si="235"/>
        <v>1000</v>
      </c>
      <c r="AB2465" t="str">
        <f t="shared" si="236"/>
        <v/>
      </c>
      <c r="AC2465">
        <f t="shared" si="233"/>
        <v>1000</v>
      </c>
      <c r="AD2465" s="6"/>
    </row>
    <row r="2466" spans="1:30" x14ac:dyDescent="0.2">
      <c r="A2466" t="str">
        <f t="shared" si="234"/>
        <v/>
      </c>
      <c r="X2466" t="str" cm="1">
        <f t="array" ref="X2466">IF(S2466="","",IF($I2466&lt;&gt;"",$I2466,INDEX($I$2:$I2465,ROW()-COUNTIFS($T$2:$T2465,"="&amp;$T2466,$S$2:$S2465,"&lt;&gt;"&amp;$S2466)-1)))</f>
        <v/>
      </c>
      <c r="Y2466" t="b">
        <f>IF(X2466&lt;&gt;"",VLOOKUP(X2466,game_rosters!$C$43:$E$64,3,FALSE))</f>
        <v>0</v>
      </c>
      <c r="Z2466" t="e" cm="1" vm="1">
        <f t="array" aca="1" ref="Z2466" ca="1">IFERROR(IF(_xlfn._xlws.FILTER(game_rosters!$J:$J,(game_rosters!$G:$G=events!$AN2466)*(game_rosters!$J:$J=events!$X2466))&gt;0,1,""),"")</f>
        <v>#VALUE!</v>
      </c>
      <c r="AA2466">
        <f t="shared" si="235"/>
        <v>1000</v>
      </c>
      <c r="AB2466" t="str">
        <f t="shared" si="236"/>
        <v/>
      </c>
      <c r="AC2466">
        <f t="shared" si="233"/>
        <v>1000</v>
      </c>
      <c r="AD2466" s="6"/>
    </row>
    <row r="2467" spans="1:30" x14ac:dyDescent="0.2">
      <c r="A2467" t="str">
        <f t="shared" si="234"/>
        <v/>
      </c>
      <c r="X2467" t="str" cm="1">
        <f t="array" ref="X2467">IF(S2467="","",IF($I2467&lt;&gt;"",$I2467,INDEX($I$2:$I2466,ROW()-COUNTIFS($T$2:$T2466,"="&amp;$T2467,$S$2:$S2466,"&lt;&gt;"&amp;$S2467)-1)))</f>
        <v/>
      </c>
      <c r="Y2467" t="b">
        <f>IF(X2467&lt;&gt;"",VLOOKUP(X2467,game_rosters!$C$43:$E$64,3,FALSE))</f>
        <v>0</v>
      </c>
      <c r="Z2467" t="e" cm="1" vm="1">
        <f t="array" aca="1" ref="Z2467" ca="1">IFERROR(IF(_xlfn._xlws.FILTER(game_rosters!$J:$J,(game_rosters!$G:$G=events!$AN2467)*(game_rosters!$J:$J=events!$X2467))&gt;0,1,""),"")</f>
        <v>#VALUE!</v>
      </c>
      <c r="AA2467">
        <f t="shared" si="235"/>
        <v>1000</v>
      </c>
      <c r="AB2467" t="str">
        <f t="shared" si="236"/>
        <v/>
      </c>
      <c r="AC2467">
        <f t="shared" si="233"/>
        <v>1000</v>
      </c>
      <c r="AD2467" s="6"/>
    </row>
    <row r="2468" spans="1:30" x14ac:dyDescent="0.2">
      <c r="A2468" t="str">
        <f t="shared" si="234"/>
        <v/>
      </c>
      <c r="X2468" t="str" cm="1">
        <f t="array" ref="X2468">IF(S2468="","",IF($I2468&lt;&gt;"",$I2468,INDEX($I$2:$I2467,ROW()-COUNTIFS($T$2:$T2467,"="&amp;$T2468,$S$2:$S2467,"&lt;&gt;"&amp;$S2468)-1)))</f>
        <v/>
      </c>
      <c r="Y2468" t="b">
        <f>IF(X2468&lt;&gt;"",VLOOKUP(X2468,game_rosters!$C$43:$E$64,3,FALSE))</f>
        <v>0</v>
      </c>
      <c r="Z2468" t="e" cm="1" vm="1">
        <f t="array" aca="1" ref="Z2468" ca="1">IFERROR(IF(_xlfn._xlws.FILTER(game_rosters!$J:$J,(game_rosters!$G:$G=events!$AN2468)*(game_rosters!$J:$J=events!$X2468))&gt;0,1,""),"")</f>
        <v>#VALUE!</v>
      </c>
      <c r="AA2468">
        <f t="shared" si="235"/>
        <v>1000</v>
      </c>
      <c r="AB2468" t="str">
        <f t="shared" si="236"/>
        <v/>
      </c>
      <c r="AC2468">
        <f t="shared" si="233"/>
        <v>1000</v>
      </c>
      <c r="AD2468" s="6"/>
    </row>
    <row r="2469" spans="1:30" x14ac:dyDescent="0.2">
      <c r="A2469" t="str">
        <f t="shared" si="234"/>
        <v/>
      </c>
      <c r="X2469" t="str" cm="1">
        <f t="array" ref="X2469">IF(S2469="","",IF($I2469&lt;&gt;"",$I2469,INDEX($I$2:$I2468,ROW()-COUNTIFS($T$2:$T2468,"="&amp;$T2469,$S$2:$S2468,"&lt;&gt;"&amp;$S2469)-1)))</f>
        <v/>
      </c>
      <c r="Y2469" t="b">
        <f>IF(X2469&lt;&gt;"",VLOOKUP(X2469,game_rosters!$C$43:$E$64,3,FALSE))</f>
        <v>0</v>
      </c>
      <c r="Z2469" t="e" cm="1" vm="1">
        <f t="array" aca="1" ref="Z2469" ca="1">IFERROR(IF(_xlfn._xlws.FILTER(game_rosters!$J:$J,(game_rosters!$G:$G=events!$AN2469)*(game_rosters!$J:$J=events!$X2469))&gt;0,1,""),"")</f>
        <v>#VALUE!</v>
      </c>
      <c r="AA2469">
        <f t="shared" si="235"/>
        <v>1000</v>
      </c>
      <c r="AB2469" t="str">
        <f t="shared" si="236"/>
        <v/>
      </c>
      <c r="AC2469">
        <f t="shared" si="233"/>
        <v>1000</v>
      </c>
      <c r="AD2469" s="6"/>
    </row>
    <row r="2470" spans="1:30" x14ac:dyDescent="0.2">
      <c r="A2470" t="str">
        <f t="shared" si="234"/>
        <v/>
      </c>
      <c r="X2470" t="str" cm="1">
        <f t="array" ref="X2470">IF(S2470="","",IF($I2470&lt;&gt;"",$I2470,INDEX($I$2:$I2469,ROW()-COUNTIFS($T$2:$T2469,"="&amp;$T2470,$S$2:$S2469,"&lt;&gt;"&amp;$S2470)-1)))</f>
        <v/>
      </c>
      <c r="Y2470" t="b">
        <f>IF(X2470&lt;&gt;"",VLOOKUP(X2470,game_rosters!$C$43:$E$64,3,FALSE))</f>
        <v>0</v>
      </c>
      <c r="Z2470" t="e" cm="1" vm="1">
        <f t="array" aca="1" ref="Z2470" ca="1">IFERROR(IF(_xlfn._xlws.FILTER(game_rosters!$J:$J,(game_rosters!$G:$G=events!$AN2470)*(game_rosters!$J:$J=events!$X2470))&gt;0,1,""),"")</f>
        <v>#VALUE!</v>
      </c>
      <c r="AA2470">
        <f t="shared" si="235"/>
        <v>1000</v>
      </c>
      <c r="AB2470" t="str">
        <f t="shared" si="236"/>
        <v/>
      </c>
      <c r="AC2470">
        <f t="shared" si="233"/>
        <v>1000</v>
      </c>
      <c r="AD2470" s="6"/>
    </row>
    <row r="2471" spans="1:30" x14ac:dyDescent="0.2">
      <c r="A2471" t="str">
        <f t="shared" si="234"/>
        <v/>
      </c>
      <c r="X2471" t="str" cm="1">
        <f t="array" ref="X2471">IF(S2471="","",IF($I2471&lt;&gt;"",$I2471,INDEX($I$2:$I2470,ROW()-COUNTIFS($T$2:$T2470,"="&amp;$T2471,$S$2:$S2470,"&lt;&gt;"&amp;$S2471)-1)))</f>
        <v/>
      </c>
      <c r="Y2471" t="b">
        <f>IF(X2471&lt;&gt;"",VLOOKUP(X2471,game_rosters!$C$43:$E$64,3,FALSE))</f>
        <v>0</v>
      </c>
      <c r="Z2471" t="e" cm="1" vm="1">
        <f t="array" aca="1" ref="Z2471" ca="1">IFERROR(IF(_xlfn._xlws.FILTER(game_rosters!$J:$J,(game_rosters!$G:$G=events!$AN2471)*(game_rosters!$J:$J=events!$X2471))&gt;0,1,""),"")</f>
        <v>#VALUE!</v>
      </c>
      <c r="AA2471">
        <f t="shared" si="235"/>
        <v>1000</v>
      </c>
      <c r="AB2471" t="str">
        <f t="shared" si="236"/>
        <v/>
      </c>
      <c r="AC2471">
        <f t="shared" si="233"/>
        <v>1000</v>
      </c>
      <c r="AD2471" s="6"/>
    </row>
    <row r="2472" spans="1:30" x14ac:dyDescent="0.2">
      <c r="A2472" t="str">
        <f t="shared" si="234"/>
        <v/>
      </c>
      <c r="X2472" t="str" cm="1">
        <f t="array" ref="X2472">IF(S2472="","",IF($I2472&lt;&gt;"",$I2472,INDEX($I$2:$I2471,ROW()-COUNTIFS($T$2:$T2471,"="&amp;$T2472,$S$2:$S2471,"&lt;&gt;"&amp;$S2472)-1)))</f>
        <v/>
      </c>
      <c r="Y2472" t="b">
        <f>IF(X2472&lt;&gt;"",VLOOKUP(X2472,game_rosters!$C$43:$E$64,3,FALSE))</f>
        <v>0</v>
      </c>
      <c r="Z2472" t="e" cm="1" vm="1">
        <f t="array" aca="1" ref="Z2472" ca="1">IFERROR(IF(_xlfn._xlws.FILTER(game_rosters!$J:$J,(game_rosters!$G:$G=events!$AN2472)*(game_rosters!$J:$J=events!$X2472))&gt;0,1,""),"")</f>
        <v>#VALUE!</v>
      </c>
      <c r="AA2472">
        <f t="shared" si="235"/>
        <v>1000</v>
      </c>
      <c r="AB2472" t="str">
        <f t="shared" si="236"/>
        <v/>
      </c>
      <c r="AC2472">
        <f t="shared" si="233"/>
        <v>1000</v>
      </c>
      <c r="AD2472" s="6"/>
    </row>
    <row r="2473" spans="1:30" x14ac:dyDescent="0.2">
      <c r="A2473" t="str">
        <f t="shared" si="234"/>
        <v/>
      </c>
      <c r="X2473" t="str" cm="1">
        <f t="array" ref="X2473">IF(S2473="","",IF($I2473&lt;&gt;"",$I2473,INDEX($I$2:$I2472,ROW()-COUNTIFS($T$2:$T2472,"="&amp;$T2473,$S$2:$S2472,"&lt;&gt;"&amp;$S2473)-1)))</f>
        <v/>
      </c>
      <c r="Y2473" t="b">
        <f>IF(X2473&lt;&gt;"",VLOOKUP(X2473,game_rosters!$C$43:$E$64,3,FALSE))</f>
        <v>0</v>
      </c>
      <c r="Z2473" t="e" cm="1" vm="1">
        <f t="array" aca="1" ref="Z2473" ca="1">IFERROR(IF(_xlfn._xlws.FILTER(game_rosters!$J:$J,(game_rosters!$G:$G=events!$AN2473)*(game_rosters!$J:$J=events!$X2473))&gt;0,1,""),"")</f>
        <v>#VALUE!</v>
      </c>
      <c r="AA2473">
        <f t="shared" si="235"/>
        <v>1000</v>
      </c>
      <c r="AB2473" t="str">
        <f t="shared" si="236"/>
        <v/>
      </c>
      <c r="AC2473">
        <f t="shared" si="233"/>
        <v>1000</v>
      </c>
      <c r="AD2473" s="6"/>
    </row>
    <row r="2474" spans="1:30" x14ac:dyDescent="0.2">
      <c r="A2474" t="str">
        <f t="shared" si="234"/>
        <v/>
      </c>
      <c r="X2474" t="str" cm="1">
        <f t="array" ref="X2474">IF(S2474="","",IF($I2474&lt;&gt;"",$I2474,INDEX($I$2:$I2473,ROW()-COUNTIFS($T$2:$T2473,"="&amp;$T2474,$S$2:$S2473,"&lt;&gt;"&amp;$S2474)-1)))</f>
        <v/>
      </c>
      <c r="Y2474" t="b">
        <f>IF(X2474&lt;&gt;"",VLOOKUP(X2474,game_rosters!$C$43:$E$64,3,FALSE))</f>
        <v>0</v>
      </c>
      <c r="Z2474" t="e" cm="1" vm="1">
        <f t="array" aca="1" ref="Z2474" ca="1">IFERROR(IF(_xlfn._xlws.FILTER(game_rosters!$J:$J,(game_rosters!$G:$G=events!$AN2474)*(game_rosters!$J:$J=events!$X2474))&gt;0,1,""),"")</f>
        <v>#VALUE!</v>
      </c>
      <c r="AA2474">
        <f t="shared" si="235"/>
        <v>1000</v>
      </c>
      <c r="AB2474" t="str">
        <f t="shared" si="236"/>
        <v/>
      </c>
      <c r="AC2474">
        <f t="shared" si="233"/>
        <v>1000</v>
      </c>
      <c r="AD2474" s="6"/>
    </row>
    <row r="2475" spans="1:30" x14ac:dyDescent="0.2">
      <c r="A2475" t="str">
        <f t="shared" si="234"/>
        <v/>
      </c>
      <c r="X2475" t="str" cm="1">
        <f t="array" ref="X2475">IF(S2475="","",IF($I2475&lt;&gt;"",$I2475,INDEX($I$2:$I2474,ROW()-COUNTIFS($T$2:$T2474,"="&amp;$T2475,$S$2:$S2474,"&lt;&gt;"&amp;$S2475)-1)))</f>
        <v/>
      </c>
      <c r="Y2475" t="b">
        <f>IF(X2475&lt;&gt;"",VLOOKUP(X2475,game_rosters!$C$43:$E$64,3,FALSE))</f>
        <v>0</v>
      </c>
      <c r="Z2475" t="e" cm="1" vm="1">
        <f t="array" aca="1" ref="Z2475" ca="1">IFERROR(IF(_xlfn._xlws.FILTER(game_rosters!$J:$J,(game_rosters!$G:$G=events!$AN2475)*(game_rosters!$J:$J=events!$X2475))&gt;0,1,""),"")</f>
        <v>#VALUE!</v>
      </c>
      <c r="AA2475">
        <f t="shared" si="235"/>
        <v>1000</v>
      </c>
      <c r="AB2475" t="str">
        <f t="shared" si="236"/>
        <v/>
      </c>
      <c r="AC2475">
        <f t="shared" si="233"/>
        <v>1000</v>
      </c>
      <c r="AD2475" s="6"/>
    </row>
    <row r="2476" spans="1:30" x14ac:dyDescent="0.2">
      <c r="A2476" t="str">
        <f t="shared" si="234"/>
        <v/>
      </c>
      <c r="X2476" t="str" cm="1">
        <f t="array" ref="X2476">IF(S2476="","",IF($I2476&lt;&gt;"",$I2476,INDEX($I$2:$I2475,ROW()-COUNTIFS($T$2:$T2475,"="&amp;$T2476,$S$2:$S2475,"&lt;&gt;"&amp;$S2476)-1)))</f>
        <v/>
      </c>
      <c r="Y2476" t="b">
        <f>IF(X2476&lt;&gt;"",VLOOKUP(X2476,game_rosters!$C$43:$E$64,3,FALSE))</f>
        <v>0</v>
      </c>
      <c r="Z2476" t="e" cm="1" vm="1">
        <f t="array" aca="1" ref="Z2476" ca="1">IFERROR(IF(_xlfn._xlws.FILTER(game_rosters!$J:$J,(game_rosters!$G:$G=events!$AN2476)*(game_rosters!$J:$J=events!$X2476))&gt;0,1,""),"")</f>
        <v>#VALUE!</v>
      </c>
      <c r="AA2476">
        <f t="shared" si="235"/>
        <v>1000</v>
      </c>
      <c r="AB2476" t="str">
        <f t="shared" si="236"/>
        <v/>
      </c>
      <c r="AC2476">
        <f t="shared" si="233"/>
        <v>1000</v>
      </c>
      <c r="AD2476" s="6"/>
    </row>
    <row r="2477" spans="1:30" x14ac:dyDescent="0.2">
      <c r="A2477" t="str">
        <f t="shared" si="234"/>
        <v/>
      </c>
      <c r="X2477" t="str" cm="1">
        <f t="array" ref="X2477">IF(S2477="","",IF($I2477&lt;&gt;"",$I2477,INDEX($I$2:$I2476,ROW()-COUNTIFS($T$2:$T2476,"="&amp;$T2477,$S$2:$S2476,"&lt;&gt;"&amp;$S2477)-1)))</f>
        <v/>
      </c>
      <c r="Y2477" t="b">
        <f>IF(X2477&lt;&gt;"",VLOOKUP(X2477,game_rosters!$C$43:$E$64,3,FALSE))</f>
        <v>0</v>
      </c>
      <c r="Z2477" t="e" cm="1" vm="1">
        <f t="array" aca="1" ref="Z2477" ca="1">IFERROR(IF(_xlfn._xlws.FILTER(game_rosters!$J:$J,(game_rosters!$G:$G=events!$AN2477)*(game_rosters!$J:$J=events!$X2477))&gt;0,1,""),"")</f>
        <v>#VALUE!</v>
      </c>
      <c r="AA2477">
        <f t="shared" si="235"/>
        <v>1000</v>
      </c>
      <c r="AB2477" t="str">
        <f t="shared" si="236"/>
        <v/>
      </c>
      <c r="AC2477">
        <f t="shared" si="233"/>
        <v>1000</v>
      </c>
      <c r="AD2477" s="6"/>
    </row>
    <row r="2478" spans="1:30" x14ac:dyDescent="0.2">
      <c r="A2478" t="str">
        <f t="shared" si="234"/>
        <v/>
      </c>
      <c r="X2478" t="str" cm="1">
        <f t="array" ref="X2478">IF(S2478="","",IF($I2478&lt;&gt;"",$I2478,INDEX($I$2:$I2477,ROW()-COUNTIFS($T$2:$T2477,"="&amp;$T2478,$S$2:$S2477,"&lt;&gt;"&amp;$S2478)-1)))</f>
        <v/>
      </c>
      <c r="Y2478" t="b">
        <f>IF(X2478&lt;&gt;"",VLOOKUP(X2478,game_rosters!$C$43:$E$64,3,FALSE))</f>
        <v>0</v>
      </c>
      <c r="Z2478" t="e" cm="1" vm="1">
        <f t="array" aca="1" ref="Z2478" ca="1">IFERROR(IF(_xlfn._xlws.FILTER(game_rosters!$J:$J,(game_rosters!$G:$G=events!$AN2478)*(game_rosters!$J:$J=events!$X2478))&gt;0,1,""),"")</f>
        <v>#VALUE!</v>
      </c>
      <c r="AA2478">
        <f t="shared" si="235"/>
        <v>1000</v>
      </c>
      <c r="AB2478" t="str">
        <f t="shared" si="236"/>
        <v/>
      </c>
      <c r="AC2478">
        <f t="shared" si="233"/>
        <v>1000</v>
      </c>
      <c r="AD2478" s="6"/>
    </row>
    <row r="2479" spans="1:30" x14ac:dyDescent="0.2">
      <c r="A2479" t="str">
        <f t="shared" si="234"/>
        <v/>
      </c>
      <c r="X2479" t="str" cm="1">
        <f t="array" ref="X2479">IF(S2479="","",IF($I2479&lt;&gt;"",$I2479,INDEX($I$2:$I2478,ROW()-COUNTIFS($T$2:$T2478,"="&amp;$T2479,$S$2:$S2478,"&lt;&gt;"&amp;$S2479)-1)))</f>
        <v/>
      </c>
      <c r="Y2479" t="b">
        <f>IF(X2479&lt;&gt;"",VLOOKUP(X2479,game_rosters!$C$43:$E$64,3,FALSE))</f>
        <v>0</v>
      </c>
      <c r="Z2479" t="e" cm="1" vm="1">
        <f t="array" aca="1" ref="Z2479" ca="1">IFERROR(IF(_xlfn._xlws.FILTER(game_rosters!$J:$J,(game_rosters!$G:$G=events!$AN2479)*(game_rosters!$J:$J=events!$X2479))&gt;0,1,""),"")</f>
        <v>#VALUE!</v>
      </c>
      <c r="AA2479">
        <f t="shared" si="235"/>
        <v>1000</v>
      </c>
      <c r="AB2479" t="str">
        <f t="shared" si="236"/>
        <v/>
      </c>
      <c r="AC2479">
        <f t="shared" si="233"/>
        <v>1000</v>
      </c>
      <c r="AD2479" s="6"/>
    </row>
    <row r="2480" spans="1:30" x14ac:dyDescent="0.2">
      <c r="A2480" t="str">
        <f t="shared" si="234"/>
        <v/>
      </c>
      <c r="X2480" t="str" cm="1">
        <f t="array" ref="X2480">IF(S2480="","",IF($I2480&lt;&gt;"",$I2480,INDEX($I$2:$I2479,ROW()-COUNTIFS($T$2:$T2479,"="&amp;$T2480,$S$2:$S2479,"&lt;&gt;"&amp;$S2480)-1)))</f>
        <v/>
      </c>
      <c r="Y2480" t="b">
        <f>IF(X2480&lt;&gt;"",VLOOKUP(X2480,game_rosters!$C$43:$E$64,3,FALSE))</f>
        <v>0</v>
      </c>
      <c r="Z2480" t="e" cm="1" vm="1">
        <f t="array" aca="1" ref="Z2480" ca="1">IFERROR(IF(_xlfn._xlws.FILTER(game_rosters!$J:$J,(game_rosters!$G:$G=events!$AN2480)*(game_rosters!$J:$J=events!$X2480))&gt;0,1,""),"")</f>
        <v>#VALUE!</v>
      </c>
      <c r="AA2480">
        <f t="shared" si="235"/>
        <v>1000</v>
      </c>
      <c r="AB2480" t="str">
        <f t="shared" si="236"/>
        <v/>
      </c>
      <c r="AC2480">
        <f t="shared" si="233"/>
        <v>1000</v>
      </c>
      <c r="AD2480" s="6"/>
    </row>
    <row r="2481" spans="1:30" x14ac:dyDescent="0.2">
      <c r="A2481" t="str">
        <f t="shared" si="234"/>
        <v/>
      </c>
      <c r="X2481" t="str" cm="1">
        <f t="array" ref="X2481">IF(S2481="","",IF($I2481&lt;&gt;"",$I2481,INDEX($I$2:$I2480,ROW()-COUNTIFS($T$2:$T2480,"="&amp;$T2481,$S$2:$S2480,"&lt;&gt;"&amp;$S2481)-1)))</f>
        <v/>
      </c>
      <c r="Y2481" t="b">
        <f>IF(X2481&lt;&gt;"",VLOOKUP(X2481,game_rosters!$C$43:$E$64,3,FALSE))</f>
        <v>0</v>
      </c>
      <c r="Z2481" t="e" cm="1" vm="1">
        <f t="array" aca="1" ref="Z2481" ca="1">IFERROR(IF(_xlfn._xlws.FILTER(game_rosters!$J:$J,(game_rosters!$G:$G=events!$AN2481)*(game_rosters!$J:$J=events!$X2481))&gt;0,1,""),"")</f>
        <v>#VALUE!</v>
      </c>
      <c r="AA2481">
        <f t="shared" si="235"/>
        <v>1000</v>
      </c>
      <c r="AB2481" t="str">
        <f t="shared" si="236"/>
        <v/>
      </c>
      <c r="AC2481">
        <f t="shared" si="233"/>
        <v>1000</v>
      </c>
      <c r="AD2481" s="6"/>
    </row>
    <row r="2482" spans="1:30" x14ac:dyDescent="0.2">
      <c r="A2482" t="str">
        <f t="shared" si="234"/>
        <v/>
      </c>
      <c r="X2482" t="str" cm="1">
        <f t="array" ref="X2482">IF(S2482="","",IF($I2482&lt;&gt;"",$I2482,INDEX($I$2:$I2481,ROW()-COUNTIFS($T$2:$T2481,"="&amp;$T2482,$S$2:$S2481,"&lt;&gt;"&amp;$S2482)-1)))</f>
        <v/>
      </c>
      <c r="Y2482" t="b">
        <f>IF(X2482&lt;&gt;"",VLOOKUP(X2482,game_rosters!$C$43:$E$64,3,FALSE))</f>
        <v>0</v>
      </c>
      <c r="Z2482" t="e" cm="1" vm="1">
        <f t="array" aca="1" ref="Z2482" ca="1">IFERROR(IF(_xlfn._xlws.FILTER(game_rosters!$J:$J,(game_rosters!$G:$G=events!$AN2482)*(game_rosters!$J:$J=events!$X2482))&gt;0,1,""),"")</f>
        <v>#VALUE!</v>
      </c>
      <c r="AA2482">
        <f t="shared" si="235"/>
        <v>1000</v>
      </c>
      <c r="AB2482" t="str">
        <f t="shared" si="236"/>
        <v/>
      </c>
      <c r="AC2482">
        <f t="shared" si="233"/>
        <v>1000</v>
      </c>
      <c r="AD2482" s="6"/>
    </row>
    <row r="2483" spans="1:30" x14ac:dyDescent="0.2">
      <c r="A2483" t="str">
        <f t="shared" si="234"/>
        <v/>
      </c>
      <c r="X2483" t="str" cm="1">
        <f t="array" ref="X2483">IF(S2483="","",IF($I2483&lt;&gt;"",$I2483,INDEX($I$2:$I2482,ROW()-COUNTIFS($T$2:$T2482,"="&amp;$T2483,$S$2:$S2482,"&lt;&gt;"&amp;$S2483)-1)))</f>
        <v/>
      </c>
      <c r="Y2483" t="b">
        <f>IF(X2483&lt;&gt;"",VLOOKUP(X2483,game_rosters!$C$43:$E$64,3,FALSE))</f>
        <v>0</v>
      </c>
      <c r="Z2483" t="e" cm="1" vm="1">
        <f t="array" aca="1" ref="Z2483" ca="1">IFERROR(IF(_xlfn._xlws.FILTER(game_rosters!$J:$J,(game_rosters!$G:$G=events!$AN2483)*(game_rosters!$J:$J=events!$X2483))&gt;0,1,""),"")</f>
        <v>#VALUE!</v>
      </c>
      <c r="AA2483">
        <f t="shared" si="235"/>
        <v>1000</v>
      </c>
      <c r="AB2483" t="str">
        <f t="shared" si="236"/>
        <v/>
      </c>
      <c r="AC2483">
        <f t="shared" si="233"/>
        <v>1000</v>
      </c>
      <c r="AD2483" s="6"/>
    </row>
    <row r="2484" spans="1:30" x14ac:dyDescent="0.2">
      <c r="A2484" t="str">
        <f t="shared" si="234"/>
        <v/>
      </c>
      <c r="X2484" t="str" cm="1">
        <f t="array" ref="X2484">IF(S2484="","",IF($I2484&lt;&gt;"",$I2484,INDEX($I$2:$I2483,ROW()-COUNTIFS($T$2:$T2483,"="&amp;$T2484,$S$2:$S2483,"&lt;&gt;"&amp;$S2484)-1)))</f>
        <v/>
      </c>
      <c r="Y2484" t="b">
        <f>IF(X2484&lt;&gt;"",VLOOKUP(X2484,game_rosters!$C$43:$E$64,3,FALSE))</f>
        <v>0</v>
      </c>
      <c r="Z2484" t="e" cm="1" vm="1">
        <f t="array" aca="1" ref="Z2484" ca="1">IFERROR(IF(_xlfn._xlws.FILTER(game_rosters!$J:$J,(game_rosters!$G:$G=events!$AN2484)*(game_rosters!$J:$J=events!$X2484))&gt;0,1,""),"")</f>
        <v>#VALUE!</v>
      </c>
      <c r="AA2484">
        <f t="shared" si="235"/>
        <v>1000</v>
      </c>
      <c r="AB2484" t="str">
        <f t="shared" si="236"/>
        <v/>
      </c>
      <c r="AC2484">
        <f t="shared" si="233"/>
        <v>1000</v>
      </c>
      <c r="AD2484" s="6"/>
    </row>
    <row r="2485" spans="1:30" x14ac:dyDescent="0.2">
      <c r="A2485" t="str">
        <f t="shared" si="234"/>
        <v/>
      </c>
      <c r="X2485" t="str" cm="1">
        <f t="array" ref="X2485">IF(S2485="","",IF($I2485&lt;&gt;"",$I2485,INDEX($I$2:$I2484,ROW()-COUNTIFS($T$2:$T2484,"="&amp;$T2485,$S$2:$S2484,"&lt;&gt;"&amp;$S2485)-1)))</f>
        <v/>
      </c>
      <c r="Y2485" t="b">
        <f>IF(X2485&lt;&gt;"",VLOOKUP(X2485,game_rosters!$C$43:$E$64,3,FALSE))</f>
        <v>0</v>
      </c>
      <c r="Z2485" t="e" cm="1" vm="1">
        <f t="array" aca="1" ref="Z2485" ca="1">IFERROR(IF(_xlfn._xlws.FILTER(game_rosters!$J:$J,(game_rosters!$G:$G=events!$AN2485)*(game_rosters!$J:$J=events!$X2485))&gt;0,1,""),"")</f>
        <v>#VALUE!</v>
      </c>
      <c r="AA2485">
        <f t="shared" si="235"/>
        <v>1000</v>
      </c>
      <c r="AB2485" t="str">
        <f t="shared" si="236"/>
        <v/>
      </c>
      <c r="AC2485">
        <f t="shared" si="233"/>
        <v>1000</v>
      </c>
      <c r="AD2485" s="6"/>
    </row>
    <row r="2486" spans="1:30" x14ac:dyDescent="0.2">
      <c r="A2486" t="str">
        <f t="shared" si="234"/>
        <v/>
      </c>
      <c r="X2486" t="str" cm="1">
        <f t="array" ref="X2486">IF(S2486="","",IF($I2486&lt;&gt;"",$I2486,INDEX($I$2:$I2485,ROW()-COUNTIFS($T$2:$T2485,"="&amp;$T2486,$S$2:$S2485,"&lt;&gt;"&amp;$S2486)-1)))</f>
        <v/>
      </c>
      <c r="Y2486" t="b">
        <f>IF(X2486&lt;&gt;"",VLOOKUP(X2486,game_rosters!$C$43:$E$64,3,FALSE))</f>
        <v>0</v>
      </c>
      <c r="Z2486" t="e" cm="1" vm="1">
        <f t="array" aca="1" ref="Z2486" ca="1">IFERROR(IF(_xlfn._xlws.FILTER(game_rosters!$J:$J,(game_rosters!$G:$G=events!$AN2486)*(game_rosters!$J:$J=events!$X2486))&gt;0,1,""),"")</f>
        <v>#VALUE!</v>
      </c>
      <c r="AA2486">
        <f t="shared" si="235"/>
        <v>1000</v>
      </c>
      <c r="AB2486" t="str">
        <f t="shared" si="236"/>
        <v/>
      </c>
      <c r="AC2486">
        <f t="shared" si="233"/>
        <v>1000</v>
      </c>
      <c r="AD2486" s="6"/>
    </row>
    <row r="2487" spans="1:30" x14ac:dyDescent="0.2">
      <c r="A2487" t="str">
        <f t="shared" si="234"/>
        <v/>
      </c>
      <c r="X2487" t="str" cm="1">
        <f t="array" ref="X2487">IF(S2487="","",IF($I2487&lt;&gt;"",$I2487,INDEX($I$2:$I2486,ROW()-COUNTIFS($T$2:$T2486,"="&amp;$T2487,$S$2:$S2486,"&lt;&gt;"&amp;$S2487)-1)))</f>
        <v/>
      </c>
      <c r="Y2487" t="b">
        <f>IF(X2487&lt;&gt;"",VLOOKUP(X2487,game_rosters!$C$43:$E$64,3,FALSE))</f>
        <v>0</v>
      </c>
      <c r="Z2487" t="e" cm="1" vm="1">
        <f t="array" aca="1" ref="Z2487" ca="1">IFERROR(IF(_xlfn._xlws.FILTER(game_rosters!$J:$J,(game_rosters!$G:$G=events!$AN2487)*(game_rosters!$J:$J=events!$X2487))&gt;0,1,""),"")</f>
        <v>#VALUE!</v>
      </c>
      <c r="AA2487">
        <f t="shared" si="235"/>
        <v>1000</v>
      </c>
      <c r="AB2487" t="str">
        <f t="shared" si="236"/>
        <v/>
      </c>
      <c r="AC2487">
        <f t="shared" si="233"/>
        <v>1000</v>
      </c>
      <c r="AD2487" s="6"/>
    </row>
    <row r="2488" spans="1:30" x14ac:dyDescent="0.2">
      <c r="A2488" t="str">
        <f t="shared" si="234"/>
        <v/>
      </c>
      <c r="X2488" t="str" cm="1">
        <f t="array" ref="X2488">IF(S2488="","",IF($I2488&lt;&gt;"",$I2488,INDEX($I$2:$I2487,ROW()-COUNTIFS($T$2:$T2487,"="&amp;$T2488,$S$2:$S2487,"&lt;&gt;"&amp;$S2488)-1)))</f>
        <v/>
      </c>
      <c r="Y2488" t="b">
        <f>IF(X2488&lt;&gt;"",VLOOKUP(X2488,game_rosters!$C$43:$E$64,3,FALSE))</f>
        <v>0</v>
      </c>
      <c r="Z2488" t="e" cm="1" vm="1">
        <f t="array" aca="1" ref="Z2488" ca="1">IFERROR(IF(_xlfn._xlws.FILTER(game_rosters!$J:$J,(game_rosters!$G:$G=events!$AN2488)*(game_rosters!$J:$J=events!$X2488))&gt;0,1,""),"")</f>
        <v>#VALUE!</v>
      </c>
      <c r="AA2488">
        <f t="shared" si="235"/>
        <v>1000</v>
      </c>
      <c r="AB2488" t="str">
        <f t="shared" si="236"/>
        <v/>
      </c>
      <c r="AC2488">
        <f t="shared" si="233"/>
        <v>1000</v>
      </c>
      <c r="AD2488" s="6"/>
    </row>
    <row r="2489" spans="1:30" x14ac:dyDescent="0.2">
      <c r="A2489" t="str">
        <f t="shared" si="234"/>
        <v/>
      </c>
      <c r="X2489" t="str" cm="1">
        <f t="array" ref="X2489">IF(S2489="","",IF($I2489&lt;&gt;"",$I2489,INDEX($I$2:$I2488,ROW()-COUNTIFS($T$2:$T2488,"="&amp;$T2489,$S$2:$S2488,"&lt;&gt;"&amp;$S2489)-1)))</f>
        <v/>
      </c>
      <c r="Y2489" t="b">
        <f>IF(X2489&lt;&gt;"",VLOOKUP(X2489,game_rosters!$C$43:$E$64,3,FALSE))</f>
        <v>0</v>
      </c>
      <c r="Z2489" t="e" cm="1" vm="1">
        <f t="array" aca="1" ref="Z2489" ca="1">IFERROR(IF(_xlfn._xlws.FILTER(game_rosters!$J:$J,(game_rosters!$G:$G=events!$AN2489)*(game_rosters!$J:$J=events!$X2489))&gt;0,1,""),"")</f>
        <v>#VALUE!</v>
      </c>
      <c r="AA2489">
        <f t="shared" si="235"/>
        <v>1000</v>
      </c>
      <c r="AB2489" t="str">
        <f t="shared" si="236"/>
        <v/>
      </c>
      <c r="AC2489">
        <f t="shared" si="233"/>
        <v>1000</v>
      </c>
      <c r="AD2489" s="6"/>
    </row>
    <row r="2490" spans="1:30" x14ac:dyDescent="0.2">
      <c r="A2490" t="str">
        <f t="shared" si="234"/>
        <v/>
      </c>
      <c r="X2490" t="str" cm="1">
        <f t="array" ref="X2490">IF(S2490="","",IF($I2490&lt;&gt;"",$I2490,INDEX($I$2:$I2489,ROW()-COUNTIFS($T$2:$T2489,"="&amp;$T2490,$S$2:$S2489,"&lt;&gt;"&amp;$S2490)-1)))</f>
        <v/>
      </c>
      <c r="Y2490" t="b">
        <f>IF(X2490&lt;&gt;"",VLOOKUP(X2490,game_rosters!$C$43:$E$64,3,FALSE))</f>
        <v>0</v>
      </c>
      <c r="Z2490" t="e" cm="1" vm="1">
        <f t="array" aca="1" ref="Z2490" ca="1">IFERROR(IF(_xlfn._xlws.FILTER(game_rosters!$J:$J,(game_rosters!$G:$G=events!$AN2490)*(game_rosters!$J:$J=events!$X2490))&gt;0,1,""),"")</f>
        <v>#VALUE!</v>
      </c>
      <c r="AA2490">
        <f t="shared" si="235"/>
        <v>1000</v>
      </c>
      <c r="AB2490" t="str">
        <f t="shared" si="236"/>
        <v/>
      </c>
      <c r="AC2490">
        <f t="shared" si="233"/>
        <v>1000</v>
      </c>
      <c r="AD2490" s="6"/>
    </row>
    <row r="2491" spans="1:30" x14ac:dyDescent="0.2">
      <c r="A2491" t="str">
        <f t="shared" si="234"/>
        <v/>
      </c>
      <c r="X2491" t="str" cm="1">
        <f t="array" ref="X2491">IF(S2491="","",IF($I2491&lt;&gt;"",$I2491,INDEX($I$2:$I2490,ROW()-COUNTIFS($T$2:$T2490,"="&amp;$T2491,$S$2:$S2490,"&lt;&gt;"&amp;$S2491)-1)))</f>
        <v/>
      </c>
      <c r="Y2491" t="b">
        <f>IF(X2491&lt;&gt;"",VLOOKUP(X2491,game_rosters!$C$43:$E$64,3,FALSE))</f>
        <v>0</v>
      </c>
      <c r="Z2491" t="e" cm="1" vm="1">
        <f t="array" aca="1" ref="Z2491" ca="1">IFERROR(IF(_xlfn._xlws.FILTER(game_rosters!$J:$J,(game_rosters!$G:$G=events!$AN2491)*(game_rosters!$J:$J=events!$X2491))&gt;0,1,""),"")</f>
        <v>#VALUE!</v>
      </c>
      <c r="AA2491">
        <f t="shared" si="235"/>
        <v>1000</v>
      </c>
      <c r="AB2491" t="str">
        <f t="shared" si="236"/>
        <v/>
      </c>
      <c r="AC2491">
        <f t="shared" si="233"/>
        <v>1000</v>
      </c>
      <c r="AD2491" s="6"/>
    </row>
    <row r="2492" spans="1:30" x14ac:dyDescent="0.2">
      <c r="A2492" t="str">
        <f t="shared" si="234"/>
        <v/>
      </c>
      <c r="X2492" t="str" cm="1">
        <f t="array" ref="X2492">IF(S2492="","",IF($I2492&lt;&gt;"",$I2492,INDEX($I$2:$I2491,ROW()-COUNTIFS($T$2:$T2491,"="&amp;$T2492,$S$2:$S2491,"&lt;&gt;"&amp;$S2492)-1)))</f>
        <v/>
      </c>
      <c r="Y2492" t="b">
        <f>IF(X2492&lt;&gt;"",VLOOKUP(X2492,game_rosters!$C$43:$E$64,3,FALSE))</f>
        <v>0</v>
      </c>
      <c r="Z2492" t="e" cm="1" vm="1">
        <f t="array" aca="1" ref="Z2492" ca="1">IFERROR(IF(_xlfn._xlws.FILTER(game_rosters!$J:$J,(game_rosters!$G:$G=events!$AN2492)*(game_rosters!$J:$J=events!$X2492))&gt;0,1,""),"")</f>
        <v>#VALUE!</v>
      </c>
      <c r="AA2492">
        <f t="shared" si="235"/>
        <v>1000</v>
      </c>
      <c r="AB2492" t="str">
        <f t="shared" si="236"/>
        <v/>
      </c>
      <c r="AC2492">
        <f t="shared" si="233"/>
        <v>1000</v>
      </c>
      <c r="AD2492" s="6"/>
    </row>
    <row r="2493" spans="1:30" x14ac:dyDescent="0.2">
      <c r="A2493" t="str">
        <f t="shared" si="234"/>
        <v/>
      </c>
      <c r="X2493" t="str" cm="1">
        <f t="array" ref="X2493">IF(S2493="","",IF($I2493&lt;&gt;"",$I2493,INDEX($I$2:$I2492,ROW()-COUNTIFS($T$2:$T2492,"="&amp;$T2493,$S$2:$S2492,"&lt;&gt;"&amp;$S2493)-1)))</f>
        <v/>
      </c>
      <c r="Y2493" t="b">
        <f>IF(X2493&lt;&gt;"",VLOOKUP(X2493,game_rosters!$C$43:$E$64,3,FALSE))</f>
        <v>0</v>
      </c>
      <c r="Z2493" t="e" cm="1" vm="1">
        <f t="array" aca="1" ref="Z2493" ca="1">IFERROR(IF(_xlfn._xlws.FILTER(game_rosters!$J:$J,(game_rosters!$G:$G=events!$AN2493)*(game_rosters!$J:$J=events!$X2493))&gt;0,1,""),"")</f>
        <v>#VALUE!</v>
      </c>
      <c r="AA2493">
        <f t="shared" si="235"/>
        <v>1000</v>
      </c>
      <c r="AB2493" t="str">
        <f t="shared" si="236"/>
        <v/>
      </c>
      <c r="AC2493">
        <f t="shared" si="233"/>
        <v>1000</v>
      </c>
      <c r="AD2493" s="6"/>
    </row>
    <row r="2494" spans="1:30" x14ac:dyDescent="0.2">
      <c r="A2494" t="str">
        <f t="shared" si="234"/>
        <v/>
      </c>
      <c r="X2494" t="str" cm="1">
        <f t="array" ref="X2494">IF(S2494="","",IF($I2494&lt;&gt;"",$I2494,INDEX($I$2:$I2493,ROW()-COUNTIFS($T$2:$T2493,"="&amp;$T2494,$S$2:$S2493,"&lt;&gt;"&amp;$S2494)-1)))</f>
        <v/>
      </c>
      <c r="Y2494" t="b">
        <f>IF(X2494&lt;&gt;"",VLOOKUP(X2494,game_rosters!$C$43:$E$64,3,FALSE))</f>
        <v>0</v>
      </c>
      <c r="Z2494" t="e" cm="1" vm="1">
        <f t="array" aca="1" ref="Z2494" ca="1">IFERROR(IF(_xlfn._xlws.FILTER(game_rosters!$J:$J,(game_rosters!$G:$G=events!$AN2494)*(game_rosters!$J:$J=events!$X2494))&gt;0,1,""),"")</f>
        <v>#VALUE!</v>
      </c>
      <c r="AA2494">
        <f t="shared" si="235"/>
        <v>1000</v>
      </c>
      <c r="AB2494" t="str">
        <f t="shared" si="236"/>
        <v/>
      </c>
      <c r="AC2494">
        <f t="shared" si="233"/>
        <v>1000</v>
      </c>
      <c r="AD2494" s="6"/>
    </row>
    <row r="2495" spans="1:30" x14ac:dyDescent="0.2">
      <c r="A2495" t="str">
        <f t="shared" si="234"/>
        <v/>
      </c>
      <c r="X2495" t="str" cm="1">
        <f t="array" ref="X2495">IF(S2495="","",IF($I2495&lt;&gt;"",$I2495,INDEX($I$2:$I2494,ROW()-COUNTIFS($T$2:$T2494,"="&amp;$T2495,$S$2:$S2494,"&lt;&gt;"&amp;$S2495)-1)))</f>
        <v/>
      </c>
      <c r="Y2495" t="b">
        <f>IF(X2495&lt;&gt;"",VLOOKUP(X2495,game_rosters!$C$43:$E$64,3,FALSE))</f>
        <v>0</v>
      </c>
      <c r="Z2495" t="e" cm="1" vm="1">
        <f t="array" aca="1" ref="Z2495" ca="1">IFERROR(IF(_xlfn._xlws.FILTER(game_rosters!$J:$J,(game_rosters!$G:$G=events!$AN2495)*(game_rosters!$J:$J=events!$X2495))&gt;0,1,""),"")</f>
        <v>#VALUE!</v>
      </c>
      <c r="AA2495">
        <f t="shared" si="235"/>
        <v>1000</v>
      </c>
      <c r="AB2495" t="str">
        <f t="shared" si="236"/>
        <v/>
      </c>
      <c r="AC2495">
        <f t="shared" si="233"/>
        <v>1000</v>
      </c>
      <c r="AD2495" s="6"/>
    </row>
    <row r="2496" spans="1:30" x14ac:dyDescent="0.2">
      <c r="A2496" t="str">
        <f t="shared" si="234"/>
        <v/>
      </c>
      <c r="X2496" t="str" cm="1">
        <f t="array" ref="X2496">IF(S2496="","",IF($I2496&lt;&gt;"",$I2496,INDEX($I$2:$I2495,ROW()-COUNTIFS($T$2:$T2495,"="&amp;$T2496,$S$2:$S2495,"&lt;&gt;"&amp;$S2496)-1)))</f>
        <v/>
      </c>
      <c r="Y2496" t="b">
        <f>IF(X2496&lt;&gt;"",VLOOKUP(X2496,game_rosters!$C$43:$E$64,3,FALSE))</f>
        <v>0</v>
      </c>
      <c r="Z2496" t="e" cm="1" vm="1">
        <f t="array" aca="1" ref="Z2496" ca="1">IFERROR(IF(_xlfn._xlws.FILTER(game_rosters!$J:$J,(game_rosters!$G:$G=events!$AN2496)*(game_rosters!$J:$J=events!$X2496))&gt;0,1,""),"")</f>
        <v>#VALUE!</v>
      </c>
      <c r="AA2496">
        <f t="shared" si="235"/>
        <v>1000</v>
      </c>
      <c r="AB2496" t="str">
        <f t="shared" si="236"/>
        <v/>
      </c>
      <c r="AC2496">
        <f t="shared" si="233"/>
        <v>1000</v>
      </c>
      <c r="AD2496" s="6"/>
    </row>
    <row r="2497" spans="1:30" x14ac:dyDescent="0.2">
      <c r="A2497" t="str">
        <f t="shared" si="234"/>
        <v/>
      </c>
      <c r="X2497" t="str" cm="1">
        <f t="array" ref="X2497">IF(S2497="","",IF($I2497&lt;&gt;"",$I2497,INDEX($I$2:$I2496,ROW()-COUNTIFS($T$2:$T2496,"="&amp;$T2497,$S$2:$S2496,"&lt;&gt;"&amp;$S2497)-1)))</f>
        <v/>
      </c>
      <c r="Y2497" t="b">
        <f>IF(X2497&lt;&gt;"",VLOOKUP(X2497,game_rosters!$C$43:$E$64,3,FALSE))</f>
        <v>0</v>
      </c>
      <c r="Z2497" t="e" cm="1" vm="1">
        <f t="array" aca="1" ref="Z2497" ca="1">IFERROR(IF(_xlfn._xlws.FILTER(game_rosters!$J:$J,(game_rosters!$G:$G=events!$AN2497)*(game_rosters!$J:$J=events!$X2497))&gt;0,1,""),"")</f>
        <v>#VALUE!</v>
      </c>
      <c r="AA2497">
        <f t="shared" si="235"/>
        <v>1000</v>
      </c>
      <c r="AB2497" t="str">
        <f t="shared" si="236"/>
        <v/>
      </c>
      <c r="AC2497">
        <f t="shared" si="233"/>
        <v>1000</v>
      </c>
      <c r="AD2497" s="6"/>
    </row>
    <row r="2498" spans="1:30" x14ac:dyDescent="0.2">
      <c r="A2498" t="str">
        <f t="shared" si="234"/>
        <v/>
      </c>
      <c r="X2498" t="str" cm="1">
        <f t="array" ref="X2498">IF(S2498="","",IF($I2498&lt;&gt;"",$I2498,INDEX($I$2:$I2497,ROW()-COUNTIFS($T$2:$T2497,"="&amp;$T2498,$S$2:$S2497,"&lt;&gt;"&amp;$S2498)-1)))</f>
        <v/>
      </c>
      <c r="Y2498" t="b">
        <f>IF(X2498&lt;&gt;"",VLOOKUP(X2498,game_rosters!$C$43:$E$64,3,FALSE))</f>
        <v>0</v>
      </c>
      <c r="Z2498" t="e" cm="1" vm="1">
        <f t="array" aca="1" ref="Z2498" ca="1">IFERROR(IF(_xlfn._xlws.FILTER(game_rosters!$J:$J,(game_rosters!$G:$G=events!$AN2498)*(game_rosters!$J:$J=events!$X2498))&gt;0,1,""),"")</f>
        <v>#VALUE!</v>
      </c>
      <c r="AA2498">
        <f t="shared" si="235"/>
        <v>1000</v>
      </c>
      <c r="AB2498" t="str">
        <f t="shared" si="236"/>
        <v/>
      </c>
      <c r="AC2498">
        <f t="shared" ref="AC2498:AC2561" si="237">IF(AB2498&lt;&gt;"",AB2498,S2498+1000)</f>
        <v>1000</v>
      </c>
      <c r="AD2498" s="6"/>
    </row>
    <row r="2499" spans="1:30" x14ac:dyDescent="0.2">
      <c r="A2499" t="str">
        <f t="shared" si="234"/>
        <v/>
      </c>
      <c r="X2499" t="str" cm="1">
        <f t="array" ref="X2499">IF(S2499="","",IF($I2499&lt;&gt;"",$I2499,INDEX($I$2:$I2498,ROW()-COUNTIFS($T$2:$T2498,"="&amp;$T2499,$S$2:$S2498,"&lt;&gt;"&amp;$S2499)-1)))</f>
        <v/>
      </c>
      <c r="Y2499" t="b">
        <f>IF(X2499&lt;&gt;"",VLOOKUP(X2499,game_rosters!$C$43:$E$64,3,FALSE))</f>
        <v>0</v>
      </c>
      <c r="Z2499" t="e" cm="1" vm="1">
        <f t="array" aca="1" ref="Z2499" ca="1">IFERROR(IF(_xlfn._xlws.FILTER(game_rosters!$J:$J,(game_rosters!$G:$G=events!$AN2499)*(game_rosters!$J:$J=events!$X2499))&gt;0,1,""),"")</f>
        <v>#VALUE!</v>
      </c>
      <c r="AA2499">
        <f t="shared" si="235"/>
        <v>1000</v>
      </c>
      <c r="AB2499" t="str">
        <f t="shared" si="236"/>
        <v/>
      </c>
      <c r="AC2499">
        <f t="shared" si="237"/>
        <v>1000</v>
      </c>
      <c r="AD2499" s="6"/>
    </row>
    <row r="2500" spans="1:30" x14ac:dyDescent="0.2">
      <c r="A2500" t="str">
        <f t="shared" si="234"/>
        <v/>
      </c>
      <c r="X2500" t="str" cm="1">
        <f t="array" ref="X2500">IF(S2500="","",IF($I2500&lt;&gt;"",$I2500,INDEX($I$2:$I2499,ROW()-COUNTIFS($T$2:$T2499,"="&amp;$T2500,$S$2:$S2499,"&lt;&gt;"&amp;$S2500)-1)))</f>
        <v/>
      </c>
      <c r="Y2500" t="b">
        <f>IF(X2500&lt;&gt;"",VLOOKUP(X2500,game_rosters!$C$43:$E$64,3,FALSE))</f>
        <v>0</v>
      </c>
      <c r="Z2500" t="e" cm="1" vm="1">
        <f t="array" aca="1" ref="Z2500" ca="1">IFERROR(IF(_xlfn._xlws.FILTER(game_rosters!$J:$J,(game_rosters!$G:$G=events!$AN2500)*(game_rosters!$J:$J=events!$X2500))&gt;0,1,""),"")</f>
        <v>#VALUE!</v>
      </c>
      <c r="AA2500">
        <f t="shared" si="235"/>
        <v>1000</v>
      </c>
      <c r="AB2500" t="str">
        <f t="shared" si="236"/>
        <v/>
      </c>
      <c r="AC2500">
        <f t="shared" si="237"/>
        <v>1000</v>
      </c>
      <c r="AD2500" s="6"/>
    </row>
    <row r="2501" spans="1:30" x14ac:dyDescent="0.2">
      <c r="A2501" t="str">
        <f t="shared" ref="A2501:A2564" si="238">IF(K2501&lt;&gt;"",1,IF(D2501="x","x",""))</f>
        <v/>
      </c>
      <c r="X2501" t="str" cm="1">
        <f t="array" ref="X2501">IF(S2501="","",IF($I2501&lt;&gt;"",$I2501,INDEX($I$2:$I2500,ROW()-COUNTIFS($T$2:$T2500,"="&amp;$T2501,$S$2:$S2500,"&lt;&gt;"&amp;$S2501)-1)))</f>
        <v/>
      </c>
      <c r="Y2501" t="b">
        <f>IF(X2501&lt;&gt;"",VLOOKUP(X2501,game_rosters!$C$43:$E$64,3,FALSE))</f>
        <v>0</v>
      </c>
      <c r="Z2501" t="e" cm="1" vm="1">
        <f t="array" aca="1" ref="Z2501" ca="1">IFERROR(IF(_xlfn._xlws.FILTER(game_rosters!$J:$J,(game_rosters!$G:$G=events!$AN2501)*(game_rosters!$J:$J=events!$X2501))&gt;0,1,""),"")</f>
        <v>#VALUE!</v>
      </c>
      <c r="AA2501">
        <f t="shared" si="235"/>
        <v>1000</v>
      </c>
      <c r="AB2501" t="str">
        <f t="shared" si="236"/>
        <v/>
      </c>
      <c r="AC2501">
        <f t="shared" si="237"/>
        <v>1000</v>
      </c>
      <c r="AD2501" s="6"/>
    </row>
    <row r="2502" spans="1:30" x14ac:dyDescent="0.2">
      <c r="A2502" t="str">
        <f t="shared" si="238"/>
        <v/>
      </c>
      <c r="X2502" t="str" cm="1">
        <f t="array" ref="X2502">IF(S2502="","",IF($I2502&lt;&gt;"",$I2502,INDEX($I$2:$I2501,ROW()-COUNTIFS($T$2:$T2501,"="&amp;$T2502,$S$2:$S2501,"&lt;&gt;"&amp;$S2502)-1)))</f>
        <v/>
      </c>
      <c r="Y2502" t="b">
        <f>IF(X2502&lt;&gt;"",VLOOKUP(X2502,game_rosters!$C$43:$E$64,3,FALSE))</f>
        <v>0</v>
      </c>
      <c r="Z2502" t="e" cm="1" vm="1">
        <f t="array" aca="1" ref="Z2502" ca="1">IFERROR(IF(_xlfn._xlws.FILTER(game_rosters!$J:$J,(game_rosters!$G:$G=events!$AN2502)*(game_rosters!$J:$J=events!$X2502))&gt;0,1,""),"")</f>
        <v>#VALUE!</v>
      </c>
      <c r="AA2502">
        <f t="shared" si="235"/>
        <v>1000</v>
      </c>
      <c r="AB2502" t="str">
        <f t="shared" si="236"/>
        <v/>
      </c>
      <c r="AC2502">
        <f t="shared" si="237"/>
        <v>1000</v>
      </c>
      <c r="AD2502" s="6"/>
    </row>
    <row r="2503" spans="1:30" x14ac:dyDescent="0.2">
      <c r="A2503" t="str">
        <f t="shared" si="238"/>
        <v/>
      </c>
      <c r="X2503" t="str" cm="1">
        <f t="array" ref="X2503">IF(S2503="","",IF($I2503&lt;&gt;"",$I2503,INDEX($I$2:$I2502,ROW()-COUNTIFS($T$2:$T2502,"="&amp;$T2503,$S$2:$S2502,"&lt;&gt;"&amp;$S2503)-1)))</f>
        <v/>
      </c>
      <c r="Y2503" t="b">
        <f>IF(X2503&lt;&gt;"",VLOOKUP(X2503,game_rosters!$C$43:$E$64,3,FALSE))</f>
        <v>0</v>
      </c>
      <c r="Z2503" t="e" cm="1" vm="1">
        <f t="array" aca="1" ref="Z2503" ca="1">IFERROR(IF(_xlfn._xlws.FILTER(game_rosters!$J:$J,(game_rosters!$G:$G=events!$AN2503)*(game_rosters!$J:$J=events!$X2503))&gt;0,1,""),"")</f>
        <v>#VALUE!</v>
      </c>
      <c r="AA2503">
        <f t="shared" si="235"/>
        <v>1000</v>
      </c>
      <c r="AB2503" t="str">
        <f t="shared" si="236"/>
        <v/>
      </c>
      <c r="AC2503">
        <f t="shared" si="237"/>
        <v>1000</v>
      </c>
      <c r="AD2503" s="6"/>
    </row>
    <row r="2504" spans="1:30" x14ac:dyDescent="0.2">
      <c r="A2504" t="str">
        <f t="shared" si="238"/>
        <v/>
      </c>
      <c r="X2504" t="str" cm="1">
        <f t="array" ref="X2504">IF(S2504="","",IF($I2504&lt;&gt;"",$I2504,INDEX($I$2:$I2503,ROW()-COUNTIFS($T$2:$T2503,"="&amp;$T2504,$S$2:$S2503,"&lt;&gt;"&amp;$S2504)-1)))</f>
        <v/>
      </c>
      <c r="Y2504" t="b">
        <f>IF(X2504&lt;&gt;"",VLOOKUP(X2504,game_rosters!$C$43:$E$64,3,FALSE))</f>
        <v>0</v>
      </c>
      <c r="Z2504" t="e" cm="1" vm="1">
        <f t="array" aca="1" ref="Z2504" ca="1">IFERROR(IF(_xlfn._xlws.FILTER(game_rosters!$J:$J,(game_rosters!$G:$G=events!$AN2504)*(game_rosters!$J:$J=events!$X2504))&gt;0,1,""),"")</f>
        <v>#VALUE!</v>
      </c>
      <c r="AA2504">
        <f t="shared" si="235"/>
        <v>1000</v>
      </c>
      <c r="AB2504" t="str">
        <f t="shared" si="236"/>
        <v/>
      </c>
      <c r="AC2504">
        <f t="shared" si="237"/>
        <v>1000</v>
      </c>
      <c r="AD2504" s="6"/>
    </row>
    <row r="2505" spans="1:30" x14ac:dyDescent="0.2">
      <c r="A2505" t="str">
        <f t="shared" si="238"/>
        <v/>
      </c>
      <c r="X2505" t="str" cm="1">
        <f t="array" ref="X2505">IF(S2505="","",IF($I2505&lt;&gt;"",$I2505,INDEX($I$2:$I2504,ROW()-COUNTIFS($T$2:$T2504,"="&amp;$T2505,$S$2:$S2504,"&lt;&gt;"&amp;$S2505)-1)))</f>
        <v/>
      </c>
      <c r="Y2505" t="b">
        <f>IF(X2505&lt;&gt;"",VLOOKUP(X2505,game_rosters!$C$43:$E$64,3,FALSE))</f>
        <v>0</v>
      </c>
      <c r="Z2505" t="e" cm="1" vm="1">
        <f t="array" aca="1" ref="Z2505" ca="1">IFERROR(IF(_xlfn._xlws.FILTER(game_rosters!$J:$J,(game_rosters!$G:$G=events!$AN2505)*(game_rosters!$J:$J=events!$X2505))&gt;0,1,""),"")</f>
        <v>#VALUE!</v>
      </c>
      <c r="AA2505">
        <f t="shared" si="235"/>
        <v>1000</v>
      </c>
      <c r="AB2505" t="str">
        <f t="shared" si="236"/>
        <v/>
      </c>
      <c r="AC2505">
        <f t="shared" si="237"/>
        <v>1000</v>
      </c>
      <c r="AD2505" s="6"/>
    </row>
    <row r="2506" spans="1:30" x14ac:dyDescent="0.2">
      <c r="A2506" t="str">
        <f t="shared" si="238"/>
        <v/>
      </c>
      <c r="X2506" t="str" cm="1">
        <f t="array" ref="X2506">IF(S2506="","",IF($I2506&lt;&gt;"",$I2506,INDEX($I$2:$I2505,ROW()-COUNTIFS($T$2:$T2505,"="&amp;$T2506,$S$2:$S2505,"&lt;&gt;"&amp;$S2506)-1)))</f>
        <v/>
      </c>
      <c r="Y2506" t="b">
        <f>IF(X2506&lt;&gt;"",VLOOKUP(X2506,game_rosters!$C$43:$E$64,3,FALSE))</f>
        <v>0</v>
      </c>
      <c r="Z2506" t="e" cm="1" vm="1">
        <f t="array" aca="1" ref="Z2506" ca="1">IFERROR(IF(_xlfn._xlws.FILTER(game_rosters!$J:$J,(game_rosters!$G:$G=events!$AN2506)*(game_rosters!$J:$J=events!$X2506))&gt;0,1,""),"")</f>
        <v>#VALUE!</v>
      </c>
      <c r="AA2506">
        <f t="shared" si="235"/>
        <v>1000</v>
      </c>
      <c r="AB2506" t="str">
        <f t="shared" si="236"/>
        <v/>
      </c>
      <c r="AC2506">
        <f t="shared" si="237"/>
        <v>1000</v>
      </c>
      <c r="AD2506" s="6"/>
    </row>
    <row r="2507" spans="1:30" x14ac:dyDescent="0.2">
      <c r="A2507" t="str">
        <f t="shared" si="238"/>
        <v/>
      </c>
      <c r="X2507" t="str" cm="1">
        <f t="array" ref="X2507">IF(S2507="","",IF($I2507&lt;&gt;"",$I2507,INDEX($I$2:$I2506,ROW()-COUNTIFS($T$2:$T2506,"="&amp;$T2507,$S$2:$S2506,"&lt;&gt;"&amp;$S2507)-1)))</f>
        <v/>
      </c>
      <c r="Y2507" t="b">
        <f>IF(X2507&lt;&gt;"",VLOOKUP(X2507,game_rosters!$C$43:$E$64,3,FALSE))</f>
        <v>0</v>
      </c>
      <c r="Z2507" t="e" cm="1" vm="1">
        <f t="array" aca="1" ref="Z2507" ca="1">IFERROR(IF(_xlfn._xlws.FILTER(game_rosters!$J:$J,(game_rosters!$G:$G=events!$AN2507)*(game_rosters!$J:$J=events!$X2507))&gt;0,1,""),"")</f>
        <v>#VALUE!</v>
      </c>
      <c r="AA2507">
        <f t="shared" si="235"/>
        <v>1000</v>
      </c>
      <c r="AB2507" t="str">
        <f t="shared" si="236"/>
        <v/>
      </c>
      <c r="AC2507">
        <f t="shared" si="237"/>
        <v>1000</v>
      </c>
      <c r="AD2507" s="6"/>
    </row>
    <row r="2508" spans="1:30" x14ac:dyDescent="0.2">
      <c r="A2508" t="str">
        <f t="shared" si="238"/>
        <v/>
      </c>
      <c r="X2508" t="str" cm="1">
        <f t="array" ref="X2508">IF(S2508="","",IF($I2508&lt;&gt;"",$I2508,INDEX($I$2:$I2507,ROW()-COUNTIFS($T$2:$T2507,"="&amp;$T2508,$S$2:$S2507,"&lt;&gt;"&amp;$S2508)-1)))</f>
        <v/>
      </c>
      <c r="Y2508" t="b">
        <f>IF(X2508&lt;&gt;"",VLOOKUP(X2508,game_rosters!$C$43:$E$64,3,FALSE))</f>
        <v>0</v>
      </c>
      <c r="Z2508" t="e" cm="1" vm="1">
        <f t="array" aca="1" ref="Z2508" ca="1">IFERROR(IF(_xlfn._xlws.FILTER(game_rosters!$J:$J,(game_rosters!$G:$G=events!$AN2508)*(game_rosters!$J:$J=events!$X2508))&gt;0,1,""),"")</f>
        <v>#VALUE!</v>
      </c>
      <c r="AA2508">
        <f t="shared" si="235"/>
        <v>1000</v>
      </c>
      <c r="AB2508" t="str">
        <f t="shared" si="236"/>
        <v/>
      </c>
      <c r="AC2508">
        <f t="shared" si="237"/>
        <v>1000</v>
      </c>
      <c r="AD2508" s="6"/>
    </row>
    <row r="2509" spans="1:30" x14ac:dyDescent="0.2">
      <c r="A2509" t="str">
        <f t="shared" si="238"/>
        <v/>
      </c>
      <c r="X2509" t="str" cm="1">
        <f t="array" ref="X2509">IF(S2509="","",IF($I2509&lt;&gt;"",$I2509,INDEX($I$2:$I2508,ROW()-COUNTIFS($T$2:$T2508,"="&amp;$T2509,$S$2:$S2508,"&lt;&gt;"&amp;$S2509)-1)))</f>
        <v/>
      </c>
      <c r="Y2509" t="b">
        <f>IF(X2509&lt;&gt;"",VLOOKUP(X2509,game_rosters!$C$43:$E$64,3,FALSE))</f>
        <v>0</v>
      </c>
      <c r="Z2509" t="e" cm="1" vm="1">
        <f t="array" aca="1" ref="Z2509" ca="1">IFERROR(IF(_xlfn._xlws.FILTER(game_rosters!$J:$J,(game_rosters!$G:$G=events!$AN2509)*(game_rosters!$J:$J=events!$X2509))&gt;0,1,""),"")</f>
        <v>#VALUE!</v>
      </c>
      <c r="AA2509">
        <f t="shared" si="235"/>
        <v>1000</v>
      </c>
      <c r="AB2509" t="str">
        <f t="shared" si="236"/>
        <v/>
      </c>
      <c r="AC2509">
        <f t="shared" si="237"/>
        <v>1000</v>
      </c>
      <c r="AD2509" s="6"/>
    </row>
    <row r="2510" spans="1:30" x14ac:dyDescent="0.2">
      <c r="A2510" t="str">
        <f t="shared" si="238"/>
        <v/>
      </c>
      <c r="X2510" t="str" cm="1">
        <f t="array" ref="X2510">IF(S2510="","",IF($I2510&lt;&gt;"",$I2510,INDEX($I$2:$I2509,ROW()-COUNTIFS($T$2:$T2509,"="&amp;$T2510,$S$2:$S2509,"&lt;&gt;"&amp;$S2510)-1)))</f>
        <v/>
      </c>
      <c r="Y2510" t="b">
        <f>IF(X2510&lt;&gt;"",VLOOKUP(X2510,game_rosters!$C$43:$E$64,3,FALSE))</f>
        <v>0</v>
      </c>
      <c r="Z2510" t="e" cm="1" vm="1">
        <f t="array" aca="1" ref="Z2510" ca="1">IFERROR(IF(_xlfn._xlws.FILTER(game_rosters!$J:$J,(game_rosters!$G:$G=events!$AN2510)*(game_rosters!$J:$J=events!$X2510))&gt;0,1,""),"")</f>
        <v>#VALUE!</v>
      </c>
      <c r="AA2510">
        <f t="shared" si="235"/>
        <v>1000</v>
      </c>
      <c r="AB2510" t="str">
        <f t="shared" si="236"/>
        <v/>
      </c>
      <c r="AC2510">
        <f t="shared" si="237"/>
        <v>1000</v>
      </c>
      <c r="AD2510" s="6"/>
    </row>
    <row r="2511" spans="1:30" x14ac:dyDescent="0.2">
      <c r="A2511" t="str">
        <f t="shared" si="238"/>
        <v/>
      </c>
      <c r="X2511" t="str" cm="1">
        <f t="array" ref="X2511">IF(S2511="","",IF($I2511&lt;&gt;"",$I2511,INDEX($I$2:$I2510,ROW()-COUNTIFS($T$2:$T2510,"="&amp;$T2511,$S$2:$S2510,"&lt;&gt;"&amp;$S2511)-1)))</f>
        <v/>
      </c>
      <c r="Y2511" t="b">
        <f>IF(X2511&lt;&gt;"",VLOOKUP(X2511,game_rosters!$C$43:$E$64,3,FALSE))</f>
        <v>0</v>
      </c>
      <c r="Z2511" t="e" cm="1" vm="1">
        <f t="array" aca="1" ref="Z2511" ca="1">IFERROR(IF(_xlfn._xlws.FILTER(game_rosters!$J:$J,(game_rosters!$G:$G=events!$AN2511)*(game_rosters!$J:$J=events!$X2511))&gt;0,1,""),"")</f>
        <v>#VALUE!</v>
      </c>
      <c r="AA2511">
        <f t="shared" si="235"/>
        <v>1000</v>
      </c>
      <c r="AB2511" t="str">
        <f t="shared" si="236"/>
        <v/>
      </c>
      <c r="AC2511">
        <f t="shared" si="237"/>
        <v>1000</v>
      </c>
      <c r="AD2511" s="6"/>
    </row>
    <row r="2512" spans="1:30" x14ac:dyDescent="0.2">
      <c r="A2512" t="str">
        <f t="shared" si="238"/>
        <v/>
      </c>
      <c r="X2512" t="str" cm="1">
        <f t="array" ref="X2512">IF(S2512="","",IF($I2512&lt;&gt;"",$I2512,INDEX($I$2:$I2511,ROW()-COUNTIFS($T$2:$T2511,"="&amp;$T2512,$S$2:$S2511,"&lt;&gt;"&amp;$S2512)-1)))</f>
        <v/>
      </c>
      <c r="Y2512" t="b">
        <f>IF(X2512&lt;&gt;"",VLOOKUP(X2512,game_rosters!$C$43:$E$64,3,FALSE))</f>
        <v>0</v>
      </c>
      <c r="Z2512" t="e" cm="1" vm="1">
        <f t="array" aca="1" ref="Z2512" ca="1">IFERROR(IF(_xlfn._xlws.FILTER(game_rosters!$J:$J,(game_rosters!$G:$G=events!$AN2512)*(game_rosters!$J:$J=events!$X2512))&gt;0,1,""),"")</f>
        <v>#VALUE!</v>
      </c>
      <c r="AA2512">
        <f t="shared" si="235"/>
        <v>1000</v>
      </c>
      <c r="AB2512" t="str">
        <f t="shared" si="236"/>
        <v/>
      </c>
      <c r="AC2512">
        <f t="shared" si="237"/>
        <v>1000</v>
      </c>
      <c r="AD2512" s="6"/>
    </row>
    <row r="2513" spans="1:30" x14ac:dyDescent="0.2">
      <c r="A2513" t="str">
        <f t="shared" si="238"/>
        <v/>
      </c>
      <c r="X2513" t="str" cm="1">
        <f t="array" ref="X2513">IF(S2513="","",IF($I2513&lt;&gt;"",$I2513,INDEX($I$2:$I2512,ROW()-COUNTIFS($T$2:$T2512,"="&amp;$T2513,$S$2:$S2512,"&lt;&gt;"&amp;$S2513)-1)))</f>
        <v/>
      </c>
      <c r="Y2513" t="b">
        <f>IF(X2513&lt;&gt;"",VLOOKUP(X2513,game_rosters!$C$43:$E$64,3,FALSE))</f>
        <v>0</v>
      </c>
      <c r="Z2513" t="e" cm="1" vm="1">
        <f t="array" aca="1" ref="Z2513" ca="1">IFERROR(IF(_xlfn._xlws.FILTER(game_rosters!$J:$J,(game_rosters!$G:$G=events!$AN2513)*(game_rosters!$J:$J=events!$X2513))&gt;0,1,""),"")</f>
        <v>#VALUE!</v>
      </c>
      <c r="AA2513">
        <f t="shared" si="235"/>
        <v>1000</v>
      </c>
      <c r="AB2513" t="str">
        <f t="shared" si="236"/>
        <v/>
      </c>
      <c r="AC2513">
        <f t="shared" si="237"/>
        <v>1000</v>
      </c>
      <c r="AD2513" s="6"/>
    </row>
    <row r="2514" spans="1:30" x14ac:dyDescent="0.2">
      <c r="A2514" t="str">
        <f t="shared" si="238"/>
        <v/>
      </c>
      <c r="X2514" t="str" cm="1">
        <f t="array" ref="X2514">IF(S2514="","",IF($I2514&lt;&gt;"",$I2514,INDEX($I$2:$I2513,ROW()-COUNTIFS($T$2:$T2513,"="&amp;$T2514,$S$2:$S2513,"&lt;&gt;"&amp;$S2514)-1)))</f>
        <v/>
      </c>
      <c r="Y2514" t="b">
        <f>IF(X2514&lt;&gt;"",VLOOKUP(X2514,game_rosters!$C$43:$E$64,3,FALSE))</f>
        <v>0</v>
      </c>
      <c r="Z2514" t="e" cm="1" vm="1">
        <f t="array" aca="1" ref="Z2514" ca="1">IFERROR(IF(_xlfn._xlws.FILTER(game_rosters!$J:$J,(game_rosters!$G:$G=events!$AN2514)*(game_rosters!$J:$J=events!$X2514))&gt;0,1,""),"")</f>
        <v>#VALUE!</v>
      </c>
      <c r="AA2514">
        <f t="shared" si="235"/>
        <v>1000</v>
      </c>
      <c r="AB2514" t="str">
        <f t="shared" si="236"/>
        <v/>
      </c>
      <c r="AC2514">
        <f t="shared" si="237"/>
        <v>1000</v>
      </c>
      <c r="AD2514" s="6"/>
    </row>
    <row r="2515" spans="1:30" x14ac:dyDescent="0.2">
      <c r="A2515" t="str">
        <f t="shared" si="238"/>
        <v/>
      </c>
      <c r="X2515" t="str" cm="1">
        <f t="array" ref="X2515">IF(S2515="","",IF($I2515&lt;&gt;"",$I2515,INDEX($I$2:$I2514,ROW()-COUNTIFS($T$2:$T2514,"="&amp;$T2515,$S$2:$S2514,"&lt;&gt;"&amp;$S2515)-1)))</f>
        <v/>
      </c>
      <c r="Y2515" t="b">
        <f>IF(X2515&lt;&gt;"",VLOOKUP(X2515,game_rosters!$C$43:$E$64,3,FALSE))</f>
        <v>0</v>
      </c>
      <c r="Z2515" t="e" cm="1" vm="1">
        <f t="array" aca="1" ref="Z2515" ca="1">IFERROR(IF(_xlfn._xlws.FILTER(game_rosters!$J:$J,(game_rosters!$G:$G=events!$AN2515)*(game_rosters!$J:$J=events!$X2515))&gt;0,1,""),"")</f>
        <v>#VALUE!</v>
      </c>
      <c r="AA2515">
        <f t="shared" si="235"/>
        <v>1000</v>
      </c>
      <c r="AB2515" t="str">
        <f t="shared" si="236"/>
        <v/>
      </c>
      <c r="AC2515">
        <f t="shared" si="237"/>
        <v>1000</v>
      </c>
      <c r="AD2515" s="6"/>
    </row>
    <row r="2516" spans="1:30" x14ac:dyDescent="0.2">
      <c r="A2516" t="str">
        <f t="shared" si="238"/>
        <v/>
      </c>
      <c r="X2516" t="str" cm="1">
        <f t="array" ref="X2516">IF(S2516="","",IF($I2516&lt;&gt;"",$I2516,INDEX($I$2:$I2515,ROW()-COUNTIFS($T$2:$T2515,"="&amp;$T2516,$S$2:$S2515,"&lt;&gt;"&amp;$S2516)-1)))</f>
        <v/>
      </c>
      <c r="Y2516" t="b">
        <f>IF(X2516&lt;&gt;"",VLOOKUP(X2516,game_rosters!$C$43:$E$64,3,FALSE))</f>
        <v>0</v>
      </c>
      <c r="Z2516" t="e" cm="1" vm="1">
        <f t="array" aca="1" ref="Z2516" ca="1">IFERROR(IF(_xlfn._xlws.FILTER(game_rosters!$J:$J,(game_rosters!$G:$G=events!$AN2516)*(game_rosters!$J:$J=events!$X2516))&gt;0,1,""),"")</f>
        <v>#VALUE!</v>
      </c>
      <c r="AA2516">
        <f t="shared" si="235"/>
        <v>1000</v>
      </c>
      <c r="AB2516" t="str">
        <f t="shared" si="236"/>
        <v/>
      </c>
      <c r="AC2516">
        <f t="shared" si="237"/>
        <v>1000</v>
      </c>
      <c r="AD2516" s="6"/>
    </row>
    <row r="2517" spans="1:30" x14ac:dyDescent="0.2">
      <c r="A2517" t="str">
        <f t="shared" si="238"/>
        <v/>
      </c>
      <c r="X2517" t="str" cm="1">
        <f t="array" ref="X2517">IF(S2517="","",IF($I2517&lt;&gt;"",$I2517,INDEX($I$2:$I2516,ROW()-COUNTIFS($T$2:$T2516,"="&amp;$T2517,$S$2:$S2516,"&lt;&gt;"&amp;$S2517)-1)))</f>
        <v/>
      </c>
      <c r="Y2517" t="b">
        <f>IF(X2517&lt;&gt;"",VLOOKUP(X2517,game_rosters!$C$43:$E$64,3,FALSE))</f>
        <v>0</v>
      </c>
      <c r="Z2517" t="e" cm="1" vm="1">
        <f t="array" aca="1" ref="Z2517" ca="1">IFERROR(IF(_xlfn._xlws.FILTER(game_rosters!$J:$J,(game_rosters!$G:$G=events!$AN2517)*(game_rosters!$J:$J=events!$X2517))&gt;0,1,""),"")</f>
        <v>#VALUE!</v>
      </c>
      <c r="AA2517">
        <f t="shared" si="235"/>
        <v>1000</v>
      </c>
      <c r="AB2517" t="str">
        <f t="shared" si="236"/>
        <v/>
      </c>
      <c r="AC2517">
        <f t="shared" si="237"/>
        <v>1000</v>
      </c>
      <c r="AD2517" s="6"/>
    </row>
    <row r="2518" spans="1:30" x14ac:dyDescent="0.2">
      <c r="A2518" t="str">
        <f t="shared" si="238"/>
        <v/>
      </c>
      <c r="X2518" t="str" cm="1">
        <f t="array" ref="X2518">IF(S2518="","",IF($I2518&lt;&gt;"",$I2518,INDEX($I$2:$I2517,ROW()-COUNTIFS($T$2:$T2517,"="&amp;$T2518,$S$2:$S2517,"&lt;&gt;"&amp;$S2518)-1)))</f>
        <v/>
      </c>
      <c r="Y2518" t="b">
        <f>IF(X2518&lt;&gt;"",VLOOKUP(X2518,game_rosters!$C$43:$E$64,3,FALSE))</f>
        <v>0</v>
      </c>
      <c r="Z2518" t="e" cm="1" vm="1">
        <f t="array" aca="1" ref="Z2518" ca="1">IFERROR(IF(_xlfn._xlws.FILTER(game_rosters!$J:$J,(game_rosters!$G:$G=events!$AN2518)*(game_rosters!$J:$J=events!$X2518))&gt;0,1,""),"")</f>
        <v>#VALUE!</v>
      </c>
      <c r="AA2518">
        <f t="shared" si="235"/>
        <v>1000</v>
      </c>
      <c r="AB2518" t="str">
        <f t="shared" si="236"/>
        <v/>
      </c>
      <c r="AC2518">
        <f t="shared" si="237"/>
        <v>1000</v>
      </c>
      <c r="AD2518" s="6"/>
    </row>
    <row r="2519" spans="1:30" x14ac:dyDescent="0.2">
      <c r="A2519" t="str">
        <f t="shared" si="238"/>
        <v/>
      </c>
      <c r="X2519" t="str" cm="1">
        <f t="array" ref="X2519">IF(S2519="","",IF($I2519&lt;&gt;"",$I2519,INDEX($I$2:$I2518,ROW()-COUNTIFS($T$2:$T2518,"="&amp;$T2519,$S$2:$S2518,"&lt;&gt;"&amp;$S2519)-1)))</f>
        <v/>
      </c>
      <c r="Y2519" t="b">
        <f>IF(X2519&lt;&gt;"",VLOOKUP(X2519,game_rosters!$C$43:$E$64,3,FALSE))</f>
        <v>0</v>
      </c>
      <c r="Z2519" t="e" cm="1" vm="1">
        <f t="array" aca="1" ref="Z2519" ca="1">IFERROR(IF(_xlfn._xlws.FILTER(game_rosters!$J:$J,(game_rosters!$G:$G=events!$AN2519)*(game_rosters!$J:$J=events!$X2519))&gt;0,1,""),"")</f>
        <v>#VALUE!</v>
      </c>
      <c r="AA2519">
        <f t="shared" si="235"/>
        <v>1000</v>
      </c>
      <c r="AB2519" t="str">
        <f t="shared" si="236"/>
        <v/>
      </c>
      <c r="AC2519">
        <f t="shared" si="237"/>
        <v>1000</v>
      </c>
      <c r="AD2519" s="6"/>
    </row>
    <row r="2520" spans="1:30" x14ac:dyDescent="0.2">
      <c r="A2520" t="str">
        <f t="shared" si="238"/>
        <v/>
      </c>
      <c r="X2520" t="str" cm="1">
        <f t="array" ref="X2520">IF(S2520="","",IF($I2520&lt;&gt;"",$I2520,INDEX($I$2:$I2519,ROW()-COUNTIFS($T$2:$T2519,"="&amp;$T2520,$S$2:$S2519,"&lt;&gt;"&amp;$S2520)-1)))</f>
        <v/>
      </c>
      <c r="Y2520" t="b">
        <f>IF(X2520&lt;&gt;"",VLOOKUP(X2520,game_rosters!$C$43:$E$64,3,FALSE))</f>
        <v>0</v>
      </c>
      <c r="Z2520" t="e" cm="1" vm="1">
        <f t="array" aca="1" ref="Z2520" ca="1">IFERROR(IF(_xlfn._xlws.FILTER(game_rosters!$J:$J,(game_rosters!$G:$G=events!$AN2520)*(game_rosters!$J:$J=events!$X2520))&gt;0,1,""),"")</f>
        <v>#VALUE!</v>
      </c>
      <c r="AA2520">
        <f t="shared" si="235"/>
        <v>1000</v>
      </c>
      <c r="AB2520" t="str">
        <f t="shared" si="236"/>
        <v/>
      </c>
      <c r="AC2520">
        <f t="shared" si="237"/>
        <v>1000</v>
      </c>
      <c r="AD2520" s="6"/>
    </row>
    <row r="2521" spans="1:30" x14ac:dyDescent="0.2">
      <c r="A2521" t="str">
        <f t="shared" si="238"/>
        <v/>
      </c>
      <c r="X2521" t="str" cm="1">
        <f t="array" ref="X2521">IF(S2521="","",IF($I2521&lt;&gt;"",$I2521,INDEX($I$2:$I2520,ROW()-COUNTIFS($T$2:$T2520,"="&amp;$T2521,$S$2:$S2520,"&lt;&gt;"&amp;$S2521)-1)))</f>
        <v/>
      </c>
      <c r="Y2521" t="b">
        <f>IF(X2521&lt;&gt;"",VLOOKUP(X2521,game_rosters!$C$43:$E$64,3,FALSE))</f>
        <v>0</v>
      </c>
      <c r="Z2521" t="e" cm="1" vm="1">
        <f t="array" aca="1" ref="Z2521" ca="1">IFERROR(IF(_xlfn._xlws.FILTER(game_rosters!$J:$J,(game_rosters!$G:$G=events!$AN2521)*(game_rosters!$J:$J=events!$X2521))&gt;0,1,""),"")</f>
        <v>#VALUE!</v>
      </c>
      <c r="AA2521">
        <f t="shared" si="235"/>
        <v>1000</v>
      </c>
      <c r="AB2521" t="str">
        <f t="shared" si="236"/>
        <v/>
      </c>
      <c r="AC2521">
        <f t="shared" si="237"/>
        <v>1000</v>
      </c>
      <c r="AD2521" s="6"/>
    </row>
    <row r="2522" spans="1:30" x14ac:dyDescent="0.2">
      <c r="A2522" t="str">
        <f t="shared" si="238"/>
        <v/>
      </c>
      <c r="X2522" t="str" cm="1">
        <f t="array" ref="X2522">IF(S2522="","",IF($I2522&lt;&gt;"",$I2522,INDEX($I$2:$I2521,ROW()-COUNTIFS($T$2:$T2521,"="&amp;$T2522,$S$2:$S2521,"&lt;&gt;"&amp;$S2522)-1)))</f>
        <v/>
      </c>
      <c r="Y2522" t="b">
        <f>IF(X2522&lt;&gt;"",VLOOKUP(X2522,game_rosters!$C$43:$E$64,3,FALSE))</f>
        <v>0</v>
      </c>
      <c r="Z2522" t="e" cm="1" vm="1">
        <f t="array" aca="1" ref="Z2522" ca="1">IFERROR(IF(_xlfn._xlws.FILTER(game_rosters!$J:$J,(game_rosters!$G:$G=events!$AN2522)*(game_rosters!$J:$J=events!$X2522))&gt;0,1,""),"")</f>
        <v>#VALUE!</v>
      </c>
      <c r="AA2522">
        <f t="shared" si="235"/>
        <v>1000</v>
      </c>
      <c r="AB2522" t="str">
        <f t="shared" si="236"/>
        <v/>
      </c>
      <c r="AC2522">
        <f t="shared" si="237"/>
        <v>1000</v>
      </c>
      <c r="AD2522" s="6"/>
    </row>
    <row r="2523" spans="1:30" x14ac:dyDescent="0.2">
      <c r="A2523" t="str">
        <f t="shared" si="238"/>
        <v/>
      </c>
      <c r="X2523" t="str" cm="1">
        <f t="array" ref="X2523">IF(S2523="","",IF($I2523&lt;&gt;"",$I2523,INDEX($I$2:$I2522,ROW()-COUNTIFS($T$2:$T2522,"="&amp;$T2523,$S$2:$S2522,"&lt;&gt;"&amp;$S2523)-1)))</f>
        <v/>
      </c>
      <c r="Y2523" t="b">
        <f>IF(X2523&lt;&gt;"",VLOOKUP(X2523,game_rosters!$C$43:$E$64,3,FALSE))</f>
        <v>0</v>
      </c>
      <c r="Z2523" t="e" cm="1" vm="1">
        <f t="array" aca="1" ref="Z2523" ca="1">IFERROR(IF(_xlfn._xlws.FILTER(game_rosters!$J:$J,(game_rosters!$G:$G=events!$AN2523)*(game_rosters!$J:$J=events!$X2523))&gt;0,1,""),"")</f>
        <v>#VALUE!</v>
      </c>
      <c r="AA2523">
        <f t="shared" si="235"/>
        <v>1000</v>
      </c>
      <c r="AB2523" t="str">
        <f t="shared" si="236"/>
        <v/>
      </c>
      <c r="AC2523">
        <f t="shared" si="237"/>
        <v>1000</v>
      </c>
      <c r="AD2523" s="6"/>
    </row>
    <row r="2524" spans="1:30" x14ac:dyDescent="0.2">
      <c r="A2524" t="str">
        <f t="shared" si="238"/>
        <v/>
      </c>
      <c r="X2524" t="str" cm="1">
        <f t="array" ref="X2524">IF(S2524="","",IF($I2524&lt;&gt;"",$I2524,INDEX($I$2:$I2523,ROW()-COUNTIFS($T$2:$T2523,"="&amp;$T2524,$S$2:$S2523,"&lt;&gt;"&amp;$S2524)-1)))</f>
        <v/>
      </c>
      <c r="Y2524" t="b">
        <f>IF(X2524&lt;&gt;"",VLOOKUP(X2524,game_rosters!$C$43:$E$64,3,FALSE))</f>
        <v>0</v>
      </c>
      <c r="Z2524" t="e" cm="1" vm="1">
        <f t="array" aca="1" ref="Z2524" ca="1">IFERROR(IF(_xlfn._xlws.FILTER(game_rosters!$J:$J,(game_rosters!$G:$G=events!$AN2524)*(game_rosters!$J:$J=events!$X2524))&gt;0,1,""),"")</f>
        <v>#VALUE!</v>
      </c>
      <c r="AA2524">
        <f t="shared" si="235"/>
        <v>1000</v>
      </c>
      <c r="AB2524" t="str">
        <f t="shared" si="236"/>
        <v/>
      </c>
      <c r="AC2524">
        <f t="shared" si="237"/>
        <v>1000</v>
      </c>
      <c r="AD2524" s="6"/>
    </row>
    <row r="2525" spans="1:30" x14ac:dyDescent="0.2">
      <c r="A2525" t="str">
        <f t="shared" si="238"/>
        <v/>
      </c>
      <c r="X2525" t="str" cm="1">
        <f t="array" ref="X2525">IF(S2525="","",IF($I2525&lt;&gt;"",$I2525,INDEX($I$2:$I2524,ROW()-COUNTIFS($T$2:$T2524,"="&amp;$T2525,$S$2:$S2524,"&lt;&gt;"&amp;$S2525)-1)))</f>
        <v/>
      </c>
      <c r="Y2525" t="b">
        <f>IF(X2525&lt;&gt;"",VLOOKUP(X2525,game_rosters!$C$43:$E$64,3,FALSE))</f>
        <v>0</v>
      </c>
      <c r="Z2525" t="e" cm="1" vm="1">
        <f t="array" aca="1" ref="Z2525" ca="1">IFERROR(IF(_xlfn._xlws.FILTER(game_rosters!$J:$J,(game_rosters!$G:$G=events!$AN2525)*(game_rosters!$J:$J=events!$X2525))&gt;0,1,""),"")</f>
        <v>#VALUE!</v>
      </c>
      <c r="AA2525">
        <f t="shared" ref="AA2525:AA2588" si="239">S2525+1000</f>
        <v>1000</v>
      </c>
      <c r="AB2525" t="str">
        <f t="shared" ref="AB2525:AB2588" si="240">IF(T2525&lt;&gt;"",9000+T2525,"")</f>
        <v/>
      </c>
      <c r="AC2525">
        <f t="shared" si="237"/>
        <v>1000</v>
      </c>
      <c r="AD2525" s="6"/>
    </row>
    <row r="2526" spans="1:30" x14ac:dyDescent="0.2">
      <c r="A2526" t="str">
        <f t="shared" si="238"/>
        <v/>
      </c>
      <c r="X2526" t="str" cm="1">
        <f t="array" ref="X2526">IF(S2526="","",IF($I2526&lt;&gt;"",$I2526,INDEX($I$2:$I2525,ROW()-COUNTIFS($T$2:$T2525,"="&amp;$T2526,$S$2:$S2525,"&lt;&gt;"&amp;$S2526)-1)))</f>
        <v/>
      </c>
      <c r="Y2526" t="b">
        <f>IF(X2526&lt;&gt;"",VLOOKUP(X2526,game_rosters!$C$43:$E$64,3,FALSE))</f>
        <v>0</v>
      </c>
      <c r="Z2526" t="e" cm="1" vm="1">
        <f t="array" aca="1" ref="Z2526" ca="1">IFERROR(IF(_xlfn._xlws.FILTER(game_rosters!$J:$J,(game_rosters!$G:$G=events!$AN2526)*(game_rosters!$J:$J=events!$X2526))&gt;0,1,""),"")</f>
        <v>#VALUE!</v>
      </c>
      <c r="AA2526">
        <f t="shared" si="239"/>
        <v>1000</v>
      </c>
      <c r="AB2526" t="str">
        <f t="shared" si="240"/>
        <v/>
      </c>
      <c r="AC2526">
        <f t="shared" si="237"/>
        <v>1000</v>
      </c>
      <c r="AD2526" s="6"/>
    </row>
    <row r="2527" spans="1:30" x14ac:dyDescent="0.2">
      <c r="A2527" t="str">
        <f t="shared" si="238"/>
        <v/>
      </c>
      <c r="X2527" t="str" cm="1">
        <f t="array" ref="X2527">IF(S2527="","",IF($I2527&lt;&gt;"",$I2527,INDEX($I$2:$I2526,ROW()-COUNTIFS($T$2:$T2526,"="&amp;$T2527,$S$2:$S2526,"&lt;&gt;"&amp;$S2527)-1)))</f>
        <v/>
      </c>
      <c r="Y2527" t="b">
        <f>IF(X2527&lt;&gt;"",VLOOKUP(X2527,game_rosters!$C$43:$E$64,3,FALSE))</f>
        <v>0</v>
      </c>
      <c r="Z2527" t="e" cm="1" vm="1">
        <f t="array" aca="1" ref="Z2527" ca="1">IFERROR(IF(_xlfn._xlws.FILTER(game_rosters!$J:$J,(game_rosters!$G:$G=events!$AN2527)*(game_rosters!$J:$J=events!$X2527))&gt;0,1,""),"")</f>
        <v>#VALUE!</v>
      </c>
      <c r="AA2527">
        <f t="shared" si="239"/>
        <v>1000</v>
      </c>
      <c r="AB2527" t="str">
        <f t="shared" si="240"/>
        <v/>
      </c>
      <c r="AC2527">
        <f t="shared" si="237"/>
        <v>1000</v>
      </c>
      <c r="AD2527" s="6"/>
    </row>
    <row r="2528" spans="1:30" x14ac:dyDescent="0.2">
      <c r="A2528" t="str">
        <f t="shared" si="238"/>
        <v/>
      </c>
      <c r="X2528" t="str" cm="1">
        <f t="array" ref="X2528">IF(S2528="","",IF($I2528&lt;&gt;"",$I2528,INDEX($I$2:$I2527,ROW()-COUNTIFS($T$2:$T2527,"="&amp;$T2528,$S$2:$S2527,"&lt;&gt;"&amp;$S2528)-1)))</f>
        <v/>
      </c>
      <c r="Y2528" t="b">
        <f>IF(X2528&lt;&gt;"",VLOOKUP(X2528,game_rosters!$C$43:$E$64,3,FALSE))</f>
        <v>0</v>
      </c>
      <c r="Z2528" t="e" cm="1" vm="1">
        <f t="array" aca="1" ref="Z2528" ca="1">IFERROR(IF(_xlfn._xlws.FILTER(game_rosters!$J:$J,(game_rosters!$G:$G=events!$AN2528)*(game_rosters!$J:$J=events!$X2528))&gt;0,1,""),"")</f>
        <v>#VALUE!</v>
      </c>
      <c r="AA2528">
        <f t="shared" si="239"/>
        <v>1000</v>
      </c>
      <c r="AB2528" t="str">
        <f t="shared" si="240"/>
        <v/>
      </c>
      <c r="AC2528">
        <f t="shared" si="237"/>
        <v>1000</v>
      </c>
      <c r="AD2528" s="6"/>
    </row>
    <row r="2529" spans="1:30" x14ac:dyDescent="0.2">
      <c r="A2529" t="str">
        <f t="shared" si="238"/>
        <v/>
      </c>
      <c r="X2529" t="str" cm="1">
        <f t="array" ref="X2529">IF(S2529="","",IF($I2529&lt;&gt;"",$I2529,INDEX($I$2:$I2528,ROW()-COUNTIFS($T$2:$T2528,"="&amp;$T2529,$S$2:$S2528,"&lt;&gt;"&amp;$S2529)-1)))</f>
        <v/>
      </c>
      <c r="Y2529" t="b">
        <f>IF(X2529&lt;&gt;"",VLOOKUP(X2529,game_rosters!$C$43:$E$64,3,FALSE))</f>
        <v>0</v>
      </c>
      <c r="Z2529" t="e" cm="1" vm="1">
        <f t="array" aca="1" ref="Z2529" ca="1">IFERROR(IF(_xlfn._xlws.FILTER(game_rosters!$J:$J,(game_rosters!$G:$G=events!$AN2529)*(game_rosters!$J:$J=events!$X2529))&gt;0,1,""),"")</f>
        <v>#VALUE!</v>
      </c>
      <c r="AA2529">
        <f t="shared" si="239"/>
        <v>1000</v>
      </c>
      <c r="AB2529" t="str">
        <f t="shared" si="240"/>
        <v/>
      </c>
      <c r="AC2529">
        <f t="shared" si="237"/>
        <v>1000</v>
      </c>
      <c r="AD2529" s="6"/>
    </row>
    <row r="2530" spans="1:30" x14ac:dyDescent="0.2">
      <c r="A2530" t="str">
        <f t="shared" si="238"/>
        <v/>
      </c>
      <c r="X2530" t="str" cm="1">
        <f t="array" ref="X2530">IF(S2530="","",IF($I2530&lt;&gt;"",$I2530,INDEX($I$2:$I2529,ROW()-COUNTIFS($T$2:$T2529,"="&amp;$T2530,$S$2:$S2529,"&lt;&gt;"&amp;$S2530)-1)))</f>
        <v/>
      </c>
      <c r="Y2530" t="b">
        <f>IF(X2530&lt;&gt;"",VLOOKUP(X2530,game_rosters!$C$43:$E$64,3,FALSE))</f>
        <v>0</v>
      </c>
      <c r="Z2530" t="e" cm="1" vm="1">
        <f t="array" aca="1" ref="Z2530" ca="1">IFERROR(IF(_xlfn._xlws.FILTER(game_rosters!$J:$J,(game_rosters!$G:$G=events!$AN2530)*(game_rosters!$J:$J=events!$X2530))&gt;0,1,""),"")</f>
        <v>#VALUE!</v>
      </c>
      <c r="AA2530">
        <f t="shared" si="239"/>
        <v>1000</v>
      </c>
      <c r="AB2530" t="str">
        <f t="shared" si="240"/>
        <v/>
      </c>
      <c r="AC2530">
        <f t="shared" si="237"/>
        <v>1000</v>
      </c>
      <c r="AD2530" s="6"/>
    </row>
    <row r="2531" spans="1:30" x14ac:dyDescent="0.2">
      <c r="A2531" t="str">
        <f t="shared" si="238"/>
        <v/>
      </c>
      <c r="X2531" t="str" cm="1">
        <f t="array" ref="X2531">IF(S2531="","",IF($I2531&lt;&gt;"",$I2531,INDEX($I$2:$I2530,ROW()-COUNTIFS($T$2:$T2530,"="&amp;$T2531,$S$2:$S2530,"&lt;&gt;"&amp;$S2531)-1)))</f>
        <v/>
      </c>
      <c r="Y2531" t="b">
        <f>IF(X2531&lt;&gt;"",VLOOKUP(X2531,game_rosters!$C$43:$E$64,3,FALSE))</f>
        <v>0</v>
      </c>
      <c r="Z2531" t="e" cm="1" vm="1">
        <f t="array" aca="1" ref="Z2531" ca="1">IFERROR(IF(_xlfn._xlws.FILTER(game_rosters!$J:$J,(game_rosters!$G:$G=events!$AN2531)*(game_rosters!$J:$J=events!$X2531))&gt;0,1,""),"")</f>
        <v>#VALUE!</v>
      </c>
      <c r="AA2531">
        <f t="shared" si="239"/>
        <v>1000</v>
      </c>
      <c r="AB2531" t="str">
        <f t="shared" si="240"/>
        <v/>
      </c>
      <c r="AC2531">
        <f t="shared" si="237"/>
        <v>1000</v>
      </c>
      <c r="AD2531" s="6"/>
    </row>
    <row r="2532" spans="1:30" x14ac:dyDescent="0.2">
      <c r="A2532" t="str">
        <f t="shared" si="238"/>
        <v/>
      </c>
      <c r="X2532" t="str" cm="1">
        <f t="array" ref="X2532">IF(S2532="","",IF($I2532&lt;&gt;"",$I2532,INDEX($I$2:$I2531,ROW()-COUNTIFS($T$2:$T2531,"="&amp;$T2532,$S$2:$S2531,"&lt;&gt;"&amp;$S2532)-1)))</f>
        <v/>
      </c>
      <c r="Y2532" t="b">
        <f>IF(X2532&lt;&gt;"",VLOOKUP(X2532,game_rosters!$C$43:$E$64,3,FALSE))</f>
        <v>0</v>
      </c>
      <c r="Z2532" t="e" cm="1" vm="1">
        <f t="array" aca="1" ref="Z2532" ca="1">IFERROR(IF(_xlfn._xlws.FILTER(game_rosters!$J:$J,(game_rosters!$G:$G=events!$AN2532)*(game_rosters!$J:$J=events!$X2532))&gt;0,1,""),"")</f>
        <v>#VALUE!</v>
      </c>
      <c r="AA2532">
        <f t="shared" si="239"/>
        <v>1000</v>
      </c>
      <c r="AB2532" t="str">
        <f t="shared" si="240"/>
        <v/>
      </c>
      <c r="AC2532">
        <f t="shared" si="237"/>
        <v>1000</v>
      </c>
      <c r="AD2532" s="6"/>
    </row>
    <row r="2533" spans="1:30" x14ac:dyDescent="0.2">
      <c r="A2533" t="str">
        <f t="shared" si="238"/>
        <v/>
      </c>
      <c r="X2533" t="str" cm="1">
        <f t="array" ref="X2533">IF(S2533="","",IF($I2533&lt;&gt;"",$I2533,INDEX($I$2:$I2532,ROW()-COUNTIFS($T$2:$T2532,"="&amp;$T2533,$S$2:$S2532,"&lt;&gt;"&amp;$S2533)-1)))</f>
        <v/>
      </c>
      <c r="Y2533" t="b">
        <f>IF(X2533&lt;&gt;"",VLOOKUP(X2533,game_rosters!$C$43:$E$64,3,FALSE))</f>
        <v>0</v>
      </c>
      <c r="Z2533" t="e" cm="1" vm="1">
        <f t="array" aca="1" ref="Z2533" ca="1">IFERROR(IF(_xlfn._xlws.FILTER(game_rosters!$J:$J,(game_rosters!$G:$G=events!$AN2533)*(game_rosters!$J:$J=events!$X2533))&gt;0,1,""),"")</f>
        <v>#VALUE!</v>
      </c>
      <c r="AA2533">
        <f t="shared" si="239"/>
        <v>1000</v>
      </c>
      <c r="AB2533" t="str">
        <f t="shared" si="240"/>
        <v/>
      </c>
      <c r="AC2533">
        <f t="shared" si="237"/>
        <v>1000</v>
      </c>
      <c r="AD2533" s="6"/>
    </row>
    <row r="2534" spans="1:30" x14ac:dyDescent="0.2">
      <c r="A2534" t="str">
        <f t="shared" si="238"/>
        <v/>
      </c>
      <c r="X2534" t="str" cm="1">
        <f t="array" ref="X2534">IF(S2534="","",IF($I2534&lt;&gt;"",$I2534,INDEX($I$2:$I2533,ROW()-COUNTIFS($T$2:$T2533,"="&amp;$T2534,$S$2:$S2533,"&lt;&gt;"&amp;$S2534)-1)))</f>
        <v/>
      </c>
      <c r="Y2534" t="b">
        <f>IF(X2534&lt;&gt;"",VLOOKUP(X2534,game_rosters!$C$43:$E$64,3,FALSE))</f>
        <v>0</v>
      </c>
      <c r="Z2534" t="e" cm="1" vm="1">
        <f t="array" aca="1" ref="Z2534" ca="1">IFERROR(IF(_xlfn._xlws.FILTER(game_rosters!$J:$J,(game_rosters!$G:$G=events!$AN2534)*(game_rosters!$J:$J=events!$X2534))&gt;0,1,""),"")</f>
        <v>#VALUE!</v>
      </c>
      <c r="AA2534">
        <f t="shared" si="239"/>
        <v>1000</v>
      </c>
      <c r="AB2534" t="str">
        <f t="shared" si="240"/>
        <v/>
      </c>
      <c r="AC2534">
        <f t="shared" si="237"/>
        <v>1000</v>
      </c>
      <c r="AD2534" s="6"/>
    </row>
    <row r="2535" spans="1:30" x14ac:dyDescent="0.2">
      <c r="A2535" t="str">
        <f t="shared" si="238"/>
        <v/>
      </c>
      <c r="X2535" t="str" cm="1">
        <f t="array" ref="X2535">IF(S2535="","",IF($I2535&lt;&gt;"",$I2535,INDEX($I$2:$I2534,ROW()-COUNTIFS($T$2:$T2534,"="&amp;$T2535,$S$2:$S2534,"&lt;&gt;"&amp;$S2535)-1)))</f>
        <v/>
      </c>
      <c r="Y2535" t="b">
        <f>IF(X2535&lt;&gt;"",VLOOKUP(X2535,game_rosters!$C$43:$E$64,3,FALSE))</f>
        <v>0</v>
      </c>
      <c r="Z2535" t="e" cm="1" vm="1">
        <f t="array" aca="1" ref="Z2535" ca="1">IFERROR(IF(_xlfn._xlws.FILTER(game_rosters!$J:$J,(game_rosters!$G:$G=events!$AN2535)*(game_rosters!$J:$J=events!$X2535))&gt;0,1,""),"")</f>
        <v>#VALUE!</v>
      </c>
      <c r="AA2535">
        <f t="shared" si="239"/>
        <v>1000</v>
      </c>
      <c r="AB2535" t="str">
        <f t="shared" si="240"/>
        <v/>
      </c>
      <c r="AC2535">
        <f t="shared" si="237"/>
        <v>1000</v>
      </c>
      <c r="AD2535" s="6"/>
    </row>
    <row r="2536" spans="1:30" x14ac:dyDescent="0.2">
      <c r="A2536" t="str">
        <f t="shared" si="238"/>
        <v/>
      </c>
      <c r="X2536" t="str" cm="1">
        <f t="array" ref="X2536">IF(S2536="","",IF($I2536&lt;&gt;"",$I2536,INDEX($I$2:$I2535,ROW()-COUNTIFS($T$2:$T2535,"="&amp;$T2536,$S$2:$S2535,"&lt;&gt;"&amp;$S2536)-1)))</f>
        <v/>
      </c>
      <c r="Y2536" t="b">
        <f>IF(X2536&lt;&gt;"",VLOOKUP(X2536,game_rosters!$C$43:$E$64,3,FALSE))</f>
        <v>0</v>
      </c>
      <c r="Z2536" t="e" cm="1" vm="1">
        <f t="array" aca="1" ref="Z2536" ca="1">IFERROR(IF(_xlfn._xlws.FILTER(game_rosters!$J:$J,(game_rosters!$G:$G=events!$AN2536)*(game_rosters!$J:$J=events!$X2536))&gt;0,1,""),"")</f>
        <v>#VALUE!</v>
      </c>
      <c r="AA2536">
        <f t="shared" si="239"/>
        <v>1000</v>
      </c>
      <c r="AB2536" t="str">
        <f t="shared" si="240"/>
        <v/>
      </c>
      <c r="AC2536">
        <f t="shared" si="237"/>
        <v>1000</v>
      </c>
      <c r="AD2536" s="6"/>
    </row>
    <row r="2537" spans="1:30" x14ac:dyDescent="0.2">
      <c r="A2537" t="str">
        <f t="shared" si="238"/>
        <v/>
      </c>
      <c r="X2537" t="str" cm="1">
        <f t="array" ref="X2537">IF(S2537="","",IF($I2537&lt;&gt;"",$I2537,INDEX($I$2:$I2536,ROW()-COUNTIFS($T$2:$T2536,"="&amp;$T2537,$S$2:$S2536,"&lt;&gt;"&amp;$S2537)-1)))</f>
        <v/>
      </c>
      <c r="Y2537" t="b">
        <f>IF(X2537&lt;&gt;"",VLOOKUP(X2537,game_rosters!$C$43:$E$64,3,FALSE))</f>
        <v>0</v>
      </c>
      <c r="Z2537" t="e" cm="1" vm="1">
        <f t="array" aca="1" ref="Z2537" ca="1">IFERROR(IF(_xlfn._xlws.FILTER(game_rosters!$J:$J,(game_rosters!$G:$G=events!$AN2537)*(game_rosters!$J:$J=events!$X2537))&gt;0,1,""),"")</f>
        <v>#VALUE!</v>
      </c>
      <c r="AA2537">
        <f t="shared" si="239"/>
        <v>1000</v>
      </c>
      <c r="AB2537" t="str">
        <f t="shared" si="240"/>
        <v/>
      </c>
      <c r="AC2537">
        <f t="shared" si="237"/>
        <v>1000</v>
      </c>
      <c r="AD2537" s="6"/>
    </row>
    <row r="2538" spans="1:30" x14ac:dyDescent="0.2">
      <c r="A2538" t="str">
        <f t="shared" si="238"/>
        <v/>
      </c>
      <c r="X2538" t="str" cm="1">
        <f t="array" ref="X2538">IF(S2538="","",IF($I2538&lt;&gt;"",$I2538,INDEX($I$2:$I2537,ROW()-COUNTIFS($T$2:$T2537,"="&amp;$T2538,$S$2:$S2537,"&lt;&gt;"&amp;$S2538)-1)))</f>
        <v/>
      </c>
      <c r="Y2538" t="b">
        <f>IF(X2538&lt;&gt;"",VLOOKUP(X2538,game_rosters!$C$43:$E$64,3,FALSE))</f>
        <v>0</v>
      </c>
      <c r="Z2538" t="e" cm="1" vm="1">
        <f t="array" aca="1" ref="Z2538" ca="1">IFERROR(IF(_xlfn._xlws.FILTER(game_rosters!$J:$J,(game_rosters!$G:$G=events!$AN2538)*(game_rosters!$J:$J=events!$X2538))&gt;0,1,""),"")</f>
        <v>#VALUE!</v>
      </c>
      <c r="AA2538">
        <f t="shared" si="239"/>
        <v>1000</v>
      </c>
      <c r="AB2538" t="str">
        <f t="shared" si="240"/>
        <v/>
      </c>
      <c r="AC2538">
        <f t="shared" si="237"/>
        <v>1000</v>
      </c>
      <c r="AD2538" s="6"/>
    </row>
    <row r="2539" spans="1:30" x14ac:dyDescent="0.2">
      <c r="A2539" t="str">
        <f t="shared" si="238"/>
        <v/>
      </c>
      <c r="X2539" t="str" cm="1">
        <f t="array" ref="X2539">IF(S2539="","",IF($I2539&lt;&gt;"",$I2539,INDEX($I$2:$I2538,ROW()-COUNTIFS($T$2:$T2538,"="&amp;$T2539,$S$2:$S2538,"&lt;&gt;"&amp;$S2539)-1)))</f>
        <v/>
      </c>
      <c r="Y2539" t="b">
        <f>IF(X2539&lt;&gt;"",VLOOKUP(X2539,game_rosters!$C$43:$E$64,3,FALSE))</f>
        <v>0</v>
      </c>
      <c r="Z2539" t="e" cm="1" vm="1">
        <f t="array" aca="1" ref="Z2539" ca="1">IFERROR(IF(_xlfn._xlws.FILTER(game_rosters!$J:$J,(game_rosters!$G:$G=events!$AN2539)*(game_rosters!$J:$J=events!$X2539))&gt;0,1,""),"")</f>
        <v>#VALUE!</v>
      </c>
      <c r="AA2539">
        <f t="shared" si="239"/>
        <v>1000</v>
      </c>
      <c r="AB2539" t="str">
        <f t="shared" si="240"/>
        <v/>
      </c>
      <c r="AC2539">
        <f t="shared" si="237"/>
        <v>1000</v>
      </c>
      <c r="AD2539" s="6"/>
    </row>
    <row r="2540" spans="1:30" x14ac:dyDescent="0.2">
      <c r="A2540" t="str">
        <f t="shared" si="238"/>
        <v/>
      </c>
      <c r="X2540" t="str" cm="1">
        <f t="array" ref="X2540">IF(S2540="","",IF($I2540&lt;&gt;"",$I2540,INDEX($I$2:$I2539,ROW()-COUNTIFS($T$2:$T2539,"="&amp;$T2540,$S$2:$S2539,"&lt;&gt;"&amp;$S2540)-1)))</f>
        <v/>
      </c>
      <c r="Y2540" t="b">
        <f>IF(X2540&lt;&gt;"",VLOOKUP(X2540,game_rosters!$C$43:$E$64,3,FALSE))</f>
        <v>0</v>
      </c>
      <c r="Z2540" t="e" cm="1" vm="1">
        <f t="array" aca="1" ref="Z2540" ca="1">IFERROR(IF(_xlfn._xlws.FILTER(game_rosters!$J:$J,(game_rosters!$G:$G=events!$AN2540)*(game_rosters!$J:$J=events!$X2540))&gt;0,1,""),"")</f>
        <v>#VALUE!</v>
      </c>
      <c r="AA2540">
        <f t="shared" si="239"/>
        <v>1000</v>
      </c>
      <c r="AB2540" t="str">
        <f t="shared" si="240"/>
        <v/>
      </c>
      <c r="AC2540">
        <f t="shared" si="237"/>
        <v>1000</v>
      </c>
      <c r="AD2540" s="6"/>
    </row>
    <row r="2541" spans="1:30" x14ac:dyDescent="0.2">
      <c r="A2541" t="str">
        <f t="shared" si="238"/>
        <v/>
      </c>
      <c r="X2541" t="str" cm="1">
        <f t="array" ref="X2541">IF(S2541="","",IF($I2541&lt;&gt;"",$I2541,INDEX($I$2:$I2540,ROW()-COUNTIFS($T$2:$T2540,"="&amp;$T2541,$S$2:$S2540,"&lt;&gt;"&amp;$S2541)-1)))</f>
        <v/>
      </c>
      <c r="Y2541" t="b">
        <f>IF(X2541&lt;&gt;"",VLOOKUP(X2541,game_rosters!$C$43:$E$64,3,FALSE))</f>
        <v>0</v>
      </c>
      <c r="Z2541" t="e" cm="1" vm="1">
        <f t="array" aca="1" ref="Z2541" ca="1">IFERROR(IF(_xlfn._xlws.FILTER(game_rosters!$J:$J,(game_rosters!$G:$G=events!$AN2541)*(game_rosters!$J:$J=events!$X2541))&gt;0,1,""),"")</f>
        <v>#VALUE!</v>
      </c>
      <c r="AA2541">
        <f t="shared" si="239"/>
        <v>1000</v>
      </c>
      <c r="AB2541" t="str">
        <f t="shared" si="240"/>
        <v/>
      </c>
      <c r="AC2541">
        <f t="shared" si="237"/>
        <v>1000</v>
      </c>
      <c r="AD2541" s="6"/>
    </row>
    <row r="2542" spans="1:30" x14ac:dyDescent="0.2">
      <c r="A2542" t="str">
        <f t="shared" si="238"/>
        <v/>
      </c>
      <c r="X2542" t="str" cm="1">
        <f t="array" ref="X2542">IF(S2542="","",IF($I2542&lt;&gt;"",$I2542,INDEX($I$2:$I2541,ROW()-COUNTIFS($T$2:$T2541,"="&amp;$T2542,$S$2:$S2541,"&lt;&gt;"&amp;$S2542)-1)))</f>
        <v/>
      </c>
      <c r="Y2542" t="b">
        <f>IF(X2542&lt;&gt;"",VLOOKUP(X2542,game_rosters!$C$43:$E$64,3,FALSE))</f>
        <v>0</v>
      </c>
      <c r="Z2542" t="e" cm="1" vm="1">
        <f t="array" aca="1" ref="Z2542" ca="1">IFERROR(IF(_xlfn._xlws.FILTER(game_rosters!$J:$J,(game_rosters!$G:$G=events!$AN2542)*(game_rosters!$J:$J=events!$X2542))&gt;0,1,""),"")</f>
        <v>#VALUE!</v>
      </c>
      <c r="AA2542">
        <f t="shared" si="239"/>
        <v>1000</v>
      </c>
      <c r="AB2542" t="str">
        <f t="shared" si="240"/>
        <v/>
      </c>
      <c r="AC2542">
        <f t="shared" si="237"/>
        <v>1000</v>
      </c>
      <c r="AD2542" s="6"/>
    </row>
    <row r="2543" spans="1:30" x14ac:dyDescent="0.2">
      <c r="A2543" t="str">
        <f t="shared" si="238"/>
        <v/>
      </c>
      <c r="X2543" t="str" cm="1">
        <f t="array" ref="X2543">IF(S2543="","",IF($I2543&lt;&gt;"",$I2543,INDEX($I$2:$I2542,ROW()-COUNTIFS($T$2:$T2542,"="&amp;$T2543,$S$2:$S2542,"&lt;&gt;"&amp;$S2543)-1)))</f>
        <v/>
      </c>
      <c r="Y2543" t="b">
        <f>IF(X2543&lt;&gt;"",VLOOKUP(X2543,game_rosters!$C$43:$E$64,3,FALSE))</f>
        <v>0</v>
      </c>
      <c r="Z2543" t="e" cm="1" vm="1">
        <f t="array" aca="1" ref="Z2543" ca="1">IFERROR(IF(_xlfn._xlws.FILTER(game_rosters!$J:$J,(game_rosters!$G:$G=events!$AN2543)*(game_rosters!$J:$J=events!$X2543))&gt;0,1,""),"")</f>
        <v>#VALUE!</v>
      </c>
      <c r="AA2543">
        <f t="shared" si="239"/>
        <v>1000</v>
      </c>
      <c r="AB2543" t="str">
        <f t="shared" si="240"/>
        <v/>
      </c>
      <c r="AC2543">
        <f t="shared" si="237"/>
        <v>1000</v>
      </c>
      <c r="AD2543" s="6"/>
    </row>
    <row r="2544" spans="1:30" x14ac:dyDescent="0.2">
      <c r="A2544" t="str">
        <f t="shared" si="238"/>
        <v/>
      </c>
      <c r="X2544" t="str" cm="1">
        <f t="array" ref="X2544">IF(S2544="","",IF($I2544&lt;&gt;"",$I2544,INDEX($I$2:$I2543,ROW()-COUNTIFS($T$2:$T2543,"="&amp;$T2544,$S$2:$S2543,"&lt;&gt;"&amp;$S2544)-1)))</f>
        <v/>
      </c>
      <c r="Y2544" t="b">
        <f>IF(X2544&lt;&gt;"",VLOOKUP(X2544,game_rosters!$C$43:$E$64,3,FALSE))</f>
        <v>0</v>
      </c>
      <c r="Z2544" t="e" cm="1" vm="1">
        <f t="array" aca="1" ref="Z2544" ca="1">IFERROR(IF(_xlfn._xlws.FILTER(game_rosters!$J:$J,(game_rosters!$G:$G=events!$AN2544)*(game_rosters!$J:$J=events!$X2544))&gt;0,1,""),"")</f>
        <v>#VALUE!</v>
      </c>
      <c r="AA2544">
        <f t="shared" si="239"/>
        <v>1000</v>
      </c>
      <c r="AB2544" t="str">
        <f t="shared" si="240"/>
        <v/>
      </c>
      <c r="AC2544">
        <f t="shared" si="237"/>
        <v>1000</v>
      </c>
      <c r="AD2544" s="6"/>
    </row>
    <row r="2545" spans="1:30" x14ac:dyDescent="0.2">
      <c r="A2545" t="str">
        <f t="shared" si="238"/>
        <v/>
      </c>
      <c r="X2545" t="str" cm="1">
        <f t="array" ref="X2545">IF(S2545="","",IF($I2545&lt;&gt;"",$I2545,INDEX($I$2:$I2544,ROW()-COUNTIFS($T$2:$T2544,"="&amp;$T2545,$S$2:$S2544,"&lt;&gt;"&amp;$S2545)-1)))</f>
        <v/>
      </c>
      <c r="Y2545" t="b">
        <f>IF(X2545&lt;&gt;"",VLOOKUP(X2545,game_rosters!$C$43:$E$64,3,FALSE))</f>
        <v>0</v>
      </c>
      <c r="Z2545" t="e" cm="1" vm="1">
        <f t="array" aca="1" ref="Z2545" ca="1">IFERROR(IF(_xlfn._xlws.FILTER(game_rosters!$J:$J,(game_rosters!$G:$G=events!$AN2545)*(game_rosters!$J:$J=events!$X2545))&gt;0,1,""),"")</f>
        <v>#VALUE!</v>
      </c>
      <c r="AA2545">
        <f t="shared" si="239"/>
        <v>1000</v>
      </c>
      <c r="AB2545" t="str">
        <f t="shared" si="240"/>
        <v/>
      </c>
      <c r="AC2545">
        <f t="shared" si="237"/>
        <v>1000</v>
      </c>
      <c r="AD2545" s="6"/>
    </row>
    <row r="2546" spans="1:30" x14ac:dyDescent="0.2">
      <c r="A2546" t="str">
        <f t="shared" si="238"/>
        <v/>
      </c>
      <c r="X2546" t="str" cm="1">
        <f t="array" ref="X2546">IF(S2546="","",IF($I2546&lt;&gt;"",$I2546,INDEX($I$2:$I2545,ROW()-COUNTIFS($T$2:$T2545,"="&amp;$T2546,$S$2:$S2545,"&lt;&gt;"&amp;$S2546)-1)))</f>
        <v/>
      </c>
      <c r="Y2546" t="b">
        <f>IF(X2546&lt;&gt;"",VLOOKUP(X2546,game_rosters!$C$43:$E$64,3,FALSE))</f>
        <v>0</v>
      </c>
      <c r="Z2546" t="e" cm="1" vm="1">
        <f t="array" aca="1" ref="Z2546" ca="1">IFERROR(IF(_xlfn._xlws.FILTER(game_rosters!$J:$J,(game_rosters!$G:$G=events!$AN2546)*(game_rosters!$J:$J=events!$X2546))&gt;0,1,""),"")</f>
        <v>#VALUE!</v>
      </c>
      <c r="AA2546">
        <f t="shared" si="239"/>
        <v>1000</v>
      </c>
      <c r="AB2546" t="str">
        <f t="shared" si="240"/>
        <v/>
      </c>
      <c r="AC2546">
        <f t="shared" si="237"/>
        <v>1000</v>
      </c>
      <c r="AD2546" s="6"/>
    </row>
    <row r="2547" spans="1:30" x14ac:dyDescent="0.2">
      <c r="A2547" t="str">
        <f t="shared" si="238"/>
        <v/>
      </c>
      <c r="X2547" t="str" cm="1">
        <f t="array" ref="X2547">IF(S2547="","",IF($I2547&lt;&gt;"",$I2547,INDEX($I$2:$I2546,ROW()-COUNTIFS($T$2:$T2546,"="&amp;$T2547,$S$2:$S2546,"&lt;&gt;"&amp;$S2547)-1)))</f>
        <v/>
      </c>
      <c r="Y2547" t="b">
        <f>IF(X2547&lt;&gt;"",VLOOKUP(X2547,game_rosters!$C$43:$E$64,3,FALSE))</f>
        <v>0</v>
      </c>
      <c r="Z2547" t="e" cm="1" vm="1">
        <f t="array" aca="1" ref="Z2547" ca="1">IFERROR(IF(_xlfn._xlws.FILTER(game_rosters!$J:$J,(game_rosters!$G:$G=events!$AN2547)*(game_rosters!$J:$J=events!$X2547))&gt;0,1,""),"")</f>
        <v>#VALUE!</v>
      </c>
      <c r="AA2547">
        <f t="shared" si="239"/>
        <v>1000</v>
      </c>
      <c r="AB2547" t="str">
        <f t="shared" si="240"/>
        <v/>
      </c>
      <c r="AC2547">
        <f t="shared" si="237"/>
        <v>1000</v>
      </c>
      <c r="AD2547" s="6"/>
    </row>
    <row r="2548" spans="1:30" x14ac:dyDescent="0.2">
      <c r="A2548" t="str">
        <f t="shared" si="238"/>
        <v/>
      </c>
      <c r="X2548" t="str" cm="1">
        <f t="array" ref="X2548">IF(S2548="","",IF($I2548&lt;&gt;"",$I2548,INDEX($I$2:$I2547,ROW()-COUNTIFS($T$2:$T2547,"="&amp;$T2548,$S$2:$S2547,"&lt;&gt;"&amp;$S2548)-1)))</f>
        <v/>
      </c>
      <c r="Y2548" t="b">
        <f>IF(X2548&lt;&gt;"",VLOOKUP(X2548,game_rosters!$C$43:$E$64,3,FALSE))</f>
        <v>0</v>
      </c>
      <c r="Z2548" t="e" cm="1" vm="1">
        <f t="array" aca="1" ref="Z2548" ca="1">IFERROR(IF(_xlfn._xlws.FILTER(game_rosters!$J:$J,(game_rosters!$G:$G=events!$AN2548)*(game_rosters!$J:$J=events!$X2548))&gt;0,1,""),"")</f>
        <v>#VALUE!</v>
      </c>
      <c r="AA2548">
        <f t="shared" si="239"/>
        <v>1000</v>
      </c>
      <c r="AB2548" t="str">
        <f t="shared" si="240"/>
        <v/>
      </c>
      <c r="AC2548">
        <f t="shared" si="237"/>
        <v>1000</v>
      </c>
      <c r="AD2548" s="6"/>
    </row>
    <row r="2549" spans="1:30" x14ac:dyDescent="0.2">
      <c r="A2549" t="str">
        <f t="shared" si="238"/>
        <v/>
      </c>
      <c r="X2549" t="str" cm="1">
        <f t="array" ref="X2549">IF(S2549="","",IF($I2549&lt;&gt;"",$I2549,INDEX($I$2:$I2548,ROW()-COUNTIFS($T$2:$T2548,"="&amp;$T2549,$S$2:$S2548,"&lt;&gt;"&amp;$S2549)-1)))</f>
        <v/>
      </c>
      <c r="Y2549" t="b">
        <f>IF(X2549&lt;&gt;"",VLOOKUP(X2549,game_rosters!$C$43:$E$64,3,FALSE))</f>
        <v>0</v>
      </c>
      <c r="Z2549" t="e" cm="1" vm="1">
        <f t="array" aca="1" ref="Z2549" ca="1">IFERROR(IF(_xlfn._xlws.FILTER(game_rosters!$J:$J,(game_rosters!$G:$G=events!$AN2549)*(game_rosters!$J:$J=events!$X2549))&gt;0,1,""),"")</f>
        <v>#VALUE!</v>
      </c>
      <c r="AA2549">
        <f t="shared" si="239"/>
        <v>1000</v>
      </c>
      <c r="AB2549" t="str">
        <f t="shared" si="240"/>
        <v/>
      </c>
      <c r="AC2549">
        <f t="shared" si="237"/>
        <v>1000</v>
      </c>
      <c r="AD2549" s="6"/>
    </row>
    <row r="2550" spans="1:30" x14ac:dyDescent="0.2">
      <c r="A2550" t="str">
        <f t="shared" si="238"/>
        <v/>
      </c>
      <c r="X2550" t="str" cm="1">
        <f t="array" ref="X2550">IF(S2550="","",IF($I2550&lt;&gt;"",$I2550,INDEX($I$2:$I2549,ROW()-COUNTIFS($T$2:$T2549,"="&amp;$T2550,$S$2:$S2549,"&lt;&gt;"&amp;$S2550)-1)))</f>
        <v/>
      </c>
      <c r="Y2550" t="b">
        <f>IF(X2550&lt;&gt;"",VLOOKUP(X2550,game_rosters!$C$43:$E$64,3,FALSE))</f>
        <v>0</v>
      </c>
      <c r="Z2550" t="e" cm="1" vm="1">
        <f t="array" aca="1" ref="Z2550" ca="1">IFERROR(IF(_xlfn._xlws.FILTER(game_rosters!$J:$J,(game_rosters!$G:$G=events!$AN2550)*(game_rosters!$J:$J=events!$X2550))&gt;0,1,""),"")</f>
        <v>#VALUE!</v>
      </c>
      <c r="AA2550">
        <f t="shared" si="239"/>
        <v>1000</v>
      </c>
      <c r="AB2550" t="str">
        <f t="shared" si="240"/>
        <v/>
      </c>
      <c r="AC2550">
        <f t="shared" si="237"/>
        <v>1000</v>
      </c>
      <c r="AD2550" s="6"/>
    </row>
    <row r="2551" spans="1:30" x14ac:dyDescent="0.2">
      <c r="A2551" t="str">
        <f t="shared" si="238"/>
        <v/>
      </c>
      <c r="X2551" t="str" cm="1">
        <f t="array" ref="X2551">IF(S2551="","",IF($I2551&lt;&gt;"",$I2551,INDEX($I$2:$I2550,ROW()-COUNTIFS($T$2:$T2550,"="&amp;$T2551,$S$2:$S2550,"&lt;&gt;"&amp;$S2551)-1)))</f>
        <v/>
      </c>
      <c r="Y2551" t="b">
        <f>IF(X2551&lt;&gt;"",VLOOKUP(X2551,game_rosters!$C$43:$E$64,3,FALSE))</f>
        <v>0</v>
      </c>
      <c r="Z2551" t="e" cm="1" vm="1">
        <f t="array" aca="1" ref="Z2551" ca="1">IFERROR(IF(_xlfn._xlws.FILTER(game_rosters!$J:$J,(game_rosters!$G:$G=events!$AN2551)*(game_rosters!$J:$J=events!$X2551))&gt;0,1,""),"")</f>
        <v>#VALUE!</v>
      </c>
      <c r="AA2551">
        <f t="shared" si="239"/>
        <v>1000</v>
      </c>
      <c r="AB2551" t="str">
        <f t="shared" si="240"/>
        <v/>
      </c>
      <c r="AC2551">
        <f t="shared" si="237"/>
        <v>1000</v>
      </c>
      <c r="AD2551" s="6"/>
    </row>
    <row r="2552" spans="1:30" x14ac:dyDescent="0.2">
      <c r="A2552" t="str">
        <f t="shared" si="238"/>
        <v/>
      </c>
      <c r="X2552" t="str" cm="1">
        <f t="array" ref="X2552">IF(S2552="","",IF($I2552&lt;&gt;"",$I2552,INDEX($I$2:$I2551,ROW()-COUNTIFS($T$2:$T2551,"="&amp;$T2552,$S$2:$S2551,"&lt;&gt;"&amp;$S2552)-1)))</f>
        <v/>
      </c>
      <c r="Y2552" t="b">
        <f>IF(X2552&lt;&gt;"",VLOOKUP(X2552,game_rosters!$C$43:$E$64,3,FALSE))</f>
        <v>0</v>
      </c>
      <c r="Z2552" t="e" cm="1" vm="1">
        <f t="array" aca="1" ref="Z2552" ca="1">IFERROR(IF(_xlfn._xlws.FILTER(game_rosters!$J:$J,(game_rosters!$G:$G=events!$AN2552)*(game_rosters!$J:$J=events!$X2552))&gt;0,1,""),"")</f>
        <v>#VALUE!</v>
      </c>
      <c r="AA2552">
        <f t="shared" si="239"/>
        <v>1000</v>
      </c>
      <c r="AB2552" t="str">
        <f t="shared" si="240"/>
        <v/>
      </c>
      <c r="AC2552">
        <f t="shared" si="237"/>
        <v>1000</v>
      </c>
      <c r="AD2552" s="6"/>
    </row>
    <row r="2553" spans="1:30" x14ac:dyDescent="0.2">
      <c r="A2553" t="str">
        <f t="shared" si="238"/>
        <v/>
      </c>
      <c r="X2553" t="str" cm="1">
        <f t="array" ref="X2553">IF(S2553="","",IF($I2553&lt;&gt;"",$I2553,INDEX($I$2:$I2552,ROW()-COUNTIFS($T$2:$T2552,"="&amp;$T2553,$S$2:$S2552,"&lt;&gt;"&amp;$S2553)-1)))</f>
        <v/>
      </c>
      <c r="Y2553" t="b">
        <f>IF(X2553&lt;&gt;"",VLOOKUP(X2553,game_rosters!$C$43:$E$64,3,FALSE))</f>
        <v>0</v>
      </c>
      <c r="Z2553" t="e" cm="1" vm="1">
        <f t="array" aca="1" ref="Z2553" ca="1">IFERROR(IF(_xlfn._xlws.FILTER(game_rosters!$J:$J,(game_rosters!$G:$G=events!$AN2553)*(game_rosters!$J:$J=events!$X2553))&gt;0,1,""),"")</f>
        <v>#VALUE!</v>
      </c>
      <c r="AA2553">
        <f t="shared" si="239"/>
        <v>1000</v>
      </c>
      <c r="AB2553" t="str">
        <f t="shared" si="240"/>
        <v/>
      </c>
      <c r="AC2553">
        <f t="shared" si="237"/>
        <v>1000</v>
      </c>
      <c r="AD2553" s="6"/>
    </row>
    <row r="2554" spans="1:30" x14ac:dyDescent="0.2">
      <c r="A2554" t="str">
        <f t="shared" si="238"/>
        <v/>
      </c>
      <c r="X2554" t="str" cm="1">
        <f t="array" ref="X2554">IF(S2554="","",IF($I2554&lt;&gt;"",$I2554,INDEX($I$2:$I2553,ROW()-COUNTIFS($T$2:$T2553,"="&amp;$T2554,$S$2:$S2553,"&lt;&gt;"&amp;$S2554)-1)))</f>
        <v/>
      </c>
      <c r="Y2554" t="b">
        <f>IF(X2554&lt;&gt;"",VLOOKUP(X2554,game_rosters!$C$43:$E$64,3,FALSE))</f>
        <v>0</v>
      </c>
      <c r="Z2554" t="e" cm="1" vm="1">
        <f t="array" aca="1" ref="Z2554" ca="1">IFERROR(IF(_xlfn._xlws.FILTER(game_rosters!$J:$J,(game_rosters!$G:$G=events!$AN2554)*(game_rosters!$J:$J=events!$X2554))&gt;0,1,""),"")</f>
        <v>#VALUE!</v>
      </c>
      <c r="AA2554">
        <f t="shared" si="239"/>
        <v>1000</v>
      </c>
      <c r="AB2554" t="str">
        <f t="shared" si="240"/>
        <v/>
      </c>
      <c r="AC2554">
        <f t="shared" si="237"/>
        <v>1000</v>
      </c>
      <c r="AD2554" s="6"/>
    </row>
    <row r="2555" spans="1:30" x14ac:dyDescent="0.2">
      <c r="A2555" t="str">
        <f t="shared" si="238"/>
        <v/>
      </c>
      <c r="X2555" t="str" cm="1">
        <f t="array" ref="X2555">IF(S2555="","",IF($I2555&lt;&gt;"",$I2555,INDEX($I$2:$I2554,ROW()-COUNTIFS($T$2:$T2554,"="&amp;$T2555,$S$2:$S2554,"&lt;&gt;"&amp;$S2555)-1)))</f>
        <v/>
      </c>
      <c r="Y2555" t="b">
        <f>IF(X2555&lt;&gt;"",VLOOKUP(X2555,game_rosters!$C$43:$E$64,3,FALSE))</f>
        <v>0</v>
      </c>
      <c r="Z2555" t="e" cm="1" vm="1">
        <f t="array" aca="1" ref="Z2555" ca="1">IFERROR(IF(_xlfn._xlws.FILTER(game_rosters!$J:$J,(game_rosters!$G:$G=events!$AN2555)*(game_rosters!$J:$J=events!$X2555))&gt;0,1,""),"")</f>
        <v>#VALUE!</v>
      </c>
      <c r="AA2555">
        <f t="shared" si="239"/>
        <v>1000</v>
      </c>
      <c r="AB2555" t="str">
        <f t="shared" si="240"/>
        <v/>
      </c>
      <c r="AC2555">
        <f t="shared" si="237"/>
        <v>1000</v>
      </c>
      <c r="AD2555" s="6"/>
    </row>
    <row r="2556" spans="1:30" x14ac:dyDescent="0.2">
      <c r="A2556" t="str">
        <f t="shared" si="238"/>
        <v/>
      </c>
      <c r="X2556" t="str" cm="1">
        <f t="array" ref="X2556">IF(S2556="","",IF($I2556&lt;&gt;"",$I2556,INDEX($I$2:$I2555,ROW()-COUNTIFS($T$2:$T2555,"="&amp;$T2556,$S$2:$S2555,"&lt;&gt;"&amp;$S2556)-1)))</f>
        <v/>
      </c>
      <c r="Y2556" t="b">
        <f>IF(X2556&lt;&gt;"",VLOOKUP(X2556,game_rosters!$C$43:$E$64,3,FALSE))</f>
        <v>0</v>
      </c>
      <c r="Z2556" t="e" cm="1" vm="1">
        <f t="array" aca="1" ref="Z2556" ca="1">IFERROR(IF(_xlfn._xlws.FILTER(game_rosters!$J:$J,(game_rosters!$G:$G=events!$AN2556)*(game_rosters!$J:$J=events!$X2556))&gt;0,1,""),"")</f>
        <v>#VALUE!</v>
      </c>
      <c r="AA2556">
        <f t="shared" si="239"/>
        <v>1000</v>
      </c>
      <c r="AB2556" t="str">
        <f t="shared" si="240"/>
        <v/>
      </c>
      <c r="AC2556">
        <f t="shared" si="237"/>
        <v>1000</v>
      </c>
      <c r="AD2556" s="6"/>
    </row>
    <row r="2557" spans="1:30" x14ac:dyDescent="0.2">
      <c r="A2557" t="str">
        <f t="shared" si="238"/>
        <v/>
      </c>
      <c r="X2557" t="str" cm="1">
        <f t="array" ref="X2557">IF(S2557="","",IF($I2557&lt;&gt;"",$I2557,INDEX($I$2:$I2556,ROW()-COUNTIFS($T$2:$T2556,"="&amp;$T2557,$S$2:$S2556,"&lt;&gt;"&amp;$S2557)-1)))</f>
        <v/>
      </c>
      <c r="Y2557" t="b">
        <f>IF(X2557&lt;&gt;"",VLOOKUP(X2557,game_rosters!$C$43:$E$64,3,FALSE))</f>
        <v>0</v>
      </c>
      <c r="Z2557" t="e" cm="1" vm="1">
        <f t="array" aca="1" ref="Z2557" ca="1">IFERROR(IF(_xlfn._xlws.FILTER(game_rosters!$J:$J,(game_rosters!$G:$G=events!$AN2557)*(game_rosters!$J:$J=events!$X2557))&gt;0,1,""),"")</f>
        <v>#VALUE!</v>
      </c>
      <c r="AA2557">
        <f t="shared" si="239"/>
        <v>1000</v>
      </c>
      <c r="AB2557" t="str">
        <f t="shared" si="240"/>
        <v/>
      </c>
      <c r="AC2557">
        <f t="shared" si="237"/>
        <v>1000</v>
      </c>
      <c r="AD2557" s="6"/>
    </row>
    <row r="2558" spans="1:30" x14ac:dyDescent="0.2">
      <c r="A2558" t="str">
        <f t="shared" si="238"/>
        <v/>
      </c>
      <c r="X2558" t="str" cm="1">
        <f t="array" ref="X2558">IF(S2558="","",IF($I2558&lt;&gt;"",$I2558,INDEX($I$2:$I2557,ROW()-COUNTIFS($T$2:$T2557,"="&amp;$T2558,$S$2:$S2557,"&lt;&gt;"&amp;$S2558)-1)))</f>
        <v/>
      </c>
      <c r="Y2558" t="b">
        <f>IF(X2558&lt;&gt;"",VLOOKUP(X2558,game_rosters!$C$43:$E$64,3,FALSE))</f>
        <v>0</v>
      </c>
      <c r="Z2558" t="e" cm="1" vm="1">
        <f t="array" aca="1" ref="Z2558" ca="1">IFERROR(IF(_xlfn._xlws.FILTER(game_rosters!$J:$J,(game_rosters!$G:$G=events!$AN2558)*(game_rosters!$J:$J=events!$X2558))&gt;0,1,""),"")</f>
        <v>#VALUE!</v>
      </c>
      <c r="AA2558">
        <f t="shared" si="239"/>
        <v>1000</v>
      </c>
      <c r="AB2558" t="str">
        <f t="shared" si="240"/>
        <v/>
      </c>
      <c r="AC2558">
        <f t="shared" si="237"/>
        <v>1000</v>
      </c>
      <c r="AD2558" s="6"/>
    </row>
    <row r="2559" spans="1:30" x14ac:dyDescent="0.2">
      <c r="A2559" t="str">
        <f t="shared" si="238"/>
        <v/>
      </c>
      <c r="X2559" t="str" cm="1">
        <f t="array" ref="X2559">IF(S2559="","",IF($I2559&lt;&gt;"",$I2559,INDEX($I$2:$I2558,ROW()-COUNTIFS($T$2:$T2558,"="&amp;$T2559,$S$2:$S2558,"&lt;&gt;"&amp;$S2559)-1)))</f>
        <v/>
      </c>
      <c r="Y2559" t="b">
        <f>IF(X2559&lt;&gt;"",VLOOKUP(X2559,game_rosters!$C$43:$E$64,3,FALSE))</f>
        <v>0</v>
      </c>
      <c r="Z2559" t="e" cm="1" vm="1">
        <f t="array" aca="1" ref="Z2559" ca="1">IFERROR(IF(_xlfn._xlws.FILTER(game_rosters!$J:$J,(game_rosters!$G:$G=events!$AN2559)*(game_rosters!$J:$J=events!$X2559))&gt;0,1,""),"")</f>
        <v>#VALUE!</v>
      </c>
      <c r="AA2559">
        <f t="shared" si="239"/>
        <v>1000</v>
      </c>
      <c r="AB2559" t="str">
        <f t="shared" si="240"/>
        <v/>
      </c>
      <c r="AC2559">
        <f t="shared" si="237"/>
        <v>1000</v>
      </c>
      <c r="AD2559" s="6"/>
    </row>
    <row r="2560" spans="1:30" x14ac:dyDescent="0.2">
      <c r="A2560" t="str">
        <f t="shared" si="238"/>
        <v/>
      </c>
      <c r="X2560" t="str" cm="1">
        <f t="array" ref="X2560">IF(S2560="","",IF($I2560&lt;&gt;"",$I2560,INDEX($I$2:$I2559,ROW()-COUNTIFS($T$2:$T2559,"="&amp;$T2560,$S$2:$S2559,"&lt;&gt;"&amp;$S2560)-1)))</f>
        <v/>
      </c>
      <c r="Y2560" t="b">
        <f>IF(X2560&lt;&gt;"",VLOOKUP(X2560,game_rosters!$C$43:$E$64,3,FALSE))</f>
        <v>0</v>
      </c>
      <c r="Z2560" t="e" cm="1" vm="1">
        <f t="array" aca="1" ref="Z2560" ca="1">IFERROR(IF(_xlfn._xlws.FILTER(game_rosters!$J:$J,(game_rosters!$G:$G=events!$AN2560)*(game_rosters!$J:$J=events!$X2560))&gt;0,1,""),"")</f>
        <v>#VALUE!</v>
      </c>
      <c r="AA2560">
        <f t="shared" si="239"/>
        <v>1000</v>
      </c>
      <c r="AB2560" t="str">
        <f t="shared" si="240"/>
        <v/>
      </c>
      <c r="AC2560">
        <f t="shared" si="237"/>
        <v>1000</v>
      </c>
      <c r="AD2560" s="6"/>
    </row>
    <row r="2561" spans="1:30" x14ac:dyDescent="0.2">
      <c r="A2561" t="str">
        <f t="shared" si="238"/>
        <v/>
      </c>
      <c r="X2561" t="str" cm="1">
        <f t="array" ref="X2561">IF(S2561="","",IF($I2561&lt;&gt;"",$I2561,INDEX($I$2:$I2560,ROW()-COUNTIFS($T$2:$T2560,"="&amp;$T2561,$S$2:$S2560,"&lt;&gt;"&amp;$S2561)-1)))</f>
        <v/>
      </c>
      <c r="Y2561" t="b">
        <f>IF(X2561&lt;&gt;"",VLOOKUP(X2561,game_rosters!$C$43:$E$64,3,FALSE))</f>
        <v>0</v>
      </c>
      <c r="Z2561" t="e" cm="1" vm="1">
        <f t="array" aca="1" ref="Z2561" ca="1">IFERROR(IF(_xlfn._xlws.FILTER(game_rosters!$J:$J,(game_rosters!$G:$G=events!$AN2561)*(game_rosters!$J:$J=events!$X2561))&gt;0,1,""),"")</f>
        <v>#VALUE!</v>
      </c>
      <c r="AA2561">
        <f t="shared" si="239"/>
        <v>1000</v>
      </c>
      <c r="AB2561" t="str">
        <f t="shared" si="240"/>
        <v/>
      </c>
      <c r="AC2561">
        <f t="shared" si="237"/>
        <v>1000</v>
      </c>
      <c r="AD2561" s="6"/>
    </row>
    <row r="2562" spans="1:30" x14ac:dyDescent="0.2">
      <c r="A2562" t="str">
        <f t="shared" si="238"/>
        <v/>
      </c>
      <c r="X2562" t="str" cm="1">
        <f t="array" ref="X2562">IF(S2562="","",IF($I2562&lt;&gt;"",$I2562,INDEX($I$2:$I2561,ROW()-COUNTIFS($T$2:$T2561,"="&amp;$T2562,$S$2:$S2561,"&lt;&gt;"&amp;$S2562)-1)))</f>
        <v/>
      </c>
      <c r="Y2562" t="b">
        <f>IF(X2562&lt;&gt;"",VLOOKUP(X2562,game_rosters!$C$43:$E$64,3,FALSE))</f>
        <v>0</v>
      </c>
      <c r="Z2562" t="e" cm="1" vm="1">
        <f t="array" aca="1" ref="Z2562" ca="1">IFERROR(IF(_xlfn._xlws.FILTER(game_rosters!$J:$J,(game_rosters!$G:$G=events!$AN2562)*(game_rosters!$J:$J=events!$X2562))&gt;0,1,""),"")</f>
        <v>#VALUE!</v>
      </c>
      <c r="AA2562">
        <f t="shared" si="239"/>
        <v>1000</v>
      </c>
      <c r="AB2562" t="str">
        <f t="shared" si="240"/>
        <v/>
      </c>
      <c r="AC2562">
        <f t="shared" ref="AC2562:AC2625" si="241">IF(AB2562&lt;&gt;"",AB2562,S2562+1000)</f>
        <v>1000</v>
      </c>
      <c r="AD2562" s="6"/>
    </row>
    <row r="2563" spans="1:30" x14ac:dyDescent="0.2">
      <c r="A2563" t="str">
        <f t="shared" si="238"/>
        <v/>
      </c>
      <c r="X2563" t="str" cm="1">
        <f t="array" ref="X2563">IF(S2563="","",IF($I2563&lt;&gt;"",$I2563,INDEX($I$2:$I2562,ROW()-COUNTIFS($T$2:$T2562,"="&amp;$T2563,$S$2:$S2562,"&lt;&gt;"&amp;$S2563)-1)))</f>
        <v/>
      </c>
      <c r="Y2563" t="b">
        <f>IF(X2563&lt;&gt;"",VLOOKUP(X2563,game_rosters!$C$43:$E$64,3,FALSE))</f>
        <v>0</v>
      </c>
      <c r="Z2563" t="e" cm="1" vm="1">
        <f t="array" aca="1" ref="Z2563" ca="1">IFERROR(IF(_xlfn._xlws.FILTER(game_rosters!$J:$J,(game_rosters!$G:$G=events!$AN2563)*(game_rosters!$J:$J=events!$X2563))&gt;0,1,""),"")</f>
        <v>#VALUE!</v>
      </c>
      <c r="AA2563">
        <f t="shared" si="239"/>
        <v>1000</v>
      </c>
      <c r="AB2563" t="str">
        <f t="shared" si="240"/>
        <v/>
      </c>
      <c r="AC2563">
        <f t="shared" si="241"/>
        <v>1000</v>
      </c>
      <c r="AD2563" s="6"/>
    </row>
    <row r="2564" spans="1:30" x14ac:dyDescent="0.2">
      <c r="A2564" t="str">
        <f t="shared" si="238"/>
        <v/>
      </c>
      <c r="X2564" t="str" cm="1">
        <f t="array" ref="X2564">IF(S2564="","",IF($I2564&lt;&gt;"",$I2564,INDEX($I$2:$I2563,ROW()-COUNTIFS($T$2:$T2563,"="&amp;$T2564,$S$2:$S2563,"&lt;&gt;"&amp;$S2564)-1)))</f>
        <v/>
      </c>
      <c r="Y2564" t="b">
        <f>IF(X2564&lt;&gt;"",VLOOKUP(X2564,game_rosters!$C$43:$E$64,3,FALSE))</f>
        <v>0</v>
      </c>
      <c r="Z2564" t="e" cm="1" vm="1">
        <f t="array" aca="1" ref="Z2564" ca="1">IFERROR(IF(_xlfn._xlws.FILTER(game_rosters!$J:$J,(game_rosters!$G:$G=events!$AN2564)*(game_rosters!$J:$J=events!$X2564))&gt;0,1,""),"")</f>
        <v>#VALUE!</v>
      </c>
      <c r="AA2564">
        <f t="shared" si="239"/>
        <v>1000</v>
      </c>
      <c r="AB2564" t="str">
        <f t="shared" si="240"/>
        <v/>
      </c>
      <c r="AC2564">
        <f t="shared" si="241"/>
        <v>1000</v>
      </c>
      <c r="AD2564" s="6"/>
    </row>
    <row r="2565" spans="1:30" x14ac:dyDescent="0.2">
      <c r="A2565" t="str">
        <f t="shared" ref="A2565:A2628" si="242">IF(K2565&lt;&gt;"",1,IF(D2565="x","x",""))</f>
        <v/>
      </c>
      <c r="X2565" t="str" cm="1">
        <f t="array" ref="X2565">IF(S2565="","",IF($I2565&lt;&gt;"",$I2565,INDEX($I$2:$I2564,ROW()-COUNTIFS($T$2:$T2564,"="&amp;$T2565,$S$2:$S2564,"&lt;&gt;"&amp;$S2565)-1)))</f>
        <v/>
      </c>
      <c r="Y2565" t="b">
        <f>IF(X2565&lt;&gt;"",VLOOKUP(X2565,game_rosters!$C$43:$E$64,3,FALSE))</f>
        <v>0</v>
      </c>
      <c r="Z2565" t="e" cm="1" vm="1">
        <f t="array" aca="1" ref="Z2565" ca="1">IFERROR(IF(_xlfn._xlws.FILTER(game_rosters!$J:$J,(game_rosters!$G:$G=events!$AN2565)*(game_rosters!$J:$J=events!$X2565))&gt;0,1,""),"")</f>
        <v>#VALUE!</v>
      </c>
      <c r="AA2565">
        <f t="shared" si="239"/>
        <v>1000</v>
      </c>
      <c r="AB2565" t="str">
        <f t="shared" si="240"/>
        <v/>
      </c>
      <c r="AC2565">
        <f t="shared" si="241"/>
        <v>1000</v>
      </c>
      <c r="AD2565" s="6"/>
    </row>
    <row r="2566" spans="1:30" x14ac:dyDescent="0.2">
      <c r="A2566" t="str">
        <f t="shared" si="242"/>
        <v/>
      </c>
      <c r="X2566" t="str" cm="1">
        <f t="array" ref="X2566">IF(S2566="","",IF($I2566&lt;&gt;"",$I2566,INDEX($I$2:$I2565,ROW()-COUNTIFS($T$2:$T2565,"="&amp;$T2566,$S$2:$S2565,"&lt;&gt;"&amp;$S2566)-1)))</f>
        <v/>
      </c>
      <c r="Y2566" t="b">
        <f>IF(X2566&lt;&gt;"",VLOOKUP(X2566,game_rosters!$C$43:$E$64,3,FALSE))</f>
        <v>0</v>
      </c>
      <c r="Z2566" t="e" cm="1" vm="1">
        <f t="array" aca="1" ref="Z2566" ca="1">IFERROR(IF(_xlfn._xlws.FILTER(game_rosters!$J:$J,(game_rosters!$G:$G=events!$AN2566)*(game_rosters!$J:$J=events!$X2566))&gt;0,1,""),"")</f>
        <v>#VALUE!</v>
      </c>
      <c r="AA2566">
        <f t="shared" si="239"/>
        <v>1000</v>
      </c>
      <c r="AB2566" t="str">
        <f t="shared" si="240"/>
        <v/>
      </c>
      <c r="AC2566">
        <f t="shared" si="241"/>
        <v>1000</v>
      </c>
      <c r="AD2566" s="6"/>
    </row>
    <row r="2567" spans="1:30" x14ac:dyDescent="0.2">
      <c r="A2567" t="str">
        <f t="shared" si="242"/>
        <v/>
      </c>
      <c r="X2567" t="str" cm="1">
        <f t="array" ref="X2567">IF(S2567="","",IF($I2567&lt;&gt;"",$I2567,INDEX($I$2:$I2566,ROW()-COUNTIFS($T$2:$T2566,"="&amp;$T2567,$S$2:$S2566,"&lt;&gt;"&amp;$S2567)-1)))</f>
        <v/>
      </c>
      <c r="Y2567" t="b">
        <f>IF(X2567&lt;&gt;"",VLOOKUP(X2567,game_rosters!$C$43:$E$64,3,FALSE))</f>
        <v>0</v>
      </c>
      <c r="Z2567" t="e" cm="1" vm="1">
        <f t="array" aca="1" ref="Z2567" ca="1">IFERROR(IF(_xlfn._xlws.FILTER(game_rosters!$J:$J,(game_rosters!$G:$G=events!$AN2567)*(game_rosters!$J:$J=events!$X2567))&gt;0,1,""),"")</f>
        <v>#VALUE!</v>
      </c>
      <c r="AA2567">
        <f t="shared" si="239"/>
        <v>1000</v>
      </c>
      <c r="AB2567" t="str">
        <f t="shared" si="240"/>
        <v/>
      </c>
      <c r="AC2567">
        <f t="shared" si="241"/>
        <v>1000</v>
      </c>
      <c r="AD2567" s="6"/>
    </row>
    <row r="2568" spans="1:30" x14ac:dyDescent="0.2">
      <c r="A2568" t="str">
        <f t="shared" si="242"/>
        <v/>
      </c>
      <c r="X2568" t="str" cm="1">
        <f t="array" ref="X2568">IF(S2568="","",IF($I2568&lt;&gt;"",$I2568,INDEX($I$2:$I2567,ROW()-COUNTIFS($T$2:$T2567,"="&amp;$T2568,$S$2:$S2567,"&lt;&gt;"&amp;$S2568)-1)))</f>
        <v/>
      </c>
      <c r="Y2568" t="b">
        <f>IF(X2568&lt;&gt;"",VLOOKUP(X2568,game_rosters!$C$43:$E$64,3,FALSE))</f>
        <v>0</v>
      </c>
      <c r="Z2568" t="e" cm="1" vm="1">
        <f t="array" aca="1" ref="Z2568" ca="1">IFERROR(IF(_xlfn._xlws.FILTER(game_rosters!$J:$J,(game_rosters!$G:$G=events!$AN2568)*(game_rosters!$J:$J=events!$X2568))&gt;0,1,""),"")</f>
        <v>#VALUE!</v>
      </c>
      <c r="AA2568">
        <f t="shared" si="239"/>
        <v>1000</v>
      </c>
      <c r="AB2568" t="str">
        <f t="shared" si="240"/>
        <v/>
      </c>
      <c r="AC2568">
        <f t="shared" si="241"/>
        <v>1000</v>
      </c>
      <c r="AD2568" s="6"/>
    </row>
    <row r="2569" spans="1:30" x14ac:dyDescent="0.2">
      <c r="A2569" t="str">
        <f t="shared" si="242"/>
        <v/>
      </c>
      <c r="X2569" t="str" cm="1">
        <f t="array" ref="X2569">IF(S2569="","",IF($I2569&lt;&gt;"",$I2569,INDEX($I$2:$I2568,ROW()-COUNTIFS($T$2:$T2568,"="&amp;$T2569,$S$2:$S2568,"&lt;&gt;"&amp;$S2569)-1)))</f>
        <v/>
      </c>
      <c r="Y2569" t="b">
        <f>IF(X2569&lt;&gt;"",VLOOKUP(X2569,game_rosters!$C$43:$E$64,3,FALSE))</f>
        <v>0</v>
      </c>
      <c r="Z2569" t="e" cm="1" vm="1">
        <f t="array" aca="1" ref="Z2569" ca="1">IFERROR(IF(_xlfn._xlws.FILTER(game_rosters!$J:$J,(game_rosters!$G:$G=events!$AN2569)*(game_rosters!$J:$J=events!$X2569))&gt;0,1,""),"")</f>
        <v>#VALUE!</v>
      </c>
      <c r="AA2569">
        <f t="shared" si="239"/>
        <v>1000</v>
      </c>
      <c r="AB2569" t="str">
        <f t="shared" si="240"/>
        <v/>
      </c>
      <c r="AC2569">
        <f t="shared" si="241"/>
        <v>1000</v>
      </c>
      <c r="AD2569" s="6"/>
    </row>
    <row r="2570" spans="1:30" x14ac:dyDescent="0.2">
      <c r="A2570" t="str">
        <f t="shared" si="242"/>
        <v/>
      </c>
      <c r="X2570" t="str" cm="1">
        <f t="array" ref="X2570">IF(S2570="","",IF($I2570&lt;&gt;"",$I2570,INDEX($I$2:$I2569,ROW()-COUNTIFS($T$2:$T2569,"="&amp;$T2570,$S$2:$S2569,"&lt;&gt;"&amp;$S2570)-1)))</f>
        <v/>
      </c>
      <c r="Y2570" t="b">
        <f>IF(X2570&lt;&gt;"",VLOOKUP(X2570,game_rosters!$C$43:$E$64,3,FALSE))</f>
        <v>0</v>
      </c>
      <c r="Z2570" t="e" cm="1" vm="1">
        <f t="array" aca="1" ref="Z2570" ca="1">IFERROR(IF(_xlfn._xlws.FILTER(game_rosters!$J:$J,(game_rosters!$G:$G=events!$AN2570)*(game_rosters!$J:$J=events!$X2570))&gt;0,1,""),"")</f>
        <v>#VALUE!</v>
      </c>
      <c r="AA2570">
        <f t="shared" si="239"/>
        <v>1000</v>
      </c>
      <c r="AB2570" t="str">
        <f t="shared" si="240"/>
        <v/>
      </c>
      <c r="AC2570">
        <f t="shared" si="241"/>
        <v>1000</v>
      </c>
      <c r="AD2570" s="6"/>
    </row>
    <row r="2571" spans="1:30" x14ac:dyDescent="0.2">
      <c r="A2571" t="str">
        <f t="shared" si="242"/>
        <v/>
      </c>
      <c r="X2571" t="str" cm="1">
        <f t="array" ref="X2571">IF(S2571="","",IF($I2571&lt;&gt;"",$I2571,INDEX($I$2:$I2570,ROW()-COUNTIFS($T$2:$T2570,"="&amp;$T2571,$S$2:$S2570,"&lt;&gt;"&amp;$S2571)-1)))</f>
        <v/>
      </c>
      <c r="Y2571" t="b">
        <f>IF(X2571&lt;&gt;"",VLOOKUP(X2571,game_rosters!$C$43:$E$64,3,FALSE))</f>
        <v>0</v>
      </c>
      <c r="Z2571" t="e" cm="1" vm="1">
        <f t="array" aca="1" ref="Z2571" ca="1">IFERROR(IF(_xlfn._xlws.FILTER(game_rosters!$J:$J,(game_rosters!$G:$G=events!$AN2571)*(game_rosters!$J:$J=events!$X2571))&gt;0,1,""),"")</f>
        <v>#VALUE!</v>
      </c>
      <c r="AA2571">
        <f t="shared" si="239"/>
        <v>1000</v>
      </c>
      <c r="AB2571" t="str">
        <f t="shared" si="240"/>
        <v/>
      </c>
      <c r="AC2571">
        <f t="shared" si="241"/>
        <v>1000</v>
      </c>
      <c r="AD2571" s="6"/>
    </row>
    <row r="2572" spans="1:30" x14ac:dyDescent="0.2">
      <c r="A2572" t="str">
        <f t="shared" si="242"/>
        <v/>
      </c>
      <c r="X2572" t="str" cm="1">
        <f t="array" ref="X2572">IF(S2572="","",IF($I2572&lt;&gt;"",$I2572,INDEX($I$2:$I2571,ROW()-COUNTIFS($T$2:$T2571,"="&amp;$T2572,$S$2:$S2571,"&lt;&gt;"&amp;$S2572)-1)))</f>
        <v/>
      </c>
      <c r="Y2572" t="b">
        <f>IF(X2572&lt;&gt;"",VLOOKUP(X2572,game_rosters!$C$43:$E$64,3,FALSE))</f>
        <v>0</v>
      </c>
      <c r="Z2572" t="e" cm="1" vm="1">
        <f t="array" aca="1" ref="Z2572" ca="1">IFERROR(IF(_xlfn._xlws.FILTER(game_rosters!$J:$J,(game_rosters!$G:$G=events!$AN2572)*(game_rosters!$J:$J=events!$X2572))&gt;0,1,""),"")</f>
        <v>#VALUE!</v>
      </c>
      <c r="AA2572">
        <f t="shared" si="239"/>
        <v>1000</v>
      </c>
      <c r="AB2572" t="str">
        <f t="shared" si="240"/>
        <v/>
      </c>
      <c r="AC2572">
        <f t="shared" si="241"/>
        <v>1000</v>
      </c>
      <c r="AD2572" s="6"/>
    </row>
    <row r="2573" spans="1:30" x14ac:dyDescent="0.2">
      <c r="A2573" t="str">
        <f t="shared" si="242"/>
        <v/>
      </c>
      <c r="X2573" t="str" cm="1">
        <f t="array" ref="X2573">IF(S2573="","",IF($I2573&lt;&gt;"",$I2573,INDEX($I$2:$I2572,ROW()-COUNTIFS($T$2:$T2572,"="&amp;$T2573,$S$2:$S2572,"&lt;&gt;"&amp;$S2573)-1)))</f>
        <v/>
      </c>
      <c r="Y2573" t="b">
        <f>IF(X2573&lt;&gt;"",VLOOKUP(X2573,game_rosters!$C$43:$E$64,3,FALSE))</f>
        <v>0</v>
      </c>
      <c r="Z2573" t="e" cm="1" vm="1">
        <f t="array" aca="1" ref="Z2573" ca="1">IFERROR(IF(_xlfn._xlws.FILTER(game_rosters!$J:$J,(game_rosters!$G:$G=events!$AN2573)*(game_rosters!$J:$J=events!$X2573))&gt;0,1,""),"")</f>
        <v>#VALUE!</v>
      </c>
      <c r="AA2573">
        <f t="shared" si="239"/>
        <v>1000</v>
      </c>
      <c r="AB2573" t="str">
        <f t="shared" si="240"/>
        <v/>
      </c>
      <c r="AC2573">
        <f t="shared" si="241"/>
        <v>1000</v>
      </c>
      <c r="AD2573" s="6"/>
    </row>
    <row r="2574" spans="1:30" x14ac:dyDescent="0.2">
      <c r="A2574" t="str">
        <f t="shared" si="242"/>
        <v/>
      </c>
      <c r="X2574" t="str" cm="1">
        <f t="array" ref="X2574">IF(S2574="","",IF($I2574&lt;&gt;"",$I2574,INDEX($I$2:$I2573,ROW()-COUNTIFS($T$2:$T2573,"="&amp;$T2574,$S$2:$S2573,"&lt;&gt;"&amp;$S2574)-1)))</f>
        <v/>
      </c>
      <c r="Y2574" t="b">
        <f>IF(X2574&lt;&gt;"",VLOOKUP(X2574,game_rosters!$C$43:$E$64,3,FALSE))</f>
        <v>0</v>
      </c>
      <c r="Z2574" t="e" cm="1" vm="1">
        <f t="array" aca="1" ref="Z2574" ca="1">IFERROR(IF(_xlfn._xlws.FILTER(game_rosters!$J:$J,(game_rosters!$G:$G=events!$AN2574)*(game_rosters!$J:$J=events!$X2574))&gt;0,1,""),"")</f>
        <v>#VALUE!</v>
      </c>
      <c r="AA2574">
        <f t="shared" si="239"/>
        <v>1000</v>
      </c>
      <c r="AB2574" t="str">
        <f t="shared" si="240"/>
        <v/>
      </c>
      <c r="AC2574">
        <f t="shared" si="241"/>
        <v>1000</v>
      </c>
      <c r="AD2574" s="6"/>
    </row>
    <row r="2575" spans="1:30" x14ac:dyDescent="0.2">
      <c r="A2575" t="str">
        <f t="shared" si="242"/>
        <v/>
      </c>
      <c r="X2575" t="str" cm="1">
        <f t="array" ref="X2575">IF(S2575="","",IF($I2575&lt;&gt;"",$I2575,INDEX($I$2:$I2574,ROW()-COUNTIFS($T$2:$T2574,"="&amp;$T2575,$S$2:$S2574,"&lt;&gt;"&amp;$S2575)-1)))</f>
        <v/>
      </c>
      <c r="Y2575" t="b">
        <f>IF(X2575&lt;&gt;"",VLOOKUP(X2575,game_rosters!$C$43:$E$64,3,FALSE))</f>
        <v>0</v>
      </c>
      <c r="Z2575" t="e" cm="1" vm="1">
        <f t="array" aca="1" ref="Z2575" ca="1">IFERROR(IF(_xlfn._xlws.FILTER(game_rosters!$J:$J,(game_rosters!$G:$G=events!$AN2575)*(game_rosters!$J:$J=events!$X2575))&gt;0,1,""),"")</f>
        <v>#VALUE!</v>
      </c>
      <c r="AA2575">
        <f t="shared" si="239"/>
        <v>1000</v>
      </c>
      <c r="AB2575" t="str">
        <f t="shared" si="240"/>
        <v/>
      </c>
      <c r="AC2575">
        <f t="shared" si="241"/>
        <v>1000</v>
      </c>
      <c r="AD2575" s="6"/>
    </row>
    <row r="2576" spans="1:30" x14ac:dyDescent="0.2">
      <c r="A2576" t="str">
        <f t="shared" si="242"/>
        <v/>
      </c>
      <c r="X2576" t="str" cm="1">
        <f t="array" ref="X2576">IF(S2576="","",IF($I2576&lt;&gt;"",$I2576,INDEX($I$2:$I2575,ROW()-COUNTIFS($T$2:$T2575,"="&amp;$T2576,$S$2:$S2575,"&lt;&gt;"&amp;$S2576)-1)))</f>
        <v/>
      </c>
      <c r="Y2576" t="b">
        <f>IF(X2576&lt;&gt;"",VLOOKUP(X2576,game_rosters!$C$43:$E$64,3,FALSE))</f>
        <v>0</v>
      </c>
      <c r="Z2576" t="e" cm="1" vm="1">
        <f t="array" aca="1" ref="Z2576" ca="1">IFERROR(IF(_xlfn._xlws.FILTER(game_rosters!$J:$J,(game_rosters!$G:$G=events!$AN2576)*(game_rosters!$J:$J=events!$X2576))&gt;0,1,""),"")</f>
        <v>#VALUE!</v>
      </c>
      <c r="AA2576">
        <f t="shared" si="239"/>
        <v>1000</v>
      </c>
      <c r="AB2576" t="str">
        <f t="shared" si="240"/>
        <v/>
      </c>
      <c r="AC2576">
        <f t="shared" si="241"/>
        <v>1000</v>
      </c>
      <c r="AD2576" s="6"/>
    </row>
    <row r="2577" spans="1:30" x14ac:dyDescent="0.2">
      <c r="A2577" t="str">
        <f t="shared" si="242"/>
        <v/>
      </c>
      <c r="X2577" t="str" cm="1">
        <f t="array" ref="X2577">IF(S2577="","",IF($I2577&lt;&gt;"",$I2577,INDEX($I$2:$I2576,ROW()-COUNTIFS($T$2:$T2576,"="&amp;$T2577,$S$2:$S2576,"&lt;&gt;"&amp;$S2577)-1)))</f>
        <v/>
      </c>
      <c r="Y2577" t="b">
        <f>IF(X2577&lt;&gt;"",VLOOKUP(X2577,game_rosters!$C$43:$E$64,3,FALSE))</f>
        <v>0</v>
      </c>
      <c r="Z2577" t="e" cm="1" vm="1">
        <f t="array" aca="1" ref="Z2577" ca="1">IFERROR(IF(_xlfn._xlws.FILTER(game_rosters!$J:$J,(game_rosters!$G:$G=events!$AN2577)*(game_rosters!$J:$J=events!$X2577))&gt;0,1,""),"")</f>
        <v>#VALUE!</v>
      </c>
      <c r="AA2577">
        <f t="shared" si="239"/>
        <v>1000</v>
      </c>
      <c r="AB2577" t="str">
        <f t="shared" si="240"/>
        <v/>
      </c>
      <c r="AC2577">
        <f t="shared" si="241"/>
        <v>1000</v>
      </c>
      <c r="AD2577" s="6"/>
    </row>
    <row r="2578" spans="1:30" x14ac:dyDescent="0.2">
      <c r="A2578" t="str">
        <f t="shared" si="242"/>
        <v/>
      </c>
      <c r="X2578" t="str" cm="1">
        <f t="array" ref="X2578">IF(S2578="","",IF($I2578&lt;&gt;"",$I2578,INDEX($I$2:$I2577,ROW()-COUNTIFS($T$2:$T2577,"="&amp;$T2578,$S$2:$S2577,"&lt;&gt;"&amp;$S2578)-1)))</f>
        <v/>
      </c>
      <c r="Y2578" t="b">
        <f>IF(X2578&lt;&gt;"",VLOOKUP(X2578,game_rosters!$C$43:$E$64,3,FALSE))</f>
        <v>0</v>
      </c>
      <c r="Z2578" t="e" cm="1" vm="1">
        <f t="array" aca="1" ref="Z2578" ca="1">IFERROR(IF(_xlfn._xlws.FILTER(game_rosters!$J:$J,(game_rosters!$G:$G=events!$AN2578)*(game_rosters!$J:$J=events!$X2578))&gt;0,1,""),"")</f>
        <v>#VALUE!</v>
      </c>
      <c r="AA2578">
        <f t="shared" si="239"/>
        <v>1000</v>
      </c>
      <c r="AB2578" t="str">
        <f t="shared" si="240"/>
        <v/>
      </c>
      <c r="AC2578">
        <f t="shared" si="241"/>
        <v>1000</v>
      </c>
      <c r="AD2578" s="6"/>
    </row>
    <row r="2579" spans="1:30" x14ac:dyDescent="0.2">
      <c r="A2579" t="str">
        <f t="shared" si="242"/>
        <v/>
      </c>
      <c r="X2579" t="str" cm="1">
        <f t="array" ref="X2579">IF(S2579="","",IF($I2579&lt;&gt;"",$I2579,INDEX($I$2:$I2578,ROW()-COUNTIFS($T$2:$T2578,"="&amp;$T2579,$S$2:$S2578,"&lt;&gt;"&amp;$S2579)-1)))</f>
        <v/>
      </c>
      <c r="Y2579" t="b">
        <f>IF(X2579&lt;&gt;"",VLOOKUP(X2579,game_rosters!$C$43:$E$64,3,FALSE))</f>
        <v>0</v>
      </c>
      <c r="Z2579" t="e" cm="1" vm="1">
        <f t="array" aca="1" ref="Z2579" ca="1">IFERROR(IF(_xlfn._xlws.FILTER(game_rosters!$J:$J,(game_rosters!$G:$G=events!$AN2579)*(game_rosters!$J:$J=events!$X2579))&gt;0,1,""),"")</f>
        <v>#VALUE!</v>
      </c>
      <c r="AA2579">
        <f t="shared" si="239"/>
        <v>1000</v>
      </c>
      <c r="AB2579" t="str">
        <f t="shared" si="240"/>
        <v/>
      </c>
      <c r="AC2579">
        <f t="shared" si="241"/>
        <v>1000</v>
      </c>
      <c r="AD2579" s="6"/>
    </row>
    <row r="2580" spans="1:30" x14ac:dyDescent="0.2">
      <c r="A2580" t="str">
        <f t="shared" si="242"/>
        <v/>
      </c>
      <c r="X2580" t="str" cm="1">
        <f t="array" ref="X2580">IF(S2580="","",IF($I2580&lt;&gt;"",$I2580,INDEX($I$2:$I2579,ROW()-COUNTIFS($T$2:$T2579,"="&amp;$T2580,$S$2:$S2579,"&lt;&gt;"&amp;$S2580)-1)))</f>
        <v/>
      </c>
      <c r="Y2580" t="b">
        <f>IF(X2580&lt;&gt;"",VLOOKUP(X2580,game_rosters!$C$43:$E$64,3,FALSE))</f>
        <v>0</v>
      </c>
      <c r="Z2580" t="e" cm="1" vm="1">
        <f t="array" aca="1" ref="Z2580" ca="1">IFERROR(IF(_xlfn._xlws.FILTER(game_rosters!$J:$J,(game_rosters!$G:$G=events!$AN2580)*(game_rosters!$J:$J=events!$X2580))&gt;0,1,""),"")</f>
        <v>#VALUE!</v>
      </c>
      <c r="AA2580">
        <f t="shared" si="239"/>
        <v>1000</v>
      </c>
      <c r="AB2580" t="str">
        <f t="shared" si="240"/>
        <v/>
      </c>
      <c r="AC2580">
        <f t="shared" si="241"/>
        <v>1000</v>
      </c>
      <c r="AD2580" s="6"/>
    </row>
    <row r="2581" spans="1:30" x14ac:dyDescent="0.2">
      <c r="A2581" t="str">
        <f t="shared" si="242"/>
        <v/>
      </c>
      <c r="X2581" t="str" cm="1">
        <f t="array" ref="X2581">IF(S2581="","",IF($I2581&lt;&gt;"",$I2581,INDEX($I$2:$I2580,ROW()-COUNTIFS($T$2:$T2580,"="&amp;$T2581,$S$2:$S2580,"&lt;&gt;"&amp;$S2581)-1)))</f>
        <v/>
      </c>
      <c r="Y2581" t="b">
        <f>IF(X2581&lt;&gt;"",VLOOKUP(X2581,game_rosters!$C$43:$E$64,3,FALSE))</f>
        <v>0</v>
      </c>
      <c r="Z2581" t="e" cm="1" vm="1">
        <f t="array" aca="1" ref="Z2581" ca="1">IFERROR(IF(_xlfn._xlws.FILTER(game_rosters!$J:$J,(game_rosters!$G:$G=events!$AN2581)*(game_rosters!$J:$J=events!$X2581))&gt;0,1,""),"")</f>
        <v>#VALUE!</v>
      </c>
      <c r="AA2581">
        <f t="shared" si="239"/>
        <v>1000</v>
      </c>
      <c r="AB2581" t="str">
        <f t="shared" si="240"/>
        <v/>
      </c>
      <c r="AC2581">
        <f t="shared" si="241"/>
        <v>1000</v>
      </c>
      <c r="AD2581" s="6"/>
    </row>
    <row r="2582" spans="1:30" x14ac:dyDescent="0.2">
      <c r="A2582" t="str">
        <f t="shared" si="242"/>
        <v/>
      </c>
      <c r="X2582" t="str" cm="1">
        <f t="array" ref="X2582">IF(S2582="","",IF($I2582&lt;&gt;"",$I2582,INDEX($I$2:$I2581,ROW()-COUNTIFS($T$2:$T2581,"="&amp;$T2582,$S$2:$S2581,"&lt;&gt;"&amp;$S2582)-1)))</f>
        <v/>
      </c>
      <c r="Y2582" t="b">
        <f>IF(X2582&lt;&gt;"",VLOOKUP(X2582,game_rosters!$C$43:$E$64,3,FALSE))</f>
        <v>0</v>
      </c>
      <c r="Z2582" t="e" cm="1" vm="1">
        <f t="array" aca="1" ref="Z2582" ca="1">IFERROR(IF(_xlfn._xlws.FILTER(game_rosters!$J:$J,(game_rosters!$G:$G=events!$AN2582)*(game_rosters!$J:$J=events!$X2582))&gt;0,1,""),"")</f>
        <v>#VALUE!</v>
      </c>
      <c r="AA2582">
        <f t="shared" si="239"/>
        <v>1000</v>
      </c>
      <c r="AB2582" t="str">
        <f t="shared" si="240"/>
        <v/>
      </c>
      <c r="AC2582">
        <f t="shared" si="241"/>
        <v>1000</v>
      </c>
      <c r="AD2582" s="6"/>
    </row>
    <row r="2583" spans="1:30" x14ac:dyDescent="0.2">
      <c r="A2583" t="str">
        <f t="shared" si="242"/>
        <v/>
      </c>
      <c r="X2583" t="str" cm="1">
        <f t="array" ref="X2583">IF(S2583="","",IF($I2583&lt;&gt;"",$I2583,INDEX($I$2:$I2582,ROW()-COUNTIFS($T$2:$T2582,"="&amp;$T2583,$S$2:$S2582,"&lt;&gt;"&amp;$S2583)-1)))</f>
        <v/>
      </c>
      <c r="Y2583" t="b">
        <f>IF(X2583&lt;&gt;"",VLOOKUP(X2583,game_rosters!$C$43:$E$64,3,FALSE))</f>
        <v>0</v>
      </c>
      <c r="Z2583" t="e" cm="1" vm="1">
        <f t="array" aca="1" ref="Z2583" ca="1">IFERROR(IF(_xlfn._xlws.FILTER(game_rosters!$J:$J,(game_rosters!$G:$G=events!$AN2583)*(game_rosters!$J:$J=events!$X2583))&gt;0,1,""),"")</f>
        <v>#VALUE!</v>
      </c>
      <c r="AA2583">
        <f t="shared" si="239"/>
        <v>1000</v>
      </c>
      <c r="AB2583" t="str">
        <f t="shared" si="240"/>
        <v/>
      </c>
      <c r="AC2583">
        <f t="shared" si="241"/>
        <v>1000</v>
      </c>
      <c r="AD2583" s="6"/>
    </row>
    <row r="2584" spans="1:30" x14ac:dyDescent="0.2">
      <c r="A2584" t="str">
        <f t="shared" si="242"/>
        <v/>
      </c>
      <c r="X2584" t="str" cm="1">
        <f t="array" ref="X2584">IF(S2584="","",IF($I2584&lt;&gt;"",$I2584,INDEX($I$2:$I2583,ROW()-COUNTIFS($T$2:$T2583,"="&amp;$T2584,$S$2:$S2583,"&lt;&gt;"&amp;$S2584)-1)))</f>
        <v/>
      </c>
      <c r="Y2584" t="b">
        <f>IF(X2584&lt;&gt;"",VLOOKUP(X2584,game_rosters!$C$43:$E$64,3,FALSE))</f>
        <v>0</v>
      </c>
      <c r="Z2584" t="e" cm="1" vm="1">
        <f t="array" aca="1" ref="Z2584" ca="1">IFERROR(IF(_xlfn._xlws.FILTER(game_rosters!$J:$J,(game_rosters!$G:$G=events!$AN2584)*(game_rosters!$J:$J=events!$X2584))&gt;0,1,""),"")</f>
        <v>#VALUE!</v>
      </c>
      <c r="AA2584">
        <f t="shared" si="239"/>
        <v>1000</v>
      </c>
      <c r="AB2584" t="str">
        <f t="shared" si="240"/>
        <v/>
      </c>
      <c r="AC2584">
        <f t="shared" si="241"/>
        <v>1000</v>
      </c>
      <c r="AD2584" s="6"/>
    </row>
    <row r="2585" spans="1:30" x14ac:dyDescent="0.2">
      <c r="A2585" t="str">
        <f t="shared" si="242"/>
        <v/>
      </c>
      <c r="X2585" t="str" cm="1">
        <f t="array" ref="X2585">IF(S2585="","",IF($I2585&lt;&gt;"",$I2585,INDEX($I$2:$I2584,ROW()-COUNTIFS($T$2:$T2584,"="&amp;$T2585,$S$2:$S2584,"&lt;&gt;"&amp;$S2585)-1)))</f>
        <v/>
      </c>
      <c r="Y2585" t="b">
        <f>IF(X2585&lt;&gt;"",VLOOKUP(X2585,game_rosters!$C$43:$E$64,3,FALSE))</f>
        <v>0</v>
      </c>
      <c r="Z2585" t="e" cm="1" vm="1">
        <f t="array" aca="1" ref="Z2585" ca="1">IFERROR(IF(_xlfn._xlws.FILTER(game_rosters!$J:$J,(game_rosters!$G:$G=events!$AN2585)*(game_rosters!$J:$J=events!$X2585))&gt;0,1,""),"")</f>
        <v>#VALUE!</v>
      </c>
      <c r="AA2585">
        <f t="shared" si="239"/>
        <v>1000</v>
      </c>
      <c r="AB2585" t="str">
        <f t="shared" si="240"/>
        <v/>
      </c>
      <c r="AC2585">
        <f t="shared" si="241"/>
        <v>1000</v>
      </c>
      <c r="AD2585" s="6"/>
    </row>
    <row r="2586" spans="1:30" x14ac:dyDescent="0.2">
      <c r="A2586" t="str">
        <f t="shared" si="242"/>
        <v/>
      </c>
      <c r="X2586" t="str" cm="1">
        <f t="array" ref="X2586">IF(S2586="","",IF($I2586&lt;&gt;"",$I2586,INDEX($I$2:$I2585,ROW()-COUNTIFS($T$2:$T2585,"="&amp;$T2586,$S$2:$S2585,"&lt;&gt;"&amp;$S2586)-1)))</f>
        <v/>
      </c>
      <c r="Y2586" t="b">
        <f>IF(X2586&lt;&gt;"",VLOOKUP(X2586,game_rosters!$C$43:$E$64,3,FALSE))</f>
        <v>0</v>
      </c>
      <c r="Z2586" t="e" cm="1" vm="1">
        <f t="array" aca="1" ref="Z2586" ca="1">IFERROR(IF(_xlfn._xlws.FILTER(game_rosters!$J:$J,(game_rosters!$G:$G=events!$AN2586)*(game_rosters!$J:$J=events!$X2586))&gt;0,1,""),"")</f>
        <v>#VALUE!</v>
      </c>
      <c r="AA2586">
        <f t="shared" si="239"/>
        <v>1000</v>
      </c>
      <c r="AB2586" t="str">
        <f t="shared" si="240"/>
        <v/>
      </c>
      <c r="AC2586">
        <f t="shared" si="241"/>
        <v>1000</v>
      </c>
      <c r="AD2586" s="6"/>
    </row>
    <row r="2587" spans="1:30" x14ac:dyDescent="0.2">
      <c r="A2587" t="str">
        <f t="shared" si="242"/>
        <v/>
      </c>
      <c r="X2587" t="str" cm="1">
        <f t="array" ref="X2587">IF(S2587="","",IF($I2587&lt;&gt;"",$I2587,INDEX($I$2:$I2586,ROW()-COUNTIFS($T$2:$T2586,"="&amp;$T2587,$S$2:$S2586,"&lt;&gt;"&amp;$S2587)-1)))</f>
        <v/>
      </c>
      <c r="Y2587" t="b">
        <f>IF(X2587&lt;&gt;"",VLOOKUP(X2587,game_rosters!$C$43:$E$64,3,FALSE))</f>
        <v>0</v>
      </c>
      <c r="Z2587" t="e" cm="1" vm="1">
        <f t="array" aca="1" ref="Z2587" ca="1">IFERROR(IF(_xlfn._xlws.FILTER(game_rosters!$J:$J,(game_rosters!$G:$G=events!$AN2587)*(game_rosters!$J:$J=events!$X2587))&gt;0,1,""),"")</f>
        <v>#VALUE!</v>
      </c>
      <c r="AA2587">
        <f t="shared" si="239"/>
        <v>1000</v>
      </c>
      <c r="AB2587" t="str">
        <f t="shared" si="240"/>
        <v/>
      </c>
      <c r="AC2587">
        <f t="shared" si="241"/>
        <v>1000</v>
      </c>
      <c r="AD2587" s="6"/>
    </row>
    <row r="2588" spans="1:30" x14ac:dyDescent="0.2">
      <c r="A2588" t="str">
        <f t="shared" si="242"/>
        <v/>
      </c>
      <c r="X2588" t="str" cm="1">
        <f t="array" ref="X2588">IF(S2588="","",IF($I2588&lt;&gt;"",$I2588,INDEX($I$2:$I2587,ROW()-COUNTIFS($T$2:$T2587,"="&amp;$T2588,$S$2:$S2587,"&lt;&gt;"&amp;$S2588)-1)))</f>
        <v/>
      </c>
      <c r="Y2588" t="b">
        <f>IF(X2588&lt;&gt;"",VLOOKUP(X2588,game_rosters!$C$43:$E$64,3,FALSE))</f>
        <v>0</v>
      </c>
      <c r="Z2588" t="e" cm="1" vm="1">
        <f t="array" aca="1" ref="Z2588" ca="1">IFERROR(IF(_xlfn._xlws.FILTER(game_rosters!$J:$J,(game_rosters!$G:$G=events!$AN2588)*(game_rosters!$J:$J=events!$X2588))&gt;0,1,""),"")</f>
        <v>#VALUE!</v>
      </c>
      <c r="AA2588">
        <f t="shared" si="239"/>
        <v>1000</v>
      </c>
      <c r="AB2588" t="str">
        <f t="shared" si="240"/>
        <v/>
      </c>
      <c r="AC2588">
        <f t="shared" si="241"/>
        <v>1000</v>
      </c>
      <c r="AD2588" s="6"/>
    </row>
    <row r="2589" spans="1:30" x14ac:dyDescent="0.2">
      <c r="A2589" t="str">
        <f t="shared" si="242"/>
        <v/>
      </c>
      <c r="X2589" t="str" cm="1">
        <f t="array" ref="X2589">IF(S2589="","",IF($I2589&lt;&gt;"",$I2589,INDEX($I$2:$I2588,ROW()-COUNTIFS($T$2:$T2588,"="&amp;$T2589,$S$2:$S2588,"&lt;&gt;"&amp;$S2589)-1)))</f>
        <v/>
      </c>
      <c r="Y2589" t="b">
        <f>IF(X2589&lt;&gt;"",VLOOKUP(X2589,game_rosters!$C$43:$E$64,3,FALSE))</f>
        <v>0</v>
      </c>
      <c r="Z2589" t="e" cm="1" vm="1">
        <f t="array" aca="1" ref="Z2589" ca="1">IFERROR(IF(_xlfn._xlws.FILTER(game_rosters!$J:$J,(game_rosters!$G:$G=events!$AN2589)*(game_rosters!$J:$J=events!$X2589))&gt;0,1,""),"")</f>
        <v>#VALUE!</v>
      </c>
      <c r="AA2589">
        <f t="shared" ref="AA2589:AA2652" si="243">S2589+1000</f>
        <v>1000</v>
      </c>
      <c r="AB2589" t="str">
        <f t="shared" ref="AB2589:AB2652" si="244">IF(T2589&lt;&gt;"",9000+T2589,"")</f>
        <v/>
      </c>
      <c r="AC2589">
        <f t="shared" si="241"/>
        <v>1000</v>
      </c>
      <c r="AD2589" s="6"/>
    </row>
    <row r="2590" spans="1:30" x14ac:dyDescent="0.2">
      <c r="A2590" t="str">
        <f t="shared" si="242"/>
        <v/>
      </c>
      <c r="X2590" t="str" cm="1">
        <f t="array" ref="X2590">IF(S2590="","",IF($I2590&lt;&gt;"",$I2590,INDEX($I$2:$I2589,ROW()-COUNTIFS($T$2:$T2589,"="&amp;$T2590,$S$2:$S2589,"&lt;&gt;"&amp;$S2590)-1)))</f>
        <v/>
      </c>
      <c r="Y2590" t="b">
        <f>IF(X2590&lt;&gt;"",VLOOKUP(X2590,game_rosters!$C$43:$E$64,3,FALSE))</f>
        <v>0</v>
      </c>
      <c r="Z2590" t="e" cm="1" vm="1">
        <f t="array" aca="1" ref="Z2590" ca="1">IFERROR(IF(_xlfn._xlws.FILTER(game_rosters!$J:$J,(game_rosters!$G:$G=events!$AN2590)*(game_rosters!$J:$J=events!$X2590))&gt;0,1,""),"")</f>
        <v>#VALUE!</v>
      </c>
      <c r="AA2590">
        <f t="shared" si="243"/>
        <v>1000</v>
      </c>
      <c r="AB2590" t="str">
        <f t="shared" si="244"/>
        <v/>
      </c>
      <c r="AC2590">
        <f t="shared" si="241"/>
        <v>1000</v>
      </c>
      <c r="AD2590" s="6"/>
    </row>
    <row r="2591" spans="1:30" x14ac:dyDescent="0.2">
      <c r="A2591" t="str">
        <f t="shared" si="242"/>
        <v/>
      </c>
      <c r="X2591" t="str" cm="1">
        <f t="array" ref="X2591">IF(S2591="","",IF($I2591&lt;&gt;"",$I2591,INDEX($I$2:$I2590,ROW()-COUNTIFS($T$2:$T2590,"="&amp;$T2591,$S$2:$S2590,"&lt;&gt;"&amp;$S2591)-1)))</f>
        <v/>
      </c>
      <c r="Y2591" t="b">
        <f>IF(X2591&lt;&gt;"",VLOOKUP(X2591,game_rosters!$C$43:$E$64,3,FALSE))</f>
        <v>0</v>
      </c>
      <c r="Z2591" t="e" cm="1" vm="1">
        <f t="array" aca="1" ref="Z2591" ca="1">IFERROR(IF(_xlfn._xlws.FILTER(game_rosters!$J:$J,(game_rosters!$G:$G=events!$AN2591)*(game_rosters!$J:$J=events!$X2591))&gt;0,1,""),"")</f>
        <v>#VALUE!</v>
      </c>
      <c r="AA2591">
        <f t="shared" si="243"/>
        <v>1000</v>
      </c>
      <c r="AB2591" t="str">
        <f t="shared" si="244"/>
        <v/>
      </c>
      <c r="AC2591">
        <f t="shared" si="241"/>
        <v>1000</v>
      </c>
      <c r="AD2591" s="6"/>
    </row>
    <row r="2592" spans="1:30" x14ac:dyDescent="0.2">
      <c r="A2592" t="str">
        <f t="shared" si="242"/>
        <v/>
      </c>
      <c r="X2592" t="str" cm="1">
        <f t="array" ref="X2592">IF(S2592="","",IF($I2592&lt;&gt;"",$I2592,INDEX($I$2:$I2591,ROW()-COUNTIFS($T$2:$T2591,"="&amp;$T2592,$S$2:$S2591,"&lt;&gt;"&amp;$S2592)-1)))</f>
        <v/>
      </c>
      <c r="Y2592" t="b">
        <f>IF(X2592&lt;&gt;"",VLOOKUP(X2592,game_rosters!$C$43:$E$64,3,FALSE))</f>
        <v>0</v>
      </c>
      <c r="Z2592" t="e" cm="1" vm="1">
        <f t="array" aca="1" ref="Z2592" ca="1">IFERROR(IF(_xlfn._xlws.FILTER(game_rosters!$J:$J,(game_rosters!$G:$G=events!$AN2592)*(game_rosters!$J:$J=events!$X2592))&gt;0,1,""),"")</f>
        <v>#VALUE!</v>
      </c>
      <c r="AA2592">
        <f t="shared" si="243"/>
        <v>1000</v>
      </c>
      <c r="AB2592" t="str">
        <f t="shared" si="244"/>
        <v/>
      </c>
      <c r="AC2592">
        <f t="shared" si="241"/>
        <v>1000</v>
      </c>
      <c r="AD2592" s="6"/>
    </row>
    <row r="2593" spans="1:30" x14ac:dyDescent="0.2">
      <c r="A2593" t="str">
        <f t="shared" si="242"/>
        <v/>
      </c>
      <c r="X2593" t="str" cm="1">
        <f t="array" ref="X2593">IF(S2593="","",IF($I2593&lt;&gt;"",$I2593,INDEX($I$2:$I2592,ROW()-COUNTIFS($T$2:$T2592,"="&amp;$T2593,$S$2:$S2592,"&lt;&gt;"&amp;$S2593)-1)))</f>
        <v/>
      </c>
      <c r="Y2593" t="b">
        <f>IF(X2593&lt;&gt;"",VLOOKUP(X2593,game_rosters!$C$43:$E$64,3,FALSE))</f>
        <v>0</v>
      </c>
      <c r="Z2593" t="e" cm="1" vm="1">
        <f t="array" aca="1" ref="Z2593" ca="1">IFERROR(IF(_xlfn._xlws.FILTER(game_rosters!$J:$J,(game_rosters!$G:$G=events!$AN2593)*(game_rosters!$J:$J=events!$X2593))&gt;0,1,""),"")</f>
        <v>#VALUE!</v>
      </c>
      <c r="AA2593">
        <f t="shared" si="243"/>
        <v>1000</v>
      </c>
      <c r="AB2593" t="str">
        <f t="shared" si="244"/>
        <v/>
      </c>
      <c r="AC2593">
        <f t="shared" si="241"/>
        <v>1000</v>
      </c>
      <c r="AD2593" s="6"/>
    </row>
    <row r="2594" spans="1:30" x14ac:dyDescent="0.2">
      <c r="A2594" t="str">
        <f t="shared" si="242"/>
        <v/>
      </c>
      <c r="X2594" t="str" cm="1">
        <f t="array" ref="X2594">IF(S2594="","",IF($I2594&lt;&gt;"",$I2594,INDEX($I$2:$I2593,ROW()-COUNTIFS($T$2:$T2593,"="&amp;$T2594,$S$2:$S2593,"&lt;&gt;"&amp;$S2594)-1)))</f>
        <v/>
      </c>
      <c r="Y2594" t="b">
        <f>IF(X2594&lt;&gt;"",VLOOKUP(X2594,game_rosters!$C$43:$E$64,3,FALSE))</f>
        <v>0</v>
      </c>
      <c r="Z2594" t="e" cm="1" vm="1">
        <f t="array" aca="1" ref="Z2594" ca="1">IFERROR(IF(_xlfn._xlws.FILTER(game_rosters!$J:$J,(game_rosters!$G:$G=events!$AN2594)*(game_rosters!$J:$J=events!$X2594))&gt;0,1,""),"")</f>
        <v>#VALUE!</v>
      </c>
      <c r="AA2594">
        <f t="shared" si="243"/>
        <v>1000</v>
      </c>
      <c r="AB2594" t="str">
        <f t="shared" si="244"/>
        <v/>
      </c>
      <c r="AC2594">
        <f t="shared" si="241"/>
        <v>1000</v>
      </c>
      <c r="AD2594" s="6"/>
    </row>
    <row r="2595" spans="1:30" x14ac:dyDescent="0.2">
      <c r="A2595" t="str">
        <f t="shared" si="242"/>
        <v/>
      </c>
      <c r="X2595" t="str" cm="1">
        <f t="array" ref="X2595">IF(S2595="","",IF($I2595&lt;&gt;"",$I2595,INDEX($I$2:$I2594,ROW()-COUNTIFS($T$2:$T2594,"="&amp;$T2595,$S$2:$S2594,"&lt;&gt;"&amp;$S2595)-1)))</f>
        <v/>
      </c>
      <c r="Y2595" t="b">
        <f>IF(X2595&lt;&gt;"",VLOOKUP(X2595,game_rosters!$C$43:$E$64,3,FALSE))</f>
        <v>0</v>
      </c>
      <c r="Z2595" t="e" cm="1" vm="1">
        <f t="array" aca="1" ref="Z2595" ca="1">IFERROR(IF(_xlfn._xlws.FILTER(game_rosters!$J:$J,(game_rosters!$G:$G=events!$AN2595)*(game_rosters!$J:$J=events!$X2595))&gt;0,1,""),"")</f>
        <v>#VALUE!</v>
      </c>
      <c r="AA2595">
        <f t="shared" si="243"/>
        <v>1000</v>
      </c>
      <c r="AB2595" t="str">
        <f t="shared" si="244"/>
        <v/>
      </c>
      <c r="AC2595">
        <f t="shared" si="241"/>
        <v>1000</v>
      </c>
      <c r="AD2595" s="6"/>
    </row>
    <row r="2596" spans="1:30" x14ac:dyDescent="0.2">
      <c r="A2596" t="str">
        <f t="shared" si="242"/>
        <v/>
      </c>
      <c r="X2596" t="str" cm="1">
        <f t="array" ref="X2596">IF(S2596="","",IF($I2596&lt;&gt;"",$I2596,INDEX($I$2:$I2595,ROW()-COUNTIFS($T$2:$T2595,"="&amp;$T2596,$S$2:$S2595,"&lt;&gt;"&amp;$S2596)-1)))</f>
        <v/>
      </c>
      <c r="Y2596" t="b">
        <f>IF(X2596&lt;&gt;"",VLOOKUP(X2596,game_rosters!$C$43:$E$64,3,FALSE))</f>
        <v>0</v>
      </c>
      <c r="Z2596" t="e" cm="1" vm="1">
        <f t="array" aca="1" ref="Z2596" ca="1">IFERROR(IF(_xlfn._xlws.FILTER(game_rosters!$J:$J,(game_rosters!$G:$G=events!$AN2596)*(game_rosters!$J:$J=events!$X2596))&gt;0,1,""),"")</f>
        <v>#VALUE!</v>
      </c>
      <c r="AA2596">
        <f t="shared" si="243"/>
        <v>1000</v>
      </c>
      <c r="AB2596" t="str">
        <f t="shared" si="244"/>
        <v/>
      </c>
      <c r="AC2596">
        <f t="shared" si="241"/>
        <v>1000</v>
      </c>
      <c r="AD2596" s="6"/>
    </row>
    <row r="2597" spans="1:30" x14ac:dyDescent="0.2">
      <c r="A2597" t="str">
        <f t="shared" si="242"/>
        <v/>
      </c>
      <c r="X2597" t="str" cm="1">
        <f t="array" ref="X2597">IF(S2597="","",IF($I2597&lt;&gt;"",$I2597,INDEX($I$2:$I2596,ROW()-COUNTIFS($T$2:$T2596,"="&amp;$T2597,$S$2:$S2596,"&lt;&gt;"&amp;$S2597)-1)))</f>
        <v/>
      </c>
      <c r="Y2597" t="b">
        <f>IF(X2597&lt;&gt;"",VLOOKUP(X2597,game_rosters!$C$43:$E$64,3,FALSE))</f>
        <v>0</v>
      </c>
      <c r="Z2597" t="e" cm="1" vm="1">
        <f t="array" aca="1" ref="Z2597" ca="1">IFERROR(IF(_xlfn._xlws.FILTER(game_rosters!$J:$J,(game_rosters!$G:$G=events!$AN2597)*(game_rosters!$J:$J=events!$X2597))&gt;0,1,""),"")</f>
        <v>#VALUE!</v>
      </c>
      <c r="AA2597">
        <f t="shared" si="243"/>
        <v>1000</v>
      </c>
      <c r="AB2597" t="str">
        <f t="shared" si="244"/>
        <v/>
      </c>
      <c r="AC2597">
        <f t="shared" si="241"/>
        <v>1000</v>
      </c>
      <c r="AD2597" s="6"/>
    </row>
    <row r="2598" spans="1:30" x14ac:dyDescent="0.2">
      <c r="A2598" t="str">
        <f t="shared" si="242"/>
        <v/>
      </c>
      <c r="X2598" t="str" cm="1">
        <f t="array" ref="X2598">IF(S2598="","",IF($I2598&lt;&gt;"",$I2598,INDEX($I$2:$I2597,ROW()-COUNTIFS($T$2:$T2597,"="&amp;$T2598,$S$2:$S2597,"&lt;&gt;"&amp;$S2598)-1)))</f>
        <v/>
      </c>
      <c r="Y2598" t="b">
        <f>IF(X2598&lt;&gt;"",VLOOKUP(X2598,game_rosters!$C$43:$E$64,3,FALSE))</f>
        <v>0</v>
      </c>
      <c r="Z2598" t="e" cm="1" vm="1">
        <f t="array" aca="1" ref="Z2598" ca="1">IFERROR(IF(_xlfn._xlws.FILTER(game_rosters!$J:$J,(game_rosters!$G:$G=events!$AN2598)*(game_rosters!$J:$J=events!$X2598))&gt;0,1,""),"")</f>
        <v>#VALUE!</v>
      </c>
      <c r="AA2598">
        <f t="shared" si="243"/>
        <v>1000</v>
      </c>
      <c r="AB2598" t="str">
        <f t="shared" si="244"/>
        <v/>
      </c>
      <c r="AC2598">
        <f t="shared" si="241"/>
        <v>1000</v>
      </c>
      <c r="AD2598" s="6"/>
    </row>
    <row r="2599" spans="1:30" x14ac:dyDescent="0.2">
      <c r="A2599" t="str">
        <f t="shared" si="242"/>
        <v/>
      </c>
      <c r="X2599" t="str" cm="1">
        <f t="array" ref="X2599">IF(S2599="","",IF($I2599&lt;&gt;"",$I2599,INDEX($I$2:$I2598,ROW()-COUNTIFS($T$2:$T2598,"="&amp;$T2599,$S$2:$S2598,"&lt;&gt;"&amp;$S2599)-1)))</f>
        <v/>
      </c>
      <c r="Y2599" t="b">
        <f>IF(X2599&lt;&gt;"",VLOOKUP(X2599,game_rosters!$C$43:$E$64,3,FALSE))</f>
        <v>0</v>
      </c>
      <c r="Z2599" t="e" cm="1" vm="1">
        <f t="array" aca="1" ref="Z2599" ca="1">IFERROR(IF(_xlfn._xlws.FILTER(game_rosters!$J:$J,(game_rosters!$G:$G=events!$AN2599)*(game_rosters!$J:$J=events!$X2599))&gt;0,1,""),"")</f>
        <v>#VALUE!</v>
      </c>
      <c r="AA2599">
        <f t="shared" si="243"/>
        <v>1000</v>
      </c>
      <c r="AB2599" t="str">
        <f t="shared" si="244"/>
        <v/>
      </c>
      <c r="AC2599">
        <f t="shared" si="241"/>
        <v>1000</v>
      </c>
      <c r="AD2599" s="6"/>
    </row>
    <row r="2600" spans="1:30" x14ac:dyDescent="0.2">
      <c r="A2600" t="str">
        <f t="shared" si="242"/>
        <v/>
      </c>
      <c r="X2600" t="str" cm="1">
        <f t="array" ref="X2600">IF(S2600="","",IF($I2600&lt;&gt;"",$I2600,INDEX($I$2:$I2599,ROW()-COUNTIFS($T$2:$T2599,"="&amp;$T2600,$S$2:$S2599,"&lt;&gt;"&amp;$S2600)-1)))</f>
        <v/>
      </c>
      <c r="Y2600" t="b">
        <f>IF(X2600&lt;&gt;"",VLOOKUP(X2600,game_rosters!$C$43:$E$64,3,FALSE))</f>
        <v>0</v>
      </c>
      <c r="Z2600" t="e" cm="1" vm="1">
        <f t="array" aca="1" ref="Z2600" ca="1">IFERROR(IF(_xlfn._xlws.FILTER(game_rosters!$J:$J,(game_rosters!$G:$G=events!$AN2600)*(game_rosters!$J:$J=events!$X2600))&gt;0,1,""),"")</f>
        <v>#VALUE!</v>
      </c>
      <c r="AA2600">
        <f t="shared" si="243"/>
        <v>1000</v>
      </c>
      <c r="AB2600" t="str">
        <f t="shared" si="244"/>
        <v/>
      </c>
      <c r="AC2600">
        <f t="shared" si="241"/>
        <v>1000</v>
      </c>
      <c r="AD2600" s="6"/>
    </row>
    <row r="2601" spans="1:30" x14ac:dyDescent="0.2">
      <c r="A2601" t="str">
        <f t="shared" si="242"/>
        <v/>
      </c>
      <c r="X2601" t="str" cm="1">
        <f t="array" ref="X2601">IF(S2601="","",IF($I2601&lt;&gt;"",$I2601,INDEX($I$2:$I2600,ROW()-COUNTIFS($T$2:$T2600,"="&amp;$T2601,$S$2:$S2600,"&lt;&gt;"&amp;$S2601)-1)))</f>
        <v/>
      </c>
      <c r="Y2601" t="b">
        <f>IF(X2601&lt;&gt;"",VLOOKUP(X2601,game_rosters!$C$43:$E$64,3,FALSE))</f>
        <v>0</v>
      </c>
      <c r="Z2601" t="e" cm="1" vm="1">
        <f t="array" aca="1" ref="Z2601" ca="1">IFERROR(IF(_xlfn._xlws.FILTER(game_rosters!$J:$J,(game_rosters!$G:$G=events!$AN2601)*(game_rosters!$J:$J=events!$X2601))&gt;0,1,""),"")</f>
        <v>#VALUE!</v>
      </c>
      <c r="AA2601">
        <f t="shared" si="243"/>
        <v>1000</v>
      </c>
      <c r="AB2601" t="str">
        <f t="shared" si="244"/>
        <v/>
      </c>
      <c r="AC2601">
        <f t="shared" si="241"/>
        <v>1000</v>
      </c>
      <c r="AD2601" s="6"/>
    </row>
    <row r="2602" spans="1:30" x14ac:dyDescent="0.2">
      <c r="A2602" t="str">
        <f t="shared" si="242"/>
        <v/>
      </c>
      <c r="X2602" t="str" cm="1">
        <f t="array" ref="X2602">IF(S2602="","",IF($I2602&lt;&gt;"",$I2602,INDEX($I$2:$I2601,ROW()-COUNTIFS($T$2:$T2601,"="&amp;$T2602,$S$2:$S2601,"&lt;&gt;"&amp;$S2602)-1)))</f>
        <v/>
      </c>
      <c r="Y2602" t="b">
        <f>IF(X2602&lt;&gt;"",VLOOKUP(X2602,game_rosters!$C$43:$E$64,3,FALSE))</f>
        <v>0</v>
      </c>
      <c r="Z2602" t="e" cm="1" vm="1">
        <f t="array" aca="1" ref="Z2602" ca="1">IFERROR(IF(_xlfn._xlws.FILTER(game_rosters!$J:$J,(game_rosters!$G:$G=events!$AN2602)*(game_rosters!$J:$J=events!$X2602))&gt;0,1,""),"")</f>
        <v>#VALUE!</v>
      </c>
      <c r="AA2602">
        <f t="shared" si="243"/>
        <v>1000</v>
      </c>
      <c r="AB2602" t="str">
        <f t="shared" si="244"/>
        <v/>
      </c>
      <c r="AC2602">
        <f t="shared" si="241"/>
        <v>1000</v>
      </c>
      <c r="AD2602" s="6"/>
    </row>
    <row r="2603" spans="1:30" x14ac:dyDescent="0.2">
      <c r="A2603" t="str">
        <f t="shared" si="242"/>
        <v/>
      </c>
      <c r="X2603" t="str" cm="1">
        <f t="array" ref="X2603">IF(S2603="","",IF($I2603&lt;&gt;"",$I2603,INDEX($I$2:$I2602,ROW()-COUNTIFS($T$2:$T2602,"="&amp;$T2603,$S$2:$S2602,"&lt;&gt;"&amp;$S2603)-1)))</f>
        <v/>
      </c>
      <c r="Y2603" t="b">
        <f>IF(X2603&lt;&gt;"",VLOOKUP(X2603,game_rosters!$C$43:$E$64,3,FALSE))</f>
        <v>0</v>
      </c>
      <c r="Z2603" t="e" cm="1" vm="1">
        <f t="array" aca="1" ref="Z2603" ca="1">IFERROR(IF(_xlfn._xlws.FILTER(game_rosters!$J:$J,(game_rosters!$G:$G=events!$AN2603)*(game_rosters!$J:$J=events!$X2603))&gt;0,1,""),"")</f>
        <v>#VALUE!</v>
      </c>
      <c r="AA2603">
        <f t="shared" si="243"/>
        <v>1000</v>
      </c>
      <c r="AB2603" t="str">
        <f t="shared" si="244"/>
        <v/>
      </c>
      <c r="AC2603">
        <f t="shared" si="241"/>
        <v>1000</v>
      </c>
      <c r="AD2603" s="6"/>
    </row>
    <row r="2604" spans="1:30" x14ac:dyDescent="0.2">
      <c r="A2604" t="str">
        <f t="shared" si="242"/>
        <v/>
      </c>
      <c r="X2604" t="str" cm="1">
        <f t="array" ref="X2604">IF(S2604="","",IF($I2604&lt;&gt;"",$I2604,INDEX($I$2:$I2603,ROW()-COUNTIFS($T$2:$T2603,"="&amp;$T2604,$S$2:$S2603,"&lt;&gt;"&amp;$S2604)-1)))</f>
        <v/>
      </c>
      <c r="Y2604" t="b">
        <f>IF(X2604&lt;&gt;"",VLOOKUP(X2604,game_rosters!$C$43:$E$64,3,FALSE))</f>
        <v>0</v>
      </c>
      <c r="Z2604" t="e" cm="1" vm="1">
        <f t="array" aca="1" ref="Z2604" ca="1">IFERROR(IF(_xlfn._xlws.FILTER(game_rosters!$J:$J,(game_rosters!$G:$G=events!$AN2604)*(game_rosters!$J:$J=events!$X2604))&gt;0,1,""),"")</f>
        <v>#VALUE!</v>
      </c>
      <c r="AA2604">
        <f t="shared" si="243"/>
        <v>1000</v>
      </c>
      <c r="AB2604" t="str">
        <f t="shared" si="244"/>
        <v/>
      </c>
      <c r="AC2604">
        <f t="shared" si="241"/>
        <v>1000</v>
      </c>
      <c r="AD2604" s="6"/>
    </row>
    <row r="2605" spans="1:30" x14ac:dyDescent="0.2">
      <c r="A2605" t="str">
        <f t="shared" si="242"/>
        <v/>
      </c>
      <c r="X2605" t="str" cm="1">
        <f t="array" ref="X2605">IF(S2605="","",IF($I2605&lt;&gt;"",$I2605,INDEX($I$2:$I2604,ROW()-COUNTIFS($T$2:$T2604,"="&amp;$T2605,$S$2:$S2604,"&lt;&gt;"&amp;$S2605)-1)))</f>
        <v/>
      </c>
      <c r="Y2605" t="b">
        <f>IF(X2605&lt;&gt;"",VLOOKUP(X2605,game_rosters!$C$43:$E$64,3,FALSE))</f>
        <v>0</v>
      </c>
      <c r="Z2605" t="e" cm="1" vm="1">
        <f t="array" aca="1" ref="Z2605" ca="1">IFERROR(IF(_xlfn._xlws.FILTER(game_rosters!$J:$J,(game_rosters!$G:$G=events!$AN2605)*(game_rosters!$J:$J=events!$X2605))&gt;0,1,""),"")</f>
        <v>#VALUE!</v>
      </c>
      <c r="AA2605">
        <f t="shared" si="243"/>
        <v>1000</v>
      </c>
      <c r="AB2605" t="str">
        <f t="shared" si="244"/>
        <v/>
      </c>
      <c r="AC2605">
        <f t="shared" si="241"/>
        <v>1000</v>
      </c>
      <c r="AD2605" s="6"/>
    </row>
    <row r="2606" spans="1:30" x14ac:dyDescent="0.2">
      <c r="A2606" t="str">
        <f t="shared" si="242"/>
        <v/>
      </c>
      <c r="X2606" t="str" cm="1">
        <f t="array" ref="X2606">IF(S2606="","",IF($I2606&lt;&gt;"",$I2606,INDEX($I$2:$I2605,ROW()-COUNTIFS($T$2:$T2605,"="&amp;$T2606,$S$2:$S2605,"&lt;&gt;"&amp;$S2606)-1)))</f>
        <v/>
      </c>
      <c r="Y2606" t="b">
        <f>IF(X2606&lt;&gt;"",VLOOKUP(X2606,game_rosters!$C$43:$E$64,3,FALSE))</f>
        <v>0</v>
      </c>
      <c r="Z2606" t="e" cm="1" vm="1">
        <f t="array" aca="1" ref="Z2606" ca="1">IFERROR(IF(_xlfn._xlws.FILTER(game_rosters!$J:$J,(game_rosters!$G:$G=events!$AN2606)*(game_rosters!$J:$J=events!$X2606))&gt;0,1,""),"")</f>
        <v>#VALUE!</v>
      </c>
      <c r="AA2606">
        <f t="shared" si="243"/>
        <v>1000</v>
      </c>
      <c r="AB2606" t="str">
        <f t="shared" si="244"/>
        <v/>
      </c>
      <c r="AC2606">
        <f t="shared" si="241"/>
        <v>1000</v>
      </c>
      <c r="AD2606" s="6"/>
    </row>
    <row r="2607" spans="1:30" x14ac:dyDescent="0.2">
      <c r="A2607" t="str">
        <f t="shared" si="242"/>
        <v/>
      </c>
      <c r="X2607" t="str" cm="1">
        <f t="array" ref="X2607">IF(S2607="","",IF($I2607&lt;&gt;"",$I2607,INDEX($I$2:$I2606,ROW()-COUNTIFS($T$2:$T2606,"="&amp;$T2607,$S$2:$S2606,"&lt;&gt;"&amp;$S2607)-1)))</f>
        <v/>
      </c>
      <c r="Y2607" t="b">
        <f>IF(X2607&lt;&gt;"",VLOOKUP(X2607,game_rosters!$C$43:$E$64,3,FALSE))</f>
        <v>0</v>
      </c>
      <c r="Z2607" t="e" cm="1" vm="1">
        <f t="array" aca="1" ref="Z2607" ca="1">IFERROR(IF(_xlfn._xlws.FILTER(game_rosters!$J:$J,(game_rosters!$G:$G=events!$AN2607)*(game_rosters!$J:$J=events!$X2607))&gt;0,1,""),"")</f>
        <v>#VALUE!</v>
      </c>
      <c r="AA2607">
        <f t="shared" si="243"/>
        <v>1000</v>
      </c>
      <c r="AB2607" t="str">
        <f t="shared" si="244"/>
        <v/>
      </c>
      <c r="AC2607">
        <f t="shared" si="241"/>
        <v>1000</v>
      </c>
      <c r="AD2607" s="6"/>
    </row>
    <row r="2608" spans="1:30" x14ac:dyDescent="0.2">
      <c r="A2608" t="str">
        <f t="shared" si="242"/>
        <v/>
      </c>
      <c r="X2608" t="str" cm="1">
        <f t="array" ref="X2608">IF(S2608="","",IF($I2608&lt;&gt;"",$I2608,INDEX($I$2:$I2607,ROW()-COUNTIFS($T$2:$T2607,"="&amp;$T2608,$S$2:$S2607,"&lt;&gt;"&amp;$S2608)-1)))</f>
        <v/>
      </c>
      <c r="Y2608" t="b">
        <f>IF(X2608&lt;&gt;"",VLOOKUP(X2608,game_rosters!$C$43:$E$64,3,FALSE))</f>
        <v>0</v>
      </c>
      <c r="Z2608" t="e" cm="1" vm="1">
        <f t="array" aca="1" ref="Z2608" ca="1">IFERROR(IF(_xlfn._xlws.FILTER(game_rosters!$J:$J,(game_rosters!$G:$G=events!$AN2608)*(game_rosters!$J:$J=events!$X2608))&gt;0,1,""),"")</f>
        <v>#VALUE!</v>
      </c>
      <c r="AA2608">
        <f t="shared" si="243"/>
        <v>1000</v>
      </c>
      <c r="AB2608" t="str">
        <f t="shared" si="244"/>
        <v/>
      </c>
      <c r="AC2608">
        <f t="shared" si="241"/>
        <v>1000</v>
      </c>
      <c r="AD2608" s="6"/>
    </row>
    <row r="2609" spans="1:30" x14ac:dyDescent="0.2">
      <c r="A2609" t="str">
        <f t="shared" si="242"/>
        <v/>
      </c>
      <c r="X2609" t="str" cm="1">
        <f t="array" ref="X2609">IF(S2609="","",IF($I2609&lt;&gt;"",$I2609,INDEX($I$2:$I2608,ROW()-COUNTIFS($T$2:$T2608,"="&amp;$T2609,$S$2:$S2608,"&lt;&gt;"&amp;$S2609)-1)))</f>
        <v/>
      </c>
      <c r="Y2609" t="b">
        <f>IF(X2609&lt;&gt;"",VLOOKUP(X2609,game_rosters!$C$43:$E$64,3,FALSE))</f>
        <v>0</v>
      </c>
      <c r="Z2609" t="e" cm="1" vm="1">
        <f t="array" aca="1" ref="Z2609" ca="1">IFERROR(IF(_xlfn._xlws.FILTER(game_rosters!$J:$J,(game_rosters!$G:$G=events!$AN2609)*(game_rosters!$J:$J=events!$X2609))&gt;0,1,""),"")</f>
        <v>#VALUE!</v>
      </c>
      <c r="AA2609">
        <f t="shared" si="243"/>
        <v>1000</v>
      </c>
      <c r="AB2609" t="str">
        <f t="shared" si="244"/>
        <v/>
      </c>
      <c r="AC2609">
        <f t="shared" si="241"/>
        <v>1000</v>
      </c>
      <c r="AD2609" s="6"/>
    </row>
    <row r="2610" spans="1:30" x14ac:dyDescent="0.2">
      <c r="A2610" t="str">
        <f t="shared" si="242"/>
        <v/>
      </c>
      <c r="X2610" t="str" cm="1">
        <f t="array" ref="X2610">IF(S2610="","",IF($I2610&lt;&gt;"",$I2610,INDEX($I$2:$I2609,ROW()-COUNTIFS($T$2:$T2609,"="&amp;$T2610,$S$2:$S2609,"&lt;&gt;"&amp;$S2610)-1)))</f>
        <v/>
      </c>
      <c r="Y2610" t="b">
        <f>IF(X2610&lt;&gt;"",VLOOKUP(X2610,game_rosters!$C$43:$E$64,3,FALSE))</f>
        <v>0</v>
      </c>
      <c r="Z2610" t="e" cm="1" vm="1">
        <f t="array" aca="1" ref="Z2610" ca="1">IFERROR(IF(_xlfn._xlws.FILTER(game_rosters!$J:$J,(game_rosters!$G:$G=events!$AN2610)*(game_rosters!$J:$J=events!$X2610))&gt;0,1,""),"")</f>
        <v>#VALUE!</v>
      </c>
      <c r="AA2610">
        <f t="shared" si="243"/>
        <v>1000</v>
      </c>
      <c r="AB2610" t="str">
        <f t="shared" si="244"/>
        <v/>
      </c>
      <c r="AC2610">
        <f t="shared" si="241"/>
        <v>1000</v>
      </c>
      <c r="AD2610" s="6"/>
    </row>
    <row r="2611" spans="1:30" x14ac:dyDescent="0.2">
      <c r="A2611" t="str">
        <f t="shared" si="242"/>
        <v/>
      </c>
      <c r="X2611" t="str" cm="1">
        <f t="array" ref="X2611">IF(S2611="","",IF($I2611&lt;&gt;"",$I2611,INDEX($I$2:$I2610,ROW()-COUNTIFS($T$2:$T2610,"="&amp;$T2611,$S$2:$S2610,"&lt;&gt;"&amp;$S2611)-1)))</f>
        <v/>
      </c>
      <c r="Y2611" t="b">
        <f>IF(X2611&lt;&gt;"",VLOOKUP(X2611,game_rosters!$C$43:$E$64,3,FALSE))</f>
        <v>0</v>
      </c>
      <c r="Z2611" t="e" cm="1" vm="1">
        <f t="array" aca="1" ref="Z2611" ca="1">IFERROR(IF(_xlfn._xlws.FILTER(game_rosters!$J:$J,(game_rosters!$G:$G=events!$AN2611)*(game_rosters!$J:$J=events!$X2611))&gt;0,1,""),"")</f>
        <v>#VALUE!</v>
      </c>
      <c r="AA2611">
        <f t="shared" si="243"/>
        <v>1000</v>
      </c>
      <c r="AB2611" t="str">
        <f t="shared" si="244"/>
        <v/>
      </c>
      <c r="AC2611">
        <f t="shared" si="241"/>
        <v>1000</v>
      </c>
      <c r="AD2611" s="6"/>
    </row>
    <row r="2612" spans="1:30" x14ac:dyDescent="0.2">
      <c r="A2612" t="str">
        <f t="shared" si="242"/>
        <v/>
      </c>
      <c r="X2612" t="str" cm="1">
        <f t="array" ref="X2612">IF(S2612="","",IF($I2612&lt;&gt;"",$I2612,INDEX($I$2:$I2611,ROW()-COUNTIFS($T$2:$T2611,"="&amp;$T2612,$S$2:$S2611,"&lt;&gt;"&amp;$S2612)-1)))</f>
        <v/>
      </c>
      <c r="Y2612" t="b">
        <f>IF(X2612&lt;&gt;"",VLOOKUP(X2612,game_rosters!$C$43:$E$64,3,FALSE))</f>
        <v>0</v>
      </c>
      <c r="Z2612" t="e" cm="1" vm="1">
        <f t="array" aca="1" ref="Z2612" ca="1">IFERROR(IF(_xlfn._xlws.FILTER(game_rosters!$J:$J,(game_rosters!$G:$G=events!$AN2612)*(game_rosters!$J:$J=events!$X2612))&gt;0,1,""),"")</f>
        <v>#VALUE!</v>
      </c>
      <c r="AA2612">
        <f t="shared" si="243"/>
        <v>1000</v>
      </c>
      <c r="AB2612" t="str">
        <f t="shared" si="244"/>
        <v/>
      </c>
      <c r="AC2612">
        <f t="shared" si="241"/>
        <v>1000</v>
      </c>
      <c r="AD2612" s="6"/>
    </row>
    <row r="2613" spans="1:30" x14ac:dyDescent="0.2">
      <c r="A2613" t="str">
        <f t="shared" si="242"/>
        <v/>
      </c>
      <c r="X2613" t="str" cm="1">
        <f t="array" ref="X2613">IF(S2613="","",IF($I2613&lt;&gt;"",$I2613,INDEX($I$2:$I2612,ROW()-COUNTIFS($T$2:$T2612,"="&amp;$T2613,$S$2:$S2612,"&lt;&gt;"&amp;$S2613)-1)))</f>
        <v/>
      </c>
      <c r="Y2613" t="b">
        <f>IF(X2613&lt;&gt;"",VLOOKUP(X2613,game_rosters!$C$43:$E$64,3,FALSE))</f>
        <v>0</v>
      </c>
      <c r="Z2613" t="e" cm="1" vm="1">
        <f t="array" aca="1" ref="Z2613" ca="1">IFERROR(IF(_xlfn._xlws.FILTER(game_rosters!$J:$J,(game_rosters!$G:$G=events!$AN2613)*(game_rosters!$J:$J=events!$X2613))&gt;0,1,""),"")</f>
        <v>#VALUE!</v>
      </c>
      <c r="AA2613">
        <f t="shared" si="243"/>
        <v>1000</v>
      </c>
      <c r="AB2613" t="str">
        <f t="shared" si="244"/>
        <v/>
      </c>
      <c r="AC2613">
        <f t="shared" si="241"/>
        <v>1000</v>
      </c>
      <c r="AD2613" s="6"/>
    </row>
    <row r="2614" spans="1:30" x14ac:dyDescent="0.2">
      <c r="A2614" t="str">
        <f t="shared" si="242"/>
        <v/>
      </c>
      <c r="X2614" t="str" cm="1">
        <f t="array" ref="X2614">IF(S2614="","",IF($I2614&lt;&gt;"",$I2614,INDEX($I$2:$I2613,ROW()-COUNTIFS($T$2:$T2613,"="&amp;$T2614,$S$2:$S2613,"&lt;&gt;"&amp;$S2614)-1)))</f>
        <v/>
      </c>
      <c r="Y2614" t="b">
        <f>IF(X2614&lt;&gt;"",VLOOKUP(X2614,game_rosters!$C$43:$E$64,3,FALSE))</f>
        <v>0</v>
      </c>
      <c r="Z2614" t="e" cm="1" vm="1">
        <f t="array" aca="1" ref="Z2614" ca="1">IFERROR(IF(_xlfn._xlws.FILTER(game_rosters!$J:$J,(game_rosters!$G:$G=events!$AN2614)*(game_rosters!$J:$J=events!$X2614))&gt;0,1,""),"")</f>
        <v>#VALUE!</v>
      </c>
      <c r="AA2614">
        <f t="shared" si="243"/>
        <v>1000</v>
      </c>
      <c r="AB2614" t="str">
        <f t="shared" si="244"/>
        <v/>
      </c>
      <c r="AC2614">
        <f t="shared" si="241"/>
        <v>1000</v>
      </c>
      <c r="AD2614" s="6"/>
    </row>
    <row r="2615" spans="1:30" x14ac:dyDescent="0.2">
      <c r="A2615" t="str">
        <f t="shared" si="242"/>
        <v/>
      </c>
      <c r="X2615" t="str" cm="1">
        <f t="array" ref="X2615">IF(S2615="","",IF($I2615&lt;&gt;"",$I2615,INDEX($I$2:$I2614,ROW()-COUNTIFS($T$2:$T2614,"="&amp;$T2615,$S$2:$S2614,"&lt;&gt;"&amp;$S2615)-1)))</f>
        <v/>
      </c>
      <c r="Y2615" t="b">
        <f>IF(X2615&lt;&gt;"",VLOOKUP(X2615,game_rosters!$C$43:$E$64,3,FALSE))</f>
        <v>0</v>
      </c>
      <c r="Z2615" t="e" cm="1" vm="1">
        <f t="array" aca="1" ref="Z2615" ca="1">IFERROR(IF(_xlfn._xlws.FILTER(game_rosters!$J:$J,(game_rosters!$G:$G=events!$AN2615)*(game_rosters!$J:$J=events!$X2615))&gt;0,1,""),"")</f>
        <v>#VALUE!</v>
      </c>
      <c r="AA2615">
        <f t="shared" si="243"/>
        <v>1000</v>
      </c>
      <c r="AB2615" t="str">
        <f t="shared" si="244"/>
        <v/>
      </c>
      <c r="AC2615">
        <f t="shared" si="241"/>
        <v>1000</v>
      </c>
      <c r="AD2615" s="6"/>
    </row>
    <row r="2616" spans="1:30" x14ac:dyDescent="0.2">
      <c r="A2616" t="str">
        <f t="shared" si="242"/>
        <v/>
      </c>
      <c r="X2616" t="str" cm="1">
        <f t="array" ref="X2616">IF(S2616="","",IF($I2616&lt;&gt;"",$I2616,INDEX($I$2:$I2615,ROW()-COUNTIFS($T$2:$T2615,"="&amp;$T2616,$S$2:$S2615,"&lt;&gt;"&amp;$S2616)-1)))</f>
        <v/>
      </c>
      <c r="Y2616" t="b">
        <f>IF(X2616&lt;&gt;"",VLOOKUP(X2616,game_rosters!$C$43:$E$64,3,FALSE))</f>
        <v>0</v>
      </c>
      <c r="Z2616" t="e" cm="1" vm="1">
        <f t="array" aca="1" ref="Z2616" ca="1">IFERROR(IF(_xlfn._xlws.FILTER(game_rosters!$J:$J,(game_rosters!$G:$G=events!$AN2616)*(game_rosters!$J:$J=events!$X2616))&gt;0,1,""),"")</f>
        <v>#VALUE!</v>
      </c>
      <c r="AA2616">
        <f t="shared" si="243"/>
        <v>1000</v>
      </c>
      <c r="AB2616" t="str">
        <f t="shared" si="244"/>
        <v/>
      </c>
      <c r="AC2616">
        <f t="shared" si="241"/>
        <v>1000</v>
      </c>
      <c r="AD2616" s="6"/>
    </row>
    <row r="2617" spans="1:30" x14ac:dyDescent="0.2">
      <c r="A2617" t="str">
        <f t="shared" si="242"/>
        <v/>
      </c>
      <c r="X2617" t="str" cm="1">
        <f t="array" ref="X2617">IF(S2617="","",IF($I2617&lt;&gt;"",$I2617,INDEX($I$2:$I2616,ROW()-COUNTIFS($T$2:$T2616,"="&amp;$T2617,$S$2:$S2616,"&lt;&gt;"&amp;$S2617)-1)))</f>
        <v/>
      </c>
      <c r="Y2617" t="b">
        <f>IF(X2617&lt;&gt;"",VLOOKUP(X2617,game_rosters!$C$43:$E$64,3,FALSE))</f>
        <v>0</v>
      </c>
      <c r="Z2617" t="e" cm="1" vm="1">
        <f t="array" aca="1" ref="Z2617" ca="1">IFERROR(IF(_xlfn._xlws.FILTER(game_rosters!$J:$J,(game_rosters!$G:$G=events!$AN2617)*(game_rosters!$J:$J=events!$X2617))&gt;0,1,""),"")</f>
        <v>#VALUE!</v>
      </c>
      <c r="AA2617">
        <f t="shared" si="243"/>
        <v>1000</v>
      </c>
      <c r="AB2617" t="str">
        <f t="shared" si="244"/>
        <v/>
      </c>
      <c r="AC2617">
        <f t="shared" si="241"/>
        <v>1000</v>
      </c>
      <c r="AD2617" s="6"/>
    </row>
    <row r="2618" spans="1:30" x14ac:dyDescent="0.2">
      <c r="A2618" t="str">
        <f t="shared" si="242"/>
        <v/>
      </c>
      <c r="X2618" t="str" cm="1">
        <f t="array" ref="X2618">IF(S2618="","",IF($I2618&lt;&gt;"",$I2618,INDEX($I$2:$I2617,ROW()-COUNTIFS($T$2:$T2617,"="&amp;$T2618,$S$2:$S2617,"&lt;&gt;"&amp;$S2618)-1)))</f>
        <v/>
      </c>
      <c r="Y2618" t="b">
        <f>IF(X2618&lt;&gt;"",VLOOKUP(X2618,game_rosters!$C$43:$E$64,3,FALSE))</f>
        <v>0</v>
      </c>
      <c r="Z2618" t="e" cm="1" vm="1">
        <f t="array" aca="1" ref="Z2618" ca="1">IFERROR(IF(_xlfn._xlws.FILTER(game_rosters!$J:$J,(game_rosters!$G:$G=events!$AN2618)*(game_rosters!$J:$J=events!$X2618))&gt;0,1,""),"")</f>
        <v>#VALUE!</v>
      </c>
      <c r="AA2618">
        <f t="shared" si="243"/>
        <v>1000</v>
      </c>
      <c r="AB2618" t="str">
        <f t="shared" si="244"/>
        <v/>
      </c>
      <c r="AC2618">
        <f t="shared" si="241"/>
        <v>1000</v>
      </c>
      <c r="AD2618" s="6"/>
    </row>
    <row r="2619" spans="1:30" x14ac:dyDescent="0.2">
      <c r="A2619" t="str">
        <f t="shared" si="242"/>
        <v/>
      </c>
      <c r="X2619" t="str" cm="1">
        <f t="array" ref="X2619">IF(S2619="","",IF($I2619&lt;&gt;"",$I2619,INDEX($I$2:$I2618,ROW()-COUNTIFS($T$2:$T2618,"="&amp;$T2619,$S$2:$S2618,"&lt;&gt;"&amp;$S2619)-1)))</f>
        <v/>
      </c>
      <c r="Y2619" t="b">
        <f>IF(X2619&lt;&gt;"",VLOOKUP(X2619,game_rosters!$C$43:$E$64,3,FALSE))</f>
        <v>0</v>
      </c>
      <c r="Z2619" t="e" cm="1" vm="1">
        <f t="array" aca="1" ref="Z2619" ca="1">IFERROR(IF(_xlfn._xlws.FILTER(game_rosters!$J:$J,(game_rosters!$G:$G=events!$AN2619)*(game_rosters!$J:$J=events!$X2619))&gt;0,1,""),"")</f>
        <v>#VALUE!</v>
      </c>
      <c r="AA2619">
        <f t="shared" si="243"/>
        <v>1000</v>
      </c>
      <c r="AB2619" t="str">
        <f t="shared" si="244"/>
        <v/>
      </c>
      <c r="AC2619">
        <f t="shared" si="241"/>
        <v>1000</v>
      </c>
      <c r="AD2619" s="6"/>
    </row>
    <row r="2620" spans="1:30" x14ac:dyDescent="0.2">
      <c r="A2620" t="str">
        <f t="shared" si="242"/>
        <v/>
      </c>
      <c r="X2620" t="str" cm="1">
        <f t="array" ref="X2620">IF(S2620="","",IF($I2620&lt;&gt;"",$I2620,INDEX($I$2:$I2619,ROW()-COUNTIFS($T$2:$T2619,"="&amp;$T2620,$S$2:$S2619,"&lt;&gt;"&amp;$S2620)-1)))</f>
        <v/>
      </c>
      <c r="Y2620" t="b">
        <f>IF(X2620&lt;&gt;"",VLOOKUP(X2620,game_rosters!$C$43:$E$64,3,FALSE))</f>
        <v>0</v>
      </c>
      <c r="Z2620" t="e" cm="1" vm="1">
        <f t="array" aca="1" ref="Z2620" ca="1">IFERROR(IF(_xlfn._xlws.FILTER(game_rosters!$J:$J,(game_rosters!$G:$G=events!$AN2620)*(game_rosters!$J:$J=events!$X2620))&gt;0,1,""),"")</f>
        <v>#VALUE!</v>
      </c>
      <c r="AA2620">
        <f t="shared" si="243"/>
        <v>1000</v>
      </c>
      <c r="AB2620" t="str">
        <f t="shared" si="244"/>
        <v/>
      </c>
      <c r="AC2620">
        <f t="shared" si="241"/>
        <v>1000</v>
      </c>
      <c r="AD2620" s="6"/>
    </row>
    <row r="2621" spans="1:30" x14ac:dyDescent="0.2">
      <c r="A2621" t="str">
        <f t="shared" si="242"/>
        <v/>
      </c>
      <c r="X2621" t="str" cm="1">
        <f t="array" ref="X2621">IF(S2621="","",IF($I2621&lt;&gt;"",$I2621,INDEX($I$2:$I2620,ROW()-COUNTIFS($T$2:$T2620,"="&amp;$T2621,$S$2:$S2620,"&lt;&gt;"&amp;$S2621)-1)))</f>
        <v/>
      </c>
      <c r="Y2621" t="b">
        <f>IF(X2621&lt;&gt;"",VLOOKUP(X2621,game_rosters!$C$43:$E$64,3,FALSE))</f>
        <v>0</v>
      </c>
      <c r="Z2621" t="e" cm="1" vm="1">
        <f t="array" aca="1" ref="Z2621" ca="1">IFERROR(IF(_xlfn._xlws.FILTER(game_rosters!$J:$J,(game_rosters!$G:$G=events!$AN2621)*(game_rosters!$J:$J=events!$X2621))&gt;0,1,""),"")</f>
        <v>#VALUE!</v>
      </c>
      <c r="AA2621">
        <f t="shared" si="243"/>
        <v>1000</v>
      </c>
      <c r="AB2621" t="str">
        <f t="shared" si="244"/>
        <v/>
      </c>
      <c r="AC2621">
        <f t="shared" si="241"/>
        <v>1000</v>
      </c>
      <c r="AD2621" s="6"/>
    </row>
    <row r="2622" spans="1:30" x14ac:dyDescent="0.2">
      <c r="A2622" t="str">
        <f t="shared" si="242"/>
        <v/>
      </c>
      <c r="X2622" t="str" cm="1">
        <f t="array" ref="X2622">IF(S2622="","",IF($I2622&lt;&gt;"",$I2622,INDEX($I$2:$I2621,ROW()-COUNTIFS($T$2:$T2621,"="&amp;$T2622,$S$2:$S2621,"&lt;&gt;"&amp;$S2622)-1)))</f>
        <v/>
      </c>
      <c r="Y2622" t="b">
        <f>IF(X2622&lt;&gt;"",VLOOKUP(X2622,game_rosters!$C$43:$E$64,3,FALSE))</f>
        <v>0</v>
      </c>
      <c r="Z2622" t="e" cm="1" vm="1">
        <f t="array" aca="1" ref="Z2622" ca="1">IFERROR(IF(_xlfn._xlws.FILTER(game_rosters!$J:$J,(game_rosters!$G:$G=events!$AN2622)*(game_rosters!$J:$J=events!$X2622))&gt;0,1,""),"")</f>
        <v>#VALUE!</v>
      </c>
      <c r="AA2622">
        <f t="shared" si="243"/>
        <v>1000</v>
      </c>
      <c r="AB2622" t="str">
        <f t="shared" si="244"/>
        <v/>
      </c>
      <c r="AC2622">
        <f t="shared" si="241"/>
        <v>1000</v>
      </c>
      <c r="AD2622" s="6"/>
    </row>
    <row r="2623" spans="1:30" x14ac:dyDescent="0.2">
      <c r="A2623" t="str">
        <f t="shared" si="242"/>
        <v/>
      </c>
      <c r="X2623" t="str" cm="1">
        <f t="array" ref="X2623">IF(S2623="","",IF($I2623&lt;&gt;"",$I2623,INDEX($I$2:$I2622,ROW()-COUNTIFS($T$2:$T2622,"="&amp;$T2623,$S$2:$S2622,"&lt;&gt;"&amp;$S2623)-1)))</f>
        <v/>
      </c>
      <c r="Y2623" t="b">
        <f>IF(X2623&lt;&gt;"",VLOOKUP(X2623,game_rosters!$C$43:$E$64,3,FALSE))</f>
        <v>0</v>
      </c>
      <c r="Z2623" t="e" cm="1" vm="1">
        <f t="array" aca="1" ref="Z2623" ca="1">IFERROR(IF(_xlfn._xlws.FILTER(game_rosters!$J:$J,(game_rosters!$G:$G=events!$AN2623)*(game_rosters!$J:$J=events!$X2623))&gt;0,1,""),"")</f>
        <v>#VALUE!</v>
      </c>
      <c r="AA2623">
        <f t="shared" si="243"/>
        <v>1000</v>
      </c>
      <c r="AB2623" t="str">
        <f t="shared" si="244"/>
        <v/>
      </c>
      <c r="AC2623">
        <f t="shared" si="241"/>
        <v>1000</v>
      </c>
      <c r="AD2623" s="6"/>
    </row>
    <row r="2624" spans="1:30" x14ac:dyDescent="0.2">
      <c r="A2624" t="str">
        <f t="shared" si="242"/>
        <v/>
      </c>
      <c r="X2624" t="str" cm="1">
        <f t="array" ref="X2624">IF(S2624="","",IF($I2624&lt;&gt;"",$I2624,INDEX($I$2:$I2623,ROW()-COUNTIFS($T$2:$T2623,"="&amp;$T2624,$S$2:$S2623,"&lt;&gt;"&amp;$S2624)-1)))</f>
        <v/>
      </c>
      <c r="Y2624" t="b">
        <f>IF(X2624&lt;&gt;"",VLOOKUP(X2624,game_rosters!$C$43:$E$64,3,FALSE))</f>
        <v>0</v>
      </c>
      <c r="Z2624" t="e" cm="1" vm="1">
        <f t="array" aca="1" ref="Z2624" ca="1">IFERROR(IF(_xlfn._xlws.FILTER(game_rosters!$J:$J,(game_rosters!$G:$G=events!$AN2624)*(game_rosters!$J:$J=events!$X2624))&gt;0,1,""),"")</f>
        <v>#VALUE!</v>
      </c>
      <c r="AA2624">
        <f t="shared" si="243"/>
        <v>1000</v>
      </c>
      <c r="AB2624" t="str">
        <f t="shared" si="244"/>
        <v/>
      </c>
      <c r="AC2624">
        <f t="shared" si="241"/>
        <v>1000</v>
      </c>
      <c r="AD2624" s="6"/>
    </row>
    <row r="2625" spans="1:30" x14ac:dyDescent="0.2">
      <c r="A2625" t="str">
        <f t="shared" si="242"/>
        <v/>
      </c>
      <c r="X2625" t="str" cm="1">
        <f t="array" ref="X2625">IF(S2625="","",IF($I2625&lt;&gt;"",$I2625,INDEX($I$2:$I2624,ROW()-COUNTIFS($T$2:$T2624,"="&amp;$T2625,$S$2:$S2624,"&lt;&gt;"&amp;$S2625)-1)))</f>
        <v/>
      </c>
      <c r="Y2625" t="b">
        <f>IF(X2625&lt;&gt;"",VLOOKUP(X2625,game_rosters!$C$43:$E$64,3,FALSE))</f>
        <v>0</v>
      </c>
      <c r="Z2625" t="e" cm="1" vm="1">
        <f t="array" aca="1" ref="Z2625" ca="1">IFERROR(IF(_xlfn._xlws.FILTER(game_rosters!$J:$J,(game_rosters!$G:$G=events!$AN2625)*(game_rosters!$J:$J=events!$X2625))&gt;0,1,""),"")</f>
        <v>#VALUE!</v>
      </c>
      <c r="AA2625">
        <f t="shared" si="243"/>
        <v>1000</v>
      </c>
      <c r="AB2625" t="str">
        <f t="shared" si="244"/>
        <v/>
      </c>
      <c r="AC2625">
        <f t="shared" si="241"/>
        <v>1000</v>
      </c>
      <c r="AD2625" s="6"/>
    </row>
    <row r="2626" spans="1:30" x14ac:dyDescent="0.2">
      <c r="A2626" t="str">
        <f t="shared" si="242"/>
        <v/>
      </c>
      <c r="X2626" t="str" cm="1">
        <f t="array" ref="X2626">IF(S2626="","",IF($I2626&lt;&gt;"",$I2626,INDEX($I$2:$I2625,ROW()-COUNTIFS($T$2:$T2625,"="&amp;$T2626,$S$2:$S2625,"&lt;&gt;"&amp;$S2626)-1)))</f>
        <v/>
      </c>
      <c r="Y2626" t="b">
        <f>IF(X2626&lt;&gt;"",VLOOKUP(X2626,game_rosters!$C$43:$E$64,3,FALSE))</f>
        <v>0</v>
      </c>
      <c r="Z2626" t="e" cm="1" vm="1">
        <f t="array" aca="1" ref="Z2626" ca="1">IFERROR(IF(_xlfn._xlws.FILTER(game_rosters!$J:$J,(game_rosters!$G:$G=events!$AN2626)*(game_rosters!$J:$J=events!$X2626))&gt;0,1,""),"")</f>
        <v>#VALUE!</v>
      </c>
      <c r="AA2626">
        <f t="shared" si="243"/>
        <v>1000</v>
      </c>
      <c r="AB2626" t="str">
        <f t="shared" si="244"/>
        <v/>
      </c>
      <c r="AC2626">
        <f t="shared" ref="AC2626:AC2689" si="245">IF(AB2626&lt;&gt;"",AB2626,S2626+1000)</f>
        <v>1000</v>
      </c>
      <c r="AD2626" s="6"/>
    </row>
    <row r="2627" spans="1:30" x14ac:dyDescent="0.2">
      <c r="A2627" t="str">
        <f t="shared" si="242"/>
        <v/>
      </c>
      <c r="X2627" t="str" cm="1">
        <f t="array" ref="X2627">IF(S2627="","",IF($I2627&lt;&gt;"",$I2627,INDEX($I$2:$I2626,ROW()-COUNTIFS($T$2:$T2626,"="&amp;$T2627,$S$2:$S2626,"&lt;&gt;"&amp;$S2627)-1)))</f>
        <v/>
      </c>
      <c r="Y2627" t="b">
        <f>IF(X2627&lt;&gt;"",VLOOKUP(X2627,game_rosters!$C$43:$E$64,3,FALSE))</f>
        <v>0</v>
      </c>
      <c r="Z2627" t="e" cm="1" vm="1">
        <f t="array" aca="1" ref="Z2627" ca="1">IFERROR(IF(_xlfn._xlws.FILTER(game_rosters!$J:$J,(game_rosters!$G:$G=events!$AN2627)*(game_rosters!$J:$J=events!$X2627))&gt;0,1,""),"")</f>
        <v>#VALUE!</v>
      </c>
      <c r="AA2627">
        <f t="shared" si="243"/>
        <v>1000</v>
      </c>
      <c r="AB2627" t="str">
        <f t="shared" si="244"/>
        <v/>
      </c>
      <c r="AC2627">
        <f t="shared" si="245"/>
        <v>1000</v>
      </c>
      <c r="AD2627" s="6"/>
    </row>
    <row r="2628" spans="1:30" x14ac:dyDescent="0.2">
      <c r="A2628" t="str">
        <f t="shared" si="242"/>
        <v/>
      </c>
      <c r="X2628" t="str" cm="1">
        <f t="array" ref="X2628">IF(S2628="","",IF($I2628&lt;&gt;"",$I2628,INDEX($I$2:$I2627,ROW()-COUNTIFS($T$2:$T2627,"="&amp;$T2628,$S$2:$S2627,"&lt;&gt;"&amp;$S2628)-1)))</f>
        <v/>
      </c>
      <c r="Y2628" t="b">
        <f>IF(X2628&lt;&gt;"",VLOOKUP(X2628,game_rosters!$C$43:$E$64,3,FALSE))</f>
        <v>0</v>
      </c>
      <c r="Z2628" t="e" cm="1" vm="1">
        <f t="array" aca="1" ref="Z2628" ca="1">IFERROR(IF(_xlfn._xlws.FILTER(game_rosters!$J:$J,(game_rosters!$G:$G=events!$AN2628)*(game_rosters!$J:$J=events!$X2628))&gt;0,1,""),"")</f>
        <v>#VALUE!</v>
      </c>
      <c r="AA2628">
        <f t="shared" si="243"/>
        <v>1000</v>
      </c>
      <c r="AB2628" t="str">
        <f t="shared" si="244"/>
        <v/>
      </c>
      <c r="AC2628">
        <f t="shared" si="245"/>
        <v>1000</v>
      </c>
      <c r="AD2628" s="6"/>
    </row>
    <row r="2629" spans="1:30" x14ac:dyDescent="0.2">
      <c r="A2629" t="str">
        <f t="shared" ref="A2629:A2692" si="246">IF(K2629&lt;&gt;"",1,IF(D2629="x","x",""))</f>
        <v/>
      </c>
      <c r="X2629" t="str" cm="1">
        <f t="array" ref="X2629">IF(S2629="","",IF($I2629&lt;&gt;"",$I2629,INDEX($I$2:$I2628,ROW()-COUNTIFS($T$2:$T2628,"="&amp;$T2629,$S$2:$S2628,"&lt;&gt;"&amp;$S2629)-1)))</f>
        <v/>
      </c>
      <c r="Y2629" t="b">
        <f>IF(X2629&lt;&gt;"",VLOOKUP(X2629,game_rosters!$C$43:$E$64,3,FALSE))</f>
        <v>0</v>
      </c>
      <c r="Z2629" t="e" cm="1" vm="1">
        <f t="array" aca="1" ref="Z2629" ca="1">IFERROR(IF(_xlfn._xlws.FILTER(game_rosters!$J:$J,(game_rosters!$G:$G=events!$AN2629)*(game_rosters!$J:$J=events!$X2629))&gt;0,1,""),"")</f>
        <v>#VALUE!</v>
      </c>
      <c r="AA2629">
        <f t="shared" si="243"/>
        <v>1000</v>
      </c>
      <c r="AB2629" t="str">
        <f t="shared" si="244"/>
        <v/>
      </c>
      <c r="AC2629">
        <f t="shared" si="245"/>
        <v>1000</v>
      </c>
      <c r="AD2629" s="6"/>
    </row>
    <row r="2630" spans="1:30" x14ac:dyDescent="0.2">
      <c r="A2630" t="str">
        <f t="shared" si="246"/>
        <v/>
      </c>
      <c r="X2630" t="str" cm="1">
        <f t="array" ref="X2630">IF(S2630="","",IF($I2630&lt;&gt;"",$I2630,INDEX($I$2:$I2629,ROW()-COUNTIFS($T$2:$T2629,"="&amp;$T2630,$S$2:$S2629,"&lt;&gt;"&amp;$S2630)-1)))</f>
        <v/>
      </c>
      <c r="Y2630" t="b">
        <f>IF(X2630&lt;&gt;"",VLOOKUP(X2630,game_rosters!$C$43:$E$64,3,FALSE))</f>
        <v>0</v>
      </c>
      <c r="Z2630" t="e" cm="1" vm="1">
        <f t="array" aca="1" ref="Z2630" ca="1">IFERROR(IF(_xlfn._xlws.FILTER(game_rosters!$J:$J,(game_rosters!$G:$G=events!$AN2630)*(game_rosters!$J:$J=events!$X2630))&gt;0,1,""),"")</f>
        <v>#VALUE!</v>
      </c>
      <c r="AA2630">
        <f t="shared" si="243"/>
        <v>1000</v>
      </c>
      <c r="AB2630" t="str">
        <f t="shared" si="244"/>
        <v/>
      </c>
      <c r="AC2630">
        <f t="shared" si="245"/>
        <v>1000</v>
      </c>
      <c r="AD2630" s="6"/>
    </row>
    <row r="2631" spans="1:30" x14ac:dyDescent="0.2">
      <c r="A2631" t="str">
        <f t="shared" si="246"/>
        <v/>
      </c>
      <c r="X2631" t="str" cm="1">
        <f t="array" ref="X2631">IF(S2631="","",IF($I2631&lt;&gt;"",$I2631,INDEX($I$2:$I2630,ROW()-COUNTIFS($T$2:$T2630,"="&amp;$T2631,$S$2:$S2630,"&lt;&gt;"&amp;$S2631)-1)))</f>
        <v/>
      </c>
      <c r="Y2631" t="b">
        <f>IF(X2631&lt;&gt;"",VLOOKUP(X2631,game_rosters!$C$43:$E$64,3,FALSE))</f>
        <v>0</v>
      </c>
      <c r="Z2631" t="e" cm="1" vm="1">
        <f t="array" aca="1" ref="Z2631" ca="1">IFERROR(IF(_xlfn._xlws.FILTER(game_rosters!$J:$J,(game_rosters!$G:$G=events!$AN2631)*(game_rosters!$J:$J=events!$X2631))&gt;0,1,""),"")</f>
        <v>#VALUE!</v>
      </c>
      <c r="AA2631">
        <f t="shared" si="243"/>
        <v>1000</v>
      </c>
      <c r="AB2631" t="str">
        <f t="shared" si="244"/>
        <v/>
      </c>
      <c r="AC2631">
        <f t="shared" si="245"/>
        <v>1000</v>
      </c>
      <c r="AD2631" s="6"/>
    </row>
    <row r="2632" spans="1:30" x14ac:dyDescent="0.2">
      <c r="A2632" t="str">
        <f t="shared" si="246"/>
        <v/>
      </c>
      <c r="X2632" t="str" cm="1">
        <f t="array" ref="X2632">IF(S2632="","",IF($I2632&lt;&gt;"",$I2632,INDEX($I$2:$I2631,ROW()-COUNTIFS($T$2:$T2631,"="&amp;$T2632,$S$2:$S2631,"&lt;&gt;"&amp;$S2632)-1)))</f>
        <v/>
      </c>
      <c r="Y2632" t="b">
        <f>IF(X2632&lt;&gt;"",VLOOKUP(X2632,game_rosters!$C$43:$E$64,3,FALSE))</f>
        <v>0</v>
      </c>
      <c r="Z2632" t="e" cm="1" vm="1">
        <f t="array" aca="1" ref="Z2632" ca="1">IFERROR(IF(_xlfn._xlws.FILTER(game_rosters!$J:$J,(game_rosters!$G:$G=events!$AN2632)*(game_rosters!$J:$J=events!$X2632))&gt;0,1,""),"")</f>
        <v>#VALUE!</v>
      </c>
      <c r="AA2632">
        <f t="shared" si="243"/>
        <v>1000</v>
      </c>
      <c r="AB2632" t="str">
        <f t="shared" si="244"/>
        <v/>
      </c>
      <c r="AC2632">
        <f t="shared" si="245"/>
        <v>1000</v>
      </c>
      <c r="AD2632" s="6"/>
    </row>
    <row r="2633" spans="1:30" x14ac:dyDescent="0.2">
      <c r="A2633" t="str">
        <f t="shared" si="246"/>
        <v/>
      </c>
      <c r="X2633" t="str" cm="1">
        <f t="array" ref="X2633">IF(S2633="","",IF($I2633&lt;&gt;"",$I2633,INDEX($I$2:$I2632,ROW()-COUNTIFS($T$2:$T2632,"="&amp;$T2633,$S$2:$S2632,"&lt;&gt;"&amp;$S2633)-1)))</f>
        <v/>
      </c>
      <c r="Y2633" t="b">
        <f>IF(X2633&lt;&gt;"",VLOOKUP(X2633,game_rosters!$C$43:$E$64,3,FALSE))</f>
        <v>0</v>
      </c>
      <c r="Z2633" t="e" cm="1" vm="1">
        <f t="array" aca="1" ref="Z2633" ca="1">IFERROR(IF(_xlfn._xlws.FILTER(game_rosters!$J:$J,(game_rosters!$G:$G=events!$AN2633)*(game_rosters!$J:$J=events!$X2633))&gt;0,1,""),"")</f>
        <v>#VALUE!</v>
      </c>
      <c r="AA2633">
        <f t="shared" si="243"/>
        <v>1000</v>
      </c>
      <c r="AB2633" t="str">
        <f t="shared" si="244"/>
        <v/>
      </c>
      <c r="AC2633">
        <f t="shared" si="245"/>
        <v>1000</v>
      </c>
      <c r="AD2633" s="6"/>
    </row>
    <row r="2634" spans="1:30" x14ac:dyDescent="0.2">
      <c r="A2634" t="str">
        <f t="shared" si="246"/>
        <v/>
      </c>
      <c r="X2634" t="str" cm="1">
        <f t="array" ref="X2634">IF(S2634="","",IF($I2634&lt;&gt;"",$I2634,INDEX($I$2:$I2633,ROW()-COUNTIFS($T$2:$T2633,"="&amp;$T2634,$S$2:$S2633,"&lt;&gt;"&amp;$S2634)-1)))</f>
        <v/>
      </c>
      <c r="Y2634" t="b">
        <f>IF(X2634&lt;&gt;"",VLOOKUP(X2634,game_rosters!$C$43:$E$64,3,FALSE))</f>
        <v>0</v>
      </c>
      <c r="Z2634" t="e" cm="1" vm="1">
        <f t="array" aca="1" ref="Z2634" ca="1">IFERROR(IF(_xlfn._xlws.FILTER(game_rosters!$J:$J,(game_rosters!$G:$G=events!$AN2634)*(game_rosters!$J:$J=events!$X2634))&gt;0,1,""),"")</f>
        <v>#VALUE!</v>
      </c>
      <c r="AA2634">
        <f t="shared" si="243"/>
        <v>1000</v>
      </c>
      <c r="AB2634" t="str">
        <f t="shared" si="244"/>
        <v/>
      </c>
      <c r="AC2634">
        <f t="shared" si="245"/>
        <v>1000</v>
      </c>
      <c r="AD2634" s="6"/>
    </row>
    <row r="2635" spans="1:30" x14ac:dyDescent="0.2">
      <c r="A2635" t="str">
        <f t="shared" si="246"/>
        <v/>
      </c>
      <c r="X2635" t="str" cm="1">
        <f t="array" ref="X2635">IF(S2635="","",IF($I2635&lt;&gt;"",$I2635,INDEX($I$2:$I2634,ROW()-COUNTIFS($T$2:$T2634,"="&amp;$T2635,$S$2:$S2634,"&lt;&gt;"&amp;$S2635)-1)))</f>
        <v/>
      </c>
      <c r="Y2635" t="b">
        <f>IF(X2635&lt;&gt;"",VLOOKUP(X2635,game_rosters!$C$43:$E$64,3,FALSE))</f>
        <v>0</v>
      </c>
      <c r="Z2635" t="e" cm="1" vm="1">
        <f t="array" aca="1" ref="Z2635" ca="1">IFERROR(IF(_xlfn._xlws.FILTER(game_rosters!$J:$J,(game_rosters!$G:$G=events!$AN2635)*(game_rosters!$J:$J=events!$X2635))&gt;0,1,""),"")</f>
        <v>#VALUE!</v>
      </c>
      <c r="AA2635">
        <f t="shared" si="243"/>
        <v>1000</v>
      </c>
      <c r="AB2635" t="str">
        <f t="shared" si="244"/>
        <v/>
      </c>
      <c r="AC2635">
        <f t="shared" si="245"/>
        <v>1000</v>
      </c>
      <c r="AD2635" s="6"/>
    </row>
    <row r="2636" spans="1:30" x14ac:dyDescent="0.2">
      <c r="A2636" t="str">
        <f t="shared" si="246"/>
        <v/>
      </c>
      <c r="X2636" t="str" cm="1">
        <f t="array" ref="X2636">IF(S2636="","",IF($I2636&lt;&gt;"",$I2636,INDEX($I$2:$I2635,ROW()-COUNTIFS($T$2:$T2635,"="&amp;$T2636,$S$2:$S2635,"&lt;&gt;"&amp;$S2636)-1)))</f>
        <v/>
      </c>
      <c r="Y2636" t="b">
        <f>IF(X2636&lt;&gt;"",VLOOKUP(X2636,game_rosters!$C$43:$E$64,3,FALSE))</f>
        <v>0</v>
      </c>
      <c r="Z2636" t="e" cm="1" vm="1">
        <f t="array" aca="1" ref="Z2636" ca="1">IFERROR(IF(_xlfn._xlws.FILTER(game_rosters!$J:$J,(game_rosters!$G:$G=events!$AN2636)*(game_rosters!$J:$J=events!$X2636))&gt;0,1,""),"")</f>
        <v>#VALUE!</v>
      </c>
      <c r="AA2636">
        <f t="shared" si="243"/>
        <v>1000</v>
      </c>
      <c r="AB2636" t="str">
        <f t="shared" si="244"/>
        <v/>
      </c>
      <c r="AC2636">
        <f t="shared" si="245"/>
        <v>1000</v>
      </c>
      <c r="AD2636" s="6"/>
    </row>
    <row r="2637" spans="1:30" x14ac:dyDescent="0.2">
      <c r="A2637" t="str">
        <f t="shared" si="246"/>
        <v/>
      </c>
      <c r="X2637" t="str" cm="1">
        <f t="array" ref="X2637">IF(S2637="","",IF($I2637&lt;&gt;"",$I2637,INDEX($I$2:$I2636,ROW()-COUNTIFS($T$2:$T2636,"="&amp;$T2637,$S$2:$S2636,"&lt;&gt;"&amp;$S2637)-1)))</f>
        <v/>
      </c>
      <c r="Y2637" t="b">
        <f>IF(X2637&lt;&gt;"",VLOOKUP(X2637,game_rosters!$C$43:$E$64,3,FALSE))</f>
        <v>0</v>
      </c>
      <c r="Z2637" t="e" cm="1" vm="1">
        <f t="array" aca="1" ref="Z2637" ca="1">IFERROR(IF(_xlfn._xlws.FILTER(game_rosters!$J:$J,(game_rosters!$G:$G=events!$AN2637)*(game_rosters!$J:$J=events!$X2637))&gt;0,1,""),"")</f>
        <v>#VALUE!</v>
      </c>
      <c r="AA2637">
        <f t="shared" si="243"/>
        <v>1000</v>
      </c>
      <c r="AB2637" t="str">
        <f t="shared" si="244"/>
        <v/>
      </c>
      <c r="AC2637">
        <f t="shared" si="245"/>
        <v>1000</v>
      </c>
      <c r="AD2637" s="6"/>
    </row>
    <row r="2638" spans="1:30" x14ac:dyDescent="0.2">
      <c r="A2638" t="str">
        <f t="shared" si="246"/>
        <v/>
      </c>
      <c r="X2638" t="str" cm="1">
        <f t="array" ref="X2638">IF(S2638="","",IF($I2638&lt;&gt;"",$I2638,INDEX($I$2:$I2637,ROW()-COUNTIFS($T$2:$T2637,"="&amp;$T2638,$S$2:$S2637,"&lt;&gt;"&amp;$S2638)-1)))</f>
        <v/>
      </c>
      <c r="Y2638" t="b">
        <f>IF(X2638&lt;&gt;"",VLOOKUP(X2638,game_rosters!$C$43:$E$64,3,FALSE))</f>
        <v>0</v>
      </c>
      <c r="Z2638" t="e" cm="1" vm="1">
        <f t="array" aca="1" ref="Z2638" ca="1">IFERROR(IF(_xlfn._xlws.FILTER(game_rosters!$J:$J,(game_rosters!$G:$G=events!$AN2638)*(game_rosters!$J:$J=events!$X2638))&gt;0,1,""),"")</f>
        <v>#VALUE!</v>
      </c>
      <c r="AA2638">
        <f t="shared" si="243"/>
        <v>1000</v>
      </c>
      <c r="AB2638" t="str">
        <f t="shared" si="244"/>
        <v/>
      </c>
      <c r="AC2638">
        <f t="shared" si="245"/>
        <v>1000</v>
      </c>
      <c r="AD2638" s="6"/>
    </row>
    <row r="2639" spans="1:30" x14ac:dyDescent="0.2">
      <c r="A2639" t="str">
        <f t="shared" si="246"/>
        <v/>
      </c>
      <c r="X2639" t="str" cm="1">
        <f t="array" ref="X2639">IF(S2639="","",IF($I2639&lt;&gt;"",$I2639,INDEX($I$2:$I2638,ROW()-COUNTIFS($T$2:$T2638,"="&amp;$T2639,$S$2:$S2638,"&lt;&gt;"&amp;$S2639)-1)))</f>
        <v/>
      </c>
      <c r="Y2639" t="b">
        <f>IF(X2639&lt;&gt;"",VLOOKUP(X2639,game_rosters!$C$43:$E$64,3,FALSE))</f>
        <v>0</v>
      </c>
      <c r="Z2639" t="e" cm="1" vm="1">
        <f t="array" aca="1" ref="Z2639" ca="1">IFERROR(IF(_xlfn._xlws.FILTER(game_rosters!$J:$J,(game_rosters!$G:$G=events!$AN2639)*(game_rosters!$J:$J=events!$X2639))&gt;0,1,""),"")</f>
        <v>#VALUE!</v>
      </c>
      <c r="AA2639">
        <f t="shared" si="243"/>
        <v>1000</v>
      </c>
      <c r="AB2639" t="str">
        <f t="shared" si="244"/>
        <v/>
      </c>
      <c r="AC2639">
        <f t="shared" si="245"/>
        <v>1000</v>
      </c>
      <c r="AD2639" s="6"/>
    </row>
    <row r="2640" spans="1:30" x14ac:dyDescent="0.2">
      <c r="A2640" t="str">
        <f t="shared" si="246"/>
        <v/>
      </c>
      <c r="X2640" t="str" cm="1">
        <f t="array" ref="X2640">IF(S2640="","",IF($I2640&lt;&gt;"",$I2640,INDEX($I$2:$I2639,ROW()-COUNTIFS($T$2:$T2639,"="&amp;$T2640,$S$2:$S2639,"&lt;&gt;"&amp;$S2640)-1)))</f>
        <v/>
      </c>
      <c r="Y2640" t="b">
        <f>IF(X2640&lt;&gt;"",VLOOKUP(X2640,game_rosters!$C$43:$E$64,3,FALSE))</f>
        <v>0</v>
      </c>
      <c r="Z2640" t="e" cm="1" vm="1">
        <f t="array" aca="1" ref="Z2640" ca="1">IFERROR(IF(_xlfn._xlws.FILTER(game_rosters!$J:$J,(game_rosters!$G:$G=events!$AN2640)*(game_rosters!$J:$J=events!$X2640))&gt;0,1,""),"")</f>
        <v>#VALUE!</v>
      </c>
      <c r="AA2640">
        <f t="shared" si="243"/>
        <v>1000</v>
      </c>
      <c r="AB2640" t="str">
        <f t="shared" si="244"/>
        <v/>
      </c>
      <c r="AC2640">
        <f t="shared" si="245"/>
        <v>1000</v>
      </c>
      <c r="AD2640" s="6"/>
    </row>
    <row r="2641" spans="1:30" x14ac:dyDescent="0.2">
      <c r="A2641" t="str">
        <f t="shared" si="246"/>
        <v/>
      </c>
      <c r="X2641" t="str" cm="1">
        <f t="array" ref="X2641">IF(S2641="","",IF($I2641&lt;&gt;"",$I2641,INDEX($I$2:$I2640,ROW()-COUNTIFS($T$2:$T2640,"="&amp;$T2641,$S$2:$S2640,"&lt;&gt;"&amp;$S2641)-1)))</f>
        <v/>
      </c>
      <c r="Y2641" t="b">
        <f>IF(X2641&lt;&gt;"",VLOOKUP(X2641,game_rosters!$C$43:$E$64,3,FALSE))</f>
        <v>0</v>
      </c>
      <c r="Z2641" t="e" cm="1" vm="1">
        <f t="array" aca="1" ref="Z2641" ca="1">IFERROR(IF(_xlfn._xlws.FILTER(game_rosters!$J:$J,(game_rosters!$G:$G=events!$AN2641)*(game_rosters!$J:$J=events!$X2641))&gt;0,1,""),"")</f>
        <v>#VALUE!</v>
      </c>
      <c r="AA2641">
        <f t="shared" si="243"/>
        <v>1000</v>
      </c>
      <c r="AB2641" t="str">
        <f t="shared" si="244"/>
        <v/>
      </c>
      <c r="AC2641">
        <f t="shared" si="245"/>
        <v>1000</v>
      </c>
      <c r="AD2641" s="6"/>
    </row>
    <row r="2642" spans="1:30" x14ac:dyDescent="0.2">
      <c r="A2642" t="str">
        <f t="shared" si="246"/>
        <v/>
      </c>
      <c r="X2642" t="str" cm="1">
        <f t="array" ref="X2642">IF(S2642="","",IF($I2642&lt;&gt;"",$I2642,INDEX($I$2:$I2641,ROW()-COUNTIFS($T$2:$T2641,"="&amp;$T2642,$S$2:$S2641,"&lt;&gt;"&amp;$S2642)-1)))</f>
        <v/>
      </c>
      <c r="Y2642" t="b">
        <f>IF(X2642&lt;&gt;"",VLOOKUP(X2642,game_rosters!$C$43:$E$64,3,FALSE))</f>
        <v>0</v>
      </c>
      <c r="Z2642" t="e" cm="1" vm="1">
        <f t="array" aca="1" ref="Z2642" ca="1">IFERROR(IF(_xlfn._xlws.FILTER(game_rosters!$J:$J,(game_rosters!$G:$G=events!$AN2642)*(game_rosters!$J:$J=events!$X2642))&gt;0,1,""),"")</f>
        <v>#VALUE!</v>
      </c>
      <c r="AA2642">
        <f t="shared" si="243"/>
        <v>1000</v>
      </c>
      <c r="AB2642" t="str">
        <f t="shared" si="244"/>
        <v/>
      </c>
      <c r="AC2642">
        <f t="shared" si="245"/>
        <v>1000</v>
      </c>
      <c r="AD2642" s="6"/>
    </row>
    <row r="2643" spans="1:30" x14ac:dyDescent="0.2">
      <c r="A2643" t="str">
        <f t="shared" si="246"/>
        <v/>
      </c>
      <c r="X2643" t="str" cm="1">
        <f t="array" ref="X2643">IF(S2643="","",IF($I2643&lt;&gt;"",$I2643,INDEX($I$2:$I2642,ROW()-COUNTIFS($T$2:$T2642,"="&amp;$T2643,$S$2:$S2642,"&lt;&gt;"&amp;$S2643)-1)))</f>
        <v/>
      </c>
      <c r="Y2643" t="b">
        <f>IF(X2643&lt;&gt;"",VLOOKUP(X2643,game_rosters!$C$43:$E$64,3,FALSE))</f>
        <v>0</v>
      </c>
      <c r="Z2643" t="e" cm="1" vm="1">
        <f t="array" aca="1" ref="Z2643" ca="1">IFERROR(IF(_xlfn._xlws.FILTER(game_rosters!$J:$J,(game_rosters!$G:$G=events!$AN2643)*(game_rosters!$J:$J=events!$X2643))&gt;0,1,""),"")</f>
        <v>#VALUE!</v>
      </c>
      <c r="AA2643">
        <f t="shared" si="243"/>
        <v>1000</v>
      </c>
      <c r="AB2643" t="str">
        <f t="shared" si="244"/>
        <v/>
      </c>
      <c r="AC2643">
        <f t="shared" si="245"/>
        <v>1000</v>
      </c>
      <c r="AD2643" s="6"/>
    </row>
    <row r="2644" spans="1:30" x14ac:dyDescent="0.2">
      <c r="A2644" t="str">
        <f t="shared" si="246"/>
        <v/>
      </c>
      <c r="X2644" t="str" cm="1">
        <f t="array" ref="X2644">IF(S2644="","",IF($I2644&lt;&gt;"",$I2644,INDEX($I$2:$I2643,ROW()-COUNTIFS($T$2:$T2643,"="&amp;$T2644,$S$2:$S2643,"&lt;&gt;"&amp;$S2644)-1)))</f>
        <v/>
      </c>
      <c r="Y2644" t="b">
        <f>IF(X2644&lt;&gt;"",VLOOKUP(X2644,game_rosters!$C$43:$E$64,3,FALSE))</f>
        <v>0</v>
      </c>
      <c r="Z2644" t="e" cm="1" vm="1">
        <f t="array" aca="1" ref="Z2644" ca="1">IFERROR(IF(_xlfn._xlws.FILTER(game_rosters!$J:$J,(game_rosters!$G:$G=events!$AN2644)*(game_rosters!$J:$J=events!$X2644))&gt;0,1,""),"")</f>
        <v>#VALUE!</v>
      </c>
      <c r="AA2644">
        <f t="shared" si="243"/>
        <v>1000</v>
      </c>
      <c r="AB2644" t="str">
        <f t="shared" si="244"/>
        <v/>
      </c>
      <c r="AC2644">
        <f t="shared" si="245"/>
        <v>1000</v>
      </c>
      <c r="AD2644" s="6"/>
    </row>
    <row r="2645" spans="1:30" x14ac:dyDescent="0.2">
      <c r="A2645" t="str">
        <f t="shared" si="246"/>
        <v/>
      </c>
      <c r="X2645" t="str" cm="1">
        <f t="array" ref="X2645">IF(S2645="","",IF($I2645&lt;&gt;"",$I2645,INDEX($I$2:$I2644,ROW()-COUNTIFS($T$2:$T2644,"="&amp;$T2645,$S$2:$S2644,"&lt;&gt;"&amp;$S2645)-1)))</f>
        <v/>
      </c>
      <c r="Y2645" t="b">
        <f>IF(X2645&lt;&gt;"",VLOOKUP(X2645,game_rosters!$C$43:$E$64,3,FALSE))</f>
        <v>0</v>
      </c>
      <c r="Z2645" t="e" cm="1" vm="1">
        <f t="array" aca="1" ref="Z2645" ca="1">IFERROR(IF(_xlfn._xlws.FILTER(game_rosters!$J:$J,(game_rosters!$G:$G=events!$AN2645)*(game_rosters!$J:$J=events!$X2645))&gt;0,1,""),"")</f>
        <v>#VALUE!</v>
      </c>
      <c r="AA2645">
        <f t="shared" si="243"/>
        <v>1000</v>
      </c>
      <c r="AB2645" t="str">
        <f t="shared" si="244"/>
        <v/>
      </c>
      <c r="AC2645">
        <f t="shared" si="245"/>
        <v>1000</v>
      </c>
      <c r="AD2645" s="6"/>
    </row>
    <row r="2646" spans="1:30" x14ac:dyDescent="0.2">
      <c r="A2646" t="str">
        <f t="shared" si="246"/>
        <v/>
      </c>
      <c r="X2646" t="str" cm="1">
        <f t="array" ref="X2646">IF(S2646="","",IF($I2646&lt;&gt;"",$I2646,INDEX($I$2:$I2645,ROW()-COUNTIFS($T$2:$T2645,"="&amp;$T2646,$S$2:$S2645,"&lt;&gt;"&amp;$S2646)-1)))</f>
        <v/>
      </c>
      <c r="Y2646" t="b">
        <f>IF(X2646&lt;&gt;"",VLOOKUP(X2646,game_rosters!$C$43:$E$64,3,FALSE))</f>
        <v>0</v>
      </c>
      <c r="Z2646" t="e" cm="1" vm="1">
        <f t="array" aca="1" ref="Z2646" ca="1">IFERROR(IF(_xlfn._xlws.FILTER(game_rosters!$J:$J,(game_rosters!$G:$G=events!$AN2646)*(game_rosters!$J:$J=events!$X2646))&gt;0,1,""),"")</f>
        <v>#VALUE!</v>
      </c>
      <c r="AA2646">
        <f t="shared" si="243"/>
        <v>1000</v>
      </c>
      <c r="AB2646" t="str">
        <f t="shared" si="244"/>
        <v/>
      </c>
      <c r="AC2646">
        <f t="shared" si="245"/>
        <v>1000</v>
      </c>
      <c r="AD2646" s="6"/>
    </row>
    <row r="2647" spans="1:30" x14ac:dyDescent="0.2">
      <c r="A2647" t="str">
        <f t="shared" si="246"/>
        <v/>
      </c>
      <c r="X2647" t="str" cm="1">
        <f t="array" ref="X2647">IF(S2647="","",IF($I2647&lt;&gt;"",$I2647,INDEX($I$2:$I2646,ROW()-COUNTIFS($T$2:$T2646,"="&amp;$T2647,$S$2:$S2646,"&lt;&gt;"&amp;$S2647)-1)))</f>
        <v/>
      </c>
      <c r="Y2647" t="b">
        <f>IF(X2647&lt;&gt;"",VLOOKUP(X2647,game_rosters!$C$43:$E$64,3,FALSE))</f>
        <v>0</v>
      </c>
      <c r="Z2647" t="e" cm="1" vm="1">
        <f t="array" aca="1" ref="Z2647" ca="1">IFERROR(IF(_xlfn._xlws.FILTER(game_rosters!$J:$J,(game_rosters!$G:$G=events!$AN2647)*(game_rosters!$J:$J=events!$X2647))&gt;0,1,""),"")</f>
        <v>#VALUE!</v>
      </c>
      <c r="AA2647">
        <f t="shared" si="243"/>
        <v>1000</v>
      </c>
      <c r="AB2647" t="str">
        <f t="shared" si="244"/>
        <v/>
      </c>
      <c r="AC2647">
        <f t="shared" si="245"/>
        <v>1000</v>
      </c>
      <c r="AD2647" s="6"/>
    </row>
    <row r="2648" spans="1:30" x14ac:dyDescent="0.2">
      <c r="A2648" t="str">
        <f t="shared" si="246"/>
        <v/>
      </c>
      <c r="X2648" t="str" cm="1">
        <f t="array" ref="X2648">IF(S2648="","",IF($I2648&lt;&gt;"",$I2648,INDEX($I$2:$I2647,ROW()-COUNTIFS($T$2:$T2647,"="&amp;$T2648,$S$2:$S2647,"&lt;&gt;"&amp;$S2648)-1)))</f>
        <v/>
      </c>
      <c r="Y2648" t="b">
        <f>IF(X2648&lt;&gt;"",VLOOKUP(X2648,game_rosters!$C$43:$E$64,3,FALSE))</f>
        <v>0</v>
      </c>
      <c r="Z2648" t="e" cm="1" vm="1">
        <f t="array" aca="1" ref="Z2648" ca="1">IFERROR(IF(_xlfn._xlws.FILTER(game_rosters!$J:$J,(game_rosters!$G:$G=events!$AN2648)*(game_rosters!$J:$J=events!$X2648))&gt;0,1,""),"")</f>
        <v>#VALUE!</v>
      </c>
      <c r="AA2648">
        <f t="shared" si="243"/>
        <v>1000</v>
      </c>
      <c r="AB2648" t="str">
        <f t="shared" si="244"/>
        <v/>
      </c>
      <c r="AC2648">
        <f t="shared" si="245"/>
        <v>1000</v>
      </c>
      <c r="AD2648" s="6"/>
    </row>
    <row r="2649" spans="1:30" x14ac:dyDescent="0.2">
      <c r="A2649" t="str">
        <f t="shared" si="246"/>
        <v/>
      </c>
      <c r="X2649" t="str" cm="1">
        <f t="array" ref="X2649">IF(S2649="","",IF($I2649&lt;&gt;"",$I2649,INDEX($I$2:$I2648,ROW()-COUNTIFS($T$2:$T2648,"="&amp;$T2649,$S$2:$S2648,"&lt;&gt;"&amp;$S2649)-1)))</f>
        <v/>
      </c>
      <c r="Y2649" t="b">
        <f>IF(X2649&lt;&gt;"",VLOOKUP(X2649,game_rosters!$C$43:$E$64,3,FALSE))</f>
        <v>0</v>
      </c>
      <c r="Z2649" t="e" cm="1" vm="1">
        <f t="array" aca="1" ref="Z2649" ca="1">IFERROR(IF(_xlfn._xlws.FILTER(game_rosters!$J:$J,(game_rosters!$G:$G=events!$AN2649)*(game_rosters!$J:$J=events!$X2649))&gt;0,1,""),"")</f>
        <v>#VALUE!</v>
      </c>
      <c r="AA2649">
        <f t="shared" si="243"/>
        <v>1000</v>
      </c>
      <c r="AB2649" t="str">
        <f t="shared" si="244"/>
        <v/>
      </c>
      <c r="AC2649">
        <f t="shared" si="245"/>
        <v>1000</v>
      </c>
      <c r="AD2649" s="6"/>
    </row>
    <row r="2650" spans="1:30" x14ac:dyDescent="0.2">
      <c r="A2650" t="str">
        <f t="shared" si="246"/>
        <v/>
      </c>
      <c r="X2650" t="str" cm="1">
        <f t="array" ref="X2650">IF(S2650="","",IF($I2650&lt;&gt;"",$I2650,INDEX($I$2:$I2649,ROW()-COUNTIFS($T$2:$T2649,"="&amp;$T2650,$S$2:$S2649,"&lt;&gt;"&amp;$S2650)-1)))</f>
        <v/>
      </c>
      <c r="Y2650" t="b">
        <f>IF(X2650&lt;&gt;"",VLOOKUP(X2650,game_rosters!$C$43:$E$64,3,FALSE))</f>
        <v>0</v>
      </c>
      <c r="Z2650" t="e" cm="1" vm="1">
        <f t="array" aca="1" ref="Z2650" ca="1">IFERROR(IF(_xlfn._xlws.FILTER(game_rosters!$J:$J,(game_rosters!$G:$G=events!$AN2650)*(game_rosters!$J:$J=events!$X2650))&gt;0,1,""),"")</f>
        <v>#VALUE!</v>
      </c>
      <c r="AA2650">
        <f t="shared" si="243"/>
        <v>1000</v>
      </c>
      <c r="AB2650" t="str">
        <f t="shared" si="244"/>
        <v/>
      </c>
      <c r="AC2650">
        <f t="shared" si="245"/>
        <v>1000</v>
      </c>
      <c r="AD2650" s="6"/>
    </row>
    <row r="2651" spans="1:30" x14ac:dyDescent="0.2">
      <c r="A2651" t="str">
        <f t="shared" si="246"/>
        <v/>
      </c>
      <c r="X2651" t="str" cm="1">
        <f t="array" ref="X2651">IF(S2651="","",IF($I2651&lt;&gt;"",$I2651,INDEX($I$2:$I2650,ROW()-COUNTIFS($T$2:$T2650,"="&amp;$T2651,$S$2:$S2650,"&lt;&gt;"&amp;$S2651)-1)))</f>
        <v/>
      </c>
      <c r="Y2651" t="b">
        <f>IF(X2651&lt;&gt;"",VLOOKUP(X2651,game_rosters!$C$43:$E$64,3,FALSE))</f>
        <v>0</v>
      </c>
      <c r="Z2651" t="e" cm="1" vm="1">
        <f t="array" aca="1" ref="Z2651" ca="1">IFERROR(IF(_xlfn._xlws.FILTER(game_rosters!$J:$J,(game_rosters!$G:$G=events!$AN2651)*(game_rosters!$J:$J=events!$X2651))&gt;0,1,""),"")</f>
        <v>#VALUE!</v>
      </c>
      <c r="AA2651">
        <f t="shared" si="243"/>
        <v>1000</v>
      </c>
      <c r="AB2651" t="str">
        <f t="shared" si="244"/>
        <v/>
      </c>
      <c r="AC2651">
        <f t="shared" si="245"/>
        <v>1000</v>
      </c>
      <c r="AD2651" s="6"/>
    </row>
    <row r="2652" spans="1:30" x14ac:dyDescent="0.2">
      <c r="A2652" t="str">
        <f t="shared" si="246"/>
        <v/>
      </c>
      <c r="X2652" t="str" cm="1">
        <f t="array" ref="X2652">IF(S2652="","",IF($I2652&lt;&gt;"",$I2652,INDEX($I$2:$I2651,ROW()-COUNTIFS($T$2:$T2651,"="&amp;$T2652,$S$2:$S2651,"&lt;&gt;"&amp;$S2652)-1)))</f>
        <v/>
      </c>
      <c r="Y2652" t="b">
        <f>IF(X2652&lt;&gt;"",VLOOKUP(X2652,game_rosters!$C$43:$E$64,3,FALSE))</f>
        <v>0</v>
      </c>
      <c r="Z2652" t="e" cm="1" vm="1">
        <f t="array" aca="1" ref="Z2652" ca="1">IFERROR(IF(_xlfn._xlws.FILTER(game_rosters!$J:$J,(game_rosters!$G:$G=events!$AN2652)*(game_rosters!$J:$J=events!$X2652))&gt;0,1,""),"")</f>
        <v>#VALUE!</v>
      </c>
      <c r="AA2652">
        <f t="shared" si="243"/>
        <v>1000</v>
      </c>
      <c r="AB2652" t="str">
        <f t="shared" si="244"/>
        <v/>
      </c>
      <c r="AC2652">
        <f t="shared" si="245"/>
        <v>1000</v>
      </c>
      <c r="AD2652" s="6"/>
    </row>
    <row r="2653" spans="1:30" x14ac:dyDescent="0.2">
      <c r="A2653" t="str">
        <f t="shared" si="246"/>
        <v/>
      </c>
      <c r="X2653" t="str" cm="1">
        <f t="array" ref="X2653">IF(S2653="","",IF($I2653&lt;&gt;"",$I2653,INDEX($I$2:$I2652,ROW()-COUNTIFS($T$2:$T2652,"="&amp;$T2653,$S$2:$S2652,"&lt;&gt;"&amp;$S2653)-1)))</f>
        <v/>
      </c>
      <c r="Y2653" t="b">
        <f>IF(X2653&lt;&gt;"",VLOOKUP(X2653,game_rosters!$C$43:$E$64,3,FALSE))</f>
        <v>0</v>
      </c>
      <c r="Z2653" t="e" cm="1" vm="1">
        <f t="array" aca="1" ref="Z2653" ca="1">IFERROR(IF(_xlfn._xlws.FILTER(game_rosters!$J:$J,(game_rosters!$G:$G=events!$AN2653)*(game_rosters!$J:$J=events!$X2653))&gt;0,1,""),"")</f>
        <v>#VALUE!</v>
      </c>
      <c r="AA2653">
        <f t="shared" ref="AA2653:AA2716" si="247">S2653+1000</f>
        <v>1000</v>
      </c>
      <c r="AB2653" t="str">
        <f t="shared" ref="AB2653:AB2716" si="248">IF(T2653&lt;&gt;"",9000+T2653,"")</f>
        <v/>
      </c>
      <c r="AC2653">
        <f t="shared" si="245"/>
        <v>1000</v>
      </c>
      <c r="AD2653" s="6"/>
    </row>
    <row r="2654" spans="1:30" x14ac:dyDescent="0.2">
      <c r="A2654" t="str">
        <f t="shared" si="246"/>
        <v/>
      </c>
      <c r="X2654" t="str" cm="1">
        <f t="array" ref="X2654">IF(S2654="","",IF($I2654&lt;&gt;"",$I2654,INDEX($I$2:$I2653,ROW()-COUNTIFS($T$2:$T2653,"="&amp;$T2654,$S$2:$S2653,"&lt;&gt;"&amp;$S2654)-1)))</f>
        <v/>
      </c>
      <c r="Y2654" t="b">
        <f>IF(X2654&lt;&gt;"",VLOOKUP(X2654,game_rosters!$C$43:$E$64,3,FALSE))</f>
        <v>0</v>
      </c>
      <c r="Z2654" t="e" cm="1" vm="1">
        <f t="array" aca="1" ref="Z2654" ca="1">IFERROR(IF(_xlfn._xlws.FILTER(game_rosters!$J:$J,(game_rosters!$G:$G=events!$AN2654)*(game_rosters!$J:$J=events!$X2654))&gt;0,1,""),"")</f>
        <v>#VALUE!</v>
      </c>
      <c r="AA2654">
        <f t="shared" si="247"/>
        <v>1000</v>
      </c>
      <c r="AB2654" t="str">
        <f t="shared" si="248"/>
        <v/>
      </c>
      <c r="AC2654">
        <f t="shared" si="245"/>
        <v>1000</v>
      </c>
      <c r="AD2654" s="6"/>
    </row>
    <row r="2655" spans="1:30" x14ac:dyDescent="0.2">
      <c r="A2655" t="str">
        <f t="shared" si="246"/>
        <v/>
      </c>
      <c r="X2655" t="str" cm="1">
        <f t="array" ref="X2655">IF(S2655="","",IF($I2655&lt;&gt;"",$I2655,INDEX($I$2:$I2654,ROW()-COUNTIFS($T$2:$T2654,"="&amp;$T2655,$S$2:$S2654,"&lt;&gt;"&amp;$S2655)-1)))</f>
        <v/>
      </c>
      <c r="Y2655" t="b">
        <f>IF(X2655&lt;&gt;"",VLOOKUP(X2655,game_rosters!$C$43:$E$64,3,FALSE))</f>
        <v>0</v>
      </c>
      <c r="Z2655" t="e" cm="1" vm="1">
        <f t="array" aca="1" ref="Z2655" ca="1">IFERROR(IF(_xlfn._xlws.FILTER(game_rosters!$J:$J,(game_rosters!$G:$G=events!$AN2655)*(game_rosters!$J:$J=events!$X2655))&gt;0,1,""),"")</f>
        <v>#VALUE!</v>
      </c>
      <c r="AA2655">
        <f t="shared" si="247"/>
        <v>1000</v>
      </c>
      <c r="AB2655" t="str">
        <f t="shared" si="248"/>
        <v/>
      </c>
      <c r="AC2655">
        <f t="shared" si="245"/>
        <v>1000</v>
      </c>
      <c r="AD2655" s="6"/>
    </row>
    <row r="2656" spans="1:30" x14ac:dyDescent="0.2">
      <c r="A2656" t="str">
        <f t="shared" si="246"/>
        <v/>
      </c>
      <c r="X2656" t="str" cm="1">
        <f t="array" ref="X2656">IF(S2656="","",IF($I2656&lt;&gt;"",$I2656,INDEX($I$2:$I2655,ROW()-COUNTIFS($T$2:$T2655,"="&amp;$T2656,$S$2:$S2655,"&lt;&gt;"&amp;$S2656)-1)))</f>
        <v/>
      </c>
      <c r="Y2656" t="b">
        <f>IF(X2656&lt;&gt;"",VLOOKUP(X2656,game_rosters!$C$43:$E$64,3,FALSE))</f>
        <v>0</v>
      </c>
      <c r="Z2656" t="e" cm="1" vm="1">
        <f t="array" aca="1" ref="Z2656" ca="1">IFERROR(IF(_xlfn._xlws.FILTER(game_rosters!$J:$J,(game_rosters!$G:$G=events!$AN2656)*(game_rosters!$J:$J=events!$X2656))&gt;0,1,""),"")</f>
        <v>#VALUE!</v>
      </c>
      <c r="AA2656">
        <f t="shared" si="247"/>
        <v>1000</v>
      </c>
      <c r="AB2656" t="str">
        <f t="shared" si="248"/>
        <v/>
      </c>
      <c r="AC2656">
        <f t="shared" si="245"/>
        <v>1000</v>
      </c>
      <c r="AD2656" s="6"/>
    </row>
    <row r="2657" spans="1:30" x14ac:dyDescent="0.2">
      <c r="A2657" t="str">
        <f t="shared" si="246"/>
        <v/>
      </c>
      <c r="X2657" t="str" cm="1">
        <f t="array" ref="X2657">IF(S2657="","",IF($I2657&lt;&gt;"",$I2657,INDEX($I$2:$I2656,ROW()-COUNTIFS($T$2:$T2656,"="&amp;$T2657,$S$2:$S2656,"&lt;&gt;"&amp;$S2657)-1)))</f>
        <v/>
      </c>
      <c r="Y2657" t="b">
        <f>IF(X2657&lt;&gt;"",VLOOKUP(X2657,game_rosters!$C$43:$E$64,3,FALSE))</f>
        <v>0</v>
      </c>
      <c r="Z2657" t="e" cm="1" vm="1">
        <f t="array" aca="1" ref="Z2657" ca="1">IFERROR(IF(_xlfn._xlws.FILTER(game_rosters!$J:$J,(game_rosters!$G:$G=events!$AN2657)*(game_rosters!$J:$J=events!$X2657))&gt;0,1,""),"")</f>
        <v>#VALUE!</v>
      </c>
      <c r="AA2657">
        <f t="shared" si="247"/>
        <v>1000</v>
      </c>
      <c r="AB2657" t="str">
        <f t="shared" si="248"/>
        <v/>
      </c>
      <c r="AC2657">
        <f t="shared" si="245"/>
        <v>1000</v>
      </c>
      <c r="AD2657" s="6"/>
    </row>
    <row r="2658" spans="1:30" x14ac:dyDescent="0.2">
      <c r="A2658" t="str">
        <f t="shared" si="246"/>
        <v/>
      </c>
      <c r="X2658" t="str" cm="1">
        <f t="array" ref="X2658">IF(S2658="","",IF($I2658&lt;&gt;"",$I2658,INDEX($I$2:$I2657,ROW()-COUNTIFS($T$2:$T2657,"="&amp;$T2658,$S$2:$S2657,"&lt;&gt;"&amp;$S2658)-1)))</f>
        <v/>
      </c>
      <c r="Y2658" t="b">
        <f>IF(X2658&lt;&gt;"",VLOOKUP(X2658,game_rosters!$C$43:$E$64,3,FALSE))</f>
        <v>0</v>
      </c>
      <c r="Z2658" t="e" cm="1" vm="1">
        <f t="array" aca="1" ref="Z2658" ca="1">IFERROR(IF(_xlfn._xlws.FILTER(game_rosters!$J:$J,(game_rosters!$G:$G=events!$AN2658)*(game_rosters!$J:$J=events!$X2658))&gt;0,1,""),"")</f>
        <v>#VALUE!</v>
      </c>
      <c r="AA2658">
        <f t="shared" si="247"/>
        <v>1000</v>
      </c>
      <c r="AB2658" t="str">
        <f t="shared" si="248"/>
        <v/>
      </c>
      <c r="AC2658">
        <f t="shared" si="245"/>
        <v>1000</v>
      </c>
      <c r="AD2658" s="6"/>
    </row>
    <row r="2659" spans="1:30" x14ac:dyDescent="0.2">
      <c r="A2659" t="str">
        <f t="shared" si="246"/>
        <v/>
      </c>
      <c r="X2659" t="str" cm="1">
        <f t="array" ref="X2659">IF(S2659="","",IF($I2659&lt;&gt;"",$I2659,INDEX($I$2:$I2658,ROW()-COUNTIFS($T$2:$T2658,"="&amp;$T2659,$S$2:$S2658,"&lt;&gt;"&amp;$S2659)-1)))</f>
        <v/>
      </c>
      <c r="Y2659" t="b">
        <f>IF(X2659&lt;&gt;"",VLOOKUP(X2659,game_rosters!$C$43:$E$64,3,FALSE))</f>
        <v>0</v>
      </c>
      <c r="Z2659" t="e" cm="1" vm="1">
        <f t="array" aca="1" ref="Z2659" ca="1">IFERROR(IF(_xlfn._xlws.FILTER(game_rosters!$J:$J,(game_rosters!$G:$G=events!$AN2659)*(game_rosters!$J:$J=events!$X2659))&gt;0,1,""),"")</f>
        <v>#VALUE!</v>
      </c>
      <c r="AA2659">
        <f t="shared" si="247"/>
        <v>1000</v>
      </c>
      <c r="AB2659" t="str">
        <f t="shared" si="248"/>
        <v/>
      </c>
      <c r="AC2659">
        <f t="shared" si="245"/>
        <v>1000</v>
      </c>
      <c r="AD2659" s="6"/>
    </row>
    <row r="2660" spans="1:30" x14ac:dyDescent="0.2">
      <c r="A2660" t="str">
        <f t="shared" si="246"/>
        <v/>
      </c>
      <c r="X2660" t="str" cm="1">
        <f t="array" ref="X2660">IF(S2660="","",IF($I2660&lt;&gt;"",$I2660,INDEX($I$2:$I2659,ROW()-COUNTIFS($T$2:$T2659,"="&amp;$T2660,$S$2:$S2659,"&lt;&gt;"&amp;$S2660)-1)))</f>
        <v/>
      </c>
      <c r="Y2660" t="b">
        <f>IF(X2660&lt;&gt;"",VLOOKUP(X2660,game_rosters!$C$43:$E$64,3,FALSE))</f>
        <v>0</v>
      </c>
      <c r="Z2660" t="e" cm="1" vm="1">
        <f t="array" aca="1" ref="Z2660" ca="1">IFERROR(IF(_xlfn._xlws.FILTER(game_rosters!$J:$J,(game_rosters!$G:$G=events!$AN2660)*(game_rosters!$J:$J=events!$X2660))&gt;0,1,""),"")</f>
        <v>#VALUE!</v>
      </c>
      <c r="AA2660">
        <f t="shared" si="247"/>
        <v>1000</v>
      </c>
      <c r="AB2660" t="str">
        <f t="shared" si="248"/>
        <v/>
      </c>
      <c r="AC2660">
        <f t="shared" si="245"/>
        <v>1000</v>
      </c>
      <c r="AD2660" s="6"/>
    </row>
    <row r="2661" spans="1:30" x14ac:dyDescent="0.2">
      <c r="A2661" t="str">
        <f t="shared" si="246"/>
        <v/>
      </c>
      <c r="X2661" t="str" cm="1">
        <f t="array" ref="X2661">IF(S2661="","",IF($I2661&lt;&gt;"",$I2661,INDEX($I$2:$I2660,ROW()-COUNTIFS($T$2:$T2660,"="&amp;$T2661,$S$2:$S2660,"&lt;&gt;"&amp;$S2661)-1)))</f>
        <v/>
      </c>
      <c r="Y2661" t="b">
        <f>IF(X2661&lt;&gt;"",VLOOKUP(X2661,game_rosters!$C$43:$E$64,3,FALSE))</f>
        <v>0</v>
      </c>
      <c r="Z2661" t="e" cm="1" vm="1">
        <f t="array" aca="1" ref="Z2661" ca="1">IFERROR(IF(_xlfn._xlws.FILTER(game_rosters!$J:$J,(game_rosters!$G:$G=events!$AN2661)*(game_rosters!$J:$J=events!$X2661))&gt;0,1,""),"")</f>
        <v>#VALUE!</v>
      </c>
      <c r="AA2661">
        <f t="shared" si="247"/>
        <v>1000</v>
      </c>
      <c r="AB2661" t="str">
        <f t="shared" si="248"/>
        <v/>
      </c>
      <c r="AC2661">
        <f t="shared" si="245"/>
        <v>1000</v>
      </c>
      <c r="AD2661" s="6"/>
    </row>
    <row r="2662" spans="1:30" x14ac:dyDescent="0.2">
      <c r="A2662" t="str">
        <f t="shared" si="246"/>
        <v/>
      </c>
      <c r="X2662" t="str" cm="1">
        <f t="array" ref="X2662">IF(S2662="","",IF($I2662&lt;&gt;"",$I2662,INDEX($I$2:$I2661,ROW()-COUNTIFS($T$2:$T2661,"="&amp;$T2662,$S$2:$S2661,"&lt;&gt;"&amp;$S2662)-1)))</f>
        <v/>
      </c>
      <c r="Y2662" t="b">
        <f>IF(X2662&lt;&gt;"",VLOOKUP(X2662,game_rosters!$C$43:$E$64,3,FALSE))</f>
        <v>0</v>
      </c>
      <c r="Z2662" t="e" cm="1" vm="1">
        <f t="array" aca="1" ref="Z2662" ca="1">IFERROR(IF(_xlfn._xlws.FILTER(game_rosters!$J:$J,(game_rosters!$G:$G=events!$AN2662)*(game_rosters!$J:$J=events!$X2662))&gt;0,1,""),"")</f>
        <v>#VALUE!</v>
      </c>
      <c r="AA2662">
        <f t="shared" si="247"/>
        <v>1000</v>
      </c>
      <c r="AB2662" t="str">
        <f t="shared" si="248"/>
        <v/>
      </c>
      <c r="AC2662">
        <f t="shared" si="245"/>
        <v>1000</v>
      </c>
      <c r="AD2662" s="6"/>
    </row>
    <row r="2663" spans="1:30" x14ac:dyDescent="0.2">
      <c r="A2663" t="str">
        <f t="shared" si="246"/>
        <v/>
      </c>
      <c r="X2663" t="str" cm="1">
        <f t="array" ref="X2663">IF(S2663="","",IF($I2663&lt;&gt;"",$I2663,INDEX($I$2:$I2662,ROW()-COUNTIFS($T$2:$T2662,"="&amp;$T2663,$S$2:$S2662,"&lt;&gt;"&amp;$S2663)-1)))</f>
        <v/>
      </c>
      <c r="Y2663" t="b">
        <f>IF(X2663&lt;&gt;"",VLOOKUP(X2663,game_rosters!$C$43:$E$64,3,FALSE))</f>
        <v>0</v>
      </c>
      <c r="Z2663" t="e" cm="1" vm="1">
        <f t="array" aca="1" ref="Z2663" ca="1">IFERROR(IF(_xlfn._xlws.FILTER(game_rosters!$J:$J,(game_rosters!$G:$G=events!$AN2663)*(game_rosters!$J:$J=events!$X2663))&gt;0,1,""),"")</f>
        <v>#VALUE!</v>
      </c>
      <c r="AA2663">
        <f t="shared" si="247"/>
        <v>1000</v>
      </c>
      <c r="AB2663" t="str">
        <f t="shared" si="248"/>
        <v/>
      </c>
      <c r="AC2663">
        <f t="shared" si="245"/>
        <v>1000</v>
      </c>
      <c r="AD2663" s="6"/>
    </row>
    <row r="2664" spans="1:30" x14ac:dyDescent="0.2">
      <c r="A2664" t="str">
        <f t="shared" si="246"/>
        <v/>
      </c>
      <c r="X2664" t="str" cm="1">
        <f t="array" ref="X2664">IF(S2664="","",IF($I2664&lt;&gt;"",$I2664,INDEX($I$2:$I2663,ROW()-COUNTIFS($T$2:$T2663,"="&amp;$T2664,$S$2:$S2663,"&lt;&gt;"&amp;$S2664)-1)))</f>
        <v/>
      </c>
      <c r="Y2664" t="b">
        <f>IF(X2664&lt;&gt;"",VLOOKUP(X2664,game_rosters!$C$43:$E$64,3,FALSE))</f>
        <v>0</v>
      </c>
      <c r="Z2664" t="e" cm="1" vm="1">
        <f t="array" aca="1" ref="Z2664" ca="1">IFERROR(IF(_xlfn._xlws.FILTER(game_rosters!$J:$J,(game_rosters!$G:$G=events!$AN2664)*(game_rosters!$J:$J=events!$X2664))&gt;0,1,""),"")</f>
        <v>#VALUE!</v>
      </c>
      <c r="AA2664">
        <f t="shared" si="247"/>
        <v>1000</v>
      </c>
      <c r="AB2664" t="str">
        <f t="shared" si="248"/>
        <v/>
      </c>
      <c r="AC2664">
        <f t="shared" si="245"/>
        <v>1000</v>
      </c>
      <c r="AD2664" s="6"/>
    </row>
    <row r="2665" spans="1:30" x14ac:dyDescent="0.2">
      <c r="A2665" t="str">
        <f t="shared" si="246"/>
        <v/>
      </c>
      <c r="X2665" t="str" cm="1">
        <f t="array" ref="X2665">IF(S2665="","",IF($I2665&lt;&gt;"",$I2665,INDEX($I$2:$I2664,ROW()-COUNTIFS($T$2:$T2664,"="&amp;$T2665,$S$2:$S2664,"&lt;&gt;"&amp;$S2665)-1)))</f>
        <v/>
      </c>
      <c r="Y2665" t="b">
        <f>IF(X2665&lt;&gt;"",VLOOKUP(X2665,game_rosters!$C$43:$E$64,3,FALSE))</f>
        <v>0</v>
      </c>
      <c r="Z2665" t="e" cm="1" vm="1">
        <f t="array" aca="1" ref="Z2665" ca="1">IFERROR(IF(_xlfn._xlws.FILTER(game_rosters!$J:$J,(game_rosters!$G:$G=events!$AN2665)*(game_rosters!$J:$J=events!$X2665))&gt;0,1,""),"")</f>
        <v>#VALUE!</v>
      </c>
      <c r="AA2665">
        <f t="shared" si="247"/>
        <v>1000</v>
      </c>
      <c r="AB2665" t="str">
        <f t="shared" si="248"/>
        <v/>
      </c>
      <c r="AC2665">
        <f t="shared" si="245"/>
        <v>1000</v>
      </c>
      <c r="AD2665" s="6"/>
    </row>
    <row r="2666" spans="1:30" x14ac:dyDescent="0.2">
      <c r="A2666" t="str">
        <f t="shared" si="246"/>
        <v/>
      </c>
      <c r="X2666" t="str" cm="1">
        <f t="array" ref="X2666">IF(S2666="","",IF($I2666&lt;&gt;"",$I2666,INDEX($I$2:$I2665,ROW()-COUNTIFS($T$2:$T2665,"="&amp;$T2666,$S$2:$S2665,"&lt;&gt;"&amp;$S2666)-1)))</f>
        <v/>
      </c>
      <c r="Y2666" t="b">
        <f>IF(X2666&lt;&gt;"",VLOOKUP(X2666,game_rosters!$C$43:$E$64,3,FALSE))</f>
        <v>0</v>
      </c>
      <c r="Z2666" t="e" cm="1" vm="1">
        <f t="array" aca="1" ref="Z2666" ca="1">IFERROR(IF(_xlfn._xlws.FILTER(game_rosters!$J:$J,(game_rosters!$G:$G=events!$AN2666)*(game_rosters!$J:$J=events!$X2666))&gt;0,1,""),"")</f>
        <v>#VALUE!</v>
      </c>
      <c r="AA2666">
        <f t="shared" si="247"/>
        <v>1000</v>
      </c>
      <c r="AB2666" t="str">
        <f t="shared" si="248"/>
        <v/>
      </c>
      <c r="AC2666">
        <f t="shared" si="245"/>
        <v>1000</v>
      </c>
      <c r="AD2666" s="6"/>
    </row>
    <row r="2667" spans="1:30" x14ac:dyDescent="0.2">
      <c r="A2667" t="str">
        <f t="shared" si="246"/>
        <v/>
      </c>
      <c r="X2667" t="str" cm="1">
        <f t="array" ref="X2667">IF(S2667="","",IF($I2667&lt;&gt;"",$I2667,INDEX($I$2:$I2666,ROW()-COUNTIFS($T$2:$T2666,"="&amp;$T2667,$S$2:$S2666,"&lt;&gt;"&amp;$S2667)-1)))</f>
        <v/>
      </c>
      <c r="Y2667" t="b">
        <f>IF(X2667&lt;&gt;"",VLOOKUP(X2667,game_rosters!$C$43:$E$64,3,FALSE))</f>
        <v>0</v>
      </c>
      <c r="Z2667" t="e" cm="1" vm="1">
        <f t="array" aca="1" ref="Z2667" ca="1">IFERROR(IF(_xlfn._xlws.FILTER(game_rosters!$J:$J,(game_rosters!$G:$G=events!$AN2667)*(game_rosters!$J:$J=events!$X2667))&gt;0,1,""),"")</f>
        <v>#VALUE!</v>
      </c>
      <c r="AA2667">
        <f t="shared" si="247"/>
        <v>1000</v>
      </c>
      <c r="AB2667" t="str">
        <f t="shared" si="248"/>
        <v/>
      </c>
      <c r="AC2667">
        <f t="shared" si="245"/>
        <v>1000</v>
      </c>
      <c r="AD2667" s="6"/>
    </row>
    <row r="2668" spans="1:30" x14ac:dyDescent="0.2">
      <c r="A2668" t="str">
        <f t="shared" si="246"/>
        <v/>
      </c>
      <c r="X2668" t="str" cm="1">
        <f t="array" ref="X2668">IF(S2668="","",IF($I2668&lt;&gt;"",$I2668,INDEX($I$2:$I2667,ROW()-COUNTIFS($T$2:$T2667,"="&amp;$T2668,$S$2:$S2667,"&lt;&gt;"&amp;$S2668)-1)))</f>
        <v/>
      </c>
      <c r="Y2668" t="b">
        <f>IF(X2668&lt;&gt;"",VLOOKUP(X2668,game_rosters!$C$43:$E$64,3,FALSE))</f>
        <v>0</v>
      </c>
      <c r="Z2668" t="e" cm="1" vm="1">
        <f t="array" aca="1" ref="Z2668" ca="1">IFERROR(IF(_xlfn._xlws.FILTER(game_rosters!$J:$J,(game_rosters!$G:$G=events!$AN2668)*(game_rosters!$J:$J=events!$X2668))&gt;0,1,""),"")</f>
        <v>#VALUE!</v>
      </c>
      <c r="AA2668">
        <f t="shared" si="247"/>
        <v>1000</v>
      </c>
      <c r="AB2668" t="str">
        <f t="shared" si="248"/>
        <v/>
      </c>
      <c r="AC2668">
        <f t="shared" si="245"/>
        <v>1000</v>
      </c>
      <c r="AD2668" s="6"/>
    </row>
    <row r="2669" spans="1:30" x14ac:dyDescent="0.2">
      <c r="A2669" t="str">
        <f t="shared" si="246"/>
        <v/>
      </c>
      <c r="X2669" t="str" cm="1">
        <f t="array" ref="X2669">IF(S2669="","",IF($I2669&lt;&gt;"",$I2669,INDEX($I$2:$I2668,ROW()-COUNTIFS($T$2:$T2668,"="&amp;$T2669,$S$2:$S2668,"&lt;&gt;"&amp;$S2669)-1)))</f>
        <v/>
      </c>
      <c r="Y2669" t="b">
        <f>IF(X2669&lt;&gt;"",VLOOKUP(X2669,game_rosters!$C$43:$E$64,3,FALSE))</f>
        <v>0</v>
      </c>
      <c r="Z2669" t="e" cm="1" vm="1">
        <f t="array" aca="1" ref="Z2669" ca="1">IFERROR(IF(_xlfn._xlws.FILTER(game_rosters!$J:$J,(game_rosters!$G:$G=events!$AN2669)*(game_rosters!$J:$J=events!$X2669))&gt;0,1,""),"")</f>
        <v>#VALUE!</v>
      </c>
      <c r="AA2669">
        <f t="shared" si="247"/>
        <v>1000</v>
      </c>
      <c r="AB2669" t="str">
        <f t="shared" si="248"/>
        <v/>
      </c>
      <c r="AC2669">
        <f t="shared" si="245"/>
        <v>1000</v>
      </c>
      <c r="AD2669" s="6"/>
    </row>
    <row r="2670" spans="1:30" x14ac:dyDescent="0.2">
      <c r="A2670" t="str">
        <f t="shared" si="246"/>
        <v/>
      </c>
      <c r="X2670" t="str" cm="1">
        <f t="array" ref="X2670">IF(S2670="","",IF($I2670&lt;&gt;"",$I2670,INDEX($I$2:$I2669,ROW()-COUNTIFS($T$2:$T2669,"="&amp;$T2670,$S$2:$S2669,"&lt;&gt;"&amp;$S2670)-1)))</f>
        <v/>
      </c>
      <c r="Y2670" t="b">
        <f>IF(X2670&lt;&gt;"",VLOOKUP(X2670,game_rosters!$C$43:$E$64,3,FALSE))</f>
        <v>0</v>
      </c>
      <c r="Z2670" t="e" cm="1" vm="1">
        <f t="array" aca="1" ref="Z2670" ca="1">IFERROR(IF(_xlfn._xlws.FILTER(game_rosters!$J:$J,(game_rosters!$G:$G=events!$AN2670)*(game_rosters!$J:$J=events!$X2670))&gt;0,1,""),"")</f>
        <v>#VALUE!</v>
      </c>
      <c r="AA2670">
        <f t="shared" si="247"/>
        <v>1000</v>
      </c>
      <c r="AB2670" t="str">
        <f t="shared" si="248"/>
        <v/>
      </c>
      <c r="AC2670">
        <f t="shared" si="245"/>
        <v>1000</v>
      </c>
      <c r="AD2670" s="6"/>
    </row>
    <row r="2671" spans="1:30" x14ac:dyDescent="0.2">
      <c r="A2671" t="str">
        <f t="shared" si="246"/>
        <v/>
      </c>
      <c r="X2671" t="str" cm="1">
        <f t="array" ref="X2671">IF(S2671="","",IF($I2671&lt;&gt;"",$I2671,INDEX($I$2:$I2670,ROW()-COUNTIFS($T$2:$T2670,"="&amp;$T2671,$S$2:$S2670,"&lt;&gt;"&amp;$S2671)-1)))</f>
        <v/>
      </c>
      <c r="Y2671" t="b">
        <f>IF(X2671&lt;&gt;"",VLOOKUP(X2671,game_rosters!$C$43:$E$64,3,FALSE))</f>
        <v>0</v>
      </c>
      <c r="Z2671" t="e" cm="1" vm="1">
        <f t="array" aca="1" ref="Z2671" ca="1">IFERROR(IF(_xlfn._xlws.FILTER(game_rosters!$J:$J,(game_rosters!$G:$G=events!$AN2671)*(game_rosters!$J:$J=events!$X2671))&gt;0,1,""),"")</f>
        <v>#VALUE!</v>
      </c>
      <c r="AA2671">
        <f t="shared" si="247"/>
        <v>1000</v>
      </c>
      <c r="AB2671" t="str">
        <f t="shared" si="248"/>
        <v/>
      </c>
      <c r="AC2671">
        <f t="shared" si="245"/>
        <v>1000</v>
      </c>
      <c r="AD2671" s="6"/>
    </row>
    <row r="2672" spans="1:30" x14ac:dyDescent="0.2">
      <c r="A2672" t="str">
        <f t="shared" si="246"/>
        <v/>
      </c>
      <c r="X2672" t="str" cm="1">
        <f t="array" ref="X2672">IF(S2672="","",IF($I2672&lt;&gt;"",$I2672,INDEX($I$2:$I2671,ROW()-COUNTIFS($T$2:$T2671,"="&amp;$T2672,$S$2:$S2671,"&lt;&gt;"&amp;$S2672)-1)))</f>
        <v/>
      </c>
      <c r="Y2672" t="b">
        <f>IF(X2672&lt;&gt;"",VLOOKUP(X2672,game_rosters!$C$43:$E$64,3,FALSE))</f>
        <v>0</v>
      </c>
      <c r="Z2672" t="e" cm="1" vm="1">
        <f t="array" aca="1" ref="Z2672" ca="1">IFERROR(IF(_xlfn._xlws.FILTER(game_rosters!$J:$J,(game_rosters!$G:$G=events!$AN2672)*(game_rosters!$J:$J=events!$X2672))&gt;0,1,""),"")</f>
        <v>#VALUE!</v>
      </c>
      <c r="AA2672">
        <f t="shared" si="247"/>
        <v>1000</v>
      </c>
      <c r="AB2672" t="str">
        <f t="shared" si="248"/>
        <v/>
      </c>
      <c r="AC2672">
        <f t="shared" si="245"/>
        <v>1000</v>
      </c>
      <c r="AD2672" s="6"/>
    </row>
    <row r="2673" spans="1:30" x14ac:dyDescent="0.2">
      <c r="A2673" t="str">
        <f t="shared" si="246"/>
        <v/>
      </c>
      <c r="X2673" t="str" cm="1">
        <f t="array" ref="X2673">IF(S2673="","",IF($I2673&lt;&gt;"",$I2673,INDEX($I$2:$I2672,ROW()-COUNTIFS($T$2:$T2672,"="&amp;$T2673,$S$2:$S2672,"&lt;&gt;"&amp;$S2673)-1)))</f>
        <v/>
      </c>
      <c r="Y2673" t="b">
        <f>IF(X2673&lt;&gt;"",VLOOKUP(X2673,game_rosters!$C$43:$E$64,3,FALSE))</f>
        <v>0</v>
      </c>
      <c r="Z2673" t="e" cm="1" vm="1">
        <f t="array" aca="1" ref="Z2673" ca="1">IFERROR(IF(_xlfn._xlws.FILTER(game_rosters!$J:$J,(game_rosters!$G:$G=events!$AN2673)*(game_rosters!$J:$J=events!$X2673))&gt;0,1,""),"")</f>
        <v>#VALUE!</v>
      </c>
      <c r="AA2673">
        <f t="shared" si="247"/>
        <v>1000</v>
      </c>
      <c r="AB2673" t="str">
        <f t="shared" si="248"/>
        <v/>
      </c>
      <c r="AC2673">
        <f t="shared" si="245"/>
        <v>1000</v>
      </c>
      <c r="AD2673" s="6"/>
    </row>
    <row r="2674" spans="1:30" x14ac:dyDescent="0.2">
      <c r="A2674" t="str">
        <f t="shared" si="246"/>
        <v/>
      </c>
      <c r="X2674" t="str" cm="1">
        <f t="array" ref="X2674">IF(S2674="","",IF($I2674&lt;&gt;"",$I2674,INDEX($I$2:$I2673,ROW()-COUNTIFS($T$2:$T2673,"="&amp;$T2674,$S$2:$S2673,"&lt;&gt;"&amp;$S2674)-1)))</f>
        <v/>
      </c>
      <c r="Y2674" t="b">
        <f>IF(X2674&lt;&gt;"",VLOOKUP(X2674,game_rosters!$C$43:$E$64,3,FALSE))</f>
        <v>0</v>
      </c>
      <c r="Z2674" t="e" cm="1" vm="1">
        <f t="array" aca="1" ref="Z2674" ca="1">IFERROR(IF(_xlfn._xlws.FILTER(game_rosters!$J:$J,(game_rosters!$G:$G=events!$AN2674)*(game_rosters!$J:$J=events!$X2674))&gt;0,1,""),"")</f>
        <v>#VALUE!</v>
      </c>
      <c r="AA2674">
        <f t="shared" si="247"/>
        <v>1000</v>
      </c>
      <c r="AB2674" t="str">
        <f t="shared" si="248"/>
        <v/>
      </c>
      <c r="AC2674">
        <f t="shared" si="245"/>
        <v>1000</v>
      </c>
      <c r="AD2674" s="6"/>
    </row>
    <row r="2675" spans="1:30" x14ac:dyDescent="0.2">
      <c r="A2675" t="str">
        <f t="shared" si="246"/>
        <v/>
      </c>
      <c r="X2675" t="str" cm="1">
        <f t="array" ref="X2675">IF(S2675="","",IF($I2675&lt;&gt;"",$I2675,INDEX($I$2:$I2674,ROW()-COUNTIFS($T$2:$T2674,"="&amp;$T2675,$S$2:$S2674,"&lt;&gt;"&amp;$S2675)-1)))</f>
        <v/>
      </c>
      <c r="Y2675" t="b">
        <f>IF(X2675&lt;&gt;"",VLOOKUP(X2675,game_rosters!$C$43:$E$64,3,FALSE))</f>
        <v>0</v>
      </c>
      <c r="Z2675" t="e" cm="1" vm="1">
        <f t="array" aca="1" ref="Z2675" ca="1">IFERROR(IF(_xlfn._xlws.FILTER(game_rosters!$J:$J,(game_rosters!$G:$G=events!$AN2675)*(game_rosters!$J:$J=events!$X2675))&gt;0,1,""),"")</f>
        <v>#VALUE!</v>
      </c>
      <c r="AA2675">
        <f t="shared" si="247"/>
        <v>1000</v>
      </c>
      <c r="AB2675" t="str">
        <f t="shared" si="248"/>
        <v/>
      </c>
      <c r="AC2675">
        <f t="shared" si="245"/>
        <v>1000</v>
      </c>
      <c r="AD2675" s="6"/>
    </row>
    <row r="2676" spans="1:30" x14ac:dyDescent="0.2">
      <c r="A2676" t="str">
        <f t="shared" si="246"/>
        <v/>
      </c>
      <c r="X2676" t="str" cm="1">
        <f t="array" ref="X2676">IF(S2676="","",IF($I2676&lt;&gt;"",$I2676,INDEX($I$2:$I2675,ROW()-COUNTIFS($T$2:$T2675,"="&amp;$T2676,$S$2:$S2675,"&lt;&gt;"&amp;$S2676)-1)))</f>
        <v/>
      </c>
      <c r="Y2676" t="b">
        <f>IF(X2676&lt;&gt;"",VLOOKUP(X2676,game_rosters!$C$43:$E$64,3,FALSE))</f>
        <v>0</v>
      </c>
      <c r="Z2676" t="e" cm="1" vm="1">
        <f t="array" aca="1" ref="Z2676" ca="1">IFERROR(IF(_xlfn._xlws.FILTER(game_rosters!$J:$J,(game_rosters!$G:$G=events!$AN2676)*(game_rosters!$J:$J=events!$X2676))&gt;0,1,""),"")</f>
        <v>#VALUE!</v>
      </c>
      <c r="AA2676">
        <f t="shared" si="247"/>
        <v>1000</v>
      </c>
      <c r="AB2676" t="str">
        <f t="shared" si="248"/>
        <v/>
      </c>
      <c r="AC2676">
        <f t="shared" si="245"/>
        <v>1000</v>
      </c>
      <c r="AD2676" s="6"/>
    </row>
    <row r="2677" spans="1:30" x14ac:dyDescent="0.2">
      <c r="A2677" t="str">
        <f t="shared" si="246"/>
        <v/>
      </c>
      <c r="X2677" t="str" cm="1">
        <f t="array" ref="X2677">IF(S2677="","",IF($I2677&lt;&gt;"",$I2677,INDEX($I$2:$I2676,ROW()-COUNTIFS($T$2:$T2676,"="&amp;$T2677,$S$2:$S2676,"&lt;&gt;"&amp;$S2677)-1)))</f>
        <v/>
      </c>
      <c r="Y2677" t="b">
        <f>IF(X2677&lt;&gt;"",VLOOKUP(X2677,game_rosters!$C$43:$E$64,3,FALSE))</f>
        <v>0</v>
      </c>
      <c r="Z2677" t="e" cm="1" vm="1">
        <f t="array" aca="1" ref="Z2677" ca="1">IFERROR(IF(_xlfn._xlws.FILTER(game_rosters!$J:$J,(game_rosters!$G:$G=events!$AN2677)*(game_rosters!$J:$J=events!$X2677))&gt;0,1,""),"")</f>
        <v>#VALUE!</v>
      </c>
      <c r="AA2677">
        <f t="shared" si="247"/>
        <v>1000</v>
      </c>
      <c r="AB2677" t="str">
        <f t="shared" si="248"/>
        <v/>
      </c>
      <c r="AC2677">
        <f t="shared" si="245"/>
        <v>1000</v>
      </c>
      <c r="AD2677" s="6"/>
    </row>
    <row r="2678" spans="1:30" x14ac:dyDescent="0.2">
      <c r="A2678" t="str">
        <f t="shared" si="246"/>
        <v/>
      </c>
      <c r="X2678" t="str" cm="1">
        <f t="array" ref="X2678">IF(S2678="","",IF($I2678&lt;&gt;"",$I2678,INDEX($I$2:$I2677,ROW()-COUNTIFS($T$2:$T2677,"="&amp;$T2678,$S$2:$S2677,"&lt;&gt;"&amp;$S2678)-1)))</f>
        <v/>
      </c>
      <c r="Y2678" t="b">
        <f>IF(X2678&lt;&gt;"",VLOOKUP(X2678,game_rosters!$C$43:$E$64,3,FALSE))</f>
        <v>0</v>
      </c>
      <c r="Z2678" t="e" cm="1" vm="1">
        <f t="array" aca="1" ref="Z2678" ca="1">IFERROR(IF(_xlfn._xlws.FILTER(game_rosters!$J:$J,(game_rosters!$G:$G=events!$AN2678)*(game_rosters!$J:$J=events!$X2678))&gt;0,1,""),"")</f>
        <v>#VALUE!</v>
      </c>
      <c r="AA2678">
        <f t="shared" si="247"/>
        <v>1000</v>
      </c>
      <c r="AB2678" t="str">
        <f t="shared" si="248"/>
        <v/>
      </c>
      <c r="AC2678">
        <f t="shared" si="245"/>
        <v>1000</v>
      </c>
      <c r="AD2678" s="6"/>
    </row>
    <row r="2679" spans="1:30" x14ac:dyDescent="0.2">
      <c r="A2679" t="str">
        <f t="shared" si="246"/>
        <v/>
      </c>
      <c r="X2679" t="str" cm="1">
        <f t="array" ref="X2679">IF(S2679="","",IF($I2679&lt;&gt;"",$I2679,INDEX($I$2:$I2678,ROW()-COUNTIFS($T$2:$T2678,"="&amp;$T2679,$S$2:$S2678,"&lt;&gt;"&amp;$S2679)-1)))</f>
        <v/>
      </c>
      <c r="Y2679" t="b">
        <f>IF(X2679&lt;&gt;"",VLOOKUP(X2679,game_rosters!$C$43:$E$64,3,FALSE))</f>
        <v>0</v>
      </c>
      <c r="Z2679" t="e" cm="1" vm="1">
        <f t="array" aca="1" ref="Z2679" ca="1">IFERROR(IF(_xlfn._xlws.FILTER(game_rosters!$J:$J,(game_rosters!$G:$G=events!$AN2679)*(game_rosters!$J:$J=events!$X2679))&gt;0,1,""),"")</f>
        <v>#VALUE!</v>
      </c>
      <c r="AA2679">
        <f t="shared" si="247"/>
        <v>1000</v>
      </c>
      <c r="AB2679" t="str">
        <f t="shared" si="248"/>
        <v/>
      </c>
      <c r="AC2679">
        <f t="shared" si="245"/>
        <v>1000</v>
      </c>
      <c r="AD2679" s="6"/>
    </row>
    <row r="2680" spans="1:30" x14ac:dyDescent="0.2">
      <c r="A2680" t="str">
        <f t="shared" si="246"/>
        <v/>
      </c>
      <c r="X2680" t="str" cm="1">
        <f t="array" ref="X2680">IF(S2680="","",IF($I2680&lt;&gt;"",$I2680,INDEX($I$2:$I2679,ROW()-COUNTIFS($T$2:$T2679,"="&amp;$T2680,$S$2:$S2679,"&lt;&gt;"&amp;$S2680)-1)))</f>
        <v/>
      </c>
      <c r="Y2680" t="b">
        <f>IF(X2680&lt;&gt;"",VLOOKUP(X2680,game_rosters!$C$43:$E$64,3,FALSE))</f>
        <v>0</v>
      </c>
      <c r="Z2680" t="e" cm="1" vm="1">
        <f t="array" aca="1" ref="Z2680" ca="1">IFERROR(IF(_xlfn._xlws.FILTER(game_rosters!$J:$J,(game_rosters!$G:$G=events!$AN2680)*(game_rosters!$J:$J=events!$X2680))&gt;0,1,""),"")</f>
        <v>#VALUE!</v>
      </c>
      <c r="AA2680">
        <f t="shared" si="247"/>
        <v>1000</v>
      </c>
      <c r="AB2680" t="str">
        <f t="shared" si="248"/>
        <v/>
      </c>
      <c r="AC2680">
        <f t="shared" si="245"/>
        <v>1000</v>
      </c>
      <c r="AD2680" s="6"/>
    </row>
    <row r="2681" spans="1:30" x14ac:dyDescent="0.2">
      <c r="A2681" t="str">
        <f t="shared" si="246"/>
        <v/>
      </c>
      <c r="X2681" t="str" cm="1">
        <f t="array" ref="X2681">IF(S2681="","",IF($I2681&lt;&gt;"",$I2681,INDEX($I$2:$I2680,ROW()-COUNTIFS($T$2:$T2680,"="&amp;$T2681,$S$2:$S2680,"&lt;&gt;"&amp;$S2681)-1)))</f>
        <v/>
      </c>
      <c r="Y2681" t="b">
        <f>IF(X2681&lt;&gt;"",VLOOKUP(X2681,game_rosters!$C$43:$E$64,3,FALSE))</f>
        <v>0</v>
      </c>
      <c r="Z2681" t="e" cm="1" vm="1">
        <f t="array" aca="1" ref="Z2681" ca="1">IFERROR(IF(_xlfn._xlws.FILTER(game_rosters!$J:$J,(game_rosters!$G:$G=events!$AN2681)*(game_rosters!$J:$J=events!$X2681))&gt;0,1,""),"")</f>
        <v>#VALUE!</v>
      </c>
      <c r="AA2681">
        <f t="shared" si="247"/>
        <v>1000</v>
      </c>
      <c r="AB2681" t="str">
        <f t="shared" si="248"/>
        <v/>
      </c>
      <c r="AC2681">
        <f t="shared" si="245"/>
        <v>1000</v>
      </c>
      <c r="AD2681" s="6"/>
    </row>
    <row r="2682" spans="1:30" x14ac:dyDescent="0.2">
      <c r="A2682" t="str">
        <f t="shared" si="246"/>
        <v/>
      </c>
      <c r="X2682" t="str" cm="1">
        <f t="array" ref="X2682">IF(S2682="","",IF($I2682&lt;&gt;"",$I2682,INDEX($I$2:$I2681,ROW()-COUNTIFS($T$2:$T2681,"="&amp;$T2682,$S$2:$S2681,"&lt;&gt;"&amp;$S2682)-1)))</f>
        <v/>
      </c>
      <c r="Y2682" t="b">
        <f>IF(X2682&lt;&gt;"",VLOOKUP(X2682,game_rosters!$C$43:$E$64,3,FALSE))</f>
        <v>0</v>
      </c>
      <c r="Z2682" t="e" cm="1" vm="1">
        <f t="array" aca="1" ref="Z2682" ca="1">IFERROR(IF(_xlfn._xlws.FILTER(game_rosters!$J:$J,(game_rosters!$G:$G=events!$AN2682)*(game_rosters!$J:$J=events!$X2682))&gt;0,1,""),"")</f>
        <v>#VALUE!</v>
      </c>
      <c r="AA2682">
        <f t="shared" si="247"/>
        <v>1000</v>
      </c>
      <c r="AB2682" t="str">
        <f t="shared" si="248"/>
        <v/>
      </c>
      <c r="AC2682">
        <f t="shared" si="245"/>
        <v>1000</v>
      </c>
      <c r="AD2682" s="6"/>
    </row>
    <row r="2683" spans="1:30" x14ac:dyDescent="0.2">
      <c r="A2683" t="str">
        <f t="shared" si="246"/>
        <v/>
      </c>
      <c r="X2683" t="str" cm="1">
        <f t="array" ref="X2683">IF(S2683="","",IF($I2683&lt;&gt;"",$I2683,INDEX($I$2:$I2682,ROW()-COUNTIFS($T$2:$T2682,"="&amp;$T2683,$S$2:$S2682,"&lt;&gt;"&amp;$S2683)-1)))</f>
        <v/>
      </c>
      <c r="Y2683" t="b">
        <f>IF(X2683&lt;&gt;"",VLOOKUP(X2683,game_rosters!$C$43:$E$64,3,FALSE))</f>
        <v>0</v>
      </c>
      <c r="Z2683" t="e" cm="1" vm="1">
        <f t="array" aca="1" ref="Z2683" ca="1">IFERROR(IF(_xlfn._xlws.FILTER(game_rosters!$J:$J,(game_rosters!$G:$G=events!$AN2683)*(game_rosters!$J:$J=events!$X2683))&gt;0,1,""),"")</f>
        <v>#VALUE!</v>
      </c>
      <c r="AA2683">
        <f t="shared" si="247"/>
        <v>1000</v>
      </c>
      <c r="AB2683" t="str">
        <f t="shared" si="248"/>
        <v/>
      </c>
      <c r="AC2683">
        <f t="shared" si="245"/>
        <v>1000</v>
      </c>
      <c r="AD2683" s="6"/>
    </row>
    <row r="2684" spans="1:30" x14ac:dyDescent="0.2">
      <c r="A2684" t="str">
        <f t="shared" si="246"/>
        <v/>
      </c>
      <c r="X2684" t="str" cm="1">
        <f t="array" ref="X2684">IF(S2684="","",IF($I2684&lt;&gt;"",$I2684,INDEX($I$2:$I2683,ROW()-COUNTIFS($T$2:$T2683,"="&amp;$T2684,$S$2:$S2683,"&lt;&gt;"&amp;$S2684)-1)))</f>
        <v/>
      </c>
      <c r="Y2684" t="b">
        <f>IF(X2684&lt;&gt;"",VLOOKUP(X2684,game_rosters!$C$43:$E$64,3,FALSE))</f>
        <v>0</v>
      </c>
      <c r="Z2684" t="e" cm="1" vm="1">
        <f t="array" aca="1" ref="Z2684" ca="1">IFERROR(IF(_xlfn._xlws.FILTER(game_rosters!$J:$J,(game_rosters!$G:$G=events!$AN2684)*(game_rosters!$J:$J=events!$X2684))&gt;0,1,""),"")</f>
        <v>#VALUE!</v>
      </c>
      <c r="AA2684">
        <f t="shared" si="247"/>
        <v>1000</v>
      </c>
      <c r="AB2684" t="str">
        <f t="shared" si="248"/>
        <v/>
      </c>
      <c r="AC2684">
        <f t="shared" si="245"/>
        <v>1000</v>
      </c>
      <c r="AD2684" s="6"/>
    </row>
    <row r="2685" spans="1:30" x14ac:dyDescent="0.2">
      <c r="A2685" t="str">
        <f t="shared" si="246"/>
        <v/>
      </c>
      <c r="X2685" t="str" cm="1">
        <f t="array" ref="X2685">IF(S2685="","",IF($I2685&lt;&gt;"",$I2685,INDEX($I$2:$I2684,ROW()-COUNTIFS($T$2:$T2684,"="&amp;$T2685,$S$2:$S2684,"&lt;&gt;"&amp;$S2685)-1)))</f>
        <v/>
      </c>
      <c r="Y2685" t="b">
        <f>IF(X2685&lt;&gt;"",VLOOKUP(X2685,game_rosters!$C$43:$E$64,3,FALSE))</f>
        <v>0</v>
      </c>
      <c r="Z2685" t="e" cm="1" vm="1">
        <f t="array" aca="1" ref="Z2685" ca="1">IFERROR(IF(_xlfn._xlws.FILTER(game_rosters!$J:$J,(game_rosters!$G:$G=events!$AN2685)*(game_rosters!$J:$J=events!$X2685))&gt;0,1,""),"")</f>
        <v>#VALUE!</v>
      </c>
      <c r="AA2685">
        <f t="shared" si="247"/>
        <v>1000</v>
      </c>
      <c r="AB2685" t="str">
        <f t="shared" si="248"/>
        <v/>
      </c>
      <c r="AC2685">
        <f t="shared" si="245"/>
        <v>1000</v>
      </c>
      <c r="AD2685" s="6"/>
    </row>
    <row r="2686" spans="1:30" x14ac:dyDescent="0.2">
      <c r="A2686" t="str">
        <f t="shared" si="246"/>
        <v/>
      </c>
      <c r="X2686" t="str" cm="1">
        <f t="array" ref="X2686">IF(S2686="","",IF($I2686&lt;&gt;"",$I2686,INDEX($I$2:$I2685,ROW()-COUNTIFS($T$2:$T2685,"="&amp;$T2686,$S$2:$S2685,"&lt;&gt;"&amp;$S2686)-1)))</f>
        <v/>
      </c>
      <c r="Y2686" t="b">
        <f>IF(X2686&lt;&gt;"",VLOOKUP(X2686,game_rosters!$C$43:$E$64,3,FALSE))</f>
        <v>0</v>
      </c>
      <c r="Z2686" t="e" cm="1" vm="1">
        <f t="array" aca="1" ref="Z2686" ca="1">IFERROR(IF(_xlfn._xlws.FILTER(game_rosters!$J:$J,(game_rosters!$G:$G=events!$AN2686)*(game_rosters!$J:$J=events!$X2686))&gt;0,1,""),"")</f>
        <v>#VALUE!</v>
      </c>
      <c r="AA2686">
        <f t="shared" si="247"/>
        <v>1000</v>
      </c>
      <c r="AB2686" t="str">
        <f t="shared" si="248"/>
        <v/>
      </c>
      <c r="AC2686">
        <f t="shared" si="245"/>
        <v>1000</v>
      </c>
      <c r="AD2686" s="6"/>
    </row>
    <row r="2687" spans="1:30" x14ac:dyDescent="0.2">
      <c r="A2687" t="str">
        <f t="shared" si="246"/>
        <v/>
      </c>
      <c r="X2687" t="str" cm="1">
        <f t="array" ref="X2687">IF(S2687="","",IF($I2687&lt;&gt;"",$I2687,INDEX($I$2:$I2686,ROW()-COUNTIFS($T$2:$T2686,"="&amp;$T2687,$S$2:$S2686,"&lt;&gt;"&amp;$S2687)-1)))</f>
        <v/>
      </c>
      <c r="Y2687" t="b">
        <f>IF(X2687&lt;&gt;"",VLOOKUP(X2687,game_rosters!$C$43:$E$64,3,FALSE))</f>
        <v>0</v>
      </c>
      <c r="Z2687" t="e" cm="1" vm="1">
        <f t="array" aca="1" ref="Z2687" ca="1">IFERROR(IF(_xlfn._xlws.FILTER(game_rosters!$J:$J,(game_rosters!$G:$G=events!$AN2687)*(game_rosters!$J:$J=events!$X2687))&gt;0,1,""),"")</f>
        <v>#VALUE!</v>
      </c>
      <c r="AA2687">
        <f t="shared" si="247"/>
        <v>1000</v>
      </c>
      <c r="AB2687" t="str">
        <f t="shared" si="248"/>
        <v/>
      </c>
      <c r="AC2687">
        <f t="shared" si="245"/>
        <v>1000</v>
      </c>
      <c r="AD2687" s="6"/>
    </row>
    <row r="2688" spans="1:30" x14ac:dyDescent="0.2">
      <c r="A2688" t="str">
        <f t="shared" si="246"/>
        <v/>
      </c>
      <c r="X2688" t="str" cm="1">
        <f t="array" ref="X2688">IF(S2688="","",IF($I2688&lt;&gt;"",$I2688,INDEX($I$2:$I2687,ROW()-COUNTIFS($T$2:$T2687,"="&amp;$T2688,$S$2:$S2687,"&lt;&gt;"&amp;$S2688)-1)))</f>
        <v/>
      </c>
      <c r="Y2688" t="b">
        <f>IF(X2688&lt;&gt;"",VLOOKUP(X2688,game_rosters!$C$43:$E$64,3,FALSE))</f>
        <v>0</v>
      </c>
      <c r="Z2688" t="e" cm="1" vm="1">
        <f t="array" aca="1" ref="Z2688" ca="1">IFERROR(IF(_xlfn._xlws.FILTER(game_rosters!$J:$J,(game_rosters!$G:$G=events!$AN2688)*(game_rosters!$J:$J=events!$X2688))&gt;0,1,""),"")</f>
        <v>#VALUE!</v>
      </c>
      <c r="AA2688">
        <f t="shared" si="247"/>
        <v>1000</v>
      </c>
      <c r="AB2688" t="str">
        <f t="shared" si="248"/>
        <v/>
      </c>
      <c r="AC2688">
        <f t="shared" si="245"/>
        <v>1000</v>
      </c>
      <c r="AD2688" s="6"/>
    </row>
    <row r="2689" spans="1:30" x14ac:dyDescent="0.2">
      <c r="A2689" t="str">
        <f t="shared" si="246"/>
        <v/>
      </c>
      <c r="X2689" t="str" cm="1">
        <f t="array" ref="X2689">IF(S2689="","",IF($I2689&lt;&gt;"",$I2689,INDEX($I$2:$I2688,ROW()-COUNTIFS($T$2:$T2688,"="&amp;$T2689,$S$2:$S2688,"&lt;&gt;"&amp;$S2689)-1)))</f>
        <v/>
      </c>
      <c r="Y2689" t="b">
        <f>IF(X2689&lt;&gt;"",VLOOKUP(X2689,game_rosters!$C$43:$E$64,3,FALSE))</f>
        <v>0</v>
      </c>
      <c r="Z2689" t="e" cm="1" vm="1">
        <f t="array" aca="1" ref="Z2689" ca="1">IFERROR(IF(_xlfn._xlws.FILTER(game_rosters!$J:$J,(game_rosters!$G:$G=events!$AN2689)*(game_rosters!$J:$J=events!$X2689))&gt;0,1,""),"")</f>
        <v>#VALUE!</v>
      </c>
      <c r="AA2689">
        <f t="shared" si="247"/>
        <v>1000</v>
      </c>
      <c r="AB2689" t="str">
        <f t="shared" si="248"/>
        <v/>
      </c>
      <c r="AC2689">
        <f t="shared" si="245"/>
        <v>1000</v>
      </c>
      <c r="AD2689" s="6"/>
    </row>
    <row r="2690" spans="1:30" x14ac:dyDescent="0.2">
      <c r="A2690" t="str">
        <f t="shared" si="246"/>
        <v/>
      </c>
      <c r="X2690" t="str" cm="1">
        <f t="array" ref="X2690">IF(S2690="","",IF($I2690&lt;&gt;"",$I2690,INDEX($I$2:$I2689,ROW()-COUNTIFS($T$2:$T2689,"="&amp;$T2690,$S$2:$S2689,"&lt;&gt;"&amp;$S2690)-1)))</f>
        <v/>
      </c>
      <c r="Y2690" t="b">
        <f>IF(X2690&lt;&gt;"",VLOOKUP(X2690,game_rosters!$C$43:$E$64,3,FALSE))</f>
        <v>0</v>
      </c>
      <c r="Z2690" t="e" cm="1" vm="1">
        <f t="array" aca="1" ref="Z2690" ca="1">IFERROR(IF(_xlfn._xlws.FILTER(game_rosters!$J:$J,(game_rosters!$G:$G=events!$AN2690)*(game_rosters!$J:$J=events!$X2690))&gt;0,1,""),"")</f>
        <v>#VALUE!</v>
      </c>
      <c r="AA2690">
        <f t="shared" si="247"/>
        <v>1000</v>
      </c>
      <c r="AB2690" t="str">
        <f t="shared" si="248"/>
        <v/>
      </c>
      <c r="AC2690">
        <f t="shared" ref="AC2690:AC2753" si="249">IF(AB2690&lt;&gt;"",AB2690,S2690+1000)</f>
        <v>1000</v>
      </c>
      <c r="AD2690" s="6"/>
    </row>
    <row r="2691" spans="1:30" x14ac:dyDescent="0.2">
      <c r="A2691" t="str">
        <f t="shared" si="246"/>
        <v/>
      </c>
      <c r="X2691" t="str" cm="1">
        <f t="array" ref="X2691">IF(S2691="","",IF($I2691&lt;&gt;"",$I2691,INDEX($I$2:$I2690,ROW()-COUNTIFS($T$2:$T2690,"="&amp;$T2691,$S$2:$S2690,"&lt;&gt;"&amp;$S2691)-1)))</f>
        <v/>
      </c>
      <c r="Y2691" t="b">
        <f>IF(X2691&lt;&gt;"",VLOOKUP(X2691,game_rosters!$C$43:$E$64,3,FALSE))</f>
        <v>0</v>
      </c>
      <c r="Z2691" t="e" cm="1" vm="1">
        <f t="array" aca="1" ref="Z2691" ca="1">IFERROR(IF(_xlfn._xlws.FILTER(game_rosters!$J:$J,(game_rosters!$G:$G=events!$AN2691)*(game_rosters!$J:$J=events!$X2691))&gt;0,1,""),"")</f>
        <v>#VALUE!</v>
      </c>
      <c r="AA2691">
        <f t="shared" si="247"/>
        <v>1000</v>
      </c>
      <c r="AB2691" t="str">
        <f t="shared" si="248"/>
        <v/>
      </c>
      <c r="AC2691">
        <f t="shared" si="249"/>
        <v>1000</v>
      </c>
      <c r="AD2691" s="6"/>
    </row>
    <row r="2692" spans="1:30" x14ac:dyDescent="0.2">
      <c r="A2692" t="str">
        <f t="shared" si="246"/>
        <v/>
      </c>
      <c r="X2692" t="str" cm="1">
        <f t="array" ref="X2692">IF(S2692="","",IF($I2692&lt;&gt;"",$I2692,INDEX($I$2:$I2691,ROW()-COUNTIFS($T$2:$T2691,"="&amp;$T2692,$S$2:$S2691,"&lt;&gt;"&amp;$S2692)-1)))</f>
        <v/>
      </c>
      <c r="Y2692" t="b">
        <f>IF(X2692&lt;&gt;"",VLOOKUP(X2692,game_rosters!$C$43:$E$64,3,FALSE))</f>
        <v>0</v>
      </c>
      <c r="Z2692" t="e" cm="1" vm="1">
        <f t="array" aca="1" ref="Z2692" ca="1">IFERROR(IF(_xlfn._xlws.FILTER(game_rosters!$J:$J,(game_rosters!$G:$G=events!$AN2692)*(game_rosters!$J:$J=events!$X2692))&gt;0,1,""),"")</f>
        <v>#VALUE!</v>
      </c>
      <c r="AA2692">
        <f t="shared" si="247"/>
        <v>1000</v>
      </c>
      <c r="AB2692" t="str">
        <f t="shared" si="248"/>
        <v/>
      </c>
      <c r="AC2692">
        <f t="shared" si="249"/>
        <v>1000</v>
      </c>
      <c r="AD2692" s="6"/>
    </row>
    <row r="2693" spans="1:30" x14ac:dyDescent="0.2">
      <c r="A2693" t="str">
        <f t="shared" ref="A2693:A2756" si="250">IF(K2693&lt;&gt;"",1,IF(D2693="x","x",""))</f>
        <v/>
      </c>
      <c r="X2693" t="str" cm="1">
        <f t="array" ref="X2693">IF(S2693="","",IF($I2693&lt;&gt;"",$I2693,INDEX($I$2:$I2692,ROW()-COUNTIFS($T$2:$T2692,"="&amp;$T2693,$S$2:$S2692,"&lt;&gt;"&amp;$S2693)-1)))</f>
        <v/>
      </c>
      <c r="Y2693" t="b">
        <f>IF(X2693&lt;&gt;"",VLOOKUP(X2693,game_rosters!$C$43:$E$64,3,FALSE))</f>
        <v>0</v>
      </c>
      <c r="Z2693" t="e" cm="1" vm="1">
        <f t="array" aca="1" ref="Z2693" ca="1">IFERROR(IF(_xlfn._xlws.FILTER(game_rosters!$J:$J,(game_rosters!$G:$G=events!$AN2693)*(game_rosters!$J:$J=events!$X2693))&gt;0,1,""),"")</f>
        <v>#VALUE!</v>
      </c>
      <c r="AA2693">
        <f t="shared" si="247"/>
        <v>1000</v>
      </c>
      <c r="AB2693" t="str">
        <f t="shared" si="248"/>
        <v/>
      </c>
      <c r="AC2693">
        <f t="shared" si="249"/>
        <v>1000</v>
      </c>
      <c r="AD2693" s="6"/>
    </row>
    <row r="2694" spans="1:30" x14ac:dyDescent="0.2">
      <c r="A2694" t="str">
        <f t="shared" si="250"/>
        <v/>
      </c>
      <c r="X2694" t="str" cm="1">
        <f t="array" ref="X2694">IF(S2694="","",IF($I2694&lt;&gt;"",$I2694,INDEX($I$2:$I2693,ROW()-COUNTIFS($T$2:$T2693,"="&amp;$T2694,$S$2:$S2693,"&lt;&gt;"&amp;$S2694)-1)))</f>
        <v/>
      </c>
      <c r="Y2694" t="b">
        <f>IF(X2694&lt;&gt;"",VLOOKUP(X2694,game_rosters!$C$43:$E$64,3,FALSE))</f>
        <v>0</v>
      </c>
      <c r="Z2694" t="e" cm="1" vm="1">
        <f t="array" aca="1" ref="Z2694" ca="1">IFERROR(IF(_xlfn._xlws.FILTER(game_rosters!$J:$J,(game_rosters!$G:$G=events!$AN2694)*(game_rosters!$J:$J=events!$X2694))&gt;0,1,""),"")</f>
        <v>#VALUE!</v>
      </c>
      <c r="AA2694">
        <f t="shared" si="247"/>
        <v>1000</v>
      </c>
      <c r="AB2694" t="str">
        <f t="shared" si="248"/>
        <v/>
      </c>
      <c r="AC2694">
        <f t="shared" si="249"/>
        <v>1000</v>
      </c>
      <c r="AD2694" s="6"/>
    </row>
    <row r="2695" spans="1:30" x14ac:dyDescent="0.2">
      <c r="A2695" t="str">
        <f t="shared" si="250"/>
        <v/>
      </c>
      <c r="X2695" t="str" cm="1">
        <f t="array" ref="X2695">IF(S2695="","",IF($I2695&lt;&gt;"",$I2695,INDEX($I$2:$I2694,ROW()-COUNTIFS($T$2:$T2694,"="&amp;$T2695,$S$2:$S2694,"&lt;&gt;"&amp;$S2695)-1)))</f>
        <v/>
      </c>
      <c r="Y2695" t="b">
        <f>IF(X2695&lt;&gt;"",VLOOKUP(X2695,game_rosters!$C$43:$E$64,3,FALSE))</f>
        <v>0</v>
      </c>
      <c r="Z2695" t="e" cm="1" vm="1">
        <f t="array" aca="1" ref="Z2695" ca="1">IFERROR(IF(_xlfn._xlws.FILTER(game_rosters!$J:$J,(game_rosters!$G:$G=events!$AN2695)*(game_rosters!$J:$J=events!$X2695))&gt;0,1,""),"")</f>
        <v>#VALUE!</v>
      </c>
      <c r="AA2695">
        <f t="shared" si="247"/>
        <v>1000</v>
      </c>
      <c r="AB2695" t="str">
        <f t="shared" si="248"/>
        <v/>
      </c>
      <c r="AC2695">
        <f t="shared" si="249"/>
        <v>1000</v>
      </c>
      <c r="AD2695" s="6"/>
    </row>
    <row r="2696" spans="1:30" x14ac:dyDescent="0.2">
      <c r="A2696" t="str">
        <f t="shared" si="250"/>
        <v/>
      </c>
      <c r="X2696" t="str" cm="1">
        <f t="array" ref="X2696">IF(S2696="","",IF($I2696&lt;&gt;"",$I2696,INDEX($I$2:$I2695,ROW()-COUNTIFS($T$2:$T2695,"="&amp;$T2696,$S$2:$S2695,"&lt;&gt;"&amp;$S2696)-1)))</f>
        <v/>
      </c>
      <c r="Y2696" t="b">
        <f>IF(X2696&lt;&gt;"",VLOOKUP(X2696,game_rosters!$C$43:$E$64,3,FALSE))</f>
        <v>0</v>
      </c>
      <c r="Z2696" t="e" cm="1" vm="1">
        <f t="array" aca="1" ref="Z2696" ca="1">IFERROR(IF(_xlfn._xlws.FILTER(game_rosters!$J:$J,(game_rosters!$G:$G=events!$AN2696)*(game_rosters!$J:$J=events!$X2696))&gt;0,1,""),"")</f>
        <v>#VALUE!</v>
      </c>
      <c r="AA2696">
        <f t="shared" si="247"/>
        <v>1000</v>
      </c>
      <c r="AB2696" t="str">
        <f t="shared" si="248"/>
        <v/>
      </c>
      <c r="AC2696">
        <f t="shared" si="249"/>
        <v>1000</v>
      </c>
      <c r="AD2696" s="6"/>
    </row>
    <row r="2697" spans="1:30" x14ac:dyDescent="0.2">
      <c r="A2697" t="str">
        <f t="shared" si="250"/>
        <v/>
      </c>
      <c r="X2697" t="str" cm="1">
        <f t="array" ref="X2697">IF(S2697="","",IF($I2697&lt;&gt;"",$I2697,INDEX($I$2:$I2696,ROW()-COUNTIFS($T$2:$T2696,"="&amp;$T2697,$S$2:$S2696,"&lt;&gt;"&amp;$S2697)-1)))</f>
        <v/>
      </c>
      <c r="Y2697" t="b">
        <f>IF(X2697&lt;&gt;"",VLOOKUP(X2697,game_rosters!$C$43:$E$64,3,FALSE))</f>
        <v>0</v>
      </c>
      <c r="Z2697" t="e" cm="1" vm="1">
        <f t="array" aca="1" ref="Z2697" ca="1">IFERROR(IF(_xlfn._xlws.FILTER(game_rosters!$J:$J,(game_rosters!$G:$G=events!$AN2697)*(game_rosters!$J:$J=events!$X2697))&gt;0,1,""),"")</f>
        <v>#VALUE!</v>
      </c>
      <c r="AA2697">
        <f t="shared" si="247"/>
        <v>1000</v>
      </c>
      <c r="AB2697" t="str">
        <f t="shared" si="248"/>
        <v/>
      </c>
      <c r="AC2697">
        <f t="shared" si="249"/>
        <v>1000</v>
      </c>
      <c r="AD2697" s="6"/>
    </row>
    <row r="2698" spans="1:30" x14ac:dyDescent="0.2">
      <c r="A2698" t="str">
        <f t="shared" si="250"/>
        <v/>
      </c>
      <c r="X2698" t="str" cm="1">
        <f t="array" ref="X2698">IF(S2698="","",IF($I2698&lt;&gt;"",$I2698,INDEX($I$2:$I2697,ROW()-COUNTIFS($T$2:$T2697,"="&amp;$T2698,$S$2:$S2697,"&lt;&gt;"&amp;$S2698)-1)))</f>
        <v/>
      </c>
      <c r="Y2698" t="b">
        <f>IF(X2698&lt;&gt;"",VLOOKUP(X2698,game_rosters!$C$43:$E$64,3,FALSE))</f>
        <v>0</v>
      </c>
      <c r="Z2698" t="e" cm="1" vm="1">
        <f t="array" aca="1" ref="Z2698" ca="1">IFERROR(IF(_xlfn._xlws.FILTER(game_rosters!$J:$J,(game_rosters!$G:$G=events!$AN2698)*(game_rosters!$J:$J=events!$X2698))&gt;0,1,""),"")</f>
        <v>#VALUE!</v>
      </c>
      <c r="AA2698">
        <f t="shared" si="247"/>
        <v>1000</v>
      </c>
      <c r="AB2698" t="str">
        <f t="shared" si="248"/>
        <v/>
      </c>
      <c r="AC2698">
        <f t="shared" si="249"/>
        <v>1000</v>
      </c>
      <c r="AD2698" s="6"/>
    </row>
    <row r="2699" spans="1:30" x14ac:dyDescent="0.2">
      <c r="A2699" t="str">
        <f t="shared" si="250"/>
        <v/>
      </c>
      <c r="X2699" t="str" cm="1">
        <f t="array" ref="X2699">IF(S2699="","",IF($I2699&lt;&gt;"",$I2699,INDEX($I$2:$I2698,ROW()-COUNTIFS($T$2:$T2698,"="&amp;$T2699,$S$2:$S2698,"&lt;&gt;"&amp;$S2699)-1)))</f>
        <v/>
      </c>
      <c r="Y2699" t="b">
        <f>IF(X2699&lt;&gt;"",VLOOKUP(X2699,game_rosters!$C$43:$E$64,3,FALSE))</f>
        <v>0</v>
      </c>
      <c r="Z2699" t="e" cm="1" vm="1">
        <f t="array" aca="1" ref="Z2699" ca="1">IFERROR(IF(_xlfn._xlws.FILTER(game_rosters!$J:$J,(game_rosters!$G:$G=events!$AN2699)*(game_rosters!$J:$J=events!$X2699))&gt;0,1,""),"")</f>
        <v>#VALUE!</v>
      </c>
      <c r="AA2699">
        <f t="shared" si="247"/>
        <v>1000</v>
      </c>
      <c r="AB2699" t="str">
        <f t="shared" si="248"/>
        <v/>
      </c>
      <c r="AC2699">
        <f t="shared" si="249"/>
        <v>1000</v>
      </c>
      <c r="AD2699" s="6"/>
    </row>
    <row r="2700" spans="1:30" x14ac:dyDescent="0.2">
      <c r="A2700" t="str">
        <f t="shared" si="250"/>
        <v/>
      </c>
      <c r="X2700" t="str" cm="1">
        <f t="array" ref="X2700">IF(S2700="","",IF($I2700&lt;&gt;"",$I2700,INDEX($I$2:$I2699,ROW()-COUNTIFS($T$2:$T2699,"="&amp;$T2700,$S$2:$S2699,"&lt;&gt;"&amp;$S2700)-1)))</f>
        <v/>
      </c>
      <c r="Y2700" t="b">
        <f>IF(X2700&lt;&gt;"",VLOOKUP(X2700,game_rosters!$C$43:$E$64,3,FALSE))</f>
        <v>0</v>
      </c>
      <c r="Z2700" t="e" cm="1" vm="1">
        <f t="array" aca="1" ref="Z2700" ca="1">IFERROR(IF(_xlfn._xlws.FILTER(game_rosters!$J:$J,(game_rosters!$G:$G=events!$AN2700)*(game_rosters!$J:$J=events!$X2700))&gt;0,1,""),"")</f>
        <v>#VALUE!</v>
      </c>
      <c r="AA2700">
        <f t="shared" si="247"/>
        <v>1000</v>
      </c>
      <c r="AB2700" t="str">
        <f t="shared" si="248"/>
        <v/>
      </c>
      <c r="AC2700">
        <f t="shared" si="249"/>
        <v>1000</v>
      </c>
      <c r="AD2700" s="6"/>
    </row>
    <row r="2701" spans="1:30" x14ac:dyDescent="0.2">
      <c r="A2701" t="str">
        <f t="shared" si="250"/>
        <v/>
      </c>
      <c r="X2701" t="str" cm="1">
        <f t="array" ref="X2701">IF(S2701="","",IF($I2701&lt;&gt;"",$I2701,INDEX($I$2:$I2700,ROW()-COUNTIFS($T$2:$T2700,"="&amp;$T2701,$S$2:$S2700,"&lt;&gt;"&amp;$S2701)-1)))</f>
        <v/>
      </c>
      <c r="Y2701" t="b">
        <f>IF(X2701&lt;&gt;"",VLOOKUP(X2701,game_rosters!$C$43:$E$64,3,FALSE))</f>
        <v>0</v>
      </c>
      <c r="Z2701" t="e" cm="1" vm="1">
        <f t="array" aca="1" ref="Z2701" ca="1">IFERROR(IF(_xlfn._xlws.FILTER(game_rosters!$J:$J,(game_rosters!$G:$G=events!$AN2701)*(game_rosters!$J:$J=events!$X2701))&gt;0,1,""),"")</f>
        <v>#VALUE!</v>
      </c>
      <c r="AA2701">
        <f t="shared" si="247"/>
        <v>1000</v>
      </c>
      <c r="AB2701" t="str">
        <f t="shared" si="248"/>
        <v/>
      </c>
      <c r="AC2701">
        <f t="shared" si="249"/>
        <v>1000</v>
      </c>
      <c r="AD2701" s="6"/>
    </row>
    <row r="2702" spans="1:30" x14ac:dyDescent="0.2">
      <c r="A2702" t="str">
        <f t="shared" si="250"/>
        <v/>
      </c>
      <c r="X2702" t="str" cm="1">
        <f t="array" ref="X2702">IF(S2702="","",IF($I2702&lt;&gt;"",$I2702,INDEX($I$2:$I2701,ROW()-COUNTIFS($T$2:$T2701,"="&amp;$T2702,$S$2:$S2701,"&lt;&gt;"&amp;$S2702)-1)))</f>
        <v/>
      </c>
      <c r="Y2702" t="b">
        <f>IF(X2702&lt;&gt;"",VLOOKUP(X2702,game_rosters!$C$43:$E$64,3,FALSE))</f>
        <v>0</v>
      </c>
      <c r="Z2702" t="e" cm="1" vm="1">
        <f t="array" aca="1" ref="Z2702" ca="1">IFERROR(IF(_xlfn._xlws.FILTER(game_rosters!$J:$J,(game_rosters!$G:$G=events!$AN2702)*(game_rosters!$J:$J=events!$X2702))&gt;0,1,""),"")</f>
        <v>#VALUE!</v>
      </c>
      <c r="AA2702">
        <f t="shared" si="247"/>
        <v>1000</v>
      </c>
      <c r="AB2702" t="str">
        <f t="shared" si="248"/>
        <v/>
      </c>
      <c r="AC2702">
        <f t="shared" si="249"/>
        <v>1000</v>
      </c>
      <c r="AD2702" s="6"/>
    </row>
    <row r="2703" spans="1:30" x14ac:dyDescent="0.2">
      <c r="A2703" t="str">
        <f t="shared" si="250"/>
        <v/>
      </c>
      <c r="X2703" t="str" cm="1">
        <f t="array" ref="X2703">IF(S2703="","",IF($I2703&lt;&gt;"",$I2703,INDEX($I$2:$I2702,ROW()-COUNTIFS($T$2:$T2702,"="&amp;$T2703,$S$2:$S2702,"&lt;&gt;"&amp;$S2703)-1)))</f>
        <v/>
      </c>
      <c r="Y2703" t="b">
        <f>IF(X2703&lt;&gt;"",VLOOKUP(X2703,game_rosters!$C$43:$E$64,3,FALSE))</f>
        <v>0</v>
      </c>
      <c r="Z2703" t="e" cm="1" vm="1">
        <f t="array" aca="1" ref="Z2703" ca="1">IFERROR(IF(_xlfn._xlws.FILTER(game_rosters!$J:$J,(game_rosters!$G:$G=events!$AN2703)*(game_rosters!$J:$J=events!$X2703))&gt;0,1,""),"")</f>
        <v>#VALUE!</v>
      </c>
      <c r="AA2703">
        <f t="shared" si="247"/>
        <v>1000</v>
      </c>
      <c r="AB2703" t="str">
        <f t="shared" si="248"/>
        <v/>
      </c>
      <c r="AC2703">
        <f t="shared" si="249"/>
        <v>1000</v>
      </c>
      <c r="AD2703" s="6"/>
    </row>
    <row r="2704" spans="1:30" x14ac:dyDescent="0.2">
      <c r="A2704" t="str">
        <f t="shared" si="250"/>
        <v/>
      </c>
      <c r="X2704" t="str" cm="1">
        <f t="array" ref="X2704">IF(S2704="","",IF($I2704&lt;&gt;"",$I2704,INDEX($I$2:$I2703,ROW()-COUNTIFS($T$2:$T2703,"="&amp;$T2704,$S$2:$S2703,"&lt;&gt;"&amp;$S2704)-1)))</f>
        <v/>
      </c>
      <c r="Y2704" t="b">
        <f>IF(X2704&lt;&gt;"",VLOOKUP(X2704,game_rosters!$C$43:$E$64,3,FALSE))</f>
        <v>0</v>
      </c>
      <c r="Z2704" t="e" cm="1" vm="1">
        <f t="array" aca="1" ref="Z2704" ca="1">IFERROR(IF(_xlfn._xlws.FILTER(game_rosters!$J:$J,(game_rosters!$G:$G=events!$AN2704)*(game_rosters!$J:$J=events!$X2704))&gt;0,1,""),"")</f>
        <v>#VALUE!</v>
      </c>
      <c r="AA2704">
        <f t="shared" si="247"/>
        <v>1000</v>
      </c>
      <c r="AB2704" t="str">
        <f t="shared" si="248"/>
        <v/>
      </c>
      <c r="AC2704">
        <f t="shared" si="249"/>
        <v>1000</v>
      </c>
      <c r="AD2704" s="6"/>
    </row>
    <row r="2705" spans="1:30" x14ac:dyDescent="0.2">
      <c r="A2705" t="str">
        <f t="shared" si="250"/>
        <v/>
      </c>
      <c r="X2705" t="str" cm="1">
        <f t="array" ref="X2705">IF(S2705="","",IF($I2705&lt;&gt;"",$I2705,INDEX($I$2:$I2704,ROW()-COUNTIFS($T$2:$T2704,"="&amp;$T2705,$S$2:$S2704,"&lt;&gt;"&amp;$S2705)-1)))</f>
        <v/>
      </c>
      <c r="Y2705" t="b">
        <f>IF(X2705&lt;&gt;"",VLOOKUP(X2705,game_rosters!$C$43:$E$64,3,FALSE))</f>
        <v>0</v>
      </c>
      <c r="Z2705" t="e" cm="1" vm="1">
        <f t="array" aca="1" ref="Z2705" ca="1">IFERROR(IF(_xlfn._xlws.FILTER(game_rosters!$J:$J,(game_rosters!$G:$G=events!$AN2705)*(game_rosters!$J:$J=events!$X2705))&gt;0,1,""),"")</f>
        <v>#VALUE!</v>
      </c>
      <c r="AA2705">
        <f t="shared" si="247"/>
        <v>1000</v>
      </c>
      <c r="AB2705" t="str">
        <f t="shared" si="248"/>
        <v/>
      </c>
      <c r="AC2705">
        <f t="shared" si="249"/>
        <v>1000</v>
      </c>
      <c r="AD2705" s="6"/>
    </row>
    <row r="2706" spans="1:30" x14ac:dyDescent="0.2">
      <c r="A2706" t="str">
        <f t="shared" si="250"/>
        <v/>
      </c>
      <c r="X2706" t="str" cm="1">
        <f t="array" ref="X2706">IF(S2706="","",IF($I2706&lt;&gt;"",$I2706,INDEX($I$2:$I2705,ROW()-COUNTIFS($T$2:$T2705,"="&amp;$T2706,$S$2:$S2705,"&lt;&gt;"&amp;$S2706)-1)))</f>
        <v/>
      </c>
      <c r="Y2706" t="b">
        <f>IF(X2706&lt;&gt;"",VLOOKUP(X2706,game_rosters!$C$43:$E$64,3,FALSE))</f>
        <v>0</v>
      </c>
      <c r="Z2706" t="e" cm="1" vm="1">
        <f t="array" aca="1" ref="Z2706" ca="1">IFERROR(IF(_xlfn._xlws.FILTER(game_rosters!$J:$J,(game_rosters!$G:$G=events!$AN2706)*(game_rosters!$J:$J=events!$X2706))&gt;0,1,""),"")</f>
        <v>#VALUE!</v>
      </c>
      <c r="AA2706">
        <f t="shared" si="247"/>
        <v>1000</v>
      </c>
      <c r="AB2706" t="str">
        <f t="shared" si="248"/>
        <v/>
      </c>
      <c r="AC2706">
        <f t="shared" si="249"/>
        <v>1000</v>
      </c>
      <c r="AD2706" s="6"/>
    </row>
    <row r="2707" spans="1:30" x14ac:dyDescent="0.2">
      <c r="A2707" t="str">
        <f t="shared" si="250"/>
        <v/>
      </c>
      <c r="X2707" t="str" cm="1">
        <f t="array" ref="X2707">IF(S2707="","",IF($I2707&lt;&gt;"",$I2707,INDEX($I$2:$I2706,ROW()-COUNTIFS($T$2:$T2706,"="&amp;$T2707,$S$2:$S2706,"&lt;&gt;"&amp;$S2707)-1)))</f>
        <v/>
      </c>
      <c r="Y2707" t="b">
        <f>IF(X2707&lt;&gt;"",VLOOKUP(X2707,game_rosters!$C$43:$E$64,3,FALSE))</f>
        <v>0</v>
      </c>
      <c r="Z2707" t="e" cm="1" vm="1">
        <f t="array" aca="1" ref="Z2707" ca="1">IFERROR(IF(_xlfn._xlws.FILTER(game_rosters!$J:$J,(game_rosters!$G:$G=events!$AN2707)*(game_rosters!$J:$J=events!$X2707))&gt;0,1,""),"")</f>
        <v>#VALUE!</v>
      </c>
      <c r="AA2707">
        <f t="shared" si="247"/>
        <v>1000</v>
      </c>
      <c r="AB2707" t="str">
        <f t="shared" si="248"/>
        <v/>
      </c>
      <c r="AC2707">
        <f t="shared" si="249"/>
        <v>1000</v>
      </c>
      <c r="AD2707" s="6"/>
    </row>
    <row r="2708" spans="1:30" x14ac:dyDescent="0.2">
      <c r="A2708" t="str">
        <f t="shared" si="250"/>
        <v/>
      </c>
      <c r="X2708" t="str" cm="1">
        <f t="array" ref="X2708">IF(S2708="","",IF($I2708&lt;&gt;"",$I2708,INDEX($I$2:$I2707,ROW()-COUNTIFS($T$2:$T2707,"="&amp;$T2708,$S$2:$S2707,"&lt;&gt;"&amp;$S2708)-1)))</f>
        <v/>
      </c>
      <c r="Y2708" t="b">
        <f>IF(X2708&lt;&gt;"",VLOOKUP(X2708,game_rosters!$C$43:$E$64,3,FALSE))</f>
        <v>0</v>
      </c>
      <c r="Z2708" t="e" cm="1" vm="1">
        <f t="array" aca="1" ref="Z2708" ca="1">IFERROR(IF(_xlfn._xlws.FILTER(game_rosters!$J:$J,(game_rosters!$G:$G=events!$AN2708)*(game_rosters!$J:$J=events!$X2708))&gt;0,1,""),"")</f>
        <v>#VALUE!</v>
      </c>
      <c r="AA2708">
        <f t="shared" si="247"/>
        <v>1000</v>
      </c>
      <c r="AB2708" t="str">
        <f t="shared" si="248"/>
        <v/>
      </c>
      <c r="AC2708">
        <f t="shared" si="249"/>
        <v>1000</v>
      </c>
      <c r="AD2708" s="6"/>
    </row>
    <row r="2709" spans="1:30" x14ac:dyDescent="0.2">
      <c r="A2709" t="str">
        <f t="shared" si="250"/>
        <v/>
      </c>
      <c r="X2709" t="str" cm="1">
        <f t="array" ref="X2709">IF(S2709="","",IF($I2709&lt;&gt;"",$I2709,INDEX($I$2:$I2708,ROW()-COUNTIFS($T$2:$T2708,"="&amp;$T2709,$S$2:$S2708,"&lt;&gt;"&amp;$S2709)-1)))</f>
        <v/>
      </c>
      <c r="Y2709" t="b">
        <f>IF(X2709&lt;&gt;"",VLOOKUP(X2709,game_rosters!$C$43:$E$64,3,FALSE))</f>
        <v>0</v>
      </c>
      <c r="Z2709" t="e" cm="1" vm="1">
        <f t="array" aca="1" ref="Z2709" ca="1">IFERROR(IF(_xlfn._xlws.FILTER(game_rosters!$J:$J,(game_rosters!$G:$G=events!$AN2709)*(game_rosters!$J:$J=events!$X2709))&gt;0,1,""),"")</f>
        <v>#VALUE!</v>
      </c>
      <c r="AA2709">
        <f t="shared" si="247"/>
        <v>1000</v>
      </c>
      <c r="AB2709" t="str">
        <f t="shared" si="248"/>
        <v/>
      </c>
      <c r="AC2709">
        <f t="shared" si="249"/>
        <v>1000</v>
      </c>
      <c r="AD2709" s="6"/>
    </row>
    <row r="2710" spans="1:30" x14ac:dyDescent="0.2">
      <c r="A2710" t="str">
        <f t="shared" si="250"/>
        <v/>
      </c>
      <c r="X2710" t="str" cm="1">
        <f t="array" ref="X2710">IF(S2710="","",IF($I2710&lt;&gt;"",$I2710,INDEX($I$2:$I2709,ROW()-COUNTIFS($T$2:$T2709,"="&amp;$T2710,$S$2:$S2709,"&lt;&gt;"&amp;$S2710)-1)))</f>
        <v/>
      </c>
      <c r="Y2710" t="b">
        <f>IF(X2710&lt;&gt;"",VLOOKUP(X2710,game_rosters!$C$43:$E$64,3,FALSE))</f>
        <v>0</v>
      </c>
      <c r="Z2710" t="e" cm="1" vm="1">
        <f t="array" aca="1" ref="Z2710" ca="1">IFERROR(IF(_xlfn._xlws.FILTER(game_rosters!$J:$J,(game_rosters!$G:$G=events!$AN2710)*(game_rosters!$J:$J=events!$X2710))&gt;0,1,""),"")</f>
        <v>#VALUE!</v>
      </c>
      <c r="AA2710">
        <f t="shared" si="247"/>
        <v>1000</v>
      </c>
      <c r="AB2710" t="str">
        <f t="shared" si="248"/>
        <v/>
      </c>
      <c r="AC2710">
        <f t="shared" si="249"/>
        <v>1000</v>
      </c>
      <c r="AD2710" s="6"/>
    </row>
    <row r="2711" spans="1:30" x14ac:dyDescent="0.2">
      <c r="A2711" t="str">
        <f t="shared" si="250"/>
        <v/>
      </c>
      <c r="X2711" t="str" cm="1">
        <f t="array" ref="X2711">IF(S2711="","",IF($I2711&lt;&gt;"",$I2711,INDEX($I$2:$I2710,ROW()-COUNTIFS($T$2:$T2710,"="&amp;$T2711,$S$2:$S2710,"&lt;&gt;"&amp;$S2711)-1)))</f>
        <v/>
      </c>
      <c r="Y2711" t="b">
        <f>IF(X2711&lt;&gt;"",VLOOKUP(X2711,game_rosters!$C$43:$E$64,3,FALSE))</f>
        <v>0</v>
      </c>
      <c r="Z2711" t="e" cm="1" vm="1">
        <f t="array" aca="1" ref="Z2711" ca="1">IFERROR(IF(_xlfn._xlws.FILTER(game_rosters!$J:$J,(game_rosters!$G:$G=events!$AN2711)*(game_rosters!$J:$J=events!$X2711))&gt;0,1,""),"")</f>
        <v>#VALUE!</v>
      </c>
      <c r="AA2711">
        <f t="shared" si="247"/>
        <v>1000</v>
      </c>
      <c r="AB2711" t="str">
        <f t="shared" si="248"/>
        <v/>
      </c>
      <c r="AC2711">
        <f t="shared" si="249"/>
        <v>1000</v>
      </c>
      <c r="AD2711" s="6"/>
    </row>
    <row r="2712" spans="1:30" x14ac:dyDescent="0.2">
      <c r="A2712" t="str">
        <f t="shared" si="250"/>
        <v/>
      </c>
      <c r="X2712" t="str" cm="1">
        <f t="array" ref="X2712">IF(S2712="","",IF($I2712&lt;&gt;"",$I2712,INDEX($I$2:$I2711,ROW()-COUNTIFS($T$2:$T2711,"="&amp;$T2712,$S$2:$S2711,"&lt;&gt;"&amp;$S2712)-1)))</f>
        <v/>
      </c>
      <c r="Y2712" t="b">
        <f>IF(X2712&lt;&gt;"",VLOOKUP(X2712,game_rosters!$C$43:$E$64,3,FALSE))</f>
        <v>0</v>
      </c>
      <c r="Z2712" t="e" cm="1" vm="1">
        <f t="array" aca="1" ref="Z2712" ca="1">IFERROR(IF(_xlfn._xlws.FILTER(game_rosters!$J:$J,(game_rosters!$G:$G=events!$AN2712)*(game_rosters!$J:$J=events!$X2712))&gt;0,1,""),"")</f>
        <v>#VALUE!</v>
      </c>
      <c r="AA2712">
        <f t="shared" si="247"/>
        <v>1000</v>
      </c>
      <c r="AB2712" t="str">
        <f t="shared" si="248"/>
        <v/>
      </c>
      <c r="AC2712">
        <f t="shared" si="249"/>
        <v>1000</v>
      </c>
      <c r="AD2712" s="6"/>
    </row>
    <row r="2713" spans="1:30" x14ac:dyDescent="0.2">
      <c r="A2713" t="str">
        <f t="shared" si="250"/>
        <v/>
      </c>
      <c r="X2713" t="str" cm="1">
        <f t="array" ref="X2713">IF(S2713="","",IF($I2713&lt;&gt;"",$I2713,INDEX($I$2:$I2712,ROW()-COUNTIFS($T$2:$T2712,"="&amp;$T2713,$S$2:$S2712,"&lt;&gt;"&amp;$S2713)-1)))</f>
        <v/>
      </c>
      <c r="Y2713" t="b">
        <f>IF(X2713&lt;&gt;"",VLOOKUP(X2713,game_rosters!$C$43:$E$64,3,FALSE))</f>
        <v>0</v>
      </c>
      <c r="Z2713" t="e" cm="1" vm="1">
        <f t="array" aca="1" ref="Z2713" ca="1">IFERROR(IF(_xlfn._xlws.FILTER(game_rosters!$J:$J,(game_rosters!$G:$G=events!$AN2713)*(game_rosters!$J:$J=events!$X2713))&gt;0,1,""),"")</f>
        <v>#VALUE!</v>
      </c>
      <c r="AA2713">
        <f t="shared" si="247"/>
        <v>1000</v>
      </c>
      <c r="AB2713" t="str">
        <f t="shared" si="248"/>
        <v/>
      </c>
      <c r="AC2713">
        <f t="shared" si="249"/>
        <v>1000</v>
      </c>
      <c r="AD2713" s="6"/>
    </row>
    <row r="2714" spans="1:30" x14ac:dyDescent="0.2">
      <c r="A2714" t="str">
        <f t="shared" si="250"/>
        <v/>
      </c>
      <c r="X2714" t="str" cm="1">
        <f t="array" ref="X2714">IF(S2714="","",IF($I2714&lt;&gt;"",$I2714,INDEX($I$2:$I2713,ROW()-COUNTIFS($T$2:$T2713,"="&amp;$T2714,$S$2:$S2713,"&lt;&gt;"&amp;$S2714)-1)))</f>
        <v/>
      </c>
      <c r="Y2714" t="b">
        <f>IF(X2714&lt;&gt;"",VLOOKUP(X2714,game_rosters!$C$43:$E$64,3,FALSE))</f>
        <v>0</v>
      </c>
      <c r="Z2714" t="e" cm="1" vm="1">
        <f t="array" aca="1" ref="Z2714" ca="1">IFERROR(IF(_xlfn._xlws.FILTER(game_rosters!$J:$J,(game_rosters!$G:$G=events!$AN2714)*(game_rosters!$J:$J=events!$X2714))&gt;0,1,""),"")</f>
        <v>#VALUE!</v>
      </c>
      <c r="AA2714">
        <f t="shared" si="247"/>
        <v>1000</v>
      </c>
      <c r="AB2714" t="str">
        <f t="shared" si="248"/>
        <v/>
      </c>
      <c r="AC2714">
        <f t="shared" si="249"/>
        <v>1000</v>
      </c>
      <c r="AD2714" s="6"/>
    </row>
    <row r="2715" spans="1:30" x14ac:dyDescent="0.2">
      <c r="A2715" t="str">
        <f t="shared" si="250"/>
        <v/>
      </c>
      <c r="X2715" t="str" cm="1">
        <f t="array" ref="X2715">IF(S2715="","",IF($I2715&lt;&gt;"",$I2715,INDEX($I$2:$I2714,ROW()-COUNTIFS($T$2:$T2714,"="&amp;$T2715,$S$2:$S2714,"&lt;&gt;"&amp;$S2715)-1)))</f>
        <v/>
      </c>
      <c r="Y2715" t="b">
        <f>IF(X2715&lt;&gt;"",VLOOKUP(X2715,game_rosters!$C$43:$E$64,3,FALSE))</f>
        <v>0</v>
      </c>
      <c r="Z2715" t="e" cm="1" vm="1">
        <f t="array" aca="1" ref="Z2715" ca="1">IFERROR(IF(_xlfn._xlws.FILTER(game_rosters!$J:$J,(game_rosters!$G:$G=events!$AN2715)*(game_rosters!$J:$J=events!$X2715))&gt;0,1,""),"")</f>
        <v>#VALUE!</v>
      </c>
      <c r="AA2715">
        <f t="shared" si="247"/>
        <v>1000</v>
      </c>
      <c r="AB2715" t="str">
        <f t="shared" si="248"/>
        <v/>
      </c>
      <c r="AC2715">
        <f t="shared" si="249"/>
        <v>1000</v>
      </c>
      <c r="AD2715" s="6"/>
    </row>
    <row r="2716" spans="1:30" x14ac:dyDescent="0.2">
      <c r="A2716" t="str">
        <f t="shared" si="250"/>
        <v/>
      </c>
      <c r="X2716" t="str" cm="1">
        <f t="array" ref="X2716">IF(S2716="","",IF($I2716&lt;&gt;"",$I2716,INDEX($I$2:$I2715,ROW()-COUNTIFS($T$2:$T2715,"="&amp;$T2716,$S$2:$S2715,"&lt;&gt;"&amp;$S2716)-1)))</f>
        <v/>
      </c>
      <c r="Y2716" t="b">
        <f>IF(X2716&lt;&gt;"",VLOOKUP(X2716,game_rosters!$C$43:$E$64,3,FALSE))</f>
        <v>0</v>
      </c>
      <c r="Z2716" t="e" cm="1" vm="1">
        <f t="array" aca="1" ref="Z2716" ca="1">IFERROR(IF(_xlfn._xlws.FILTER(game_rosters!$J:$J,(game_rosters!$G:$G=events!$AN2716)*(game_rosters!$J:$J=events!$X2716))&gt;0,1,""),"")</f>
        <v>#VALUE!</v>
      </c>
      <c r="AA2716">
        <f t="shared" si="247"/>
        <v>1000</v>
      </c>
      <c r="AB2716" t="str">
        <f t="shared" si="248"/>
        <v/>
      </c>
      <c r="AC2716">
        <f t="shared" si="249"/>
        <v>1000</v>
      </c>
      <c r="AD2716" s="6"/>
    </row>
    <row r="2717" spans="1:30" x14ac:dyDescent="0.2">
      <c r="A2717" t="str">
        <f t="shared" si="250"/>
        <v/>
      </c>
      <c r="X2717" t="str" cm="1">
        <f t="array" ref="X2717">IF(S2717="","",IF($I2717&lt;&gt;"",$I2717,INDEX($I$2:$I2716,ROW()-COUNTIFS($T$2:$T2716,"="&amp;$T2717,$S$2:$S2716,"&lt;&gt;"&amp;$S2717)-1)))</f>
        <v/>
      </c>
      <c r="Y2717" t="b">
        <f>IF(X2717&lt;&gt;"",VLOOKUP(X2717,game_rosters!$C$43:$E$64,3,FALSE))</f>
        <v>0</v>
      </c>
      <c r="Z2717" t="e" cm="1" vm="1">
        <f t="array" aca="1" ref="Z2717" ca="1">IFERROR(IF(_xlfn._xlws.FILTER(game_rosters!$J:$J,(game_rosters!$G:$G=events!$AN2717)*(game_rosters!$J:$J=events!$X2717))&gt;0,1,""),"")</f>
        <v>#VALUE!</v>
      </c>
      <c r="AA2717">
        <f t="shared" ref="AA2717:AA2780" si="251">S2717+1000</f>
        <v>1000</v>
      </c>
      <c r="AB2717" t="str">
        <f t="shared" ref="AB2717:AB2780" si="252">IF(T2717&lt;&gt;"",9000+T2717,"")</f>
        <v/>
      </c>
      <c r="AC2717">
        <f t="shared" si="249"/>
        <v>1000</v>
      </c>
      <c r="AD2717" s="6"/>
    </row>
    <row r="2718" spans="1:30" x14ac:dyDescent="0.2">
      <c r="A2718" t="str">
        <f t="shared" si="250"/>
        <v/>
      </c>
      <c r="X2718" t="str" cm="1">
        <f t="array" ref="X2718">IF(S2718="","",IF($I2718&lt;&gt;"",$I2718,INDEX($I$2:$I2717,ROW()-COUNTIFS($T$2:$T2717,"="&amp;$T2718,$S$2:$S2717,"&lt;&gt;"&amp;$S2718)-1)))</f>
        <v/>
      </c>
      <c r="Y2718" t="b">
        <f>IF(X2718&lt;&gt;"",VLOOKUP(X2718,game_rosters!$C$43:$E$64,3,FALSE))</f>
        <v>0</v>
      </c>
      <c r="Z2718" t="e" cm="1" vm="1">
        <f t="array" aca="1" ref="Z2718" ca="1">IFERROR(IF(_xlfn._xlws.FILTER(game_rosters!$J:$J,(game_rosters!$G:$G=events!$AN2718)*(game_rosters!$J:$J=events!$X2718))&gt;0,1,""),"")</f>
        <v>#VALUE!</v>
      </c>
      <c r="AA2718">
        <f t="shared" si="251"/>
        <v>1000</v>
      </c>
      <c r="AB2718" t="str">
        <f t="shared" si="252"/>
        <v/>
      </c>
      <c r="AC2718">
        <f t="shared" si="249"/>
        <v>1000</v>
      </c>
      <c r="AD2718" s="6"/>
    </row>
    <row r="2719" spans="1:30" x14ac:dyDescent="0.2">
      <c r="A2719" t="str">
        <f t="shared" si="250"/>
        <v/>
      </c>
      <c r="X2719" t="str" cm="1">
        <f t="array" ref="X2719">IF(S2719="","",IF($I2719&lt;&gt;"",$I2719,INDEX($I$2:$I2718,ROW()-COUNTIFS($T$2:$T2718,"="&amp;$T2719,$S$2:$S2718,"&lt;&gt;"&amp;$S2719)-1)))</f>
        <v/>
      </c>
      <c r="Y2719" t="b">
        <f>IF(X2719&lt;&gt;"",VLOOKUP(X2719,game_rosters!$C$43:$E$64,3,FALSE))</f>
        <v>0</v>
      </c>
      <c r="Z2719" t="e" cm="1" vm="1">
        <f t="array" aca="1" ref="Z2719" ca="1">IFERROR(IF(_xlfn._xlws.FILTER(game_rosters!$J:$J,(game_rosters!$G:$G=events!$AN2719)*(game_rosters!$J:$J=events!$X2719))&gt;0,1,""),"")</f>
        <v>#VALUE!</v>
      </c>
      <c r="AA2719">
        <f t="shared" si="251"/>
        <v>1000</v>
      </c>
      <c r="AB2719" t="str">
        <f t="shared" si="252"/>
        <v/>
      </c>
      <c r="AC2719">
        <f t="shared" si="249"/>
        <v>1000</v>
      </c>
      <c r="AD2719" s="6"/>
    </row>
    <row r="2720" spans="1:30" x14ac:dyDescent="0.2">
      <c r="A2720" t="str">
        <f t="shared" si="250"/>
        <v/>
      </c>
      <c r="X2720" t="str" cm="1">
        <f t="array" ref="X2720">IF(S2720="","",IF($I2720&lt;&gt;"",$I2720,INDEX($I$2:$I2719,ROW()-COUNTIFS($T$2:$T2719,"="&amp;$T2720,$S$2:$S2719,"&lt;&gt;"&amp;$S2720)-1)))</f>
        <v/>
      </c>
      <c r="Y2720" t="b">
        <f>IF(X2720&lt;&gt;"",VLOOKUP(X2720,game_rosters!$C$43:$E$64,3,FALSE))</f>
        <v>0</v>
      </c>
      <c r="Z2720" t="e" cm="1" vm="1">
        <f t="array" aca="1" ref="Z2720" ca="1">IFERROR(IF(_xlfn._xlws.FILTER(game_rosters!$J:$J,(game_rosters!$G:$G=events!$AN2720)*(game_rosters!$J:$J=events!$X2720))&gt;0,1,""),"")</f>
        <v>#VALUE!</v>
      </c>
      <c r="AA2720">
        <f t="shared" si="251"/>
        <v>1000</v>
      </c>
      <c r="AB2720" t="str">
        <f t="shared" si="252"/>
        <v/>
      </c>
      <c r="AC2720">
        <f t="shared" si="249"/>
        <v>1000</v>
      </c>
      <c r="AD2720" s="6"/>
    </row>
    <row r="2721" spans="1:30" x14ac:dyDescent="0.2">
      <c r="A2721" t="str">
        <f t="shared" si="250"/>
        <v/>
      </c>
      <c r="X2721" t="str" cm="1">
        <f t="array" ref="X2721">IF(S2721="","",IF($I2721&lt;&gt;"",$I2721,INDEX($I$2:$I2720,ROW()-COUNTIFS($T$2:$T2720,"="&amp;$T2721,$S$2:$S2720,"&lt;&gt;"&amp;$S2721)-1)))</f>
        <v/>
      </c>
      <c r="Y2721" t="b">
        <f>IF(X2721&lt;&gt;"",VLOOKUP(X2721,game_rosters!$C$43:$E$64,3,FALSE))</f>
        <v>0</v>
      </c>
      <c r="Z2721" t="e" cm="1" vm="1">
        <f t="array" aca="1" ref="Z2721" ca="1">IFERROR(IF(_xlfn._xlws.FILTER(game_rosters!$J:$J,(game_rosters!$G:$G=events!$AN2721)*(game_rosters!$J:$J=events!$X2721))&gt;0,1,""),"")</f>
        <v>#VALUE!</v>
      </c>
      <c r="AA2721">
        <f t="shared" si="251"/>
        <v>1000</v>
      </c>
      <c r="AB2721" t="str">
        <f t="shared" si="252"/>
        <v/>
      </c>
      <c r="AC2721">
        <f t="shared" si="249"/>
        <v>1000</v>
      </c>
      <c r="AD2721" s="6"/>
    </row>
    <row r="2722" spans="1:30" x14ac:dyDescent="0.2">
      <c r="A2722" t="str">
        <f t="shared" si="250"/>
        <v/>
      </c>
      <c r="X2722" t="str" cm="1">
        <f t="array" ref="X2722">IF(S2722="","",IF($I2722&lt;&gt;"",$I2722,INDEX($I$2:$I2721,ROW()-COUNTIFS($T$2:$T2721,"="&amp;$T2722,$S$2:$S2721,"&lt;&gt;"&amp;$S2722)-1)))</f>
        <v/>
      </c>
      <c r="Y2722" t="b">
        <f>IF(X2722&lt;&gt;"",VLOOKUP(X2722,game_rosters!$C$43:$E$64,3,FALSE))</f>
        <v>0</v>
      </c>
      <c r="Z2722" t="e" cm="1" vm="1">
        <f t="array" aca="1" ref="Z2722" ca="1">IFERROR(IF(_xlfn._xlws.FILTER(game_rosters!$J:$J,(game_rosters!$G:$G=events!$AN2722)*(game_rosters!$J:$J=events!$X2722))&gt;0,1,""),"")</f>
        <v>#VALUE!</v>
      </c>
      <c r="AA2722">
        <f t="shared" si="251"/>
        <v>1000</v>
      </c>
      <c r="AB2722" t="str">
        <f t="shared" si="252"/>
        <v/>
      </c>
      <c r="AC2722">
        <f t="shared" si="249"/>
        <v>1000</v>
      </c>
      <c r="AD2722" s="6"/>
    </row>
    <row r="2723" spans="1:30" x14ac:dyDescent="0.2">
      <c r="A2723" t="str">
        <f t="shared" si="250"/>
        <v/>
      </c>
      <c r="X2723" t="str" cm="1">
        <f t="array" ref="X2723">IF(S2723="","",IF($I2723&lt;&gt;"",$I2723,INDEX($I$2:$I2722,ROW()-COUNTIFS($T$2:$T2722,"="&amp;$T2723,$S$2:$S2722,"&lt;&gt;"&amp;$S2723)-1)))</f>
        <v/>
      </c>
      <c r="Y2723" t="b">
        <f>IF(X2723&lt;&gt;"",VLOOKUP(X2723,game_rosters!$C$43:$E$64,3,FALSE))</f>
        <v>0</v>
      </c>
      <c r="Z2723" t="e" cm="1" vm="1">
        <f t="array" aca="1" ref="Z2723" ca="1">IFERROR(IF(_xlfn._xlws.FILTER(game_rosters!$J:$J,(game_rosters!$G:$G=events!$AN2723)*(game_rosters!$J:$J=events!$X2723))&gt;0,1,""),"")</f>
        <v>#VALUE!</v>
      </c>
      <c r="AA2723">
        <f t="shared" si="251"/>
        <v>1000</v>
      </c>
      <c r="AB2723" t="str">
        <f t="shared" si="252"/>
        <v/>
      </c>
      <c r="AC2723">
        <f t="shared" si="249"/>
        <v>1000</v>
      </c>
      <c r="AD2723" s="6"/>
    </row>
    <row r="2724" spans="1:30" x14ac:dyDescent="0.2">
      <c r="A2724" t="str">
        <f t="shared" si="250"/>
        <v/>
      </c>
      <c r="X2724" t="str" cm="1">
        <f t="array" ref="X2724">IF(S2724="","",IF($I2724&lt;&gt;"",$I2724,INDEX($I$2:$I2723,ROW()-COUNTIFS($T$2:$T2723,"="&amp;$T2724,$S$2:$S2723,"&lt;&gt;"&amp;$S2724)-1)))</f>
        <v/>
      </c>
      <c r="Y2724" t="b">
        <f>IF(X2724&lt;&gt;"",VLOOKUP(X2724,game_rosters!$C$43:$E$64,3,FALSE))</f>
        <v>0</v>
      </c>
      <c r="Z2724" t="e" cm="1" vm="1">
        <f t="array" aca="1" ref="Z2724" ca="1">IFERROR(IF(_xlfn._xlws.FILTER(game_rosters!$J:$J,(game_rosters!$G:$G=events!$AN2724)*(game_rosters!$J:$J=events!$X2724))&gt;0,1,""),"")</f>
        <v>#VALUE!</v>
      </c>
      <c r="AA2724">
        <f t="shared" si="251"/>
        <v>1000</v>
      </c>
      <c r="AB2724" t="str">
        <f t="shared" si="252"/>
        <v/>
      </c>
      <c r="AC2724">
        <f t="shared" si="249"/>
        <v>1000</v>
      </c>
      <c r="AD2724" s="6"/>
    </row>
    <row r="2725" spans="1:30" x14ac:dyDescent="0.2">
      <c r="A2725" t="str">
        <f t="shared" si="250"/>
        <v/>
      </c>
      <c r="X2725" t="str" cm="1">
        <f t="array" ref="X2725">IF(S2725="","",IF($I2725&lt;&gt;"",$I2725,INDEX($I$2:$I2724,ROW()-COUNTIFS($T$2:$T2724,"="&amp;$T2725,$S$2:$S2724,"&lt;&gt;"&amp;$S2725)-1)))</f>
        <v/>
      </c>
      <c r="Y2725" t="b">
        <f>IF(X2725&lt;&gt;"",VLOOKUP(X2725,game_rosters!$C$43:$E$64,3,FALSE))</f>
        <v>0</v>
      </c>
      <c r="Z2725" t="e" cm="1" vm="1">
        <f t="array" aca="1" ref="Z2725" ca="1">IFERROR(IF(_xlfn._xlws.FILTER(game_rosters!$J:$J,(game_rosters!$G:$G=events!$AN2725)*(game_rosters!$J:$J=events!$X2725))&gt;0,1,""),"")</f>
        <v>#VALUE!</v>
      </c>
      <c r="AA2725">
        <f t="shared" si="251"/>
        <v>1000</v>
      </c>
      <c r="AB2725" t="str">
        <f t="shared" si="252"/>
        <v/>
      </c>
      <c r="AC2725">
        <f t="shared" si="249"/>
        <v>1000</v>
      </c>
      <c r="AD2725" s="6"/>
    </row>
    <row r="2726" spans="1:30" x14ac:dyDescent="0.2">
      <c r="A2726" t="str">
        <f t="shared" si="250"/>
        <v/>
      </c>
      <c r="X2726" t="str" cm="1">
        <f t="array" ref="X2726">IF(S2726="","",IF($I2726&lt;&gt;"",$I2726,INDEX($I$2:$I2725,ROW()-COUNTIFS($T$2:$T2725,"="&amp;$T2726,$S$2:$S2725,"&lt;&gt;"&amp;$S2726)-1)))</f>
        <v/>
      </c>
      <c r="Y2726" t="b">
        <f>IF(X2726&lt;&gt;"",VLOOKUP(X2726,game_rosters!$C$43:$E$64,3,FALSE))</f>
        <v>0</v>
      </c>
      <c r="Z2726" t="e" cm="1" vm="1">
        <f t="array" aca="1" ref="Z2726" ca="1">IFERROR(IF(_xlfn._xlws.FILTER(game_rosters!$J:$J,(game_rosters!$G:$G=events!$AN2726)*(game_rosters!$J:$J=events!$X2726))&gt;0,1,""),"")</f>
        <v>#VALUE!</v>
      </c>
      <c r="AA2726">
        <f t="shared" si="251"/>
        <v>1000</v>
      </c>
      <c r="AB2726" t="str">
        <f t="shared" si="252"/>
        <v/>
      </c>
      <c r="AC2726">
        <f t="shared" si="249"/>
        <v>1000</v>
      </c>
      <c r="AD2726" s="6"/>
    </row>
    <row r="2727" spans="1:30" x14ac:dyDescent="0.2">
      <c r="A2727" t="str">
        <f t="shared" si="250"/>
        <v/>
      </c>
      <c r="X2727" t="str" cm="1">
        <f t="array" ref="X2727">IF(S2727="","",IF($I2727&lt;&gt;"",$I2727,INDEX($I$2:$I2726,ROW()-COUNTIFS($T$2:$T2726,"="&amp;$T2727,$S$2:$S2726,"&lt;&gt;"&amp;$S2727)-1)))</f>
        <v/>
      </c>
      <c r="Y2727" t="b">
        <f>IF(X2727&lt;&gt;"",VLOOKUP(X2727,game_rosters!$C$43:$E$64,3,FALSE))</f>
        <v>0</v>
      </c>
      <c r="Z2727" t="e" cm="1" vm="1">
        <f t="array" aca="1" ref="Z2727" ca="1">IFERROR(IF(_xlfn._xlws.FILTER(game_rosters!$J:$J,(game_rosters!$G:$G=events!$AN2727)*(game_rosters!$J:$J=events!$X2727))&gt;0,1,""),"")</f>
        <v>#VALUE!</v>
      </c>
      <c r="AA2727">
        <f t="shared" si="251"/>
        <v>1000</v>
      </c>
      <c r="AB2727" t="str">
        <f t="shared" si="252"/>
        <v/>
      </c>
      <c r="AC2727">
        <f t="shared" si="249"/>
        <v>1000</v>
      </c>
      <c r="AD2727" s="6"/>
    </row>
    <row r="2728" spans="1:30" x14ac:dyDescent="0.2">
      <c r="A2728" t="str">
        <f t="shared" si="250"/>
        <v/>
      </c>
      <c r="X2728" t="str" cm="1">
        <f t="array" ref="X2728">IF(S2728="","",IF($I2728&lt;&gt;"",$I2728,INDEX($I$2:$I2727,ROW()-COUNTIFS($T$2:$T2727,"="&amp;$T2728,$S$2:$S2727,"&lt;&gt;"&amp;$S2728)-1)))</f>
        <v/>
      </c>
      <c r="Y2728" t="b">
        <f>IF(X2728&lt;&gt;"",VLOOKUP(X2728,game_rosters!$C$43:$E$64,3,FALSE))</f>
        <v>0</v>
      </c>
      <c r="Z2728" t="e" cm="1" vm="1">
        <f t="array" aca="1" ref="Z2728" ca="1">IFERROR(IF(_xlfn._xlws.FILTER(game_rosters!$J:$J,(game_rosters!$G:$G=events!$AN2728)*(game_rosters!$J:$J=events!$X2728))&gt;0,1,""),"")</f>
        <v>#VALUE!</v>
      </c>
      <c r="AA2728">
        <f t="shared" si="251"/>
        <v>1000</v>
      </c>
      <c r="AB2728" t="str">
        <f t="shared" si="252"/>
        <v/>
      </c>
      <c r="AC2728">
        <f t="shared" si="249"/>
        <v>1000</v>
      </c>
      <c r="AD2728" s="6"/>
    </row>
    <row r="2729" spans="1:30" x14ac:dyDescent="0.2">
      <c r="A2729" t="str">
        <f t="shared" si="250"/>
        <v/>
      </c>
      <c r="X2729" t="str" cm="1">
        <f t="array" ref="X2729">IF(S2729="","",IF($I2729&lt;&gt;"",$I2729,INDEX($I$2:$I2728,ROW()-COUNTIFS($T$2:$T2728,"="&amp;$T2729,$S$2:$S2728,"&lt;&gt;"&amp;$S2729)-1)))</f>
        <v/>
      </c>
      <c r="Y2729" t="b">
        <f>IF(X2729&lt;&gt;"",VLOOKUP(X2729,game_rosters!$C$43:$E$64,3,FALSE))</f>
        <v>0</v>
      </c>
      <c r="Z2729" t="e" cm="1" vm="1">
        <f t="array" aca="1" ref="Z2729" ca="1">IFERROR(IF(_xlfn._xlws.FILTER(game_rosters!$J:$J,(game_rosters!$G:$G=events!$AN2729)*(game_rosters!$J:$J=events!$X2729))&gt;0,1,""),"")</f>
        <v>#VALUE!</v>
      </c>
      <c r="AA2729">
        <f t="shared" si="251"/>
        <v>1000</v>
      </c>
      <c r="AB2729" t="str">
        <f t="shared" si="252"/>
        <v/>
      </c>
      <c r="AC2729">
        <f t="shared" si="249"/>
        <v>1000</v>
      </c>
      <c r="AD2729" s="6"/>
    </row>
    <row r="2730" spans="1:30" x14ac:dyDescent="0.2">
      <c r="A2730" t="str">
        <f t="shared" si="250"/>
        <v/>
      </c>
      <c r="X2730" t="str" cm="1">
        <f t="array" ref="X2730">IF(S2730="","",IF($I2730&lt;&gt;"",$I2730,INDEX($I$2:$I2729,ROW()-COUNTIFS($T$2:$T2729,"="&amp;$T2730,$S$2:$S2729,"&lt;&gt;"&amp;$S2730)-1)))</f>
        <v/>
      </c>
      <c r="Y2730" t="b">
        <f>IF(X2730&lt;&gt;"",VLOOKUP(X2730,game_rosters!$C$43:$E$64,3,FALSE))</f>
        <v>0</v>
      </c>
      <c r="Z2730" t="e" cm="1" vm="1">
        <f t="array" aca="1" ref="Z2730" ca="1">IFERROR(IF(_xlfn._xlws.FILTER(game_rosters!$J:$J,(game_rosters!$G:$G=events!$AN2730)*(game_rosters!$J:$J=events!$X2730))&gt;0,1,""),"")</f>
        <v>#VALUE!</v>
      </c>
      <c r="AA2730">
        <f t="shared" si="251"/>
        <v>1000</v>
      </c>
      <c r="AB2730" t="str">
        <f t="shared" si="252"/>
        <v/>
      </c>
      <c r="AC2730">
        <f t="shared" si="249"/>
        <v>1000</v>
      </c>
      <c r="AD2730" s="6"/>
    </row>
    <row r="2731" spans="1:30" x14ac:dyDescent="0.2">
      <c r="A2731" t="str">
        <f t="shared" si="250"/>
        <v/>
      </c>
      <c r="X2731" t="str" cm="1">
        <f t="array" ref="X2731">IF(S2731="","",IF($I2731&lt;&gt;"",$I2731,INDEX($I$2:$I2730,ROW()-COUNTIFS($T$2:$T2730,"="&amp;$T2731,$S$2:$S2730,"&lt;&gt;"&amp;$S2731)-1)))</f>
        <v/>
      </c>
      <c r="Y2731" t="b">
        <f>IF(X2731&lt;&gt;"",VLOOKUP(X2731,game_rosters!$C$43:$E$64,3,FALSE))</f>
        <v>0</v>
      </c>
      <c r="Z2731" t="e" cm="1" vm="1">
        <f t="array" aca="1" ref="Z2731" ca="1">IFERROR(IF(_xlfn._xlws.FILTER(game_rosters!$J:$J,(game_rosters!$G:$G=events!$AN2731)*(game_rosters!$J:$J=events!$X2731))&gt;0,1,""),"")</f>
        <v>#VALUE!</v>
      </c>
      <c r="AA2731">
        <f t="shared" si="251"/>
        <v>1000</v>
      </c>
      <c r="AB2731" t="str">
        <f t="shared" si="252"/>
        <v/>
      </c>
      <c r="AC2731">
        <f t="shared" si="249"/>
        <v>1000</v>
      </c>
      <c r="AD2731" s="6"/>
    </row>
    <row r="2732" spans="1:30" x14ac:dyDescent="0.2">
      <c r="A2732" t="str">
        <f t="shared" si="250"/>
        <v/>
      </c>
      <c r="X2732" t="str" cm="1">
        <f t="array" ref="X2732">IF(S2732="","",IF($I2732&lt;&gt;"",$I2732,INDEX($I$2:$I2731,ROW()-COUNTIFS($T$2:$T2731,"="&amp;$T2732,$S$2:$S2731,"&lt;&gt;"&amp;$S2732)-1)))</f>
        <v/>
      </c>
      <c r="Y2732" t="b">
        <f>IF(X2732&lt;&gt;"",VLOOKUP(X2732,game_rosters!$C$43:$E$64,3,FALSE))</f>
        <v>0</v>
      </c>
      <c r="Z2732" t="e" cm="1" vm="1">
        <f t="array" aca="1" ref="Z2732" ca="1">IFERROR(IF(_xlfn._xlws.FILTER(game_rosters!$J:$J,(game_rosters!$G:$G=events!$AN2732)*(game_rosters!$J:$J=events!$X2732))&gt;0,1,""),"")</f>
        <v>#VALUE!</v>
      </c>
      <c r="AA2732">
        <f t="shared" si="251"/>
        <v>1000</v>
      </c>
      <c r="AB2732" t="str">
        <f t="shared" si="252"/>
        <v/>
      </c>
      <c r="AC2732">
        <f t="shared" si="249"/>
        <v>1000</v>
      </c>
      <c r="AD2732" s="6"/>
    </row>
    <row r="2733" spans="1:30" x14ac:dyDescent="0.2">
      <c r="A2733" t="str">
        <f t="shared" si="250"/>
        <v/>
      </c>
      <c r="X2733" t="str" cm="1">
        <f t="array" ref="X2733">IF(S2733="","",IF($I2733&lt;&gt;"",$I2733,INDEX($I$2:$I2732,ROW()-COUNTIFS($T$2:$T2732,"="&amp;$T2733,$S$2:$S2732,"&lt;&gt;"&amp;$S2733)-1)))</f>
        <v/>
      </c>
      <c r="Y2733" t="b">
        <f>IF(X2733&lt;&gt;"",VLOOKUP(X2733,game_rosters!$C$43:$E$64,3,FALSE))</f>
        <v>0</v>
      </c>
      <c r="Z2733" t="e" cm="1" vm="1">
        <f t="array" aca="1" ref="Z2733" ca="1">IFERROR(IF(_xlfn._xlws.FILTER(game_rosters!$J:$J,(game_rosters!$G:$G=events!$AN2733)*(game_rosters!$J:$J=events!$X2733))&gt;0,1,""),"")</f>
        <v>#VALUE!</v>
      </c>
      <c r="AA2733">
        <f t="shared" si="251"/>
        <v>1000</v>
      </c>
      <c r="AB2733" t="str">
        <f t="shared" si="252"/>
        <v/>
      </c>
      <c r="AC2733">
        <f t="shared" si="249"/>
        <v>1000</v>
      </c>
      <c r="AD2733" s="6"/>
    </row>
    <row r="2734" spans="1:30" x14ac:dyDescent="0.2">
      <c r="A2734" t="str">
        <f t="shared" si="250"/>
        <v/>
      </c>
      <c r="X2734" t="str" cm="1">
        <f t="array" ref="X2734">IF(S2734="","",IF($I2734&lt;&gt;"",$I2734,INDEX($I$2:$I2733,ROW()-COUNTIFS($T$2:$T2733,"="&amp;$T2734,$S$2:$S2733,"&lt;&gt;"&amp;$S2734)-1)))</f>
        <v/>
      </c>
      <c r="Y2734" t="b">
        <f>IF(X2734&lt;&gt;"",VLOOKUP(X2734,game_rosters!$C$43:$E$64,3,FALSE))</f>
        <v>0</v>
      </c>
      <c r="Z2734" t="e" cm="1" vm="1">
        <f t="array" aca="1" ref="Z2734" ca="1">IFERROR(IF(_xlfn._xlws.FILTER(game_rosters!$J:$J,(game_rosters!$G:$G=events!$AN2734)*(game_rosters!$J:$J=events!$X2734))&gt;0,1,""),"")</f>
        <v>#VALUE!</v>
      </c>
      <c r="AA2734">
        <f t="shared" si="251"/>
        <v>1000</v>
      </c>
      <c r="AB2734" t="str">
        <f t="shared" si="252"/>
        <v/>
      </c>
      <c r="AC2734">
        <f t="shared" si="249"/>
        <v>1000</v>
      </c>
      <c r="AD2734" s="6"/>
    </row>
    <row r="2735" spans="1:30" x14ac:dyDescent="0.2">
      <c r="A2735" t="str">
        <f t="shared" si="250"/>
        <v/>
      </c>
      <c r="X2735" t="str" cm="1">
        <f t="array" ref="X2735">IF(S2735="","",IF($I2735&lt;&gt;"",$I2735,INDEX($I$2:$I2734,ROW()-COUNTIFS($T$2:$T2734,"="&amp;$T2735,$S$2:$S2734,"&lt;&gt;"&amp;$S2735)-1)))</f>
        <v/>
      </c>
      <c r="Y2735" t="b">
        <f>IF(X2735&lt;&gt;"",VLOOKUP(X2735,game_rosters!$C$43:$E$64,3,FALSE))</f>
        <v>0</v>
      </c>
      <c r="Z2735" t="e" cm="1" vm="1">
        <f t="array" aca="1" ref="Z2735" ca="1">IFERROR(IF(_xlfn._xlws.FILTER(game_rosters!$J:$J,(game_rosters!$G:$G=events!$AN2735)*(game_rosters!$J:$J=events!$X2735))&gt;0,1,""),"")</f>
        <v>#VALUE!</v>
      </c>
      <c r="AA2735">
        <f t="shared" si="251"/>
        <v>1000</v>
      </c>
      <c r="AB2735" t="str">
        <f t="shared" si="252"/>
        <v/>
      </c>
      <c r="AC2735">
        <f t="shared" si="249"/>
        <v>1000</v>
      </c>
      <c r="AD2735" s="6"/>
    </row>
    <row r="2736" spans="1:30" x14ac:dyDescent="0.2">
      <c r="A2736" t="str">
        <f t="shared" si="250"/>
        <v/>
      </c>
      <c r="X2736" t="str" cm="1">
        <f t="array" ref="X2736">IF(S2736="","",IF($I2736&lt;&gt;"",$I2736,INDEX($I$2:$I2735,ROW()-COUNTIFS($T$2:$T2735,"="&amp;$T2736,$S$2:$S2735,"&lt;&gt;"&amp;$S2736)-1)))</f>
        <v/>
      </c>
      <c r="Y2736" t="b">
        <f>IF(X2736&lt;&gt;"",VLOOKUP(X2736,game_rosters!$C$43:$E$64,3,FALSE))</f>
        <v>0</v>
      </c>
      <c r="Z2736" t="e" cm="1" vm="1">
        <f t="array" aca="1" ref="Z2736" ca="1">IFERROR(IF(_xlfn._xlws.FILTER(game_rosters!$J:$J,(game_rosters!$G:$G=events!$AN2736)*(game_rosters!$J:$J=events!$X2736))&gt;0,1,""),"")</f>
        <v>#VALUE!</v>
      </c>
      <c r="AA2736">
        <f t="shared" si="251"/>
        <v>1000</v>
      </c>
      <c r="AB2736" t="str">
        <f t="shared" si="252"/>
        <v/>
      </c>
      <c r="AC2736">
        <f t="shared" si="249"/>
        <v>1000</v>
      </c>
      <c r="AD2736" s="6"/>
    </row>
    <row r="2737" spans="1:30" x14ac:dyDescent="0.2">
      <c r="A2737" t="str">
        <f t="shared" si="250"/>
        <v/>
      </c>
      <c r="X2737" t="str" cm="1">
        <f t="array" ref="X2737">IF(S2737="","",IF($I2737&lt;&gt;"",$I2737,INDEX($I$2:$I2736,ROW()-COUNTIFS($T$2:$T2736,"="&amp;$T2737,$S$2:$S2736,"&lt;&gt;"&amp;$S2737)-1)))</f>
        <v/>
      </c>
      <c r="Y2737" t="b">
        <f>IF(X2737&lt;&gt;"",VLOOKUP(X2737,game_rosters!$C$43:$E$64,3,FALSE))</f>
        <v>0</v>
      </c>
      <c r="Z2737" t="e" cm="1" vm="1">
        <f t="array" aca="1" ref="Z2737" ca="1">IFERROR(IF(_xlfn._xlws.FILTER(game_rosters!$J:$J,(game_rosters!$G:$G=events!$AN2737)*(game_rosters!$J:$J=events!$X2737))&gt;0,1,""),"")</f>
        <v>#VALUE!</v>
      </c>
      <c r="AA2737">
        <f t="shared" si="251"/>
        <v>1000</v>
      </c>
      <c r="AB2737" t="str">
        <f t="shared" si="252"/>
        <v/>
      </c>
      <c r="AC2737">
        <f t="shared" si="249"/>
        <v>1000</v>
      </c>
      <c r="AD2737" s="6"/>
    </row>
    <row r="2738" spans="1:30" x14ac:dyDescent="0.2">
      <c r="A2738" t="str">
        <f t="shared" si="250"/>
        <v/>
      </c>
      <c r="X2738" t="str" cm="1">
        <f t="array" ref="X2738">IF(S2738="","",IF($I2738&lt;&gt;"",$I2738,INDEX($I$2:$I2737,ROW()-COUNTIFS($T$2:$T2737,"="&amp;$T2738,$S$2:$S2737,"&lt;&gt;"&amp;$S2738)-1)))</f>
        <v/>
      </c>
      <c r="Y2738" t="b">
        <f>IF(X2738&lt;&gt;"",VLOOKUP(X2738,game_rosters!$C$43:$E$64,3,FALSE))</f>
        <v>0</v>
      </c>
      <c r="Z2738" t="e" cm="1" vm="1">
        <f t="array" aca="1" ref="Z2738" ca="1">IFERROR(IF(_xlfn._xlws.FILTER(game_rosters!$J:$J,(game_rosters!$G:$G=events!$AN2738)*(game_rosters!$J:$J=events!$X2738))&gt;0,1,""),"")</f>
        <v>#VALUE!</v>
      </c>
      <c r="AA2738">
        <f t="shared" si="251"/>
        <v>1000</v>
      </c>
      <c r="AB2738" t="str">
        <f t="shared" si="252"/>
        <v/>
      </c>
      <c r="AC2738">
        <f t="shared" si="249"/>
        <v>1000</v>
      </c>
      <c r="AD2738" s="6"/>
    </row>
    <row r="2739" spans="1:30" x14ac:dyDescent="0.2">
      <c r="A2739" t="str">
        <f t="shared" si="250"/>
        <v/>
      </c>
      <c r="X2739" t="str" cm="1">
        <f t="array" ref="X2739">IF(S2739="","",IF($I2739&lt;&gt;"",$I2739,INDEX($I$2:$I2738,ROW()-COUNTIFS($T$2:$T2738,"="&amp;$T2739,$S$2:$S2738,"&lt;&gt;"&amp;$S2739)-1)))</f>
        <v/>
      </c>
      <c r="Y2739" t="b">
        <f>IF(X2739&lt;&gt;"",VLOOKUP(X2739,game_rosters!$C$43:$E$64,3,FALSE))</f>
        <v>0</v>
      </c>
      <c r="Z2739" t="e" cm="1" vm="1">
        <f t="array" aca="1" ref="Z2739" ca="1">IFERROR(IF(_xlfn._xlws.FILTER(game_rosters!$J:$J,(game_rosters!$G:$G=events!$AN2739)*(game_rosters!$J:$J=events!$X2739))&gt;0,1,""),"")</f>
        <v>#VALUE!</v>
      </c>
      <c r="AA2739">
        <f t="shared" si="251"/>
        <v>1000</v>
      </c>
      <c r="AB2739" t="str">
        <f t="shared" si="252"/>
        <v/>
      </c>
      <c r="AC2739">
        <f t="shared" si="249"/>
        <v>1000</v>
      </c>
      <c r="AD2739" s="6"/>
    </row>
    <row r="2740" spans="1:30" x14ac:dyDescent="0.2">
      <c r="A2740" t="str">
        <f t="shared" si="250"/>
        <v/>
      </c>
      <c r="X2740" t="str" cm="1">
        <f t="array" ref="X2740">IF(S2740="","",IF($I2740&lt;&gt;"",$I2740,INDEX($I$2:$I2739,ROW()-COUNTIFS($T$2:$T2739,"="&amp;$T2740,$S$2:$S2739,"&lt;&gt;"&amp;$S2740)-1)))</f>
        <v/>
      </c>
      <c r="Y2740" t="b">
        <f>IF(X2740&lt;&gt;"",VLOOKUP(X2740,game_rosters!$C$43:$E$64,3,FALSE))</f>
        <v>0</v>
      </c>
      <c r="Z2740" t="e" cm="1" vm="1">
        <f t="array" aca="1" ref="Z2740" ca="1">IFERROR(IF(_xlfn._xlws.FILTER(game_rosters!$J:$J,(game_rosters!$G:$G=events!$AN2740)*(game_rosters!$J:$J=events!$X2740))&gt;0,1,""),"")</f>
        <v>#VALUE!</v>
      </c>
      <c r="AA2740">
        <f t="shared" si="251"/>
        <v>1000</v>
      </c>
      <c r="AB2740" t="str">
        <f t="shared" si="252"/>
        <v/>
      </c>
      <c r="AC2740">
        <f t="shared" si="249"/>
        <v>1000</v>
      </c>
      <c r="AD2740" s="6"/>
    </row>
    <row r="2741" spans="1:30" x14ac:dyDescent="0.2">
      <c r="A2741" t="str">
        <f t="shared" si="250"/>
        <v/>
      </c>
      <c r="X2741" t="str" cm="1">
        <f t="array" ref="X2741">IF(S2741="","",IF($I2741&lt;&gt;"",$I2741,INDEX($I$2:$I2740,ROW()-COUNTIFS($T$2:$T2740,"="&amp;$T2741,$S$2:$S2740,"&lt;&gt;"&amp;$S2741)-1)))</f>
        <v/>
      </c>
      <c r="Y2741" t="b">
        <f>IF(X2741&lt;&gt;"",VLOOKUP(X2741,game_rosters!$C$43:$E$64,3,FALSE))</f>
        <v>0</v>
      </c>
      <c r="Z2741" t="e" cm="1" vm="1">
        <f t="array" aca="1" ref="Z2741" ca="1">IFERROR(IF(_xlfn._xlws.FILTER(game_rosters!$J:$J,(game_rosters!$G:$G=events!$AN2741)*(game_rosters!$J:$J=events!$X2741))&gt;0,1,""),"")</f>
        <v>#VALUE!</v>
      </c>
      <c r="AA2741">
        <f t="shared" si="251"/>
        <v>1000</v>
      </c>
      <c r="AB2741" t="str">
        <f t="shared" si="252"/>
        <v/>
      </c>
      <c r="AC2741">
        <f t="shared" si="249"/>
        <v>1000</v>
      </c>
      <c r="AD2741" s="6"/>
    </row>
    <row r="2742" spans="1:30" x14ac:dyDescent="0.2">
      <c r="A2742" t="str">
        <f t="shared" si="250"/>
        <v/>
      </c>
      <c r="X2742" t="str" cm="1">
        <f t="array" ref="X2742">IF(S2742="","",IF($I2742&lt;&gt;"",$I2742,INDEX($I$2:$I2741,ROW()-COUNTIFS($T$2:$T2741,"="&amp;$T2742,$S$2:$S2741,"&lt;&gt;"&amp;$S2742)-1)))</f>
        <v/>
      </c>
      <c r="Y2742" t="b">
        <f>IF(X2742&lt;&gt;"",VLOOKUP(X2742,game_rosters!$C$43:$E$64,3,FALSE))</f>
        <v>0</v>
      </c>
      <c r="Z2742" t="e" cm="1" vm="1">
        <f t="array" aca="1" ref="Z2742" ca="1">IFERROR(IF(_xlfn._xlws.FILTER(game_rosters!$J:$J,(game_rosters!$G:$G=events!$AN2742)*(game_rosters!$J:$J=events!$X2742))&gt;0,1,""),"")</f>
        <v>#VALUE!</v>
      </c>
      <c r="AA2742">
        <f t="shared" si="251"/>
        <v>1000</v>
      </c>
      <c r="AB2742" t="str">
        <f t="shared" si="252"/>
        <v/>
      </c>
      <c r="AC2742">
        <f t="shared" si="249"/>
        <v>1000</v>
      </c>
      <c r="AD2742" s="6"/>
    </row>
    <row r="2743" spans="1:30" x14ac:dyDescent="0.2">
      <c r="A2743" t="str">
        <f t="shared" si="250"/>
        <v/>
      </c>
      <c r="X2743" t="str" cm="1">
        <f t="array" ref="X2743">IF(S2743="","",IF($I2743&lt;&gt;"",$I2743,INDEX($I$2:$I2742,ROW()-COUNTIFS($T$2:$T2742,"="&amp;$T2743,$S$2:$S2742,"&lt;&gt;"&amp;$S2743)-1)))</f>
        <v/>
      </c>
      <c r="Y2743" t="b">
        <f>IF(X2743&lt;&gt;"",VLOOKUP(X2743,game_rosters!$C$43:$E$64,3,FALSE))</f>
        <v>0</v>
      </c>
      <c r="Z2743" t="e" cm="1" vm="1">
        <f t="array" aca="1" ref="Z2743" ca="1">IFERROR(IF(_xlfn._xlws.FILTER(game_rosters!$J:$J,(game_rosters!$G:$G=events!$AN2743)*(game_rosters!$J:$J=events!$X2743))&gt;0,1,""),"")</f>
        <v>#VALUE!</v>
      </c>
      <c r="AA2743">
        <f t="shared" si="251"/>
        <v>1000</v>
      </c>
      <c r="AB2743" t="str">
        <f t="shared" si="252"/>
        <v/>
      </c>
      <c r="AC2743">
        <f t="shared" si="249"/>
        <v>1000</v>
      </c>
      <c r="AD2743" s="6"/>
    </row>
    <row r="2744" spans="1:30" x14ac:dyDescent="0.2">
      <c r="A2744" t="str">
        <f t="shared" si="250"/>
        <v/>
      </c>
      <c r="X2744" t="str" cm="1">
        <f t="array" ref="X2744">IF(S2744="","",IF($I2744&lt;&gt;"",$I2744,INDEX($I$2:$I2743,ROW()-COUNTIFS($T$2:$T2743,"="&amp;$T2744,$S$2:$S2743,"&lt;&gt;"&amp;$S2744)-1)))</f>
        <v/>
      </c>
      <c r="Y2744" t="b">
        <f>IF(X2744&lt;&gt;"",VLOOKUP(X2744,game_rosters!$C$43:$E$64,3,FALSE))</f>
        <v>0</v>
      </c>
      <c r="Z2744" t="e" cm="1" vm="1">
        <f t="array" aca="1" ref="Z2744" ca="1">IFERROR(IF(_xlfn._xlws.FILTER(game_rosters!$J:$J,(game_rosters!$G:$G=events!$AN2744)*(game_rosters!$J:$J=events!$X2744))&gt;0,1,""),"")</f>
        <v>#VALUE!</v>
      </c>
      <c r="AA2744">
        <f t="shared" si="251"/>
        <v>1000</v>
      </c>
      <c r="AB2744" t="str">
        <f t="shared" si="252"/>
        <v/>
      </c>
      <c r="AC2744">
        <f t="shared" si="249"/>
        <v>1000</v>
      </c>
      <c r="AD2744" s="6"/>
    </row>
    <row r="2745" spans="1:30" x14ac:dyDescent="0.2">
      <c r="A2745" t="str">
        <f t="shared" si="250"/>
        <v/>
      </c>
      <c r="X2745" t="str" cm="1">
        <f t="array" ref="X2745">IF(S2745="","",IF($I2745&lt;&gt;"",$I2745,INDEX($I$2:$I2744,ROW()-COUNTIFS($T$2:$T2744,"="&amp;$T2745,$S$2:$S2744,"&lt;&gt;"&amp;$S2745)-1)))</f>
        <v/>
      </c>
      <c r="Y2745" t="b">
        <f>IF(X2745&lt;&gt;"",VLOOKUP(X2745,game_rosters!$C$43:$E$64,3,FALSE))</f>
        <v>0</v>
      </c>
      <c r="Z2745" t="e" cm="1" vm="1">
        <f t="array" aca="1" ref="Z2745" ca="1">IFERROR(IF(_xlfn._xlws.FILTER(game_rosters!$J:$J,(game_rosters!$G:$G=events!$AN2745)*(game_rosters!$J:$J=events!$X2745))&gt;0,1,""),"")</f>
        <v>#VALUE!</v>
      </c>
      <c r="AA2745">
        <f t="shared" si="251"/>
        <v>1000</v>
      </c>
      <c r="AB2745" t="str">
        <f t="shared" si="252"/>
        <v/>
      </c>
      <c r="AC2745">
        <f t="shared" si="249"/>
        <v>1000</v>
      </c>
      <c r="AD2745" s="6"/>
    </row>
    <row r="2746" spans="1:30" x14ac:dyDescent="0.2">
      <c r="A2746" t="str">
        <f t="shared" si="250"/>
        <v/>
      </c>
      <c r="X2746" t="str" cm="1">
        <f t="array" ref="X2746">IF(S2746="","",IF($I2746&lt;&gt;"",$I2746,INDEX($I$2:$I2745,ROW()-COUNTIFS($T$2:$T2745,"="&amp;$T2746,$S$2:$S2745,"&lt;&gt;"&amp;$S2746)-1)))</f>
        <v/>
      </c>
      <c r="Y2746" t="b">
        <f>IF(X2746&lt;&gt;"",VLOOKUP(X2746,game_rosters!$C$43:$E$64,3,FALSE))</f>
        <v>0</v>
      </c>
      <c r="Z2746" t="e" cm="1" vm="1">
        <f t="array" aca="1" ref="Z2746" ca="1">IFERROR(IF(_xlfn._xlws.FILTER(game_rosters!$J:$J,(game_rosters!$G:$G=events!$AN2746)*(game_rosters!$J:$J=events!$X2746))&gt;0,1,""),"")</f>
        <v>#VALUE!</v>
      </c>
      <c r="AA2746">
        <f t="shared" si="251"/>
        <v>1000</v>
      </c>
      <c r="AB2746" t="str">
        <f t="shared" si="252"/>
        <v/>
      </c>
      <c r="AC2746">
        <f t="shared" si="249"/>
        <v>1000</v>
      </c>
      <c r="AD2746" s="6"/>
    </row>
    <row r="2747" spans="1:30" x14ac:dyDescent="0.2">
      <c r="A2747" t="str">
        <f t="shared" si="250"/>
        <v/>
      </c>
      <c r="X2747" t="str" cm="1">
        <f t="array" ref="X2747">IF(S2747="","",IF($I2747&lt;&gt;"",$I2747,INDEX($I$2:$I2746,ROW()-COUNTIFS($T$2:$T2746,"="&amp;$T2747,$S$2:$S2746,"&lt;&gt;"&amp;$S2747)-1)))</f>
        <v/>
      </c>
      <c r="Y2747" t="b">
        <f>IF(X2747&lt;&gt;"",VLOOKUP(X2747,game_rosters!$C$43:$E$64,3,FALSE))</f>
        <v>0</v>
      </c>
      <c r="Z2747" t="e" cm="1" vm="1">
        <f t="array" aca="1" ref="Z2747" ca="1">IFERROR(IF(_xlfn._xlws.FILTER(game_rosters!$J:$J,(game_rosters!$G:$G=events!$AN2747)*(game_rosters!$J:$J=events!$X2747))&gt;0,1,""),"")</f>
        <v>#VALUE!</v>
      </c>
      <c r="AA2747">
        <f t="shared" si="251"/>
        <v>1000</v>
      </c>
      <c r="AB2747" t="str">
        <f t="shared" si="252"/>
        <v/>
      </c>
      <c r="AC2747">
        <f t="shared" si="249"/>
        <v>1000</v>
      </c>
      <c r="AD2747" s="6"/>
    </row>
    <row r="2748" spans="1:30" x14ac:dyDescent="0.2">
      <c r="A2748" t="str">
        <f t="shared" si="250"/>
        <v/>
      </c>
      <c r="X2748" t="str" cm="1">
        <f t="array" ref="X2748">IF(S2748="","",IF($I2748&lt;&gt;"",$I2748,INDEX($I$2:$I2747,ROW()-COUNTIFS($T$2:$T2747,"="&amp;$T2748,$S$2:$S2747,"&lt;&gt;"&amp;$S2748)-1)))</f>
        <v/>
      </c>
      <c r="Y2748" t="b">
        <f>IF(X2748&lt;&gt;"",VLOOKUP(X2748,game_rosters!$C$43:$E$64,3,FALSE))</f>
        <v>0</v>
      </c>
      <c r="Z2748" t="e" cm="1" vm="1">
        <f t="array" aca="1" ref="Z2748" ca="1">IFERROR(IF(_xlfn._xlws.FILTER(game_rosters!$J:$J,(game_rosters!$G:$G=events!$AN2748)*(game_rosters!$J:$J=events!$X2748))&gt;0,1,""),"")</f>
        <v>#VALUE!</v>
      </c>
      <c r="AA2748">
        <f t="shared" si="251"/>
        <v>1000</v>
      </c>
      <c r="AB2748" t="str">
        <f t="shared" si="252"/>
        <v/>
      </c>
      <c r="AC2748">
        <f t="shared" si="249"/>
        <v>1000</v>
      </c>
      <c r="AD2748" s="6"/>
    </row>
    <row r="2749" spans="1:30" x14ac:dyDescent="0.2">
      <c r="A2749" t="str">
        <f t="shared" si="250"/>
        <v/>
      </c>
      <c r="X2749" t="str" cm="1">
        <f t="array" ref="X2749">IF(S2749="","",IF($I2749&lt;&gt;"",$I2749,INDEX($I$2:$I2748,ROW()-COUNTIFS($T$2:$T2748,"="&amp;$T2749,$S$2:$S2748,"&lt;&gt;"&amp;$S2749)-1)))</f>
        <v/>
      </c>
      <c r="Y2749" t="b">
        <f>IF(X2749&lt;&gt;"",VLOOKUP(X2749,game_rosters!$C$43:$E$64,3,FALSE))</f>
        <v>0</v>
      </c>
      <c r="Z2749" t="e" cm="1" vm="1">
        <f t="array" aca="1" ref="Z2749" ca="1">IFERROR(IF(_xlfn._xlws.FILTER(game_rosters!$J:$J,(game_rosters!$G:$G=events!$AN2749)*(game_rosters!$J:$J=events!$X2749))&gt;0,1,""),"")</f>
        <v>#VALUE!</v>
      </c>
      <c r="AA2749">
        <f t="shared" si="251"/>
        <v>1000</v>
      </c>
      <c r="AB2749" t="str">
        <f t="shared" si="252"/>
        <v/>
      </c>
      <c r="AC2749">
        <f t="shared" si="249"/>
        <v>1000</v>
      </c>
      <c r="AD2749" s="6"/>
    </row>
    <row r="2750" spans="1:30" x14ac:dyDescent="0.2">
      <c r="A2750" t="str">
        <f t="shared" si="250"/>
        <v/>
      </c>
      <c r="X2750" t="str" cm="1">
        <f t="array" ref="X2750">IF(S2750="","",IF($I2750&lt;&gt;"",$I2750,INDEX($I$2:$I2749,ROW()-COUNTIFS($T$2:$T2749,"="&amp;$T2750,$S$2:$S2749,"&lt;&gt;"&amp;$S2750)-1)))</f>
        <v/>
      </c>
      <c r="Y2750" t="b">
        <f>IF(X2750&lt;&gt;"",VLOOKUP(X2750,game_rosters!$C$43:$E$64,3,FALSE))</f>
        <v>0</v>
      </c>
      <c r="Z2750" t="e" cm="1" vm="1">
        <f t="array" aca="1" ref="Z2750" ca="1">IFERROR(IF(_xlfn._xlws.FILTER(game_rosters!$J:$J,(game_rosters!$G:$G=events!$AN2750)*(game_rosters!$J:$J=events!$X2750))&gt;0,1,""),"")</f>
        <v>#VALUE!</v>
      </c>
      <c r="AA2750">
        <f t="shared" si="251"/>
        <v>1000</v>
      </c>
      <c r="AB2750" t="str">
        <f t="shared" si="252"/>
        <v/>
      </c>
      <c r="AC2750">
        <f t="shared" si="249"/>
        <v>1000</v>
      </c>
      <c r="AD2750" s="6"/>
    </row>
    <row r="2751" spans="1:30" x14ac:dyDescent="0.2">
      <c r="A2751" t="str">
        <f t="shared" si="250"/>
        <v/>
      </c>
      <c r="X2751" t="str" cm="1">
        <f t="array" ref="X2751">IF(S2751="","",IF($I2751&lt;&gt;"",$I2751,INDEX($I$2:$I2750,ROW()-COUNTIFS($T$2:$T2750,"="&amp;$T2751,$S$2:$S2750,"&lt;&gt;"&amp;$S2751)-1)))</f>
        <v/>
      </c>
      <c r="Y2751" t="b">
        <f>IF(X2751&lt;&gt;"",VLOOKUP(X2751,game_rosters!$C$43:$E$64,3,FALSE))</f>
        <v>0</v>
      </c>
      <c r="Z2751" t="e" cm="1" vm="1">
        <f t="array" aca="1" ref="Z2751" ca="1">IFERROR(IF(_xlfn._xlws.FILTER(game_rosters!$J:$J,(game_rosters!$G:$G=events!$AN2751)*(game_rosters!$J:$J=events!$X2751))&gt;0,1,""),"")</f>
        <v>#VALUE!</v>
      </c>
      <c r="AA2751">
        <f t="shared" si="251"/>
        <v>1000</v>
      </c>
      <c r="AB2751" t="str">
        <f t="shared" si="252"/>
        <v/>
      </c>
      <c r="AC2751">
        <f t="shared" si="249"/>
        <v>1000</v>
      </c>
      <c r="AD2751" s="6"/>
    </row>
    <row r="2752" spans="1:30" x14ac:dyDescent="0.2">
      <c r="A2752" t="str">
        <f t="shared" si="250"/>
        <v/>
      </c>
      <c r="X2752" t="str" cm="1">
        <f t="array" ref="X2752">IF(S2752="","",IF($I2752&lt;&gt;"",$I2752,INDEX($I$2:$I2751,ROW()-COUNTIFS($T$2:$T2751,"="&amp;$T2752,$S$2:$S2751,"&lt;&gt;"&amp;$S2752)-1)))</f>
        <v/>
      </c>
      <c r="Y2752" t="b">
        <f>IF(X2752&lt;&gt;"",VLOOKUP(X2752,game_rosters!$C$43:$E$64,3,FALSE))</f>
        <v>0</v>
      </c>
      <c r="Z2752" t="e" cm="1" vm="1">
        <f t="array" aca="1" ref="Z2752" ca="1">IFERROR(IF(_xlfn._xlws.FILTER(game_rosters!$J:$J,(game_rosters!$G:$G=events!$AN2752)*(game_rosters!$J:$J=events!$X2752))&gt;0,1,""),"")</f>
        <v>#VALUE!</v>
      </c>
      <c r="AA2752">
        <f t="shared" si="251"/>
        <v>1000</v>
      </c>
      <c r="AB2752" t="str">
        <f t="shared" si="252"/>
        <v/>
      </c>
      <c r="AC2752">
        <f t="shared" si="249"/>
        <v>1000</v>
      </c>
      <c r="AD2752" s="6"/>
    </row>
    <row r="2753" spans="1:30" x14ac:dyDescent="0.2">
      <c r="A2753" t="str">
        <f t="shared" si="250"/>
        <v/>
      </c>
      <c r="X2753" t="str" cm="1">
        <f t="array" ref="X2753">IF(S2753="","",IF($I2753&lt;&gt;"",$I2753,INDEX($I$2:$I2752,ROW()-COUNTIFS($T$2:$T2752,"="&amp;$T2753,$S$2:$S2752,"&lt;&gt;"&amp;$S2753)-1)))</f>
        <v/>
      </c>
      <c r="Y2753" t="b">
        <f>IF(X2753&lt;&gt;"",VLOOKUP(X2753,game_rosters!$C$43:$E$64,3,FALSE))</f>
        <v>0</v>
      </c>
      <c r="Z2753" t="e" cm="1" vm="1">
        <f t="array" aca="1" ref="Z2753" ca="1">IFERROR(IF(_xlfn._xlws.FILTER(game_rosters!$J:$J,(game_rosters!$G:$G=events!$AN2753)*(game_rosters!$J:$J=events!$X2753))&gt;0,1,""),"")</f>
        <v>#VALUE!</v>
      </c>
      <c r="AA2753">
        <f t="shared" si="251"/>
        <v>1000</v>
      </c>
      <c r="AB2753" t="str">
        <f t="shared" si="252"/>
        <v/>
      </c>
      <c r="AC2753">
        <f t="shared" si="249"/>
        <v>1000</v>
      </c>
      <c r="AD2753" s="6"/>
    </row>
    <row r="2754" spans="1:30" x14ac:dyDescent="0.2">
      <c r="A2754" t="str">
        <f t="shared" si="250"/>
        <v/>
      </c>
      <c r="X2754" t="str" cm="1">
        <f t="array" ref="X2754">IF(S2754="","",IF($I2754&lt;&gt;"",$I2754,INDEX($I$2:$I2753,ROW()-COUNTIFS($T$2:$T2753,"="&amp;$T2754,$S$2:$S2753,"&lt;&gt;"&amp;$S2754)-1)))</f>
        <v/>
      </c>
      <c r="Y2754" t="b">
        <f>IF(X2754&lt;&gt;"",VLOOKUP(X2754,game_rosters!$C$43:$E$64,3,FALSE))</f>
        <v>0</v>
      </c>
      <c r="Z2754" t="e" cm="1" vm="1">
        <f t="array" aca="1" ref="Z2754" ca="1">IFERROR(IF(_xlfn._xlws.FILTER(game_rosters!$J:$J,(game_rosters!$G:$G=events!$AN2754)*(game_rosters!$J:$J=events!$X2754))&gt;0,1,""),"")</f>
        <v>#VALUE!</v>
      </c>
      <c r="AA2754">
        <f t="shared" si="251"/>
        <v>1000</v>
      </c>
      <c r="AB2754" t="str">
        <f t="shared" si="252"/>
        <v/>
      </c>
      <c r="AC2754">
        <f t="shared" ref="AC2754:AC2817" si="253">IF(AB2754&lt;&gt;"",AB2754,S2754+1000)</f>
        <v>1000</v>
      </c>
      <c r="AD2754" s="6"/>
    </row>
    <row r="2755" spans="1:30" x14ac:dyDescent="0.2">
      <c r="A2755" t="str">
        <f t="shared" si="250"/>
        <v/>
      </c>
      <c r="X2755" t="str" cm="1">
        <f t="array" ref="X2755">IF(S2755="","",IF($I2755&lt;&gt;"",$I2755,INDEX($I$2:$I2754,ROW()-COUNTIFS($T$2:$T2754,"="&amp;$T2755,$S$2:$S2754,"&lt;&gt;"&amp;$S2755)-1)))</f>
        <v/>
      </c>
      <c r="Y2755" t="b">
        <f>IF(X2755&lt;&gt;"",VLOOKUP(X2755,game_rosters!$C$43:$E$64,3,FALSE))</f>
        <v>0</v>
      </c>
      <c r="Z2755" t="e" cm="1" vm="1">
        <f t="array" aca="1" ref="Z2755" ca="1">IFERROR(IF(_xlfn._xlws.FILTER(game_rosters!$J:$J,(game_rosters!$G:$G=events!$AN2755)*(game_rosters!$J:$J=events!$X2755))&gt;0,1,""),"")</f>
        <v>#VALUE!</v>
      </c>
      <c r="AA2755">
        <f t="shared" si="251"/>
        <v>1000</v>
      </c>
      <c r="AB2755" t="str">
        <f t="shared" si="252"/>
        <v/>
      </c>
      <c r="AC2755">
        <f t="shared" si="253"/>
        <v>1000</v>
      </c>
      <c r="AD2755" s="6"/>
    </row>
    <row r="2756" spans="1:30" x14ac:dyDescent="0.2">
      <c r="A2756" t="str">
        <f t="shared" si="250"/>
        <v/>
      </c>
      <c r="X2756" t="str" cm="1">
        <f t="array" ref="X2756">IF(S2756="","",IF($I2756&lt;&gt;"",$I2756,INDEX($I$2:$I2755,ROW()-COUNTIFS($T$2:$T2755,"="&amp;$T2756,$S$2:$S2755,"&lt;&gt;"&amp;$S2756)-1)))</f>
        <v/>
      </c>
      <c r="Y2756" t="b">
        <f>IF(X2756&lt;&gt;"",VLOOKUP(X2756,game_rosters!$C$43:$E$64,3,FALSE))</f>
        <v>0</v>
      </c>
      <c r="Z2756" t="e" cm="1" vm="1">
        <f t="array" aca="1" ref="Z2756" ca="1">IFERROR(IF(_xlfn._xlws.FILTER(game_rosters!$J:$J,(game_rosters!$G:$G=events!$AN2756)*(game_rosters!$J:$J=events!$X2756))&gt;0,1,""),"")</f>
        <v>#VALUE!</v>
      </c>
      <c r="AA2756">
        <f t="shared" si="251"/>
        <v>1000</v>
      </c>
      <c r="AB2756" t="str">
        <f t="shared" si="252"/>
        <v/>
      </c>
      <c r="AC2756">
        <f t="shared" si="253"/>
        <v>1000</v>
      </c>
      <c r="AD2756" s="6"/>
    </row>
    <row r="2757" spans="1:30" x14ac:dyDescent="0.2">
      <c r="A2757" t="str">
        <f t="shared" ref="A2757:A2820" si="254">IF(K2757&lt;&gt;"",1,IF(D2757="x","x",""))</f>
        <v/>
      </c>
      <c r="X2757" t="str" cm="1">
        <f t="array" ref="X2757">IF(S2757="","",IF($I2757&lt;&gt;"",$I2757,INDEX($I$2:$I2756,ROW()-COUNTIFS($T$2:$T2756,"="&amp;$T2757,$S$2:$S2756,"&lt;&gt;"&amp;$S2757)-1)))</f>
        <v/>
      </c>
      <c r="Y2757" t="b">
        <f>IF(X2757&lt;&gt;"",VLOOKUP(X2757,game_rosters!$C$43:$E$64,3,FALSE))</f>
        <v>0</v>
      </c>
      <c r="Z2757" t="e" cm="1" vm="1">
        <f t="array" aca="1" ref="Z2757" ca="1">IFERROR(IF(_xlfn._xlws.FILTER(game_rosters!$J:$J,(game_rosters!$G:$G=events!$AN2757)*(game_rosters!$J:$J=events!$X2757))&gt;0,1,""),"")</f>
        <v>#VALUE!</v>
      </c>
      <c r="AA2757">
        <f t="shared" si="251"/>
        <v>1000</v>
      </c>
      <c r="AB2757" t="str">
        <f t="shared" si="252"/>
        <v/>
      </c>
      <c r="AC2757">
        <f t="shared" si="253"/>
        <v>1000</v>
      </c>
      <c r="AD2757" s="6"/>
    </row>
    <row r="2758" spans="1:30" x14ac:dyDescent="0.2">
      <c r="A2758" t="str">
        <f t="shared" si="254"/>
        <v/>
      </c>
      <c r="X2758" t="str" cm="1">
        <f t="array" ref="X2758">IF(S2758="","",IF($I2758&lt;&gt;"",$I2758,INDEX($I$2:$I2757,ROW()-COUNTIFS($T$2:$T2757,"="&amp;$T2758,$S$2:$S2757,"&lt;&gt;"&amp;$S2758)-1)))</f>
        <v/>
      </c>
      <c r="Y2758" t="b">
        <f>IF(X2758&lt;&gt;"",VLOOKUP(X2758,game_rosters!$C$43:$E$64,3,FALSE))</f>
        <v>0</v>
      </c>
      <c r="Z2758" t="e" cm="1" vm="1">
        <f t="array" aca="1" ref="Z2758" ca="1">IFERROR(IF(_xlfn._xlws.FILTER(game_rosters!$J:$J,(game_rosters!$G:$G=events!$AN2758)*(game_rosters!$J:$J=events!$X2758))&gt;0,1,""),"")</f>
        <v>#VALUE!</v>
      </c>
      <c r="AA2758">
        <f t="shared" si="251"/>
        <v>1000</v>
      </c>
      <c r="AB2758" t="str">
        <f t="shared" si="252"/>
        <v/>
      </c>
      <c r="AC2758">
        <f t="shared" si="253"/>
        <v>1000</v>
      </c>
      <c r="AD2758" s="6"/>
    </row>
    <row r="2759" spans="1:30" x14ac:dyDescent="0.2">
      <c r="A2759" t="str">
        <f t="shared" si="254"/>
        <v/>
      </c>
      <c r="X2759" t="str" cm="1">
        <f t="array" ref="X2759">IF(S2759="","",IF($I2759&lt;&gt;"",$I2759,INDEX($I$2:$I2758,ROW()-COUNTIFS($T$2:$T2758,"="&amp;$T2759,$S$2:$S2758,"&lt;&gt;"&amp;$S2759)-1)))</f>
        <v/>
      </c>
      <c r="Y2759" t="b">
        <f>IF(X2759&lt;&gt;"",VLOOKUP(X2759,game_rosters!$C$43:$E$64,3,FALSE))</f>
        <v>0</v>
      </c>
      <c r="Z2759" t="e" cm="1" vm="1">
        <f t="array" aca="1" ref="Z2759" ca="1">IFERROR(IF(_xlfn._xlws.FILTER(game_rosters!$J:$J,(game_rosters!$G:$G=events!$AN2759)*(game_rosters!$J:$J=events!$X2759))&gt;0,1,""),"")</f>
        <v>#VALUE!</v>
      </c>
      <c r="AA2759">
        <f t="shared" si="251"/>
        <v>1000</v>
      </c>
      <c r="AB2759" t="str">
        <f t="shared" si="252"/>
        <v/>
      </c>
      <c r="AC2759">
        <f t="shared" si="253"/>
        <v>1000</v>
      </c>
      <c r="AD2759" s="6"/>
    </row>
    <row r="2760" spans="1:30" x14ac:dyDescent="0.2">
      <c r="A2760" t="str">
        <f t="shared" si="254"/>
        <v/>
      </c>
      <c r="X2760" t="str" cm="1">
        <f t="array" ref="X2760">IF(S2760="","",IF($I2760&lt;&gt;"",$I2760,INDEX($I$2:$I2759,ROW()-COUNTIFS($T$2:$T2759,"="&amp;$T2760,$S$2:$S2759,"&lt;&gt;"&amp;$S2760)-1)))</f>
        <v/>
      </c>
      <c r="Y2760" t="b">
        <f>IF(X2760&lt;&gt;"",VLOOKUP(X2760,game_rosters!$C$43:$E$64,3,FALSE))</f>
        <v>0</v>
      </c>
      <c r="Z2760" t="e" cm="1" vm="1">
        <f t="array" aca="1" ref="Z2760" ca="1">IFERROR(IF(_xlfn._xlws.FILTER(game_rosters!$J:$J,(game_rosters!$G:$G=events!$AN2760)*(game_rosters!$J:$J=events!$X2760))&gt;0,1,""),"")</f>
        <v>#VALUE!</v>
      </c>
      <c r="AA2760">
        <f t="shared" si="251"/>
        <v>1000</v>
      </c>
      <c r="AB2760" t="str">
        <f t="shared" si="252"/>
        <v/>
      </c>
      <c r="AC2760">
        <f t="shared" si="253"/>
        <v>1000</v>
      </c>
      <c r="AD2760" s="6"/>
    </row>
    <row r="2761" spans="1:30" x14ac:dyDescent="0.2">
      <c r="A2761" t="str">
        <f t="shared" si="254"/>
        <v/>
      </c>
      <c r="X2761" t="str" cm="1">
        <f t="array" ref="X2761">IF(S2761="","",IF($I2761&lt;&gt;"",$I2761,INDEX($I$2:$I2760,ROW()-COUNTIFS($T$2:$T2760,"="&amp;$T2761,$S$2:$S2760,"&lt;&gt;"&amp;$S2761)-1)))</f>
        <v/>
      </c>
      <c r="Y2761" t="b">
        <f>IF(X2761&lt;&gt;"",VLOOKUP(X2761,game_rosters!$C$43:$E$64,3,FALSE))</f>
        <v>0</v>
      </c>
      <c r="Z2761" t="e" cm="1" vm="1">
        <f t="array" aca="1" ref="Z2761" ca="1">IFERROR(IF(_xlfn._xlws.FILTER(game_rosters!$J:$J,(game_rosters!$G:$G=events!$AN2761)*(game_rosters!$J:$J=events!$X2761))&gt;0,1,""),"")</f>
        <v>#VALUE!</v>
      </c>
      <c r="AA2761">
        <f t="shared" si="251"/>
        <v>1000</v>
      </c>
      <c r="AB2761" t="str">
        <f t="shared" si="252"/>
        <v/>
      </c>
      <c r="AC2761">
        <f t="shared" si="253"/>
        <v>1000</v>
      </c>
      <c r="AD2761" s="6"/>
    </row>
    <row r="2762" spans="1:30" x14ac:dyDescent="0.2">
      <c r="A2762" t="str">
        <f t="shared" si="254"/>
        <v/>
      </c>
      <c r="X2762" t="str" cm="1">
        <f t="array" ref="X2762">IF(S2762="","",IF($I2762&lt;&gt;"",$I2762,INDEX($I$2:$I2761,ROW()-COUNTIFS($T$2:$T2761,"="&amp;$T2762,$S$2:$S2761,"&lt;&gt;"&amp;$S2762)-1)))</f>
        <v/>
      </c>
      <c r="Y2762" t="b">
        <f>IF(X2762&lt;&gt;"",VLOOKUP(X2762,game_rosters!$C$43:$E$64,3,FALSE))</f>
        <v>0</v>
      </c>
      <c r="Z2762" t="e" cm="1" vm="1">
        <f t="array" aca="1" ref="Z2762" ca="1">IFERROR(IF(_xlfn._xlws.FILTER(game_rosters!$J:$J,(game_rosters!$G:$G=events!$AN2762)*(game_rosters!$J:$J=events!$X2762))&gt;0,1,""),"")</f>
        <v>#VALUE!</v>
      </c>
      <c r="AA2762">
        <f t="shared" si="251"/>
        <v>1000</v>
      </c>
      <c r="AB2762" t="str">
        <f t="shared" si="252"/>
        <v/>
      </c>
      <c r="AC2762">
        <f t="shared" si="253"/>
        <v>1000</v>
      </c>
      <c r="AD2762" s="6"/>
    </row>
    <row r="2763" spans="1:30" x14ac:dyDescent="0.2">
      <c r="A2763" t="str">
        <f t="shared" si="254"/>
        <v/>
      </c>
      <c r="X2763" t="str" cm="1">
        <f t="array" ref="X2763">IF(S2763="","",IF($I2763&lt;&gt;"",$I2763,INDEX($I$2:$I2762,ROW()-COUNTIFS($T$2:$T2762,"="&amp;$T2763,$S$2:$S2762,"&lt;&gt;"&amp;$S2763)-1)))</f>
        <v/>
      </c>
      <c r="Y2763" t="b">
        <f>IF(X2763&lt;&gt;"",VLOOKUP(X2763,game_rosters!$C$43:$E$64,3,FALSE))</f>
        <v>0</v>
      </c>
      <c r="Z2763" t="e" cm="1" vm="1">
        <f t="array" aca="1" ref="Z2763" ca="1">IFERROR(IF(_xlfn._xlws.FILTER(game_rosters!$J:$J,(game_rosters!$G:$G=events!$AN2763)*(game_rosters!$J:$J=events!$X2763))&gt;0,1,""),"")</f>
        <v>#VALUE!</v>
      </c>
      <c r="AA2763">
        <f t="shared" si="251"/>
        <v>1000</v>
      </c>
      <c r="AB2763" t="str">
        <f t="shared" si="252"/>
        <v/>
      </c>
      <c r="AC2763">
        <f t="shared" si="253"/>
        <v>1000</v>
      </c>
      <c r="AD2763" s="6"/>
    </row>
    <row r="2764" spans="1:30" x14ac:dyDescent="0.2">
      <c r="A2764" t="str">
        <f t="shared" si="254"/>
        <v/>
      </c>
      <c r="X2764" t="str" cm="1">
        <f t="array" ref="X2764">IF(S2764="","",IF($I2764&lt;&gt;"",$I2764,INDEX($I$2:$I2763,ROW()-COUNTIFS($T$2:$T2763,"="&amp;$T2764,$S$2:$S2763,"&lt;&gt;"&amp;$S2764)-1)))</f>
        <v/>
      </c>
      <c r="Y2764" t="b">
        <f>IF(X2764&lt;&gt;"",VLOOKUP(X2764,game_rosters!$C$43:$E$64,3,FALSE))</f>
        <v>0</v>
      </c>
      <c r="Z2764" t="e" cm="1" vm="1">
        <f t="array" aca="1" ref="Z2764" ca="1">IFERROR(IF(_xlfn._xlws.FILTER(game_rosters!$J:$J,(game_rosters!$G:$G=events!$AN2764)*(game_rosters!$J:$J=events!$X2764))&gt;0,1,""),"")</f>
        <v>#VALUE!</v>
      </c>
      <c r="AA2764">
        <f t="shared" si="251"/>
        <v>1000</v>
      </c>
      <c r="AB2764" t="str">
        <f t="shared" si="252"/>
        <v/>
      </c>
      <c r="AC2764">
        <f t="shared" si="253"/>
        <v>1000</v>
      </c>
      <c r="AD2764" s="6"/>
    </row>
    <row r="2765" spans="1:30" x14ac:dyDescent="0.2">
      <c r="A2765" t="str">
        <f t="shared" si="254"/>
        <v/>
      </c>
      <c r="X2765" t="str" cm="1">
        <f t="array" ref="X2765">IF(S2765="","",IF($I2765&lt;&gt;"",$I2765,INDEX($I$2:$I2764,ROW()-COUNTIFS($T$2:$T2764,"="&amp;$T2765,$S$2:$S2764,"&lt;&gt;"&amp;$S2765)-1)))</f>
        <v/>
      </c>
      <c r="Y2765" t="b">
        <f>IF(X2765&lt;&gt;"",VLOOKUP(X2765,game_rosters!$C$43:$E$64,3,FALSE))</f>
        <v>0</v>
      </c>
      <c r="Z2765" t="e" cm="1" vm="1">
        <f t="array" aca="1" ref="Z2765" ca="1">IFERROR(IF(_xlfn._xlws.FILTER(game_rosters!$J:$J,(game_rosters!$G:$G=events!$AN2765)*(game_rosters!$J:$J=events!$X2765))&gt;0,1,""),"")</f>
        <v>#VALUE!</v>
      </c>
      <c r="AA2765">
        <f t="shared" si="251"/>
        <v>1000</v>
      </c>
      <c r="AB2765" t="str">
        <f t="shared" si="252"/>
        <v/>
      </c>
      <c r="AC2765">
        <f t="shared" si="253"/>
        <v>1000</v>
      </c>
      <c r="AD2765" s="6"/>
    </row>
    <row r="2766" spans="1:30" x14ac:dyDescent="0.2">
      <c r="A2766" t="str">
        <f t="shared" si="254"/>
        <v/>
      </c>
      <c r="X2766" t="str" cm="1">
        <f t="array" ref="X2766">IF(S2766="","",IF($I2766&lt;&gt;"",$I2766,INDEX($I$2:$I2765,ROW()-COUNTIFS($T$2:$T2765,"="&amp;$T2766,$S$2:$S2765,"&lt;&gt;"&amp;$S2766)-1)))</f>
        <v/>
      </c>
      <c r="Y2766" t="b">
        <f>IF(X2766&lt;&gt;"",VLOOKUP(X2766,game_rosters!$C$43:$E$64,3,FALSE))</f>
        <v>0</v>
      </c>
      <c r="Z2766" t="e" cm="1" vm="1">
        <f t="array" aca="1" ref="Z2766" ca="1">IFERROR(IF(_xlfn._xlws.FILTER(game_rosters!$J:$J,(game_rosters!$G:$G=events!$AN2766)*(game_rosters!$J:$J=events!$X2766))&gt;0,1,""),"")</f>
        <v>#VALUE!</v>
      </c>
      <c r="AA2766">
        <f t="shared" si="251"/>
        <v>1000</v>
      </c>
      <c r="AB2766" t="str">
        <f t="shared" si="252"/>
        <v/>
      </c>
      <c r="AC2766">
        <f t="shared" si="253"/>
        <v>1000</v>
      </c>
      <c r="AD2766" s="6"/>
    </row>
    <row r="2767" spans="1:30" x14ac:dyDescent="0.2">
      <c r="A2767" t="str">
        <f t="shared" si="254"/>
        <v/>
      </c>
      <c r="X2767" t="str" cm="1">
        <f t="array" ref="X2767">IF(S2767="","",IF($I2767&lt;&gt;"",$I2767,INDEX($I$2:$I2766,ROW()-COUNTIFS($T$2:$T2766,"="&amp;$T2767,$S$2:$S2766,"&lt;&gt;"&amp;$S2767)-1)))</f>
        <v/>
      </c>
      <c r="Y2767" t="b">
        <f>IF(X2767&lt;&gt;"",VLOOKUP(X2767,game_rosters!$C$43:$E$64,3,FALSE))</f>
        <v>0</v>
      </c>
      <c r="Z2767" t="e" cm="1" vm="1">
        <f t="array" aca="1" ref="Z2767" ca="1">IFERROR(IF(_xlfn._xlws.FILTER(game_rosters!$J:$J,(game_rosters!$G:$G=events!$AN2767)*(game_rosters!$J:$J=events!$X2767))&gt;0,1,""),"")</f>
        <v>#VALUE!</v>
      </c>
      <c r="AA2767">
        <f t="shared" si="251"/>
        <v>1000</v>
      </c>
      <c r="AB2767" t="str">
        <f t="shared" si="252"/>
        <v/>
      </c>
      <c r="AC2767">
        <f t="shared" si="253"/>
        <v>1000</v>
      </c>
      <c r="AD2767" s="6"/>
    </row>
    <row r="2768" spans="1:30" x14ac:dyDescent="0.2">
      <c r="A2768" t="str">
        <f t="shared" si="254"/>
        <v/>
      </c>
      <c r="X2768" t="str" cm="1">
        <f t="array" ref="X2768">IF(S2768="","",IF($I2768&lt;&gt;"",$I2768,INDEX($I$2:$I2767,ROW()-COUNTIFS($T$2:$T2767,"="&amp;$T2768,$S$2:$S2767,"&lt;&gt;"&amp;$S2768)-1)))</f>
        <v/>
      </c>
      <c r="Y2768" t="b">
        <f>IF(X2768&lt;&gt;"",VLOOKUP(X2768,game_rosters!$C$43:$E$64,3,FALSE))</f>
        <v>0</v>
      </c>
      <c r="Z2768" t="e" cm="1" vm="1">
        <f t="array" aca="1" ref="Z2768" ca="1">IFERROR(IF(_xlfn._xlws.FILTER(game_rosters!$J:$J,(game_rosters!$G:$G=events!$AN2768)*(game_rosters!$J:$J=events!$X2768))&gt;0,1,""),"")</f>
        <v>#VALUE!</v>
      </c>
      <c r="AA2768">
        <f t="shared" si="251"/>
        <v>1000</v>
      </c>
      <c r="AB2768" t="str">
        <f t="shared" si="252"/>
        <v/>
      </c>
      <c r="AC2768">
        <f t="shared" si="253"/>
        <v>1000</v>
      </c>
      <c r="AD2768" s="6"/>
    </row>
    <row r="2769" spans="1:30" x14ac:dyDescent="0.2">
      <c r="A2769" t="str">
        <f t="shared" si="254"/>
        <v/>
      </c>
      <c r="X2769" t="str" cm="1">
        <f t="array" ref="X2769">IF(S2769="","",IF($I2769&lt;&gt;"",$I2769,INDEX($I$2:$I2768,ROW()-COUNTIFS($T$2:$T2768,"="&amp;$T2769,$S$2:$S2768,"&lt;&gt;"&amp;$S2769)-1)))</f>
        <v/>
      </c>
      <c r="Y2769" t="b">
        <f>IF(X2769&lt;&gt;"",VLOOKUP(X2769,game_rosters!$C$43:$E$64,3,FALSE))</f>
        <v>0</v>
      </c>
      <c r="Z2769" t="e" cm="1" vm="1">
        <f t="array" aca="1" ref="Z2769" ca="1">IFERROR(IF(_xlfn._xlws.FILTER(game_rosters!$J:$J,(game_rosters!$G:$G=events!$AN2769)*(game_rosters!$J:$J=events!$X2769))&gt;0,1,""),"")</f>
        <v>#VALUE!</v>
      </c>
      <c r="AA2769">
        <f t="shared" si="251"/>
        <v>1000</v>
      </c>
      <c r="AB2769" t="str">
        <f t="shared" si="252"/>
        <v/>
      </c>
      <c r="AC2769">
        <f t="shared" si="253"/>
        <v>1000</v>
      </c>
      <c r="AD2769" s="6"/>
    </row>
    <row r="2770" spans="1:30" x14ac:dyDescent="0.2">
      <c r="A2770" t="str">
        <f t="shared" si="254"/>
        <v/>
      </c>
      <c r="X2770" t="str" cm="1">
        <f t="array" ref="X2770">IF(S2770="","",IF($I2770&lt;&gt;"",$I2770,INDEX($I$2:$I2769,ROW()-COUNTIFS($T$2:$T2769,"="&amp;$T2770,$S$2:$S2769,"&lt;&gt;"&amp;$S2770)-1)))</f>
        <v/>
      </c>
      <c r="Y2770" t="b">
        <f>IF(X2770&lt;&gt;"",VLOOKUP(X2770,game_rosters!$C$43:$E$64,3,FALSE))</f>
        <v>0</v>
      </c>
      <c r="Z2770" t="e" cm="1" vm="1">
        <f t="array" aca="1" ref="Z2770" ca="1">IFERROR(IF(_xlfn._xlws.FILTER(game_rosters!$J:$J,(game_rosters!$G:$G=events!$AN2770)*(game_rosters!$J:$J=events!$X2770))&gt;0,1,""),"")</f>
        <v>#VALUE!</v>
      </c>
      <c r="AA2770">
        <f t="shared" si="251"/>
        <v>1000</v>
      </c>
      <c r="AB2770" t="str">
        <f t="shared" si="252"/>
        <v/>
      </c>
      <c r="AC2770">
        <f t="shared" si="253"/>
        <v>1000</v>
      </c>
      <c r="AD2770" s="6"/>
    </row>
    <row r="2771" spans="1:30" x14ac:dyDescent="0.2">
      <c r="A2771" t="str">
        <f t="shared" si="254"/>
        <v/>
      </c>
      <c r="X2771" t="str" cm="1">
        <f t="array" ref="X2771">IF(S2771="","",IF($I2771&lt;&gt;"",$I2771,INDEX($I$2:$I2770,ROW()-COUNTIFS($T$2:$T2770,"="&amp;$T2771,$S$2:$S2770,"&lt;&gt;"&amp;$S2771)-1)))</f>
        <v/>
      </c>
      <c r="Y2771" t="b">
        <f>IF(X2771&lt;&gt;"",VLOOKUP(X2771,game_rosters!$C$43:$E$64,3,FALSE))</f>
        <v>0</v>
      </c>
      <c r="Z2771" t="e" cm="1" vm="1">
        <f t="array" aca="1" ref="Z2771" ca="1">IFERROR(IF(_xlfn._xlws.FILTER(game_rosters!$J:$J,(game_rosters!$G:$G=events!$AN2771)*(game_rosters!$J:$J=events!$X2771))&gt;0,1,""),"")</f>
        <v>#VALUE!</v>
      </c>
      <c r="AA2771">
        <f t="shared" si="251"/>
        <v>1000</v>
      </c>
      <c r="AB2771" t="str">
        <f t="shared" si="252"/>
        <v/>
      </c>
      <c r="AC2771">
        <f t="shared" si="253"/>
        <v>1000</v>
      </c>
      <c r="AD2771" s="6"/>
    </row>
    <row r="2772" spans="1:30" x14ac:dyDescent="0.2">
      <c r="A2772" t="str">
        <f t="shared" si="254"/>
        <v/>
      </c>
      <c r="X2772" t="str" cm="1">
        <f t="array" ref="X2772">IF(S2772="","",IF($I2772&lt;&gt;"",$I2772,INDEX($I$2:$I2771,ROW()-COUNTIFS($T$2:$T2771,"="&amp;$T2772,$S$2:$S2771,"&lt;&gt;"&amp;$S2772)-1)))</f>
        <v/>
      </c>
      <c r="Y2772" t="b">
        <f>IF(X2772&lt;&gt;"",VLOOKUP(X2772,game_rosters!$C$43:$E$64,3,FALSE))</f>
        <v>0</v>
      </c>
      <c r="Z2772" t="e" cm="1" vm="1">
        <f t="array" aca="1" ref="Z2772" ca="1">IFERROR(IF(_xlfn._xlws.FILTER(game_rosters!$J:$J,(game_rosters!$G:$G=events!$AN2772)*(game_rosters!$J:$J=events!$X2772))&gt;0,1,""),"")</f>
        <v>#VALUE!</v>
      </c>
      <c r="AA2772">
        <f t="shared" si="251"/>
        <v>1000</v>
      </c>
      <c r="AB2772" t="str">
        <f t="shared" si="252"/>
        <v/>
      </c>
      <c r="AC2772">
        <f t="shared" si="253"/>
        <v>1000</v>
      </c>
      <c r="AD2772" s="6"/>
    </row>
    <row r="2773" spans="1:30" x14ac:dyDescent="0.2">
      <c r="A2773" t="str">
        <f t="shared" si="254"/>
        <v/>
      </c>
      <c r="X2773" t="str" cm="1">
        <f t="array" ref="X2773">IF(S2773="","",IF($I2773&lt;&gt;"",$I2773,INDEX($I$2:$I2772,ROW()-COUNTIFS($T$2:$T2772,"="&amp;$T2773,$S$2:$S2772,"&lt;&gt;"&amp;$S2773)-1)))</f>
        <v/>
      </c>
      <c r="Y2773" t="b">
        <f>IF(X2773&lt;&gt;"",VLOOKUP(X2773,game_rosters!$C$43:$E$64,3,FALSE))</f>
        <v>0</v>
      </c>
      <c r="Z2773" t="e" cm="1" vm="1">
        <f t="array" aca="1" ref="Z2773" ca="1">IFERROR(IF(_xlfn._xlws.FILTER(game_rosters!$J:$J,(game_rosters!$G:$G=events!$AN2773)*(game_rosters!$J:$J=events!$X2773))&gt;0,1,""),"")</f>
        <v>#VALUE!</v>
      </c>
      <c r="AA2773">
        <f t="shared" si="251"/>
        <v>1000</v>
      </c>
      <c r="AB2773" t="str">
        <f t="shared" si="252"/>
        <v/>
      </c>
      <c r="AC2773">
        <f t="shared" si="253"/>
        <v>1000</v>
      </c>
      <c r="AD2773" s="6"/>
    </row>
    <row r="2774" spans="1:30" x14ac:dyDescent="0.2">
      <c r="A2774" t="str">
        <f t="shared" si="254"/>
        <v/>
      </c>
      <c r="X2774" t="str" cm="1">
        <f t="array" ref="X2774">IF(S2774="","",IF($I2774&lt;&gt;"",$I2774,INDEX($I$2:$I2773,ROW()-COUNTIFS($T$2:$T2773,"="&amp;$T2774,$S$2:$S2773,"&lt;&gt;"&amp;$S2774)-1)))</f>
        <v/>
      </c>
      <c r="Y2774" t="b">
        <f>IF(X2774&lt;&gt;"",VLOOKUP(X2774,game_rosters!$C$43:$E$64,3,FALSE))</f>
        <v>0</v>
      </c>
      <c r="Z2774" t="e" cm="1" vm="1">
        <f t="array" aca="1" ref="Z2774" ca="1">IFERROR(IF(_xlfn._xlws.FILTER(game_rosters!$J:$J,(game_rosters!$G:$G=events!$AN2774)*(game_rosters!$J:$J=events!$X2774))&gt;0,1,""),"")</f>
        <v>#VALUE!</v>
      </c>
      <c r="AA2774">
        <f t="shared" si="251"/>
        <v>1000</v>
      </c>
      <c r="AB2774" t="str">
        <f t="shared" si="252"/>
        <v/>
      </c>
      <c r="AC2774">
        <f t="shared" si="253"/>
        <v>1000</v>
      </c>
      <c r="AD2774" s="6"/>
    </row>
    <row r="2775" spans="1:30" x14ac:dyDescent="0.2">
      <c r="A2775" t="str">
        <f t="shared" si="254"/>
        <v/>
      </c>
      <c r="X2775" t="str" cm="1">
        <f t="array" ref="X2775">IF(S2775="","",IF($I2775&lt;&gt;"",$I2775,INDEX($I$2:$I2774,ROW()-COUNTIFS($T$2:$T2774,"="&amp;$T2775,$S$2:$S2774,"&lt;&gt;"&amp;$S2775)-1)))</f>
        <v/>
      </c>
      <c r="Y2775" t="b">
        <f>IF(X2775&lt;&gt;"",VLOOKUP(X2775,game_rosters!$C$43:$E$64,3,FALSE))</f>
        <v>0</v>
      </c>
      <c r="Z2775" t="e" cm="1" vm="1">
        <f t="array" aca="1" ref="Z2775" ca="1">IFERROR(IF(_xlfn._xlws.FILTER(game_rosters!$J:$J,(game_rosters!$G:$G=events!$AN2775)*(game_rosters!$J:$J=events!$X2775))&gt;0,1,""),"")</f>
        <v>#VALUE!</v>
      </c>
      <c r="AA2775">
        <f t="shared" si="251"/>
        <v>1000</v>
      </c>
      <c r="AB2775" t="str">
        <f t="shared" si="252"/>
        <v/>
      </c>
      <c r="AC2775">
        <f t="shared" si="253"/>
        <v>1000</v>
      </c>
      <c r="AD2775" s="6"/>
    </row>
    <row r="2776" spans="1:30" x14ac:dyDescent="0.2">
      <c r="A2776" t="str">
        <f t="shared" si="254"/>
        <v/>
      </c>
      <c r="X2776" t="str" cm="1">
        <f t="array" ref="X2776">IF(S2776="","",IF($I2776&lt;&gt;"",$I2776,INDEX($I$2:$I2775,ROW()-COUNTIFS($T$2:$T2775,"="&amp;$T2776,$S$2:$S2775,"&lt;&gt;"&amp;$S2776)-1)))</f>
        <v/>
      </c>
      <c r="Y2776" t="b">
        <f>IF(X2776&lt;&gt;"",VLOOKUP(X2776,game_rosters!$C$43:$E$64,3,FALSE))</f>
        <v>0</v>
      </c>
      <c r="Z2776" t="e" cm="1" vm="1">
        <f t="array" aca="1" ref="Z2776" ca="1">IFERROR(IF(_xlfn._xlws.FILTER(game_rosters!$J:$J,(game_rosters!$G:$G=events!$AN2776)*(game_rosters!$J:$J=events!$X2776))&gt;0,1,""),"")</f>
        <v>#VALUE!</v>
      </c>
      <c r="AA2776">
        <f t="shared" si="251"/>
        <v>1000</v>
      </c>
      <c r="AB2776" t="str">
        <f t="shared" si="252"/>
        <v/>
      </c>
      <c r="AC2776">
        <f t="shared" si="253"/>
        <v>1000</v>
      </c>
      <c r="AD2776" s="6"/>
    </row>
    <row r="2777" spans="1:30" x14ac:dyDescent="0.2">
      <c r="A2777" t="str">
        <f t="shared" si="254"/>
        <v/>
      </c>
      <c r="X2777" t="str" cm="1">
        <f t="array" ref="X2777">IF(S2777="","",IF($I2777&lt;&gt;"",$I2777,INDEX($I$2:$I2776,ROW()-COUNTIFS($T$2:$T2776,"="&amp;$T2777,$S$2:$S2776,"&lt;&gt;"&amp;$S2777)-1)))</f>
        <v/>
      </c>
      <c r="Y2777" t="b">
        <f>IF(X2777&lt;&gt;"",VLOOKUP(X2777,game_rosters!$C$43:$E$64,3,FALSE))</f>
        <v>0</v>
      </c>
      <c r="Z2777" t="e" cm="1" vm="1">
        <f t="array" aca="1" ref="Z2777" ca="1">IFERROR(IF(_xlfn._xlws.FILTER(game_rosters!$J:$J,(game_rosters!$G:$G=events!$AN2777)*(game_rosters!$J:$J=events!$X2777))&gt;0,1,""),"")</f>
        <v>#VALUE!</v>
      </c>
      <c r="AA2777">
        <f t="shared" si="251"/>
        <v>1000</v>
      </c>
      <c r="AB2777" t="str">
        <f t="shared" si="252"/>
        <v/>
      </c>
      <c r="AC2777">
        <f t="shared" si="253"/>
        <v>1000</v>
      </c>
      <c r="AD2777" s="6"/>
    </row>
    <row r="2778" spans="1:30" x14ac:dyDescent="0.2">
      <c r="A2778" t="str">
        <f t="shared" si="254"/>
        <v/>
      </c>
      <c r="X2778" t="str" cm="1">
        <f t="array" ref="X2778">IF(S2778="","",IF($I2778&lt;&gt;"",$I2778,INDEX($I$2:$I2777,ROW()-COUNTIFS($T$2:$T2777,"="&amp;$T2778,$S$2:$S2777,"&lt;&gt;"&amp;$S2778)-1)))</f>
        <v/>
      </c>
      <c r="Y2778" t="b">
        <f>IF(X2778&lt;&gt;"",VLOOKUP(X2778,game_rosters!$C$43:$E$64,3,FALSE))</f>
        <v>0</v>
      </c>
      <c r="Z2778" t="e" cm="1" vm="1">
        <f t="array" aca="1" ref="Z2778" ca="1">IFERROR(IF(_xlfn._xlws.FILTER(game_rosters!$J:$J,(game_rosters!$G:$G=events!$AN2778)*(game_rosters!$J:$J=events!$X2778))&gt;0,1,""),"")</f>
        <v>#VALUE!</v>
      </c>
      <c r="AA2778">
        <f t="shared" si="251"/>
        <v>1000</v>
      </c>
      <c r="AB2778" t="str">
        <f t="shared" si="252"/>
        <v/>
      </c>
      <c r="AC2778">
        <f t="shared" si="253"/>
        <v>1000</v>
      </c>
      <c r="AD2778" s="6"/>
    </row>
    <row r="2779" spans="1:30" x14ac:dyDescent="0.2">
      <c r="A2779" t="str">
        <f t="shared" si="254"/>
        <v/>
      </c>
      <c r="X2779" t="str" cm="1">
        <f t="array" ref="X2779">IF(S2779="","",IF($I2779&lt;&gt;"",$I2779,INDEX($I$2:$I2778,ROW()-COUNTIFS($T$2:$T2778,"="&amp;$T2779,$S$2:$S2778,"&lt;&gt;"&amp;$S2779)-1)))</f>
        <v/>
      </c>
      <c r="Y2779" t="b">
        <f>IF(X2779&lt;&gt;"",VLOOKUP(X2779,game_rosters!$C$43:$E$64,3,FALSE))</f>
        <v>0</v>
      </c>
      <c r="Z2779" t="e" cm="1" vm="1">
        <f t="array" aca="1" ref="Z2779" ca="1">IFERROR(IF(_xlfn._xlws.FILTER(game_rosters!$J:$J,(game_rosters!$G:$G=events!$AN2779)*(game_rosters!$J:$J=events!$X2779))&gt;0,1,""),"")</f>
        <v>#VALUE!</v>
      </c>
      <c r="AA2779">
        <f t="shared" si="251"/>
        <v>1000</v>
      </c>
      <c r="AB2779" t="str">
        <f t="shared" si="252"/>
        <v/>
      </c>
      <c r="AC2779">
        <f t="shared" si="253"/>
        <v>1000</v>
      </c>
      <c r="AD2779" s="6"/>
    </row>
    <row r="2780" spans="1:30" x14ac:dyDescent="0.2">
      <c r="A2780" t="str">
        <f t="shared" si="254"/>
        <v/>
      </c>
      <c r="X2780" t="str" cm="1">
        <f t="array" ref="X2780">IF(S2780="","",IF($I2780&lt;&gt;"",$I2780,INDEX($I$2:$I2779,ROW()-COUNTIFS($T$2:$T2779,"="&amp;$T2780,$S$2:$S2779,"&lt;&gt;"&amp;$S2780)-1)))</f>
        <v/>
      </c>
      <c r="Y2780" t="b">
        <f>IF(X2780&lt;&gt;"",VLOOKUP(X2780,game_rosters!$C$43:$E$64,3,FALSE))</f>
        <v>0</v>
      </c>
      <c r="Z2780" t="e" cm="1" vm="1">
        <f t="array" aca="1" ref="Z2780" ca="1">IFERROR(IF(_xlfn._xlws.FILTER(game_rosters!$J:$J,(game_rosters!$G:$G=events!$AN2780)*(game_rosters!$J:$J=events!$X2780))&gt;0,1,""),"")</f>
        <v>#VALUE!</v>
      </c>
      <c r="AA2780">
        <f t="shared" si="251"/>
        <v>1000</v>
      </c>
      <c r="AB2780" t="str">
        <f t="shared" si="252"/>
        <v/>
      </c>
      <c r="AC2780">
        <f t="shared" si="253"/>
        <v>1000</v>
      </c>
      <c r="AD2780" s="6"/>
    </row>
    <row r="2781" spans="1:30" x14ac:dyDescent="0.2">
      <c r="A2781" t="str">
        <f t="shared" si="254"/>
        <v/>
      </c>
      <c r="X2781" t="str" cm="1">
        <f t="array" ref="X2781">IF(S2781="","",IF($I2781&lt;&gt;"",$I2781,INDEX($I$2:$I2780,ROW()-COUNTIFS($T$2:$T2780,"="&amp;$T2781,$S$2:$S2780,"&lt;&gt;"&amp;$S2781)-1)))</f>
        <v/>
      </c>
      <c r="Y2781" t="b">
        <f>IF(X2781&lt;&gt;"",VLOOKUP(X2781,game_rosters!$C$43:$E$64,3,FALSE))</f>
        <v>0</v>
      </c>
      <c r="Z2781" t="e" cm="1" vm="1">
        <f t="array" aca="1" ref="Z2781" ca="1">IFERROR(IF(_xlfn._xlws.FILTER(game_rosters!$J:$J,(game_rosters!$G:$G=events!$AN2781)*(game_rosters!$J:$J=events!$X2781))&gt;0,1,""),"")</f>
        <v>#VALUE!</v>
      </c>
      <c r="AA2781">
        <f t="shared" ref="AA2781:AA2844" si="255">S2781+1000</f>
        <v>1000</v>
      </c>
      <c r="AB2781" t="str">
        <f t="shared" ref="AB2781:AB2844" si="256">IF(T2781&lt;&gt;"",9000+T2781,"")</f>
        <v/>
      </c>
      <c r="AC2781">
        <f t="shared" si="253"/>
        <v>1000</v>
      </c>
      <c r="AD2781" s="6"/>
    </row>
    <row r="2782" spans="1:30" x14ac:dyDescent="0.2">
      <c r="A2782" t="str">
        <f t="shared" si="254"/>
        <v/>
      </c>
      <c r="X2782" t="str" cm="1">
        <f t="array" ref="X2782">IF(S2782="","",IF($I2782&lt;&gt;"",$I2782,INDEX($I$2:$I2781,ROW()-COUNTIFS($T$2:$T2781,"="&amp;$T2782,$S$2:$S2781,"&lt;&gt;"&amp;$S2782)-1)))</f>
        <v/>
      </c>
      <c r="Y2782" t="b">
        <f>IF(X2782&lt;&gt;"",VLOOKUP(X2782,game_rosters!$C$43:$E$64,3,FALSE))</f>
        <v>0</v>
      </c>
      <c r="Z2782" t="e" cm="1" vm="1">
        <f t="array" aca="1" ref="Z2782" ca="1">IFERROR(IF(_xlfn._xlws.FILTER(game_rosters!$J:$J,(game_rosters!$G:$G=events!$AN2782)*(game_rosters!$J:$J=events!$X2782))&gt;0,1,""),"")</f>
        <v>#VALUE!</v>
      </c>
      <c r="AA2782">
        <f t="shared" si="255"/>
        <v>1000</v>
      </c>
      <c r="AB2782" t="str">
        <f t="shared" si="256"/>
        <v/>
      </c>
      <c r="AC2782">
        <f t="shared" si="253"/>
        <v>1000</v>
      </c>
      <c r="AD2782" s="6"/>
    </row>
    <row r="2783" spans="1:30" x14ac:dyDescent="0.2">
      <c r="A2783" t="str">
        <f t="shared" si="254"/>
        <v/>
      </c>
      <c r="X2783" t="str" cm="1">
        <f t="array" ref="X2783">IF(S2783="","",IF($I2783&lt;&gt;"",$I2783,INDEX($I$2:$I2782,ROW()-COUNTIFS($T$2:$T2782,"="&amp;$T2783,$S$2:$S2782,"&lt;&gt;"&amp;$S2783)-1)))</f>
        <v/>
      </c>
      <c r="Y2783" t="b">
        <f>IF(X2783&lt;&gt;"",VLOOKUP(X2783,game_rosters!$C$43:$E$64,3,FALSE))</f>
        <v>0</v>
      </c>
      <c r="Z2783" t="e" cm="1" vm="1">
        <f t="array" aca="1" ref="Z2783" ca="1">IFERROR(IF(_xlfn._xlws.FILTER(game_rosters!$J:$J,(game_rosters!$G:$G=events!$AN2783)*(game_rosters!$J:$J=events!$X2783))&gt;0,1,""),"")</f>
        <v>#VALUE!</v>
      </c>
      <c r="AA2783">
        <f t="shared" si="255"/>
        <v>1000</v>
      </c>
      <c r="AB2783" t="str">
        <f t="shared" si="256"/>
        <v/>
      </c>
      <c r="AC2783">
        <f t="shared" si="253"/>
        <v>1000</v>
      </c>
      <c r="AD2783" s="6"/>
    </row>
    <row r="2784" spans="1:30" x14ac:dyDescent="0.2">
      <c r="A2784" t="str">
        <f t="shared" si="254"/>
        <v/>
      </c>
      <c r="X2784" t="str" cm="1">
        <f t="array" ref="X2784">IF(S2784="","",IF($I2784&lt;&gt;"",$I2784,INDEX($I$2:$I2783,ROW()-COUNTIFS($T$2:$T2783,"="&amp;$T2784,$S$2:$S2783,"&lt;&gt;"&amp;$S2784)-1)))</f>
        <v/>
      </c>
      <c r="Y2784" t="b">
        <f>IF(X2784&lt;&gt;"",VLOOKUP(X2784,game_rosters!$C$43:$E$64,3,FALSE))</f>
        <v>0</v>
      </c>
      <c r="Z2784" t="e" cm="1" vm="1">
        <f t="array" aca="1" ref="Z2784" ca="1">IFERROR(IF(_xlfn._xlws.FILTER(game_rosters!$J:$J,(game_rosters!$G:$G=events!$AN2784)*(game_rosters!$J:$J=events!$X2784))&gt;0,1,""),"")</f>
        <v>#VALUE!</v>
      </c>
      <c r="AA2784">
        <f t="shared" si="255"/>
        <v>1000</v>
      </c>
      <c r="AB2784" t="str">
        <f t="shared" si="256"/>
        <v/>
      </c>
      <c r="AC2784">
        <f t="shared" si="253"/>
        <v>1000</v>
      </c>
      <c r="AD2784" s="6"/>
    </row>
    <row r="2785" spans="1:30" x14ac:dyDescent="0.2">
      <c r="A2785" t="str">
        <f t="shared" si="254"/>
        <v/>
      </c>
      <c r="X2785" t="str" cm="1">
        <f t="array" ref="X2785">IF(S2785="","",IF($I2785&lt;&gt;"",$I2785,INDEX($I$2:$I2784,ROW()-COUNTIFS($T$2:$T2784,"="&amp;$T2785,$S$2:$S2784,"&lt;&gt;"&amp;$S2785)-1)))</f>
        <v/>
      </c>
      <c r="Y2785" t="b">
        <f>IF(X2785&lt;&gt;"",VLOOKUP(X2785,game_rosters!$C$43:$E$64,3,FALSE))</f>
        <v>0</v>
      </c>
      <c r="Z2785" t="e" cm="1" vm="1">
        <f t="array" aca="1" ref="Z2785" ca="1">IFERROR(IF(_xlfn._xlws.FILTER(game_rosters!$J:$J,(game_rosters!$G:$G=events!$AN2785)*(game_rosters!$J:$J=events!$X2785))&gt;0,1,""),"")</f>
        <v>#VALUE!</v>
      </c>
      <c r="AA2785">
        <f t="shared" si="255"/>
        <v>1000</v>
      </c>
      <c r="AB2785" t="str">
        <f t="shared" si="256"/>
        <v/>
      </c>
      <c r="AC2785">
        <f t="shared" si="253"/>
        <v>1000</v>
      </c>
      <c r="AD2785" s="6"/>
    </row>
    <row r="2786" spans="1:30" x14ac:dyDescent="0.2">
      <c r="A2786" t="str">
        <f t="shared" si="254"/>
        <v/>
      </c>
      <c r="X2786" t="str" cm="1">
        <f t="array" ref="X2786">IF(S2786="","",IF($I2786&lt;&gt;"",$I2786,INDEX($I$2:$I2785,ROW()-COUNTIFS($T$2:$T2785,"="&amp;$T2786,$S$2:$S2785,"&lt;&gt;"&amp;$S2786)-1)))</f>
        <v/>
      </c>
      <c r="Y2786" t="b">
        <f>IF(X2786&lt;&gt;"",VLOOKUP(X2786,game_rosters!$C$43:$E$64,3,FALSE))</f>
        <v>0</v>
      </c>
      <c r="Z2786" t="e" cm="1" vm="1">
        <f t="array" aca="1" ref="Z2786" ca="1">IFERROR(IF(_xlfn._xlws.FILTER(game_rosters!$J:$J,(game_rosters!$G:$G=events!$AN2786)*(game_rosters!$J:$J=events!$X2786))&gt;0,1,""),"")</f>
        <v>#VALUE!</v>
      </c>
      <c r="AA2786">
        <f t="shared" si="255"/>
        <v>1000</v>
      </c>
      <c r="AB2786" t="str">
        <f t="shared" si="256"/>
        <v/>
      </c>
      <c r="AC2786">
        <f t="shared" si="253"/>
        <v>1000</v>
      </c>
      <c r="AD2786" s="6"/>
    </row>
    <row r="2787" spans="1:30" x14ac:dyDescent="0.2">
      <c r="A2787" t="str">
        <f t="shared" si="254"/>
        <v/>
      </c>
      <c r="X2787" t="str" cm="1">
        <f t="array" ref="X2787">IF(S2787="","",IF($I2787&lt;&gt;"",$I2787,INDEX($I$2:$I2786,ROW()-COUNTIFS($T$2:$T2786,"="&amp;$T2787,$S$2:$S2786,"&lt;&gt;"&amp;$S2787)-1)))</f>
        <v/>
      </c>
      <c r="Y2787" t="b">
        <f>IF(X2787&lt;&gt;"",VLOOKUP(X2787,game_rosters!$C$43:$E$64,3,FALSE))</f>
        <v>0</v>
      </c>
      <c r="Z2787" t="e" cm="1" vm="1">
        <f t="array" aca="1" ref="Z2787" ca="1">IFERROR(IF(_xlfn._xlws.FILTER(game_rosters!$J:$J,(game_rosters!$G:$G=events!$AN2787)*(game_rosters!$J:$J=events!$X2787))&gt;0,1,""),"")</f>
        <v>#VALUE!</v>
      </c>
      <c r="AA2787">
        <f t="shared" si="255"/>
        <v>1000</v>
      </c>
      <c r="AB2787" t="str">
        <f t="shared" si="256"/>
        <v/>
      </c>
      <c r="AC2787">
        <f t="shared" si="253"/>
        <v>1000</v>
      </c>
      <c r="AD2787" s="6"/>
    </row>
    <row r="2788" spans="1:30" x14ac:dyDescent="0.2">
      <c r="A2788" t="str">
        <f t="shared" si="254"/>
        <v/>
      </c>
      <c r="X2788" t="str" cm="1">
        <f t="array" ref="X2788">IF(S2788="","",IF($I2788&lt;&gt;"",$I2788,INDEX($I$2:$I2787,ROW()-COUNTIFS($T$2:$T2787,"="&amp;$T2788,$S$2:$S2787,"&lt;&gt;"&amp;$S2788)-1)))</f>
        <v/>
      </c>
      <c r="Y2788" t="b">
        <f>IF(X2788&lt;&gt;"",VLOOKUP(X2788,game_rosters!$C$43:$E$64,3,FALSE))</f>
        <v>0</v>
      </c>
      <c r="Z2788" t="e" cm="1" vm="1">
        <f t="array" aca="1" ref="Z2788" ca="1">IFERROR(IF(_xlfn._xlws.FILTER(game_rosters!$J:$J,(game_rosters!$G:$G=events!$AN2788)*(game_rosters!$J:$J=events!$X2788))&gt;0,1,""),"")</f>
        <v>#VALUE!</v>
      </c>
      <c r="AA2788">
        <f t="shared" si="255"/>
        <v>1000</v>
      </c>
      <c r="AB2788" t="str">
        <f t="shared" si="256"/>
        <v/>
      </c>
      <c r="AC2788">
        <f t="shared" si="253"/>
        <v>1000</v>
      </c>
      <c r="AD2788" s="6"/>
    </row>
    <row r="2789" spans="1:30" x14ac:dyDescent="0.2">
      <c r="A2789" t="str">
        <f t="shared" si="254"/>
        <v/>
      </c>
      <c r="X2789" t="str" cm="1">
        <f t="array" ref="X2789">IF(S2789="","",IF($I2789&lt;&gt;"",$I2789,INDEX($I$2:$I2788,ROW()-COUNTIFS($T$2:$T2788,"="&amp;$T2789,$S$2:$S2788,"&lt;&gt;"&amp;$S2789)-1)))</f>
        <v/>
      </c>
      <c r="Y2789" t="b">
        <f>IF(X2789&lt;&gt;"",VLOOKUP(X2789,game_rosters!$C$43:$E$64,3,FALSE))</f>
        <v>0</v>
      </c>
      <c r="Z2789" t="e" cm="1" vm="1">
        <f t="array" aca="1" ref="Z2789" ca="1">IFERROR(IF(_xlfn._xlws.FILTER(game_rosters!$J:$J,(game_rosters!$G:$G=events!$AN2789)*(game_rosters!$J:$J=events!$X2789))&gt;0,1,""),"")</f>
        <v>#VALUE!</v>
      </c>
      <c r="AA2789">
        <f t="shared" si="255"/>
        <v>1000</v>
      </c>
      <c r="AB2789" t="str">
        <f t="shared" si="256"/>
        <v/>
      </c>
      <c r="AC2789">
        <f t="shared" si="253"/>
        <v>1000</v>
      </c>
      <c r="AD2789" s="6"/>
    </row>
    <row r="2790" spans="1:30" x14ac:dyDescent="0.2">
      <c r="A2790" t="str">
        <f t="shared" si="254"/>
        <v/>
      </c>
      <c r="X2790" t="str" cm="1">
        <f t="array" ref="X2790">IF(S2790="","",IF($I2790&lt;&gt;"",$I2790,INDEX($I$2:$I2789,ROW()-COUNTIFS($T$2:$T2789,"="&amp;$T2790,$S$2:$S2789,"&lt;&gt;"&amp;$S2790)-1)))</f>
        <v/>
      </c>
      <c r="Y2790" t="b">
        <f>IF(X2790&lt;&gt;"",VLOOKUP(X2790,game_rosters!$C$43:$E$64,3,FALSE))</f>
        <v>0</v>
      </c>
      <c r="Z2790" t="e" cm="1" vm="1">
        <f t="array" aca="1" ref="Z2790" ca="1">IFERROR(IF(_xlfn._xlws.FILTER(game_rosters!$J:$J,(game_rosters!$G:$G=events!$AN2790)*(game_rosters!$J:$J=events!$X2790))&gt;0,1,""),"")</f>
        <v>#VALUE!</v>
      </c>
      <c r="AA2790">
        <f t="shared" si="255"/>
        <v>1000</v>
      </c>
      <c r="AB2790" t="str">
        <f t="shared" si="256"/>
        <v/>
      </c>
      <c r="AC2790">
        <f t="shared" si="253"/>
        <v>1000</v>
      </c>
      <c r="AD2790" s="6"/>
    </row>
    <row r="2791" spans="1:30" x14ac:dyDescent="0.2">
      <c r="A2791" t="str">
        <f t="shared" si="254"/>
        <v/>
      </c>
      <c r="X2791" t="str" cm="1">
        <f t="array" ref="X2791">IF(S2791="","",IF($I2791&lt;&gt;"",$I2791,INDEX($I$2:$I2790,ROW()-COUNTIFS($T$2:$T2790,"="&amp;$T2791,$S$2:$S2790,"&lt;&gt;"&amp;$S2791)-1)))</f>
        <v/>
      </c>
      <c r="Y2791" t="b">
        <f>IF(X2791&lt;&gt;"",VLOOKUP(X2791,game_rosters!$C$43:$E$64,3,FALSE))</f>
        <v>0</v>
      </c>
      <c r="Z2791" t="e" cm="1" vm="1">
        <f t="array" aca="1" ref="Z2791" ca="1">IFERROR(IF(_xlfn._xlws.FILTER(game_rosters!$J:$J,(game_rosters!$G:$G=events!$AN2791)*(game_rosters!$J:$J=events!$X2791))&gt;0,1,""),"")</f>
        <v>#VALUE!</v>
      </c>
      <c r="AA2791">
        <f t="shared" si="255"/>
        <v>1000</v>
      </c>
      <c r="AB2791" t="str">
        <f t="shared" si="256"/>
        <v/>
      </c>
      <c r="AC2791">
        <f t="shared" si="253"/>
        <v>1000</v>
      </c>
      <c r="AD2791" s="6"/>
    </row>
    <row r="2792" spans="1:30" x14ac:dyDescent="0.2">
      <c r="A2792" t="str">
        <f t="shared" si="254"/>
        <v/>
      </c>
      <c r="X2792" t="str" cm="1">
        <f t="array" ref="X2792">IF(S2792="","",IF($I2792&lt;&gt;"",$I2792,INDEX($I$2:$I2791,ROW()-COUNTIFS($T$2:$T2791,"="&amp;$T2792,$S$2:$S2791,"&lt;&gt;"&amp;$S2792)-1)))</f>
        <v/>
      </c>
      <c r="Y2792" t="b">
        <f>IF(X2792&lt;&gt;"",VLOOKUP(X2792,game_rosters!$C$43:$E$64,3,FALSE))</f>
        <v>0</v>
      </c>
      <c r="Z2792" t="e" cm="1" vm="1">
        <f t="array" aca="1" ref="Z2792" ca="1">IFERROR(IF(_xlfn._xlws.FILTER(game_rosters!$J:$J,(game_rosters!$G:$G=events!$AN2792)*(game_rosters!$J:$J=events!$X2792))&gt;0,1,""),"")</f>
        <v>#VALUE!</v>
      </c>
      <c r="AA2792">
        <f t="shared" si="255"/>
        <v>1000</v>
      </c>
      <c r="AB2792" t="str">
        <f t="shared" si="256"/>
        <v/>
      </c>
      <c r="AC2792">
        <f t="shared" si="253"/>
        <v>1000</v>
      </c>
      <c r="AD2792" s="6"/>
    </row>
    <row r="2793" spans="1:30" x14ac:dyDescent="0.2">
      <c r="A2793" t="str">
        <f t="shared" si="254"/>
        <v/>
      </c>
      <c r="X2793" t="str" cm="1">
        <f t="array" ref="X2793">IF(S2793="","",IF($I2793&lt;&gt;"",$I2793,INDEX($I$2:$I2792,ROW()-COUNTIFS($T$2:$T2792,"="&amp;$T2793,$S$2:$S2792,"&lt;&gt;"&amp;$S2793)-1)))</f>
        <v/>
      </c>
      <c r="Y2793" t="b">
        <f>IF(X2793&lt;&gt;"",VLOOKUP(X2793,game_rosters!$C$43:$E$64,3,FALSE))</f>
        <v>0</v>
      </c>
      <c r="Z2793" t="e" cm="1" vm="1">
        <f t="array" aca="1" ref="Z2793" ca="1">IFERROR(IF(_xlfn._xlws.FILTER(game_rosters!$J:$J,(game_rosters!$G:$G=events!$AN2793)*(game_rosters!$J:$J=events!$X2793))&gt;0,1,""),"")</f>
        <v>#VALUE!</v>
      </c>
      <c r="AA2793">
        <f t="shared" si="255"/>
        <v>1000</v>
      </c>
      <c r="AB2793" t="str">
        <f t="shared" si="256"/>
        <v/>
      </c>
      <c r="AC2793">
        <f t="shared" si="253"/>
        <v>1000</v>
      </c>
      <c r="AD2793" s="6"/>
    </row>
    <row r="2794" spans="1:30" x14ac:dyDescent="0.2">
      <c r="A2794" t="str">
        <f t="shared" si="254"/>
        <v/>
      </c>
      <c r="X2794" t="str" cm="1">
        <f t="array" ref="X2794">IF(S2794="","",IF($I2794&lt;&gt;"",$I2794,INDEX($I$2:$I2793,ROW()-COUNTIFS($T$2:$T2793,"="&amp;$T2794,$S$2:$S2793,"&lt;&gt;"&amp;$S2794)-1)))</f>
        <v/>
      </c>
      <c r="Y2794" t="b">
        <f>IF(X2794&lt;&gt;"",VLOOKUP(X2794,game_rosters!$C$43:$E$64,3,FALSE))</f>
        <v>0</v>
      </c>
      <c r="Z2794" t="e" cm="1" vm="1">
        <f t="array" aca="1" ref="Z2794" ca="1">IFERROR(IF(_xlfn._xlws.FILTER(game_rosters!$J:$J,(game_rosters!$G:$G=events!$AN2794)*(game_rosters!$J:$J=events!$X2794))&gt;0,1,""),"")</f>
        <v>#VALUE!</v>
      </c>
      <c r="AA2794">
        <f t="shared" si="255"/>
        <v>1000</v>
      </c>
      <c r="AB2794" t="str">
        <f t="shared" si="256"/>
        <v/>
      </c>
      <c r="AC2794">
        <f t="shared" si="253"/>
        <v>1000</v>
      </c>
      <c r="AD2794" s="6"/>
    </row>
    <row r="2795" spans="1:30" x14ac:dyDescent="0.2">
      <c r="A2795" t="str">
        <f t="shared" si="254"/>
        <v/>
      </c>
      <c r="X2795" t="str" cm="1">
        <f t="array" ref="X2795">IF(S2795="","",IF($I2795&lt;&gt;"",$I2795,INDEX($I$2:$I2794,ROW()-COUNTIFS($T$2:$T2794,"="&amp;$T2795,$S$2:$S2794,"&lt;&gt;"&amp;$S2795)-1)))</f>
        <v/>
      </c>
      <c r="Y2795" t="b">
        <f>IF(X2795&lt;&gt;"",VLOOKUP(X2795,game_rosters!$C$43:$E$64,3,FALSE))</f>
        <v>0</v>
      </c>
      <c r="Z2795" t="e" cm="1" vm="1">
        <f t="array" aca="1" ref="Z2795" ca="1">IFERROR(IF(_xlfn._xlws.FILTER(game_rosters!$J:$J,(game_rosters!$G:$G=events!$AN2795)*(game_rosters!$J:$J=events!$X2795))&gt;0,1,""),"")</f>
        <v>#VALUE!</v>
      </c>
      <c r="AA2795">
        <f t="shared" si="255"/>
        <v>1000</v>
      </c>
      <c r="AB2795" t="str">
        <f t="shared" si="256"/>
        <v/>
      </c>
      <c r="AC2795">
        <f t="shared" si="253"/>
        <v>1000</v>
      </c>
      <c r="AD2795" s="6"/>
    </row>
    <row r="2796" spans="1:30" x14ac:dyDescent="0.2">
      <c r="A2796" t="str">
        <f t="shared" si="254"/>
        <v/>
      </c>
      <c r="X2796" t="str" cm="1">
        <f t="array" ref="X2796">IF(S2796="","",IF($I2796&lt;&gt;"",$I2796,INDEX($I$2:$I2795,ROW()-COUNTIFS($T$2:$T2795,"="&amp;$T2796,$S$2:$S2795,"&lt;&gt;"&amp;$S2796)-1)))</f>
        <v/>
      </c>
      <c r="Y2796" t="b">
        <f>IF(X2796&lt;&gt;"",VLOOKUP(X2796,game_rosters!$C$43:$E$64,3,FALSE))</f>
        <v>0</v>
      </c>
      <c r="Z2796" t="e" cm="1" vm="1">
        <f t="array" aca="1" ref="Z2796" ca="1">IFERROR(IF(_xlfn._xlws.FILTER(game_rosters!$J:$J,(game_rosters!$G:$G=events!$AN2796)*(game_rosters!$J:$J=events!$X2796))&gt;0,1,""),"")</f>
        <v>#VALUE!</v>
      </c>
      <c r="AA2796">
        <f t="shared" si="255"/>
        <v>1000</v>
      </c>
      <c r="AB2796" t="str">
        <f t="shared" si="256"/>
        <v/>
      </c>
      <c r="AC2796">
        <f t="shared" si="253"/>
        <v>1000</v>
      </c>
      <c r="AD2796" s="6"/>
    </row>
    <row r="2797" spans="1:30" x14ac:dyDescent="0.2">
      <c r="A2797" t="str">
        <f t="shared" si="254"/>
        <v/>
      </c>
      <c r="X2797" t="str" cm="1">
        <f t="array" ref="X2797">IF(S2797="","",IF($I2797&lt;&gt;"",$I2797,INDEX($I$2:$I2796,ROW()-COUNTIFS($T$2:$T2796,"="&amp;$T2797,$S$2:$S2796,"&lt;&gt;"&amp;$S2797)-1)))</f>
        <v/>
      </c>
      <c r="Y2797" t="b">
        <f>IF(X2797&lt;&gt;"",VLOOKUP(X2797,game_rosters!$C$43:$E$64,3,FALSE))</f>
        <v>0</v>
      </c>
      <c r="Z2797" t="e" cm="1" vm="1">
        <f t="array" aca="1" ref="Z2797" ca="1">IFERROR(IF(_xlfn._xlws.FILTER(game_rosters!$J:$J,(game_rosters!$G:$G=events!$AN2797)*(game_rosters!$J:$J=events!$X2797))&gt;0,1,""),"")</f>
        <v>#VALUE!</v>
      </c>
      <c r="AA2797">
        <f t="shared" si="255"/>
        <v>1000</v>
      </c>
      <c r="AB2797" t="str">
        <f t="shared" si="256"/>
        <v/>
      </c>
      <c r="AC2797">
        <f t="shared" si="253"/>
        <v>1000</v>
      </c>
      <c r="AD2797" s="6"/>
    </row>
    <row r="2798" spans="1:30" x14ac:dyDescent="0.2">
      <c r="A2798" t="str">
        <f t="shared" si="254"/>
        <v/>
      </c>
      <c r="X2798" t="str" cm="1">
        <f t="array" ref="X2798">IF(S2798="","",IF($I2798&lt;&gt;"",$I2798,INDEX($I$2:$I2797,ROW()-COUNTIFS($T$2:$T2797,"="&amp;$T2798,$S$2:$S2797,"&lt;&gt;"&amp;$S2798)-1)))</f>
        <v/>
      </c>
      <c r="Y2798" t="b">
        <f>IF(X2798&lt;&gt;"",VLOOKUP(X2798,game_rosters!$C$43:$E$64,3,FALSE))</f>
        <v>0</v>
      </c>
      <c r="Z2798" t="e" cm="1" vm="1">
        <f t="array" aca="1" ref="Z2798" ca="1">IFERROR(IF(_xlfn._xlws.FILTER(game_rosters!$J:$J,(game_rosters!$G:$G=events!$AN2798)*(game_rosters!$J:$J=events!$X2798))&gt;0,1,""),"")</f>
        <v>#VALUE!</v>
      </c>
      <c r="AA2798">
        <f t="shared" si="255"/>
        <v>1000</v>
      </c>
      <c r="AB2798" t="str">
        <f t="shared" si="256"/>
        <v/>
      </c>
      <c r="AC2798">
        <f t="shared" si="253"/>
        <v>1000</v>
      </c>
      <c r="AD2798" s="6"/>
    </row>
    <row r="2799" spans="1:30" x14ac:dyDescent="0.2">
      <c r="A2799" t="str">
        <f t="shared" si="254"/>
        <v/>
      </c>
      <c r="X2799" t="str" cm="1">
        <f t="array" ref="X2799">IF(S2799="","",IF($I2799&lt;&gt;"",$I2799,INDEX($I$2:$I2798,ROW()-COUNTIFS($T$2:$T2798,"="&amp;$T2799,$S$2:$S2798,"&lt;&gt;"&amp;$S2799)-1)))</f>
        <v/>
      </c>
      <c r="Y2799" t="b">
        <f>IF(X2799&lt;&gt;"",VLOOKUP(X2799,game_rosters!$C$43:$E$64,3,FALSE))</f>
        <v>0</v>
      </c>
      <c r="Z2799" t="e" cm="1" vm="1">
        <f t="array" aca="1" ref="Z2799" ca="1">IFERROR(IF(_xlfn._xlws.FILTER(game_rosters!$J:$J,(game_rosters!$G:$G=events!$AN2799)*(game_rosters!$J:$J=events!$X2799))&gt;0,1,""),"")</f>
        <v>#VALUE!</v>
      </c>
      <c r="AA2799">
        <f t="shared" si="255"/>
        <v>1000</v>
      </c>
      <c r="AB2799" t="str">
        <f t="shared" si="256"/>
        <v/>
      </c>
      <c r="AC2799">
        <f t="shared" si="253"/>
        <v>1000</v>
      </c>
      <c r="AD2799" s="6"/>
    </row>
    <row r="2800" spans="1:30" x14ac:dyDescent="0.2">
      <c r="A2800" t="str">
        <f t="shared" si="254"/>
        <v/>
      </c>
      <c r="X2800" t="str" cm="1">
        <f t="array" ref="X2800">IF(S2800="","",IF($I2800&lt;&gt;"",$I2800,INDEX($I$2:$I2799,ROW()-COUNTIFS($T$2:$T2799,"="&amp;$T2800,$S$2:$S2799,"&lt;&gt;"&amp;$S2800)-1)))</f>
        <v/>
      </c>
      <c r="Y2800" t="b">
        <f>IF(X2800&lt;&gt;"",VLOOKUP(X2800,game_rosters!$C$43:$E$64,3,FALSE))</f>
        <v>0</v>
      </c>
      <c r="Z2800" t="e" cm="1" vm="1">
        <f t="array" aca="1" ref="Z2800" ca="1">IFERROR(IF(_xlfn._xlws.FILTER(game_rosters!$J:$J,(game_rosters!$G:$G=events!$AN2800)*(game_rosters!$J:$J=events!$X2800))&gt;0,1,""),"")</f>
        <v>#VALUE!</v>
      </c>
      <c r="AA2800">
        <f t="shared" si="255"/>
        <v>1000</v>
      </c>
      <c r="AB2800" t="str">
        <f t="shared" si="256"/>
        <v/>
      </c>
      <c r="AC2800">
        <f t="shared" si="253"/>
        <v>1000</v>
      </c>
      <c r="AD2800" s="6"/>
    </row>
    <row r="2801" spans="1:30" x14ac:dyDescent="0.2">
      <c r="A2801" t="str">
        <f t="shared" si="254"/>
        <v/>
      </c>
      <c r="X2801" t="str" cm="1">
        <f t="array" ref="X2801">IF(S2801="","",IF($I2801&lt;&gt;"",$I2801,INDEX($I$2:$I2800,ROW()-COUNTIFS($T$2:$T2800,"="&amp;$T2801,$S$2:$S2800,"&lt;&gt;"&amp;$S2801)-1)))</f>
        <v/>
      </c>
      <c r="Y2801" t="b">
        <f>IF(X2801&lt;&gt;"",VLOOKUP(X2801,game_rosters!$C$43:$E$64,3,FALSE))</f>
        <v>0</v>
      </c>
      <c r="Z2801" t="e" cm="1" vm="1">
        <f t="array" aca="1" ref="Z2801" ca="1">IFERROR(IF(_xlfn._xlws.FILTER(game_rosters!$J:$J,(game_rosters!$G:$G=events!$AN2801)*(game_rosters!$J:$J=events!$X2801))&gt;0,1,""),"")</f>
        <v>#VALUE!</v>
      </c>
      <c r="AA2801">
        <f t="shared" si="255"/>
        <v>1000</v>
      </c>
      <c r="AB2801" t="str">
        <f t="shared" si="256"/>
        <v/>
      </c>
      <c r="AC2801">
        <f t="shared" si="253"/>
        <v>1000</v>
      </c>
      <c r="AD2801" s="6"/>
    </row>
    <row r="2802" spans="1:30" x14ac:dyDescent="0.2">
      <c r="A2802" t="str">
        <f t="shared" si="254"/>
        <v/>
      </c>
      <c r="X2802" t="str" cm="1">
        <f t="array" ref="X2802">IF(S2802="","",IF($I2802&lt;&gt;"",$I2802,INDEX($I$2:$I2801,ROW()-COUNTIFS($T$2:$T2801,"="&amp;$T2802,$S$2:$S2801,"&lt;&gt;"&amp;$S2802)-1)))</f>
        <v/>
      </c>
      <c r="Y2802" t="b">
        <f>IF(X2802&lt;&gt;"",VLOOKUP(X2802,game_rosters!$C$43:$E$64,3,FALSE))</f>
        <v>0</v>
      </c>
      <c r="Z2802" t="e" cm="1" vm="1">
        <f t="array" aca="1" ref="Z2802" ca="1">IFERROR(IF(_xlfn._xlws.FILTER(game_rosters!$J:$J,(game_rosters!$G:$G=events!$AN2802)*(game_rosters!$J:$J=events!$X2802))&gt;0,1,""),"")</f>
        <v>#VALUE!</v>
      </c>
      <c r="AA2802">
        <f t="shared" si="255"/>
        <v>1000</v>
      </c>
      <c r="AB2802" t="str">
        <f t="shared" si="256"/>
        <v/>
      </c>
      <c r="AC2802">
        <f t="shared" si="253"/>
        <v>1000</v>
      </c>
      <c r="AD2802" s="6"/>
    </row>
    <row r="2803" spans="1:30" x14ac:dyDescent="0.2">
      <c r="A2803" t="str">
        <f t="shared" si="254"/>
        <v/>
      </c>
      <c r="X2803" t="str" cm="1">
        <f t="array" ref="X2803">IF(S2803="","",IF($I2803&lt;&gt;"",$I2803,INDEX($I$2:$I2802,ROW()-COUNTIFS($T$2:$T2802,"="&amp;$T2803,$S$2:$S2802,"&lt;&gt;"&amp;$S2803)-1)))</f>
        <v/>
      </c>
      <c r="Y2803" t="b">
        <f>IF(X2803&lt;&gt;"",VLOOKUP(X2803,game_rosters!$C$43:$E$64,3,FALSE))</f>
        <v>0</v>
      </c>
      <c r="Z2803" t="e" cm="1" vm="1">
        <f t="array" aca="1" ref="Z2803" ca="1">IFERROR(IF(_xlfn._xlws.FILTER(game_rosters!$J:$J,(game_rosters!$G:$G=events!$AN2803)*(game_rosters!$J:$J=events!$X2803))&gt;0,1,""),"")</f>
        <v>#VALUE!</v>
      </c>
      <c r="AA2803">
        <f t="shared" si="255"/>
        <v>1000</v>
      </c>
      <c r="AB2803" t="str">
        <f t="shared" si="256"/>
        <v/>
      </c>
      <c r="AC2803">
        <f t="shared" si="253"/>
        <v>1000</v>
      </c>
      <c r="AD2803" s="6"/>
    </row>
    <row r="2804" spans="1:30" x14ac:dyDescent="0.2">
      <c r="A2804" t="str">
        <f t="shared" si="254"/>
        <v/>
      </c>
      <c r="X2804" t="str" cm="1">
        <f t="array" ref="X2804">IF(S2804="","",IF($I2804&lt;&gt;"",$I2804,INDEX($I$2:$I2803,ROW()-COUNTIFS($T$2:$T2803,"="&amp;$T2804,$S$2:$S2803,"&lt;&gt;"&amp;$S2804)-1)))</f>
        <v/>
      </c>
      <c r="Y2804" t="b">
        <f>IF(X2804&lt;&gt;"",VLOOKUP(X2804,game_rosters!$C$43:$E$64,3,FALSE))</f>
        <v>0</v>
      </c>
      <c r="Z2804" t="e" cm="1" vm="1">
        <f t="array" aca="1" ref="Z2804" ca="1">IFERROR(IF(_xlfn._xlws.FILTER(game_rosters!$J:$J,(game_rosters!$G:$G=events!$AN2804)*(game_rosters!$J:$J=events!$X2804))&gt;0,1,""),"")</f>
        <v>#VALUE!</v>
      </c>
      <c r="AA2804">
        <f t="shared" si="255"/>
        <v>1000</v>
      </c>
      <c r="AB2804" t="str">
        <f t="shared" si="256"/>
        <v/>
      </c>
      <c r="AC2804">
        <f t="shared" si="253"/>
        <v>1000</v>
      </c>
      <c r="AD2804" s="6"/>
    </row>
    <row r="2805" spans="1:30" x14ac:dyDescent="0.2">
      <c r="A2805" t="str">
        <f t="shared" si="254"/>
        <v/>
      </c>
      <c r="X2805" t="str" cm="1">
        <f t="array" ref="X2805">IF(S2805="","",IF($I2805&lt;&gt;"",$I2805,INDEX($I$2:$I2804,ROW()-COUNTIFS($T$2:$T2804,"="&amp;$T2805,$S$2:$S2804,"&lt;&gt;"&amp;$S2805)-1)))</f>
        <v/>
      </c>
      <c r="Y2805" t="b">
        <f>IF(X2805&lt;&gt;"",VLOOKUP(X2805,game_rosters!$C$43:$E$64,3,FALSE))</f>
        <v>0</v>
      </c>
      <c r="Z2805" t="e" cm="1" vm="1">
        <f t="array" aca="1" ref="Z2805" ca="1">IFERROR(IF(_xlfn._xlws.FILTER(game_rosters!$J:$J,(game_rosters!$G:$G=events!$AN2805)*(game_rosters!$J:$J=events!$X2805))&gt;0,1,""),"")</f>
        <v>#VALUE!</v>
      </c>
      <c r="AA2805">
        <f t="shared" si="255"/>
        <v>1000</v>
      </c>
      <c r="AB2805" t="str">
        <f t="shared" si="256"/>
        <v/>
      </c>
      <c r="AC2805">
        <f t="shared" si="253"/>
        <v>1000</v>
      </c>
      <c r="AD2805" s="6"/>
    </row>
    <row r="2806" spans="1:30" x14ac:dyDescent="0.2">
      <c r="A2806" t="str">
        <f t="shared" si="254"/>
        <v/>
      </c>
      <c r="X2806" t="str" cm="1">
        <f t="array" ref="X2806">IF(S2806="","",IF($I2806&lt;&gt;"",$I2806,INDEX($I$2:$I2805,ROW()-COUNTIFS($T$2:$T2805,"="&amp;$T2806,$S$2:$S2805,"&lt;&gt;"&amp;$S2806)-1)))</f>
        <v/>
      </c>
      <c r="Y2806" t="b">
        <f>IF(X2806&lt;&gt;"",VLOOKUP(X2806,game_rosters!$C$43:$E$64,3,FALSE))</f>
        <v>0</v>
      </c>
      <c r="Z2806" t="e" cm="1" vm="1">
        <f t="array" aca="1" ref="Z2806" ca="1">IFERROR(IF(_xlfn._xlws.FILTER(game_rosters!$J:$J,(game_rosters!$G:$G=events!$AN2806)*(game_rosters!$J:$J=events!$X2806))&gt;0,1,""),"")</f>
        <v>#VALUE!</v>
      </c>
      <c r="AA2806">
        <f t="shared" si="255"/>
        <v>1000</v>
      </c>
      <c r="AB2806" t="str">
        <f t="shared" si="256"/>
        <v/>
      </c>
      <c r="AC2806">
        <f t="shared" si="253"/>
        <v>1000</v>
      </c>
      <c r="AD2806" s="6"/>
    </row>
    <row r="2807" spans="1:30" x14ac:dyDescent="0.2">
      <c r="A2807" t="str">
        <f t="shared" si="254"/>
        <v/>
      </c>
      <c r="X2807" t="str" cm="1">
        <f t="array" ref="X2807">IF(S2807="","",IF($I2807&lt;&gt;"",$I2807,INDEX($I$2:$I2806,ROW()-COUNTIFS($T$2:$T2806,"="&amp;$T2807,$S$2:$S2806,"&lt;&gt;"&amp;$S2807)-1)))</f>
        <v/>
      </c>
      <c r="Y2807" t="b">
        <f>IF(X2807&lt;&gt;"",VLOOKUP(X2807,game_rosters!$C$43:$E$64,3,FALSE))</f>
        <v>0</v>
      </c>
      <c r="Z2807" t="e" cm="1" vm="1">
        <f t="array" aca="1" ref="Z2807" ca="1">IFERROR(IF(_xlfn._xlws.FILTER(game_rosters!$J:$J,(game_rosters!$G:$G=events!$AN2807)*(game_rosters!$J:$J=events!$X2807))&gt;0,1,""),"")</f>
        <v>#VALUE!</v>
      </c>
      <c r="AA2807">
        <f t="shared" si="255"/>
        <v>1000</v>
      </c>
      <c r="AB2807" t="str">
        <f t="shared" si="256"/>
        <v/>
      </c>
      <c r="AC2807">
        <f t="shared" si="253"/>
        <v>1000</v>
      </c>
      <c r="AD2807" s="6"/>
    </row>
    <row r="2808" spans="1:30" x14ac:dyDescent="0.2">
      <c r="A2808" t="str">
        <f t="shared" si="254"/>
        <v/>
      </c>
      <c r="X2808" t="str" cm="1">
        <f t="array" ref="X2808">IF(S2808="","",IF($I2808&lt;&gt;"",$I2808,INDEX($I$2:$I2807,ROW()-COUNTIFS($T$2:$T2807,"="&amp;$T2808,$S$2:$S2807,"&lt;&gt;"&amp;$S2808)-1)))</f>
        <v/>
      </c>
      <c r="Y2808" t="b">
        <f>IF(X2808&lt;&gt;"",VLOOKUP(X2808,game_rosters!$C$43:$E$64,3,FALSE))</f>
        <v>0</v>
      </c>
      <c r="Z2808" t="e" cm="1" vm="1">
        <f t="array" aca="1" ref="Z2808" ca="1">IFERROR(IF(_xlfn._xlws.FILTER(game_rosters!$J:$J,(game_rosters!$G:$G=events!$AN2808)*(game_rosters!$J:$J=events!$X2808))&gt;0,1,""),"")</f>
        <v>#VALUE!</v>
      </c>
      <c r="AA2808">
        <f t="shared" si="255"/>
        <v>1000</v>
      </c>
      <c r="AB2808" t="str">
        <f t="shared" si="256"/>
        <v/>
      </c>
      <c r="AC2808">
        <f t="shared" si="253"/>
        <v>1000</v>
      </c>
      <c r="AD2808" s="6"/>
    </row>
    <row r="2809" spans="1:30" x14ac:dyDescent="0.2">
      <c r="A2809" t="str">
        <f t="shared" si="254"/>
        <v/>
      </c>
      <c r="X2809" t="str" cm="1">
        <f t="array" ref="X2809">IF(S2809="","",IF($I2809&lt;&gt;"",$I2809,INDEX($I$2:$I2808,ROW()-COUNTIFS($T$2:$T2808,"="&amp;$T2809,$S$2:$S2808,"&lt;&gt;"&amp;$S2809)-1)))</f>
        <v/>
      </c>
      <c r="Y2809" t="b">
        <f>IF(X2809&lt;&gt;"",VLOOKUP(X2809,game_rosters!$C$43:$E$64,3,FALSE))</f>
        <v>0</v>
      </c>
      <c r="Z2809" t="e" cm="1" vm="1">
        <f t="array" aca="1" ref="Z2809" ca="1">IFERROR(IF(_xlfn._xlws.FILTER(game_rosters!$J:$J,(game_rosters!$G:$G=events!$AN2809)*(game_rosters!$J:$J=events!$X2809))&gt;0,1,""),"")</f>
        <v>#VALUE!</v>
      </c>
      <c r="AA2809">
        <f t="shared" si="255"/>
        <v>1000</v>
      </c>
      <c r="AB2809" t="str">
        <f t="shared" si="256"/>
        <v/>
      </c>
      <c r="AC2809">
        <f t="shared" si="253"/>
        <v>1000</v>
      </c>
      <c r="AD2809" s="6"/>
    </row>
    <row r="2810" spans="1:30" x14ac:dyDescent="0.2">
      <c r="A2810" t="str">
        <f t="shared" si="254"/>
        <v/>
      </c>
      <c r="X2810" t="str" cm="1">
        <f t="array" ref="X2810">IF(S2810="","",IF($I2810&lt;&gt;"",$I2810,INDEX($I$2:$I2809,ROW()-COUNTIFS($T$2:$T2809,"="&amp;$T2810,$S$2:$S2809,"&lt;&gt;"&amp;$S2810)-1)))</f>
        <v/>
      </c>
      <c r="Y2810" t="b">
        <f>IF(X2810&lt;&gt;"",VLOOKUP(X2810,game_rosters!$C$43:$E$64,3,FALSE))</f>
        <v>0</v>
      </c>
      <c r="Z2810" t="e" cm="1" vm="1">
        <f t="array" aca="1" ref="Z2810" ca="1">IFERROR(IF(_xlfn._xlws.FILTER(game_rosters!$J:$J,(game_rosters!$G:$G=events!$AN2810)*(game_rosters!$J:$J=events!$X2810))&gt;0,1,""),"")</f>
        <v>#VALUE!</v>
      </c>
      <c r="AA2810">
        <f t="shared" si="255"/>
        <v>1000</v>
      </c>
      <c r="AB2810" t="str">
        <f t="shared" si="256"/>
        <v/>
      </c>
      <c r="AC2810">
        <f t="shared" si="253"/>
        <v>1000</v>
      </c>
      <c r="AD2810" s="6"/>
    </row>
    <row r="2811" spans="1:30" x14ac:dyDescent="0.2">
      <c r="A2811" t="str">
        <f t="shared" si="254"/>
        <v/>
      </c>
      <c r="X2811" t="str" cm="1">
        <f t="array" ref="X2811">IF(S2811="","",IF($I2811&lt;&gt;"",$I2811,INDEX($I$2:$I2810,ROW()-COUNTIFS($T$2:$T2810,"="&amp;$T2811,$S$2:$S2810,"&lt;&gt;"&amp;$S2811)-1)))</f>
        <v/>
      </c>
      <c r="Y2811" t="b">
        <f>IF(X2811&lt;&gt;"",VLOOKUP(X2811,game_rosters!$C$43:$E$64,3,FALSE))</f>
        <v>0</v>
      </c>
      <c r="Z2811" t="e" cm="1" vm="1">
        <f t="array" aca="1" ref="Z2811" ca="1">IFERROR(IF(_xlfn._xlws.FILTER(game_rosters!$J:$J,(game_rosters!$G:$G=events!$AN2811)*(game_rosters!$J:$J=events!$X2811))&gt;0,1,""),"")</f>
        <v>#VALUE!</v>
      </c>
      <c r="AA2811">
        <f t="shared" si="255"/>
        <v>1000</v>
      </c>
      <c r="AB2811" t="str">
        <f t="shared" si="256"/>
        <v/>
      </c>
      <c r="AC2811">
        <f t="shared" si="253"/>
        <v>1000</v>
      </c>
      <c r="AD2811" s="6"/>
    </row>
    <row r="2812" spans="1:30" x14ac:dyDescent="0.2">
      <c r="A2812" t="str">
        <f t="shared" si="254"/>
        <v/>
      </c>
      <c r="X2812" t="str" cm="1">
        <f t="array" ref="X2812">IF(S2812="","",IF($I2812&lt;&gt;"",$I2812,INDEX($I$2:$I2811,ROW()-COUNTIFS($T$2:$T2811,"="&amp;$T2812,$S$2:$S2811,"&lt;&gt;"&amp;$S2812)-1)))</f>
        <v/>
      </c>
      <c r="Y2812" t="b">
        <f>IF(X2812&lt;&gt;"",VLOOKUP(X2812,game_rosters!$C$43:$E$64,3,FALSE))</f>
        <v>0</v>
      </c>
      <c r="Z2812" t="e" cm="1" vm="1">
        <f t="array" aca="1" ref="Z2812" ca="1">IFERROR(IF(_xlfn._xlws.FILTER(game_rosters!$J:$J,(game_rosters!$G:$G=events!$AN2812)*(game_rosters!$J:$J=events!$X2812))&gt;0,1,""),"")</f>
        <v>#VALUE!</v>
      </c>
      <c r="AA2812">
        <f t="shared" si="255"/>
        <v>1000</v>
      </c>
      <c r="AB2812" t="str">
        <f t="shared" si="256"/>
        <v/>
      </c>
      <c r="AC2812">
        <f t="shared" si="253"/>
        <v>1000</v>
      </c>
      <c r="AD2812" s="6"/>
    </row>
    <row r="2813" spans="1:30" x14ac:dyDescent="0.2">
      <c r="A2813" t="str">
        <f t="shared" si="254"/>
        <v/>
      </c>
      <c r="X2813" t="str" cm="1">
        <f t="array" ref="X2813">IF(S2813="","",IF($I2813&lt;&gt;"",$I2813,INDEX($I$2:$I2812,ROW()-COUNTIFS($T$2:$T2812,"="&amp;$T2813,$S$2:$S2812,"&lt;&gt;"&amp;$S2813)-1)))</f>
        <v/>
      </c>
      <c r="Y2813" t="b">
        <f>IF(X2813&lt;&gt;"",VLOOKUP(X2813,game_rosters!$C$43:$E$64,3,FALSE))</f>
        <v>0</v>
      </c>
      <c r="Z2813" t="e" cm="1" vm="1">
        <f t="array" aca="1" ref="Z2813" ca="1">IFERROR(IF(_xlfn._xlws.FILTER(game_rosters!$J:$J,(game_rosters!$G:$G=events!$AN2813)*(game_rosters!$J:$J=events!$X2813))&gt;0,1,""),"")</f>
        <v>#VALUE!</v>
      </c>
      <c r="AA2813">
        <f t="shared" si="255"/>
        <v>1000</v>
      </c>
      <c r="AB2813" t="str">
        <f t="shared" si="256"/>
        <v/>
      </c>
      <c r="AC2813">
        <f t="shared" si="253"/>
        <v>1000</v>
      </c>
      <c r="AD2813" s="6"/>
    </row>
    <row r="2814" spans="1:30" x14ac:dyDescent="0.2">
      <c r="A2814" t="str">
        <f t="shared" si="254"/>
        <v/>
      </c>
      <c r="X2814" t="str" cm="1">
        <f t="array" ref="X2814">IF(S2814="","",IF($I2814&lt;&gt;"",$I2814,INDEX($I$2:$I2813,ROW()-COUNTIFS($T$2:$T2813,"="&amp;$T2814,$S$2:$S2813,"&lt;&gt;"&amp;$S2814)-1)))</f>
        <v/>
      </c>
      <c r="Y2814" t="b">
        <f>IF(X2814&lt;&gt;"",VLOOKUP(X2814,game_rosters!$C$43:$E$64,3,FALSE))</f>
        <v>0</v>
      </c>
      <c r="Z2814" t="e" cm="1" vm="1">
        <f t="array" aca="1" ref="Z2814" ca="1">IFERROR(IF(_xlfn._xlws.FILTER(game_rosters!$J:$J,(game_rosters!$G:$G=events!$AN2814)*(game_rosters!$J:$J=events!$X2814))&gt;0,1,""),"")</f>
        <v>#VALUE!</v>
      </c>
      <c r="AA2814">
        <f t="shared" si="255"/>
        <v>1000</v>
      </c>
      <c r="AB2814" t="str">
        <f t="shared" si="256"/>
        <v/>
      </c>
      <c r="AC2814">
        <f t="shared" si="253"/>
        <v>1000</v>
      </c>
      <c r="AD2814" s="6"/>
    </row>
    <row r="2815" spans="1:30" x14ac:dyDescent="0.2">
      <c r="A2815" t="str">
        <f t="shared" si="254"/>
        <v/>
      </c>
      <c r="X2815" t="str" cm="1">
        <f t="array" ref="X2815">IF(S2815="","",IF($I2815&lt;&gt;"",$I2815,INDEX($I$2:$I2814,ROW()-COUNTIFS($T$2:$T2814,"="&amp;$T2815,$S$2:$S2814,"&lt;&gt;"&amp;$S2815)-1)))</f>
        <v/>
      </c>
      <c r="Y2815" t="b">
        <f>IF(X2815&lt;&gt;"",VLOOKUP(X2815,game_rosters!$C$43:$E$64,3,FALSE))</f>
        <v>0</v>
      </c>
      <c r="Z2815" t="e" cm="1" vm="1">
        <f t="array" aca="1" ref="Z2815" ca="1">IFERROR(IF(_xlfn._xlws.FILTER(game_rosters!$J:$J,(game_rosters!$G:$G=events!$AN2815)*(game_rosters!$J:$J=events!$X2815))&gt;0,1,""),"")</f>
        <v>#VALUE!</v>
      </c>
      <c r="AA2815">
        <f t="shared" si="255"/>
        <v>1000</v>
      </c>
      <c r="AB2815" t="str">
        <f t="shared" si="256"/>
        <v/>
      </c>
      <c r="AC2815">
        <f t="shared" si="253"/>
        <v>1000</v>
      </c>
      <c r="AD2815" s="6"/>
    </row>
    <row r="2816" spans="1:30" x14ac:dyDescent="0.2">
      <c r="A2816" t="str">
        <f t="shared" si="254"/>
        <v/>
      </c>
      <c r="X2816" t="str" cm="1">
        <f t="array" ref="X2816">IF(S2816="","",IF($I2816&lt;&gt;"",$I2816,INDEX($I$2:$I2815,ROW()-COUNTIFS($T$2:$T2815,"="&amp;$T2816,$S$2:$S2815,"&lt;&gt;"&amp;$S2816)-1)))</f>
        <v/>
      </c>
      <c r="Y2816" t="b">
        <f>IF(X2816&lt;&gt;"",VLOOKUP(X2816,game_rosters!$C$43:$E$64,3,FALSE))</f>
        <v>0</v>
      </c>
      <c r="Z2816" t="e" cm="1" vm="1">
        <f t="array" aca="1" ref="Z2816" ca="1">IFERROR(IF(_xlfn._xlws.FILTER(game_rosters!$J:$J,(game_rosters!$G:$G=events!$AN2816)*(game_rosters!$J:$J=events!$X2816))&gt;0,1,""),"")</f>
        <v>#VALUE!</v>
      </c>
      <c r="AA2816">
        <f t="shared" si="255"/>
        <v>1000</v>
      </c>
      <c r="AB2816" t="str">
        <f t="shared" si="256"/>
        <v/>
      </c>
      <c r="AC2816">
        <f t="shared" si="253"/>
        <v>1000</v>
      </c>
      <c r="AD2816" s="6"/>
    </row>
    <row r="2817" spans="1:30" x14ac:dyDescent="0.2">
      <c r="A2817" t="str">
        <f t="shared" si="254"/>
        <v/>
      </c>
      <c r="X2817" t="str" cm="1">
        <f t="array" ref="X2817">IF(S2817="","",IF($I2817&lt;&gt;"",$I2817,INDEX($I$2:$I2816,ROW()-COUNTIFS($T$2:$T2816,"="&amp;$T2817,$S$2:$S2816,"&lt;&gt;"&amp;$S2817)-1)))</f>
        <v/>
      </c>
      <c r="Y2817" t="b">
        <f>IF(X2817&lt;&gt;"",VLOOKUP(X2817,game_rosters!$C$43:$E$64,3,FALSE))</f>
        <v>0</v>
      </c>
      <c r="Z2817" t="e" cm="1" vm="1">
        <f t="array" aca="1" ref="Z2817" ca="1">IFERROR(IF(_xlfn._xlws.FILTER(game_rosters!$J:$J,(game_rosters!$G:$G=events!$AN2817)*(game_rosters!$J:$J=events!$X2817))&gt;0,1,""),"")</f>
        <v>#VALUE!</v>
      </c>
      <c r="AA2817">
        <f t="shared" si="255"/>
        <v>1000</v>
      </c>
      <c r="AB2817" t="str">
        <f t="shared" si="256"/>
        <v/>
      </c>
      <c r="AC2817">
        <f t="shared" si="253"/>
        <v>1000</v>
      </c>
      <c r="AD2817" s="6"/>
    </row>
    <row r="2818" spans="1:30" x14ac:dyDescent="0.2">
      <c r="A2818" t="str">
        <f t="shared" si="254"/>
        <v/>
      </c>
      <c r="X2818" t="str" cm="1">
        <f t="array" ref="X2818">IF(S2818="","",IF($I2818&lt;&gt;"",$I2818,INDEX($I$2:$I2817,ROW()-COUNTIFS($T$2:$T2817,"="&amp;$T2818,$S$2:$S2817,"&lt;&gt;"&amp;$S2818)-1)))</f>
        <v/>
      </c>
      <c r="Y2818" t="b">
        <f>IF(X2818&lt;&gt;"",VLOOKUP(X2818,game_rosters!$C$43:$E$64,3,FALSE))</f>
        <v>0</v>
      </c>
      <c r="Z2818" t="e" cm="1" vm="1">
        <f t="array" aca="1" ref="Z2818" ca="1">IFERROR(IF(_xlfn._xlws.FILTER(game_rosters!$J:$J,(game_rosters!$G:$G=events!$AN2818)*(game_rosters!$J:$J=events!$X2818))&gt;0,1,""),"")</f>
        <v>#VALUE!</v>
      </c>
      <c r="AA2818">
        <f t="shared" si="255"/>
        <v>1000</v>
      </c>
      <c r="AB2818" t="str">
        <f t="shared" si="256"/>
        <v/>
      </c>
      <c r="AC2818">
        <f t="shared" ref="AC2818:AC2881" si="257">IF(AB2818&lt;&gt;"",AB2818,S2818+1000)</f>
        <v>1000</v>
      </c>
      <c r="AD2818" s="6"/>
    </row>
    <row r="2819" spans="1:30" x14ac:dyDescent="0.2">
      <c r="A2819" t="str">
        <f t="shared" si="254"/>
        <v/>
      </c>
      <c r="X2819" t="str" cm="1">
        <f t="array" ref="X2819">IF(S2819="","",IF($I2819&lt;&gt;"",$I2819,INDEX($I$2:$I2818,ROW()-COUNTIFS($T$2:$T2818,"="&amp;$T2819,$S$2:$S2818,"&lt;&gt;"&amp;$S2819)-1)))</f>
        <v/>
      </c>
      <c r="Y2819" t="b">
        <f>IF(X2819&lt;&gt;"",VLOOKUP(X2819,game_rosters!$C$43:$E$64,3,FALSE))</f>
        <v>0</v>
      </c>
      <c r="Z2819" t="e" cm="1" vm="1">
        <f t="array" aca="1" ref="Z2819" ca="1">IFERROR(IF(_xlfn._xlws.FILTER(game_rosters!$J:$J,(game_rosters!$G:$G=events!$AN2819)*(game_rosters!$J:$J=events!$X2819))&gt;0,1,""),"")</f>
        <v>#VALUE!</v>
      </c>
      <c r="AA2819">
        <f t="shared" si="255"/>
        <v>1000</v>
      </c>
      <c r="AB2819" t="str">
        <f t="shared" si="256"/>
        <v/>
      </c>
      <c r="AC2819">
        <f t="shared" si="257"/>
        <v>1000</v>
      </c>
      <c r="AD2819" s="6"/>
    </row>
    <row r="2820" spans="1:30" x14ac:dyDescent="0.2">
      <c r="A2820" t="str">
        <f t="shared" si="254"/>
        <v/>
      </c>
      <c r="X2820" t="str" cm="1">
        <f t="array" ref="X2820">IF(S2820="","",IF($I2820&lt;&gt;"",$I2820,INDEX($I$2:$I2819,ROW()-COUNTIFS($T$2:$T2819,"="&amp;$T2820,$S$2:$S2819,"&lt;&gt;"&amp;$S2820)-1)))</f>
        <v/>
      </c>
      <c r="Y2820" t="b">
        <f>IF(X2820&lt;&gt;"",VLOOKUP(X2820,game_rosters!$C$43:$E$64,3,FALSE))</f>
        <v>0</v>
      </c>
      <c r="Z2820" t="e" cm="1" vm="1">
        <f t="array" aca="1" ref="Z2820" ca="1">IFERROR(IF(_xlfn._xlws.FILTER(game_rosters!$J:$J,(game_rosters!$G:$G=events!$AN2820)*(game_rosters!$J:$J=events!$X2820))&gt;0,1,""),"")</f>
        <v>#VALUE!</v>
      </c>
      <c r="AA2820">
        <f t="shared" si="255"/>
        <v>1000</v>
      </c>
      <c r="AB2820" t="str">
        <f t="shared" si="256"/>
        <v/>
      </c>
      <c r="AC2820">
        <f t="shared" si="257"/>
        <v>1000</v>
      </c>
      <c r="AD2820" s="6"/>
    </row>
    <row r="2821" spans="1:30" x14ac:dyDescent="0.2">
      <c r="A2821" t="str">
        <f t="shared" ref="A2821:A2884" si="258">IF(K2821&lt;&gt;"",1,IF(D2821="x","x",""))</f>
        <v/>
      </c>
      <c r="X2821" t="str" cm="1">
        <f t="array" ref="X2821">IF(S2821="","",IF($I2821&lt;&gt;"",$I2821,INDEX($I$2:$I2820,ROW()-COUNTIFS($T$2:$T2820,"="&amp;$T2821,$S$2:$S2820,"&lt;&gt;"&amp;$S2821)-1)))</f>
        <v/>
      </c>
      <c r="Y2821" t="b">
        <f>IF(X2821&lt;&gt;"",VLOOKUP(X2821,game_rosters!$C$43:$E$64,3,FALSE))</f>
        <v>0</v>
      </c>
      <c r="Z2821" t="e" cm="1" vm="1">
        <f t="array" aca="1" ref="Z2821" ca="1">IFERROR(IF(_xlfn._xlws.FILTER(game_rosters!$J:$J,(game_rosters!$G:$G=events!$AN2821)*(game_rosters!$J:$J=events!$X2821))&gt;0,1,""),"")</f>
        <v>#VALUE!</v>
      </c>
      <c r="AA2821">
        <f t="shared" si="255"/>
        <v>1000</v>
      </c>
      <c r="AB2821" t="str">
        <f t="shared" si="256"/>
        <v/>
      </c>
      <c r="AC2821">
        <f t="shared" si="257"/>
        <v>1000</v>
      </c>
      <c r="AD2821" s="6"/>
    </row>
    <row r="2822" spans="1:30" x14ac:dyDescent="0.2">
      <c r="A2822" t="str">
        <f t="shared" si="258"/>
        <v/>
      </c>
      <c r="X2822" t="str" cm="1">
        <f t="array" ref="X2822">IF(S2822="","",IF($I2822&lt;&gt;"",$I2822,INDEX($I$2:$I2821,ROW()-COUNTIFS($T$2:$T2821,"="&amp;$T2822,$S$2:$S2821,"&lt;&gt;"&amp;$S2822)-1)))</f>
        <v/>
      </c>
      <c r="Y2822" t="b">
        <f>IF(X2822&lt;&gt;"",VLOOKUP(X2822,game_rosters!$C$43:$E$64,3,FALSE))</f>
        <v>0</v>
      </c>
      <c r="Z2822" t="e" cm="1" vm="1">
        <f t="array" aca="1" ref="Z2822" ca="1">IFERROR(IF(_xlfn._xlws.FILTER(game_rosters!$J:$J,(game_rosters!$G:$G=events!$AN2822)*(game_rosters!$J:$J=events!$X2822))&gt;0,1,""),"")</f>
        <v>#VALUE!</v>
      </c>
      <c r="AA2822">
        <f t="shared" si="255"/>
        <v>1000</v>
      </c>
      <c r="AB2822" t="str">
        <f t="shared" si="256"/>
        <v/>
      </c>
      <c r="AC2822">
        <f t="shared" si="257"/>
        <v>1000</v>
      </c>
      <c r="AD2822" s="6"/>
    </row>
    <row r="2823" spans="1:30" x14ac:dyDescent="0.2">
      <c r="A2823" t="str">
        <f t="shared" si="258"/>
        <v/>
      </c>
      <c r="X2823" t="str" cm="1">
        <f t="array" ref="X2823">IF(S2823="","",IF($I2823&lt;&gt;"",$I2823,INDEX($I$2:$I2822,ROW()-COUNTIFS($T$2:$T2822,"="&amp;$T2823,$S$2:$S2822,"&lt;&gt;"&amp;$S2823)-1)))</f>
        <v/>
      </c>
      <c r="Y2823" t="b">
        <f>IF(X2823&lt;&gt;"",VLOOKUP(X2823,game_rosters!$C$43:$E$64,3,FALSE))</f>
        <v>0</v>
      </c>
      <c r="Z2823" t="e" cm="1" vm="1">
        <f t="array" aca="1" ref="Z2823" ca="1">IFERROR(IF(_xlfn._xlws.FILTER(game_rosters!$J:$J,(game_rosters!$G:$G=events!$AN2823)*(game_rosters!$J:$J=events!$X2823))&gt;0,1,""),"")</f>
        <v>#VALUE!</v>
      </c>
      <c r="AA2823">
        <f t="shared" si="255"/>
        <v>1000</v>
      </c>
      <c r="AB2823" t="str">
        <f t="shared" si="256"/>
        <v/>
      </c>
      <c r="AC2823">
        <f t="shared" si="257"/>
        <v>1000</v>
      </c>
      <c r="AD2823" s="6"/>
    </row>
    <row r="2824" spans="1:30" x14ac:dyDescent="0.2">
      <c r="A2824" t="str">
        <f t="shared" si="258"/>
        <v/>
      </c>
      <c r="X2824" t="str" cm="1">
        <f t="array" ref="X2824">IF(S2824="","",IF($I2824&lt;&gt;"",$I2824,INDEX($I$2:$I2823,ROW()-COUNTIFS($T$2:$T2823,"="&amp;$T2824,$S$2:$S2823,"&lt;&gt;"&amp;$S2824)-1)))</f>
        <v/>
      </c>
      <c r="Y2824" t="b">
        <f>IF(X2824&lt;&gt;"",VLOOKUP(X2824,game_rosters!$C$43:$E$64,3,FALSE))</f>
        <v>0</v>
      </c>
      <c r="Z2824" t="e" cm="1" vm="1">
        <f t="array" aca="1" ref="Z2824" ca="1">IFERROR(IF(_xlfn._xlws.FILTER(game_rosters!$J:$J,(game_rosters!$G:$G=events!$AN2824)*(game_rosters!$J:$J=events!$X2824))&gt;0,1,""),"")</f>
        <v>#VALUE!</v>
      </c>
      <c r="AA2824">
        <f t="shared" si="255"/>
        <v>1000</v>
      </c>
      <c r="AB2824" t="str">
        <f t="shared" si="256"/>
        <v/>
      </c>
      <c r="AC2824">
        <f t="shared" si="257"/>
        <v>1000</v>
      </c>
      <c r="AD2824" s="6"/>
    </row>
    <row r="2825" spans="1:30" x14ac:dyDescent="0.2">
      <c r="A2825" t="str">
        <f t="shared" si="258"/>
        <v/>
      </c>
      <c r="X2825" t="str" cm="1">
        <f t="array" ref="X2825">IF(S2825="","",IF($I2825&lt;&gt;"",$I2825,INDEX($I$2:$I2824,ROW()-COUNTIFS($T$2:$T2824,"="&amp;$T2825,$S$2:$S2824,"&lt;&gt;"&amp;$S2825)-1)))</f>
        <v/>
      </c>
      <c r="Y2825" t="b">
        <f>IF(X2825&lt;&gt;"",VLOOKUP(X2825,game_rosters!$C$43:$E$64,3,FALSE))</f>
        <v>0</v>
      </c>
      <c r="Z2825" t="e" cm="1" vm="1">
        <f t="array" aca="1" ref="Z2825" ca="1">IFERROR(IF(_xlfn._xlws.FILTER(game_rosters!$J:$J,(game_rosters!$G:$G=events!$AN2825)*(game_rosters!$J:$J=events!$X2825))&gt;0,1,""),"")</f>
        <v>#VALUE!</v>
      </c>
      <c r="AA2825">
        <f t="shared" si="255"/>
        <v>1000</v>
      </c>
      <c r="AB2825" t="str">
        <f t="shared" si="256"/>
        <v/>
      </c>
      <c r="AC2825">
        <f t="shared" si="257"/>
        <v>1000</v>
      </c>
      <c r="AD2825" s="6"/>
    </row>
    <row r="2826" spans="1:30" x14ac:dyDescent="0.2">
      <c r="A2826" t="str">
        <f t="shared" si="258"/>
        <v/>
      </c>
      <c r="X2826" t="str" cm="1">
        <f t="array" ref="X2826">IF(S2826="","",IF($I2826&lt;&gt;"",$I2826,INDEX($I$2:$I2825,ROW()-COUNTIFS($T$2:$T2825,"="&amp;$T2826,$S$2:$S2825,"&lt;&gt;"&amp;$S2826)-1)))</f>
        <v/>
      </c>
      <c r="Y2826" t="b">
        <f>IF(X2826&lt;&gt;"",VLOOKUP(X2826,game_rosters!$C$43:$E$64,3,FALSE))</f>
        <v>0</v>
      </c>
      <c r="Z2826" t="e" cm="1" vm="1">
        <f t="array" aca="1" ref="Z2826" ca="1">IFERROR(IF(_xlfn._xlws.FILTER(game_rosters!$J:$J,(game_rosters!$G:$G=events!$AN2826)*(game_rosters!$J:$J=events!$X2826))&gt;0,1,""),"")</f>
        <v>#VALUE!</v>
      </c>
      <c r="AA2826">
        <f t="shared" si="255"/>
        <v>1000</v>
      </c>
      <c r="AB2826" t="str">
        <f t="shared" si="256"/>
        <v/>
      </c>
      <c r="AC2826">
        <f t="shared" si="257"/>
        <v>1000</v>
      </c>
      <c r="AD2826" s="6"/>
    </row>
    <row r="2827" spans="1:30" x14ac:dyDescent="0.2">
      <c r="A2827" t="str">
        <f t="shared" si="258"/>
        <v/>
      </c>
      <c r="X2827" t="str" cm="1">
        <f t="array" ref="X2827">IF(S2827="","",IF($I2827&lt;&gt;"",$I2827,INDEX($I$2:$I2826,ROW()-COUNTIFS($T$2:$T2826,"="&amp;$T2827,$S$2:$S2826,"&lt;&gt;"&amp;$S2827)-1)))</f>
        <v/>
      </c>
      <c r="Y2827" t="b">
        <f>IF(X2827&lt;&gt;"",VLOOKUP(X2827,game_rosters!$C$43:$E$64,3,FALSE))</f>
        <v>0</v>
      </c>
      <c r="Z2827" t="e" cm="1" vm="1">
        <f t="array" aca="1" ref="Z2827" ca="1">IFERROR(IF(_xlfn._xlws.FILTER(game_rosters!$J:$J,(game_rosters!$G:$G=events!$AN2827)*(game_rosters!$J:$J=events!$X2827))&gt;0,1,""),"")</f>
        <v>#VALUE!</v>
      </c>
      <c r="AA2827">
        <f t="shared" si="255"/>
        <v>1000</v>
      </c>
      <c r="AB2827" t="str">
        <f t="shared" si="256"/>
        <v/>
      </c>
      <c r="AC2827">
        <f t="shared" si="257"/>
        <v>1000</v>
      </c>
      <c r="AD2827" s="6"/>
    </row>
    <row r="2828" spans="1:30" x14ac:dyDescent="0.2">
      <c r="A2828" t="str">
        <f t="shared" si="258"/>
        <v/>
      </c>
      <c r="X2828" t="str" cm="1">
        <f t="array" ref="X2828">IF(S2828="","",IF($I2828&lt;&gt;"",$I2828,INDEX($I$2:$I2827,ROW()-COUNTIFS($T$2:$T2827,"="&amp;$T2828,$S$2:$S2827,"&lt;&gt;"&amp;$S2828)-1)))</f>
        <v/>
      </c>
      <c r="Y2828" t="b">
        <f>IF(X2828&lt;&gt;"",VLOOKUP(X2828,game_rosters!$C$43:$E$64,3,FALSE))</f>
        <v>0</v>
      </c>
      <c r="Z2828" t="e" cm="1" vm="1">
        <f t="array" aca="1" ref="Z2828" ca="1">IFERROR(IF(_xlfn._xlws.FILTER(game_rosters!$J:$J,(game_rosters!$G:$G=events!$AN2828)*(game_rosters!$J:$J=events!$X2828))&gt;0,1,""),"")</f>
        <v>#VALUE!</v>
      </c>
      <c r="AA2828">
        <f t="shared" si="255"/>
        <v>1000</v>
      </c>
      <c r="AB2828" t="str">
        <f t="shared" si="256"/>
        <v/>
      </c>
      <c r="AC2828">
        <f t="shared" si="257"/>
        <v>1000</v>
      </c>
      <c r="AD2828" s="6"/>
    </row>
    <row r="2829" spans="1:30" x14ac:dyDescent="0.2">
      <c r="A2829" t="str">
        <f t="shared" si="258"/>
        <v/>
      </c>
      <c r="X2829" t="str" cm="1">
        <f t="array" ref="X2829">IF(S2829="","",IF($I2829&lt;&gt;"",$I2829,INDEX($I$2:$I2828,ROW()-COUNTIFS($T$2:$T2828,"="&amp;$T2829,$S$2:$S2828,"&lt;&gt;"&amp;$S2829)-1)))</f>
        <v/>
      </c>
      <c r="Y2829" t="b">
        <f>IF(X2829&lt;&gt;"",VLOOKUP(X2829,game_rosters!$C$43:$E$64,3,FALSE))</f>
        <v>0</v>
      </c>
      <c r="Z2829" t="e" cm="1" vm="1">
        <f t="array" aca="1" ref="Z2829" ca="1">IFERROR(IF(_xlfn._xlws.FILTER(game_rosters!$J:$J,(game_rosters!$G:$G=events!$AN2829)*(game_rosters!$J:$J=events!$X2829))&gt;0,1,""),"")</f>
        <v>#VALUE!</v>
      </c>
      <c r="AA2829">
        <f t="shared" si="255"/>
        <v>1000</v>
      </c>
      <c r="AB2829" t="str">
        <f t="shared" si="256"/>
        <v/>
      </c>
      <c r="AC2829">
        <f t="shared" si="257"/>
        <v>1000</v>
      </c>
      <c r="AD2829" s="6"/>
    </row>
    <row r="2830" spans="1:30" x14ac:dyDescent="0.2">
      <c r="A2830" t="str">
        <f t="shared" si="258"/>
        <v/>
      </c>
      <c r="X2830" t="str" cm="1">
        <f t="array" ref="X2830">IF(S2830="","",IF($I2830&lt;&gt;"",$I2830,INDEX($I$2:$I2829,ROW()-COUNTIFS($T$2:$T2829,"="&amp;$T2830,$S$2:$S2829,"&lt;&gt;"&amp;$S2830)-1)))</f>
        <v/>
      </c>
      <c r="Y2830" t="b">
        <f>IF(X2830&lt;&gt;"",VLOOKUP(X2830,game_rosters!$C$43:$E$64,3,FALSE))</f>
        <v>0</v>
      </c>
      <c r="Z2830" t="e" cm="1" vm="1">
        <f t="array" aca="1" ref="Z2830" ca="1">IFERROR(IF(_xlfn._xlws.FILTER(game_rosters!$J:$J,(game_rosters!$G:$G=events!$AN2830)*(game_rosters!$J:$J=events!$X2830))&gt;0,1,""),"")</f>
        <v>#VALUE!</v>
      </c>
      <c r="AA2830">
        <f t="shared" si="255"/>
        <v>1000</v>
      </c>
      <c r="AB2830" t="str">
        <f t="shared" si="256"/>
        <v/>
      </c>
      <c r="AC2830">
        <f t="shared" si="257"/>
        <v>1000</v>
      </c>
      <c r="AD2830" s="6"/>
    </row>
    <row r="2831" spans="1:30" x14ac:dyDescent="0.2">
      <c r="A2831" t="str">
        <f t="shared" si="258"/>
        <v/>
      </c>
      <c r="X2831" t="str" cm="1">
        <f t="array" ref="X2831">IF(S2831="","",IF($I2831&lt;&gt;"",$I2831,INDEX($I$2:$I2830,ROW()-COUNTIFS($T$2:$T2830,"="&amp;$T2831,$S$2:$S2830,"&lt;&gt;"&amp;$S2831)-1)))</f>
        <v/>
      </c>
      <c r="Y2831" t="b">
        <f>IF(X2831&lt;&gt;"",VLOOKUP(X2831,game_rosters!$C$43:$E$64,3,FALSE))</f>
        <v>0</v>
      </c>
      <c r="Z2831" t="e" cm="1" vm="1">
        <f t="array" aca="1" ref="Z2831" ca="1">IFERROR(IF(_xlfn._xlws.FILTER(game_rosters!$J:$J,(game_rosters!$G:$G=events!$AN2831)*(game_rosters!$J:$J=events!$X2831))&gt;0,1,""),"")</f>
        <v>#VALUE!</v>
      </c>
      <c r="AA2831">
        <f t="shared" si="255"/>
        <v>1000</v>
      </c>
      <c r="AB2831" t="str">
        <f t="shared" si="256"/>
        <v/>
      </c>
      <c r="AC2831">
        <f t="shared" si="257"/>
        <v>1000</v>
      </c>
      <c r="AD2831" s="6"/>
    </row>
    <row r="2832" spans="1:30" x14ac:dyDescent="0.2">
      <c r="A2832" t="str">
        <f t="shared" si="258"/>
        <v/>
      </c>
      <c r="X2832" t="str" cm="1">
        <f t="array" ref="X2832">IF(S2832="","",IF($I2832&lt;&gt;"",$I2832,INDEX($I$2:$I2831,ROW()-COUNTIFS($T$2:$T2831,"="&amp;$T2832,$S$2:$S2831,"&lt;&gt;"&amp;$S2832)-1)))</f>
        <v/>
      </c>
      <c r="Y2832" t="b">
        <f>IF(X2832&lt;&gt;"",VLOOKUP(X2832,game_rosters!$C$43:$E$64,3,FALSE))</f>
        <v>0</v>
      </c>
      <c r="Z2832" t="e" cm="1" vm="1">
        <f t="array" aca="1" ref="Z2832" ca="1">IFERROR(IF(_xlfn._xlws.FILTER(game_rosters!$J:$J,(game_rosters!$G:$G=events!$AN2832)*(game_rosters!$J:$J=events!$X2832))&gt;0,1,""),"")</f>
        <v>#VALUE!</v>
      </c>
      <c r="AA2832">
        <f t="shared" si="255"/>
        <v>1000</v>
      </c>
      <c r="AB2832" t="str">
        <f t="shared" si="256"/>
        <v/>
      </c>
      <c r="AC2832">
        <f t="shared" si="257"/>
        <v>1000</v>
      </c>
      <c r="AD2832" s="6"/>
    </row>
    <row r="2833" spans="1:30" x14ac:dyDescent="0.2">
      <c r="A2833" t="str">
        <f t="shared" si="258"/>
        <v/>
      </c>
      <c r="X2833" t="str" cm="1">
        <f t="array" ref="X2833">IF(S2833="","",IF($I2833&lt;&gt;"",$I2833,INDEX($I$2:$I2832,ROW()-COUNTIFS($T$2:$T2832,"="&amp;$T2833,$S$2:$S2832,"&lt;&gt;"&amp;$S2833)-1)))</f>
        <v/>
      </c>
      <c r="Y2833" t="b">
        <f>IF(X2833&lt;&gt;"",VLOOKUP(X2833,game_rosters!$C$43:$E$64,3,FALSE))</f>
        <v>0</v>
      </c>
      <c r="Z2833" t="e" cm="1" vm="1">
        <f t="array" aca="1" ref="Z2833" ca="1">IFERROR(IF(_xlfn._xlws.FILTER(game_rosters!$J:$J,(game_rosters!$G:$G=events!$AN2833)*(game_rosters!$J:$J=events!$X2833))&gt;0,1,""),"")</f>
        <v>#VALUE!</v>
      </c>
      <c r="AA2833">
        <f t="shared" si="255"/>
        <v>1000</v>
      </c>
      <c r="AB2833" t="str">
        <f t="shared" si="256"/>
        <v/>
      </c>
      <c r="AC2833">
        <f t="shared" si="257"/>
        <v>1000</v>
      </c>
      <c r="AD2833" s="6"/>
    </row>
    <row r="2834" spans="1:30" x14ac:dyDescent="0.2">
      <c r="A2834" t="str">
        <f t="shared" si="258"/>
        <v/>
      </c>
      <c r="X2834" t="str" cm="1">
        <f t="array" ref="X2834">IF(S2834="","",IF($I2834&lt;&gt;"",$I2834,INDEX($I$2:$I2833,ROW()-COUNTIFS($T$2:$T2833,"="&amp;$T2834,$S$2:$S2833,"&lt;&gt;"&amp;$S2834)-1)))</f>
        <v/>
      </c>
      <c r="Y2834" t="b">
        <f>IF(X2834&lt;&gt;"",VLOOKUP(X2834,game_rosters!$C$43:$E$64,3,FALSE))</f>
        <v>0</v>
      </c>
      <c r="Z2834" t="e" cm="1" vm="1">
        <f t="array" aca="1" ref="Z2834" ca="1">IFERROR(IF(_xlfn._xlws.FILTER(game_rosters!$J:$J,(game_rosters!$G:$G=events!$AN2834)*(game_rosters!$J:$J=events!$X2834))&gt;0,1,""),"")</f>
        <v>#VALUE!</v>
      </c>
      <c r="AA2834">
        <f t="shared" si="255"/>
        <v>1000</v>
      </c>
      <c r="AB2834" t="str">
        <f t="shared" si="256"/>
        <v/>
      </c>
      <c r="AC2834">
        <f t="shared" si="257"/>
        <v>1000</v>
      </c>
      <c r="AD2834" s="6"/>
    </row>
    <row r="2835" spans="1:30" x14ac:dyDescent="0.2">
      <c r="A2835" t="str">
        <f t="shared" si="258"/>
        <v/>
      </c>
      <c r="X2835" t="str" cm="1">
        <f t="array" ref="X2835">IF(S2835="","",IF($I2835&lt;&gt;"",$I2835,INDEX($I$2:$I2834,ROW()-COUNTIFS($T$2:$T2834,"="&amp;$T2835,$S$2:$S2834,"&lt;&gt;"&amp;$S2835)-1)))</f>
        <v/>
      </c>
      <c r="Y2835" t="b">
        <f>IF(X2835&lt;&gt;"",VLOOKUP(X2835,game_rosters!$C$43:$E$64,3,FALSE))</f>
        <v>0</v>
      </c>
      <c r="Z2835" t="e" cm="1" vm="1">
        <f t="array" aca="1" ref="Z2835" ca="1">IFERROR(IF(_xlfn._xlws.FILTER(game_rosters!$J:$J,(game_rosters!$G:$G=events!$AN2835)*(game_rosters!$J:$J=events!$X2835))&gt;0,1,""),"")</f>
        <v>#VALUE!</v>
      </c>
      <c r="AA2835">
        <f t="shared" si="255"/>
        <v>1000</v>
      </c>
      <c r="AB2835" t="str">
        <f t="shared" si="256"/>
        <v/>
      </c>
      <c r="AC2835">
        <f t="shared" si="257"/>
        <v>1000</v>
      </c>
      <c r="AD2835" s="6"/>
    </row>
    <row r="2836" spans="1:30" x14ac:dyDescent="0.2">
      <c r="A2836" t="str">
        <f t="shared" si="258"/>
        <v/>
      </c>
      <c r="X2836" t="str" cm="1">
        <f t="array" ref="X2836">IF(S2836="","",IF($I2836&lt;&gt;"",$I2836,INDEX($I$2:$I2835,ROW()-COUNTIFS($T$2:$T2835,"="&amp;$T2836,$S$2:$S2835,"&lt;&gt;"&amp;$S2836)-1)))</f>
        <v/>
      </c>
      <c r="Y2836" t="b">
        <f>IF(X2836&lt;&gt;"",VLOOKUP(X2836,game_rosters!$C$43:$E$64,3,FALSE))</f>
        <v>0</v>
      </c>
      <c r="Z2836" t="e" cm="1" vm="1">
        <f t="array" aca="1" ref="Z2836" ca="1">IFERROR(IF(_xlfn._xlws.FILTER(game_rosters!$J:$J,(game_rosters!$G:$G=events!$AN2836)*(game_rosters!$J:$J=events!$X2836))&gt;0,1,""),"")</f>
        <v>#VALUE!</v>
      </c>
      <c r="AA2836">
        <f t="shared" si="255"/>
        <v>1000</v>
      </c>
      <c r="AB2836" t="str">
        <f t="shared" si="256"/>
        <v/>
      </c>
      <c r="AC2836">
        <f t="shared" si="257"/>
        <v>1000</v>
      </c>
      <c r="AD2836" s="6"/>
    </row>
    <row r="2837" spans="1:30" x14ac:dyDescent="0.2">
      <c r="A2837" t="str">
        <f t="shared" si="258"/>
        <v/>
      </c>
      <c r="X2837" t="str" cm="1">
        <f t="array" ref="X2837">IF(S2837="","",IF($I2837&lt;&gt;"",$I2837,INDEX($I$2:$I2836,ROW()-COUNTIFS($T$2:$T2836,"="&amp;$T2837,$S$2:$S2836,"&lt;&gt;"&amp;$S2837)-1)))</f>
        <v/>
      </c>
      <c r="Y2837" t="b">
        <f>IF(X2837&lt;&gt;"",VLOOKUP(X2837,game_rosters!$C$43:$E$64,3,FALSE))</f>
        <v>0</v>
      </c>
      <c r="Z2837" t="e" cm="1" vm="1">
        <f t="array" aca="1" ref="Z2837" ca="1">IFERROR(IF(_xlfn._xlws.FILTER(game_rosters!$J:$J,(game_rosters!$G:$G=events!$AN2837)*(game_rosters!$J:$J=events!$X2837))&gt;0,1,""),"")</f>
        <v>#VALUE!</v>
      </c>
      <c r="AA2837">
        <f t="shared" si="255"/>
        <v>1000</v>
      </c>
      <c r="AB2837" t="str">
        <f t="shared" si="256"/>
        <v/>
      </c>
      <c r="AC2837">
        <f t="shared" si="257"/>
        <v>1000</v>
      </c>
      <c r="AD2837" s="6"/>
    </row>
    <row r="2838" spans="1:30" x14ac:dyDescent="0.2">
      <c r="A2838" t="str">
        <f t="shared" si="258"/>
        <v/>
      </c>
      <c r="X2838" t="str" cm="1">
        <f t="array" ref="X2838">IF(S2838="","",IF($I2838&lt;&gt;"",$I2838,INDEX($I$2:$I2837,ROW()-COUNTIFS($T$2:$T2837,"="&amp;$T2838,$S$2:$S2837,"&lt;&gt;"&amp;$S2838)-1)))</f>
        <v/>
      </c>
      <c r="Y2838" t="b">
        <f>IF(X2838&lt;&gt;"",VLOOKUP(X2838,game_rosters!$C$43:$E$64,3,FALSE))</f>
        <v>0</v>
      </c>
      <c r="Z2838" t="e" cm="1" vm="1">
        <f t="array" aca="1" ref="Z2838" ca="1">IFERROR(IF(_xlfn._xlws.FILTER(game_rosters!$J:$J,(game_rosters!$G:$G=events!$AN2838)*(game_rosters!$J:$J=events!$X2838))&gt;0,1,""),"")</f>
        <v>#VALUE!</v>
      </c>
      <c r="AA2838">
        <f t="shared" si="255"/>
        <v>1000</v>
      </c>
      <c r="AB2838" t="str">
        <f t="shared" si="256"/>
        <v/>
      </c>
      <c r="AC2838">
        <f t="shared" si="257"/>
        <v>1000</v>
      </c>
      <c r="AD2838" s="6"/>
    </row>
    <row r="2839" spans="1:30" x14ac:dyDescent="0.2">
      <c r="A2839" t="str">
        <f t="shared" si="258"/>
        <v/>
      </c>
      <c r="X2839" t="str" cm="1">
        <f t="array" ref="X2839">IF(S2839="","",IF($I2839&lt;&gt;"",$I2839,INDEX($I$2:$I2838,ROW()-COUNTIFS($T$2:$T2838,"="&amp;$T2839,$S$2:$S2838,"&lt;&gt;"&amp;$S2839)-1)))</f>
        <v/>
      </c>
      <c r="Y2839" t="b">
        <f>IF(X2839&lt;&gt;"",VLOOKUP(X2839,game_rosters!$C$43:$E$64,3,FALSE))</f>
        <v>0</v>
      </c>
      <c r="Z2839" t="e" cm="1" vm="1">
        <f t="array" aca="1" ref="Z2839" ca="1">IFERROR(IF(_xlfn._xlws.FILTER(game_rosters!$J:$J,(game_rosters!$G:$G=events!$AN2839)*(game_rosters!$J:$J=events!$X2839))&gt;0,1,""),"")</f>
        <v>#VALUE!</v>
      </c>
      <c r="AA2839">
        <f t="shared" si="255"/>
        <v>1000</v>
      </c>
      <c r="AB2839" t="str">
        <f t="shared" si="256"/>
        <v/>
      </c>
      <c r="AC2839">
        <f t="shared" si="257"/>
        <v>1000</v>
      </c>
      <c r="AD2839" s="6"/>
    </row>
    <row r="2840" spans="1:30" x14ac:dyDescent="0.2">
      <c r="A2840" t="str">
        <f t="shared" si="258"/>
        <v/>
      </c>
      <c r="X2840" t="str" cm="1">
        <f t="array" ref="X2840">IF(S2840="","",IF($I2840&lt;&gt;"",$I2840,INDEX($I$2:$I2839,ROW()-COUNTIFS($T$2:$T2839,"="&amp;$T2840,$S$2:$S2839,"&lt;&gt;"&amp;$S2840)-1)))</f>
        <v/>
      </c>
      <c r="Y2840" t="b">
        <f>IF(X2840&lt;&gt;"",VLOOKUP(X2840,game_rosters!$C$43:$E$64,3,FALSE))</f>
        <v>0</v>
      </c>
      <c r="Z2840" t="e" cm="1" vm="1">
        <f t="array" aca="1" ref="Z2840" ca="1">IFERROR(IF(_xlfn._xlws.FILTER(game_rosters!$J:$J,(game_rosters!$G:$G=events!$AN2840)*(game_rosters!$J:$J=events!$X2840))&gt;0,1,""),"")</f>
        <v>#VALUE!</v>
      </c>
      <c r="AA2840">
        <f t="shared" si="255"/>
        <v>1000</v>
      </c>
      <c r="AB2840" t="str">
        <f t="shared" si="256"/>
        <v/>
      </c>
      <c r="AC2840">
        <f t="shared" si="257"/>
        <v>1000</v>
      </c>
      <c r="AD2840" s="6"/>
    </row>
    <row r="2841" spans="1:30" x14ac:dyDescent="0.2">
      <c r="A2841" t="str">
        <f t="shared" si="258"/>
        <v/>
      </c>
      <c r="X2841" t="str" cm="1">
        <f t="array" ref="X2841">IF(S2841="","",IF($I2841&lt;&gt;"",$I2841,INDEX($I$2:$I2840,ROW()-COUNTIFS($T$2:$T2840,"="&amp;$T2841,$S$2:$S2840,"&lt;&gt;"&amp;$S2841)-1)))</f>
        <v/>
      </c>
      <c r="Y2841" t="b">
        <f>IF(X2841&lt;&gt;"",VLOOKUP(X2841,game_rosters!$C$43:$E$64,3,FALSE))</f>
        <v>0</v>
      </c>
      <c r="Z2841" t="e" cm="1" vm="1">
        <f t="array" aca="1" ref="Z2841" ca="1">IFERROR(IF(_xlfn._xlws.FILTER(game_rosters!$J:$J,(game_rosters!$G:$G=events!$AN2841)*(game_rosters!$J:$J=events!$X2841))&gt;0,1,""),"")</f>
        <v>#VALUE!</v>
      </c>
      <c r="AA2841">
        <f t="shared" si="255"/>
        <v>1000</v>
      </c>
      <c r="AB2841" t="str">
        <f t="shared" si="256"/>
        <v/>
      </c>
      <c r="AC2841">
        <f t="shared" si="257"/>
        <v>1000</v>
      </c>
      <c r="AD2841" s="6"/>
    </row>
    <row r="2842" spans="1:30" x14ac:dyDescent="0.2">
      <c r="A2842" t="str">
        <f t="shared" si="258"/>
        <v/>
      </c>
      <c r="X2842" t="str" cm="1">
        <f t="array" ref="X2842">IF(S2842="","",IF($I2842&lt;&gt;"",$I2842,INDEX($I$2:$I2841,ROW()-COUNTIFS($T$2:$T2841,"="&amp;$T2842,$S$2:$S2841,"&lt;&gt;"&amp;$S2842)-1)))</f>
        <v/>
      </c>
      <c r="Y2842" t="b">
        <f>IF(X2842&lt;&gt;"",VLOOKUP(X2842,game_rosters!$C$43:$E$64,3,FALSE))</f>
        <v>0</v>
      </c>
      <c r="Z2842" t="e" cm="1" vm="1">
        <f t="array" aca="1" ref="Z2842" ca="1">IFERROR(IF(_xlfn._xlws.FILTER(game_rosters!$J:$J,(game_rosters!$G:$G=events!$AN2842)*(game_rosters!$J:$J=events!$X2842))&gt;0,1,""),"")</f>
        <v>#VALUE!</v>
      </c>
      <c r="AA2842">
        <f t="shared" si="255"/>
        <v>1000</v>
      </c>
      <c r="AB2842" t="str">
        <f t="shared" si="256"/>
        <v/>
      </c>
      <c r="AC2842">
        <f t="shared" si="257"/>
        <v>1000</v>
      </c>
      <c r="AD2842" s="6"/>
    </row>
    <row r="2843" spans="1:30" x14ac:dyDescent="0.2">
      <c r="A2843" t="str">
        <f t="shared" si="258"/>
        <v/>
      </c>
      <c r="X2843" t="str" cm="1">
        <f t="array" ref="X2843">IF(S2843="","",IF($I2843&lt;&gt;"",$I2843,INDEX($I$2:$I2842,ROW()-COUNTIFS($T$2:$T2842,"="&amp;$T2843,$S$2:$S2842,"&lt;&gt;"&amp;$S2843)-1)))</f>
        <v/>
      </c>
      <c r="Y2843" t="b">
        <f>IF(X2843&lt;&gt;"",VLOOKUP(X2843,game_rosters!$C$43:$E$64,3,FALSE))</f>
        <v>0</v>
      </c>
      <c r="Z2843" t="e" cm="1" vm="1">
        <f t="array" aca="1" ref="Z2843" ca="1">IFERROR(IF(_xlfn._xlws.FILTER(game_rosters!$J:$J,(game_rosters!$G:$G=events!$AN2843)*(game_rosters!$J:$J=events!$X2843))&gt;0,1,""),"")</f>
        <v>#VALUE!</v>
      </c>
      <c r="AA2843">
        <f t="shared" si="255"/>
        <v>1000</v>
      </c>
      <c r="AB2843" t="str">
        <f t="shared" si="256"/>
        <v/>
      </c>
      <c r="AC2843">
        <f t="shared" si="257"/>
        <v>1000</v>
      </c>
      <c r="AD2843" s="6"/>
    </row>
    <row r="2844" spans="1:30" x14ac:dyDescent="0.2">
      <c r="A2844" t="str">
        <f t="shared" si="258"/>
        <v/>
      </c>
      <c r="X2844" t="str" cm="1">
        <f t="array" ref="X2844">IF(S2844="","",IF($I2844&lt;&gt;"",$I2844,INDEX($I$2:$I2843,ROW()-COUNTIFS($T$2:$T2843,"="&amp;$T2844,$S$2:$S2843,"&lt;&gt;"&amp;$S2844)-1)))</f>
        <v/>
      </c>
      <c r="Y2844" t="b">
        <f>IF(X2844&lt;&gt;"",VLOOKUP(X2844,game_rosters!$C$43:$E$64,3,FALSE))</f>
        <v>0</v>
      </c>
      <c r="Z2844" t="e" cm="1" vm="1">
        <f t="array" aca="1" ref="Z2844" ca="1">IFERROR(IF(_xlfn._xlws.FILTER(game_rosters!$J:$J,(game_rosters!$G:$G=events!$AN2844)*(game_rosters!$J:$J=events!$X2844))&gt;0,1,""),"")</f>
        <v>#VALUE!</v>
      </c>
      <c r="AA2844">
        <f t="shared" si="255"/>
        <v>1000</v>
      </c>
      <c r="AB2844" t="str">
        <f t="shared" si="256"/>
        <v/>
      </c>
      <c r="AC2844">
        <f t="shared" si="257"/>
        <v>1000</v>
      </c>
      <c r="AD2844" s="6"/>
    </row>
    <row r="2845" spans="1:30" x14ac:dyDescent="0.2">
      <c r="A2845" t="str">
        <f t="shared" si="258"/>
        <v/>
      </c>
      <c r="X2845" t="str" cm="1">
        <f t="array" ref="X2845">IF(S2845="","",IF($I2845&lt;&gt;"",$I2845,INDEX($I$2:$I2844,ROW()-COUNTIFS($T$2:$T2844,"="&amp;$T2845,$S$2:$S2844,"&lt;&gt;"&amp;$S2845)-1)))</f>
        <v/>
      </c>
      <c r="Y2845" t="b">
        <f>IF(X2845&lt;&gt;"",VLOOKUP(X2845,game_rosters!$C$43:$E$64,3,FALSE))</f>
        <v>0</v>
      </c>
      <c r="Z2845" t="e" cm="1" vm="1">
        <f t="array" aca="1" ref="Z2845" ca="1">IFERROR(IF(_xlfn._xlws.FILTER(game_rosters!$J:$J,(game_rosters!$G:$G=events!$AN2845)*(game_rosters!$J:$J=events!$X2845))&gt;0,1,""),"")</f>
        <v>#VALUE!</v>
      </c>
      <c r="AA2845">
        <f t="shared" ref="AA2845:AA2908" si="259">S2845+1000</f>
        <v>1000</v>
      </c>
      <c r="AB2845" t="str">
        <f t="shared" ref="AB2845:AB2908" si="260">IF(T2845&lt;&gt;"",9000+T2845,"")</f>
        <v/>
      </c>
      <c r="AC2845">
        <f t="shared" si="257"/>
        <v>1000</v>
      </c>
      <c r="AD2845" s="6"/>
    </row>
    <row r="2846" spans="1:30" x14ac:dyDescent="0.2">
      <c r="A2846" t="str">
        <f t="shared" si="258"/>
        <v/>
      </c>
      <c r="X2846" t="str" cm="1">
        <f t="array" ref="X2846">IF(S2846="","",IF($I2846&lt;&gt;"",$I2846,INDEX($I$2:$I2845,ROW()-COUNTIFS($T$2:$T2845,"="&amp;$T2846,$S$2:$S2845,"&lt;&gt;"&amp;$S2846)-1)))</f>
        <v/>
      </c>
      <c r="Y2846" t="b">
        <f>IF(X2846&lt;&gt;"",VLOOKUP(X2846,game_rosters!$C$43:$E$64,3,FALSE))</f>
        <v>0</v>
      </c>
      <c r="Z2846" t="e" cm="1" vm="1">
        <f t="array" aca="1" ref="Z2846" ca="1">IFERROR(IF(_xlfn._xlws.FILTER(game_rosters!$J:$J,(game_rosters!$G:$G=events!$AN2846)*(game_rosters!$J:$J=events!$X2846))&gt;0,1,""),"")</f>
        <v>#VALUE!</v>
      </c>
      <c r="AA2846">
        <f t="shared" si="259"/>
        <v>1000</v>
      </c>
      <c r="AB2846" t="str">
        <f t="shared" si="260"/>
        <v/>
      </c>
      <c r="AC2846">
        <f t="shared" si="257"/>
        <v>1000</v>
      </c>
      <c r="AD2846" s="6"/>
    </row>
    <row r="2847" spans="1:30" x14ac:dyDescent="0.2">
      <c r="A2847" t="str">
        <f t="shared" si="258"/>
        <v/>
      </c>
      <c r="X2847" t="str" cm="1">
        <f t="array" ref="X2847">IF(S2847="","",IF($I2847&lt;&gt;"",$I2847,INDEX($I$2:$I2846,ROW()-COUNTIFS($T$2:$T2846,"="&amp;$T2847,$S$2:$S2846,"&lt;&gt;"&amp;$S2847)-1)))</f>
        <v/>
      </c>
      <c r="Y2847" t="b">
        <f>IF(X2847&lt;&gt;"",VLOOKUP(X2847,game_rosters!$C$43:$E$64,3,FALSE))</f>
        <v>0</v>
      </c>
      <c r="Z2847" t="e" cm="1" vm="1">
        <f t="array" aca="1" ref="Z2847" ca="1">IFERROR(IF(_xlfn._xlws.FILTER(game_rosters!$J:$J,(game_rosters!$G:$G=events!$AN2847)*(game_rosters!$J:$J=events!$X2847))&gt;0,1,""),"")</f>
        <v>#VALUE!</v>
      </c>
      <c r="AA2847">
        <f t="shared" si="259"/>
        <v>1000</v>
      </c>
      <c r="AB2847" t="str">
        <f t="shared" si="260"/>
        <v/>
      </c>
      <c r="AC2847">
        <f t="shared" si="257"/>
        <v>1000</v>
      </c>
      <c r="AD2847" s="6"/>
    </row>
    <row r="2848" spans="1:30" x14ac:dyDescent="0.2">
      <c r="A2848" t="str">
        <f t="shared" si="258"/>
        <v/>
      </c>
      <c r="X2848" t="str" cm="1">
        <f t="array" ref="X2848">IF(S2848="","",IF($I2848&lt;&gt;"",$I2848,INDEX($I$2:$I2847,ROW()-COUNTIFS($T$2:$T2847,"="&amp;$T2848,$S$2:$S2847,"&lt;&gt;"&amp;$S2848)-1)))</f>
        <v/>
      </c>
      <c r="Y2848" t="b">
        <f>IF(X2848&lt;&gt;"",VLOOKUP(X2848,game_rosters!$C$43:$E$64,3,FALSE))</f>
        <v>0</v>
      </c>
      <c r="Z2848" t="e" cm="1" vm="1">
        <f t="array" aca="1" ref="Z2848" ca="1">IFERROR(IF(_xlfn._xlws.FILTER(game_rosters!$J:$J,(game_rosters!$G:$G=events!$AN2848)*(game_rosters!$J:$J=events!$X2848))&gt;0,1,""),"")</f>
        <v>#VALUE!</v>
      </c>
      <c r="AA2848">
        <f t="shared" si="259"/>
        <v>1000</v>
      </c>
      <c r="AB2848" t="str">
        <f t="shared" si="260"/>
        <v/>
      </c>
      <c r="AC2848">
        <f t="shared" si="257"/>
        <v>1000</v>
      </c>
      <c r="AD2848" s="6"/>
    </row>
    <row r="2849" spans="1:30" x14ac:dyDescent="0.2">
      <c r="A2849" t="str">
        <f t="shared" si="258"/>
        <v/>
      </c>
      <c r="X2849" t="str" cm="1">
        <f t="array" ref="X2849">IF(S2849="","",IF($I2849&lt;&gt;"",$I2849,INDEX($I$2:$I2848,ROW()-COUNTIFS($T$2:$T2848,"="&amp;$T2849,$S$2:$S2848,"&lt;&gt;"&amp;$S2849)-1)))</f>
        <v/>
      </c>
      <c r="Y2849" t="b">
        <f>IF(X2849&lt;&gt;"",VLOOKUP(X2849,game_rosters!$C$43:$E$64,3,FALSE))</f>
        <v>0</v>
      </c>
      <c r="Z2849" t="e" cm="1" vm="1">
        <f t="array" aca="1" ref="Z2849" ca="1">IFERROR(IF(_xlfn._xlws.FILTER(game_rosters!$J:$J,(game_rosters!$G:$G=events!$AN2849)*(game_rosters!$J:$J=events!$X2849))&gt;0,1,""),"")</f>
        <v>#VALUE!</v>
      </c>
      <c r="AA2849">
        <f t="shared" si="259"/>
        <v>1000</v>
      </c>
      <c r="AB2849" t="str">
        <f t="shared" si="260"/>
        <v/>
      </c>
      <c r="AC2849">
        <f t="shared" si="257"/>
        <v>1000</v>
      </c>
      <c r="AD2849" s="6"/>
    </row>
    <row r="2850" spans="1:30" x14ac:dyDescent="0.2">
      <c r="A2850" t="str">
        <f t="shared" si="258"/>
        <v/>
      </c>
      <c r="X2850" t="str" cm="1">
        <f t="array" ref="X2850">IF(S2850="","",IF($I2850&lt;&gt;"",$I2850,INDEX($I$2:$I2849,ROW()-COUNTIFS($T$2:$T2849,"="&amp;$T2850,$S$2:$S2849,"&lt;&gt;"&amp;$S2850)-1)))</f>
        <v/>
      </c>
      <c r="Y2850" t="b">
        <f>IF(X2850&lt;&gt;"",VLOOKUP(X2850,game_rosters!$C$43:$E$64,3,FALSE))</f>
        <v>0</v>
      </c>
      <c r="Z2850" t="e" cm="1" vm="1">
        <f t="array" aca="1" ref="Z2850" ca="1">IFERROR(IF(_xlfn._xlws.FILTER(game_rosters!$J:$J,(game_rosters!$G:$G=events!$AN2850)*(game_rosters!$J:$J=events!$X2850))&gt;0,1,""),"")</f>
        <v>#VALUE!</v>
      </c>
      <c r="AA2850">
        <f t="shared" si="259"/>
        <v>1000</v>
      </c>
      <c r="AB2850" t="str">
        <f t="shared" si="260"/>
        <v/>
      </c>
      <c r="AC2850">
        <f t="shared" si="257"/>
        <v>1000</v>
      </c>
      <c r="AD2850" s="6"/>
    </row>
    <row r="2851" spans="1:30" x14ac:dyDescent="0.2">
      <c r="A2851" t="str">
        <f t="shared" si="258"/>
        <v/>
      </c>
      <c r="X2851" t="str" cm="1">
        <f t="array" ref="X2851">IF(S2851="","",IF($I2851&lt;&gt;"",$I2851,INDEX($I$2:$I2850,ROW()-COUNTIFS($T$2:$T2850,"="&amp;$T2851,$S$2:$S2850,"&lt;&gt;"&amp;$S2851)-1)))</f>
        <v/>
      </c>
      <c r="Y2851" t="b">
        <f>IF(X2851&lt;&gt;"",VLOOKUP(X2851,game_rosters!$C$43:$E$64,3,FALSE))</f>
        <v>0</v>
      </c>
      <c r="Z2851" t="e" cm="1" vm="1">
        <f t="array" aca="1" ref="Z2851" ca="1">IFERROR(IF(_xlfn._xlws.FILTER(game_rosters!$J:$J,(game_rosters!$G:$G=events!$AN2851)*(game_rosters!$J:$J=events!$X2851))&gt;0,1,""),"")</f>
        <v>#VALUE!</v>
      </c>
      <c r="AA2851">
        <f t="shared" si="259"/>
        <v>1000</v>
      </c>
      <c r="AB2851" t="str">
        <f t="shared" si="260"/>
        <v/>
      </c>
      <c r="AC2851">
        <f t="shared" si="257"/>
        <v>1000</v>
      </c>
      <c r="AD2851" s="6"/>
    </row>
    <row r="2852" spans="1:30" x14ac:dyDescent="0.2">
      <c r="A2852" t="str">
        <f t="shared" si="258"/>
        <v/>
      </c>
      <c r="X2852" t="str" cm="1">
        <f t="array" ref="X2852">IF(S2852="","",IF($I2852&lt;&gt;"",$I2852,INDEX($I$2:$I2851,ROW()-COUNTIFS($T$2:$T2851,"="&amp;$T2852,$S$2:$S2851,"&lt;&gt;"&amp;$S2852)-1)))</f>
        <v/>
      </c>
      <c r="Y2852" t="b">
        <f>IF(X2852&lt;&gt;"",VLOOKUP(X2852,game_rosters!$C$43:$E$64,3,FALSE))</f>
        <v>0</v>
      </c>
      <c r="Z2852" t="e" cm="1" vm="1">
        <f t="array" aca="1" ref="Z2852" ca="1">IFERROR(IF(_xlfn._xlws.FILTER(game_rosters!$J:$J,(game_rosters!$G:$G=events!$AN2852)*(game_rosters!$J:$J=events!$X2852))&gt;0,1,""),"")</f>
        <v>#VALUE!</v>
      </c>
      <c r="AA2852">
        <f t="shared" si="259"/>
        <v>1000</v>
      </c>
      <c r="AB2852" t="str">
        <f t="shared" si="260"/>
        <v/>
      </c>
      <c r="AC2852">
        <f t="shared" si="257"/>
        <v>1000</v>
      </c>
      <c r="AD2852" s="6"/>
    </row>
    <row r="2853" spans="1:30" x14ac:dyDescent="0.2">
      <c r="A2853" t="str">
        <f t="shared" si="258"/>
        <v/>
      </c>
      <c r="X2853" t="str" cm="1">
        <f t="array" ref="X2853">IF(S2853="","",IF($I2853&lt;&gt;"",$I2853,INDEX($I$2:$I2852,ROW()-COUNTIFS($T$2:$T2852,"="&amp;$T2853,$S$2:$S2852,"&lt;&gt;"&amp;$S2853)-1)))</f>
        <v/>
      </c>
      <c r="Y2853" t="b">
        <f>IF(X2853&lt;&gt;"",VLOOKUP(X2853,game_rosters!$C$43:$E$64,3,FALSE))</f>
        <v>0</v>
      </c>
      <c r="Z2853" t="e" cm="1" vm="1">
        <f t="array" aca="1" ref="Z2853" ca="1">IFERROR(IF(_xlfn._xlws.FILTER(game_rosters!$J:$J,(game_rosters!$G:$G=events!$AN2853)*(game_rosters!$J:$J=events!$X2853))&gt;0,1,""),"")</f>
        <v>#VALUE!</v>
      </c>
      <c r="AA2853">
        <f t="shared" si="259"/>
        <v>1000</v>
      </c>
      <c r="AB2853" t="str">
        <f t="shared" si="260"/>
        <v/>
      </c>
      <c r="AC2853">
        <f t="shared" si="257"/>
        <v>1000</v>
      </c>
      <c r="AD2853" s="6"/>
    </row>
    <row r="2854" spans="1:30" x14ac:dyDescent="0.2">
      <c r="A2854" t="str">
        <f t="shared" si="258"/>
        <v/>
      </c>
      <c r="X2854" t="str" cm="1">
        <f t="array" ref="X2854">IF(S2854="","",IF($I2854&lt;&gt;"",$I2854,INDEX($I$2:$I2853,ROW()-COUNTIFS($T$2:$T2853,"="&amp;$T2854,$S$2:$S2853,"&lt;&gt;"&amp;$S2854)-1)))</f>
        <v/>
      </c>
      <c r="Y2854" t="b">
        <f>IF(X2854&lt;&gt;"",VLOOKUP(X2854,game_rosters!$C$43:$E$64,3,FALSE))</f>
        <v>0</v>
      </c>
      <c r="Z2854" t="e" cm="1" vm="1">
        <f t="array" aca="1" ref="Z2854" ca="1">IFERROR(IF(_xlfn._xlws.FILTER(game_rosters!$J:$J,(game_rosters!$G:$G=events!$AN2854)*(game_rosters!$J:$J=events!$X2854))&gt;0,1,""),"")</f>
        <v>#VALUE!</v>
      </c>
      <c r="AA2854">
        <f t="shared" si="259"/>
        <v>1000</v>
      </c>
      <c r="AB2854" t="str">
        <f t="shared" si="260"/>
        <v/>
      </c>
      <c r="AC2854">
        <f t="shared" si="257"/>
        <v>1000</v>
      </c>
      <c r="AD2854" s="6"/>
    </row>
    <row r="2855" spans="1:30" x14ac:dyDescent="0.2">
      <c r="A2855" t="str">
        <f t="shared" si="258"/>
        <v/>
      </c>
      <c r="X2855" t="str" cm="1">
        <f t="array" ref="X2855">IF(S2855="","",IF($I2855&lt;&gt;"",$I2855,INDEX($I$2:$I2854,ROW()-COUNTIFS($T$2:$T2854,"="&amp;$T2855,$S$2:$S2854,"&lt;&gt;"&amp;$S2855)-1)))</f>
        <v/>
      </c>
      <c r="Y2855" t="b">
        <f>IF(X2855&lt;&gt;"",VLOOKUP(X2855,game_rosters!$C$43:$E$64,3,FALSE))</f>
        <v>0</v>
      </c>
      <c r="Z2855" t="e" cm="1" vm="1">
        <f t="array" aca="1" ref="Z2855" ca="1">IFERROR(IF(_xlfn._xlws.FILTER(game_rosters!$J:$J,(game_rosters!$G:$G=events!$AN2855)*(game_rosters!$J:$J=events!$X2855))&gt;0,1,""),"")</f>
        <v>#VALUE!</v>
      </c>
      <c r="AA2855">
        <f t="shared" si="259"/>
        <v>1000</v>
      </c>
      <c r="AB2855" t="str">
        <f t="shared" si="260"/>
        <v/>
      </c>
      <c r="AC2855">
        <f t="shared" si="257"/>
        <v>1000</v>
      </c>
      <c r="AD2855" s="6"/>
    </row>
    <row r="2856" spans="1:30" x14ac:dyDescent="0.2">
      <c r="A2856" t="str">
        <f t="shared" si="258"/>
        <v/>
      </c>
      <c r="X2856" t="str" cm="1">
        <f t="array" ref="X2856">IF(S2856="","",IF($I2856&lt;&gt;"",$I2856,INDEX($I$2:$I2855,ROW()-COUNTIFS($T$2:$T2855,"="&amp;$T2856,$S$2:$S2855,"&lt;&gt;"&amp;$S2856)-1)))</f>
        <v/>
      </c>
      <c r="Y2856" t="b">
        <f>IF(X2856&lt;&gt;"",VLOOKUP(X2856,game_rosters!$C$43:$E$64,3,FALSE))</f>
        <v>0</v>
      </c>
      <c r="Z2856" t="e" cm="1" vm="1">
        <f t="array" aca="1" ref="Z2856" ca="1">IFERROR(IF(_xlfn._xlws.FILTER(game_rosters!$J:$J,(game_rosters!$G:$G=events!$AN2856)*(game_rosters!$J:$J=events!$X2856))&gt;0,1,""),"")</f>
        <v>#VALUE!</v>
      </c>
      <c r="AA2856">
        <f t="shared" si="259"/>
        <v>1000</v>
      </c>
      <c r="AB2856" t="str">
        <f t="shared" si="260"/>
        <v/>
      </c>
      <c r="AC2856">
        <f t="shared" si="257"/>
        <v>1000</v>
      </c>
      <c r="AD2856" s="6"/>
    </row>
    <row r="2857" spans="1:30" x14ac:dyDescent="0.2">
      <c r="A2857" t="str">
        <f t="shared" si="258"/>
        <v/>
      </c>
      <c r="X2857" t="str" cm="1">
        <f t="array" ref="X2857">IF(S2857="","",IF($I2857&lt;&gt;"",$I2857,INDEX($I$2:$I2856,ROW()-COUNTIFS($T$2:$T2856,"="&amp;$T2857,$S$2:$S2856,"&lt;&gt;"&amp;$S2857)-1)))</f>
        <v/>
      </c>
      <c r="Y2857" t="b">
        <f>IF(X2857&lt;&gt;"",VLOOKUP(X2857,game_rosters!$C$43:$E$64,3,FALSE))</f>
        <v>0</v>
      </c>
      <c r="Z2857" t="e" cm="1" vm="1">
        <f t="array" aca="1" ref="Z2857" ca="1">IFERROR(IF(_xlfn._xlws.FILTER(game_rosters!$J:$J,(game_rosters!$G:$G=events!$AN2857)*(game_rosters!$J:$J=events!$X2857))&gt;0,1,""),"")</f>
        <v>#VALUE!</v>
      </c>
      <c r="AA2857">
        <f t="shared" si="259"/>
        <v>1000</v>
      </c>
      <c r="AB2857" t="str">
        <f t="shared" si="260"/>
        <v/>
      </c>
      <c r="AC2857">
        <f t="shared" si="257"/>
        <v>1000</v>
      </c>
      <c r="AD2857" s="6"/>
    </row>
    <row r="2858" spans="1:30" x14ac:dyDescent="0.2">
      <c r="A2858" t="str">
        <f t="shared" si="258"/>
        <v/>
      </c>
      <c r="X2858" t="str" cm="1">
        <f t="array" ref="X2858">IF(S2858="","",IF($I2858&lt;&gt;"",$I2858,INDEX($I$2:$I2857,ROW()-COUNTIFS($T$2:$T2857,"="&amp;$T2858,$S$2:$S2857,"&lt;&gt;"&amp;$S2858)-1)))</f>
        <v/>
      </c>
      <c r="Y2858" t="b">
        <f>IF(X2858&lt;&gt;"",VLOOKUP(X2858,game_rosters!$C$43:$E$64,3,FALSE))</f>
        <v>0</v>
      </c>
      <c r="Z2858" t="e" cm="1" vm="1">
        <f t="array" aca="1" ref="Z2858" ca="1">IFERROR(IF(_xlfn._xlws.FILTER(game_rosters!$J:$J,(game_rosters!$G:$G=events!$AN2858)*(game_rosters!$J:$J=events!$X2858))&gt;0,1,""),"")</f>
        <v>#VALUE!</v>
      </c>
      <c r="AA2858">
        <f t="shared" si="259"/>
        <v>1000</v>
      </c>
      <c r="AB2858" t="str">
        <f t="shared" si="260"/>
        <v/>
      </c>
      <c r="AC2858">
        <f t="shared" si="257"/>
        <v>1000</v>
      </c>
      <c r="AD2858" s="6"/>
    </row>
    <row r="2859" spans="1:30" x14ac:dyDescent="0.2">
      <c r="A2859" t="str">
        <f t="shared" si="258"/>
        <v/>
      </c>
      <c r="X2859" t="str" cm="1">
        <f t="array" ref="X2859">IF(S2859="","",IF($I2859&lt;&gt;"",$I2859,INDEX($I$2:$I2858,ROW()-COUNTIFS($T$2:$T2858,"="&amp;$T2859,$S$2:$S2858,"&lt;&gt;"&amp;$S2859)-1)))</f>
        <v/>
      </c>
      <c r="Y2859" t="b">
        <f>IF(X2859&lt;&gt;"",VLOOKUP(X2859,game_rosters!$C$43:$E$64,3,FALSE))</f>
        <v>0</v>
      </c>
      <c r="Z2859" t="e" cm="1" vm="1">
        <f t="array" aca="1" ref="Z2859" ca="1">IFERROR(IF(_xlfn._xlws.FILTER(game_rosters!$J:$J,(game_rosters!$G:$G=events!$AN2859)*(game_rosters!$J:$J=events!$X2859))&gt;0,1,""),"")</f>
        <v>#VALUE!</v>
      </c>
      <c r="AA2859">
        <f t="shared" si="259"/>
        <v>1000</v>
      </c>
      <c r="AB2859" t="str">
        <f t="shared" si="260"/>
        <v/>
      </c>
      <c r="AC2859">
        <f t="shared" si="257"/>
        <v>1000</v>
      </c>
      <c r="AD2859" s="6"/>
    </row>
    <row r="2860" spans="1:30" x14ac:dyDescent="0.2">
      <c r="A2860" t="str">
        <f t="shared" si="258"/>
        <v/>
      </c>
      <c r="X2860" t="str" cm="1">
        <f t="array" ref="X2860">IF(S2860="","",IF($I2860&lt;&gt;"",$I2860,INDEX($I$2:$I2859,ROW()-COUNTIFS($T$2:$T2859,"="&amp;$T2860,$S$2:$S2859,"&lt;&gt;"&amp;$S2860)-1)))</f>
        <v/>
      </c>
      <c r="Y2860" t="b">
        <f>IF(X2860&lt;&gt;"",VLOOKUP(X2860,game_rosters!$C$43:$E$64,3,FALSE))</f>
        <v>0</v>
      </c>
      <c r="Z2860" t="e" cm="1" vm="1">
        <f t="array" aca="1" ref="Z2860" ca="1">IFERROR(IF(_xlfn._xlws.FILTER(game_rosters!$J:$J,(game_rosters!$G:$G=events!$AN2860)*(game_rosters!$J:$J=events!$X2860))&gt;0,1,""),"")</f>
        <v>#VALUE!</v>
      </c>
      <c r="AA2860">
        <f t="shared" si="259"/>
        <v>1000</v>
      </c>
      <c r="AB2860" t="str">
        <f t="shared" si="260"/>
        <v/>
      </c>
      <c r="AC2860">
        <f t="shared" si="257"/>
        <v>1000</v>
      </c>
      <c r="AD2860" s="6"/>
    </row>
    <row r="2861" spans="1:30" x14ac:dyDescent="0.2">
      <c r="A2861" t="str">
        <f t="shared" si="258"/>
        <v/>
      </c>
      <c r="X2861" t="str" cm="1">
        <f t="array" ref="X2861">IF(S2861="","",IF($I2861&lt;&gt;"",$I2861,INDEX($I$2:$I2860,ROW()-COUNTIFS($T$2:$T2860,"="&amp;$T2861,$S$2:$S2860,"&lt;&gt;"&amp;$S2861)-1)))</f>
        <v/>
      </c>
      <c r="Y2861" t="b">
        <f>IF(X2861&lt;&gt;"",VLOOKUP(X2861,game_rosters!$C$43:$E$64,3,FALSE))</f>
        <v>0</v>
      </c>
      <c r="Z2861" t="e" cm="1" vm="1">
        <f t="array" aca="1" ref="Z2861" ca="1">IFERROR(IF(_xlfn._xlws.FILTER(game_rosters!$J:$J,(game_rosters!$G:$G=events!$AN2861)*(game_rosters!$J:$J=events!$X2861))&gt;0,1,""),"")</f>
        <v>#VALUE!</v>
      </c>
      <c r="AA2861">
        <f t="shared" si="259"/>
        <v>1000</v>
      </c>
      <c r="AB2861" t="str">
        <f t="shared" si="260"/>
        <v/>
      </c>
      <c r="AC2861">
        <f t="shared" si="257"/>
        <v>1000</v>
      </c>
      <c r="AD2861" s="6"/>
    </row>
    <row r="2862" spans="1:30" x14ac:dyDescent="0.2">
      <c r="A2862" t="str">
        <f t="shared" si="258"/>
        <v/>
      </c>
      <c r="X2862" t="str" cm="1">
        <f t="array" ref="X2862">IF(S2862="","",IF($I2862&lt;&gt;"",$I2862,INDEX($I$2:$I2861,ROW()-COUNTIFS($T$2:$T2861,"="&amp;$T2862,$S$2:$S2861,"&lt;&gt;"&amp;$S2862)-1)))</f>
        <v/>
      </c>
      <c r="Y2862" t="b">
        <f>IF(X2862&lt;&gt;"",VLOOKUP(X2862,game_rosters!$C$43:$E$64,3,FALSE))</f>
        <v>0</v>
      </c>
      <c r="Z2862" t="e" cm="1" vm="1">
        <f t="array" aca="1" ref="Z2862" ca="1">IFERROR(IF(_xlfn._xlws.FILTER(game_rosters!$J:$J,(game_rosters!$G:$G=events!$AN2862)*(game_rosters!$J:$J=events!$X2862))&gt;0,1,""),"")</f>
        <v>#VALUE!</v>
      </c>
      <c r="AA2862">
        <f t="shared" si="259"/>
        <v>1000</v>
      </c>
      <c r="AB2862" t="str">
        <f t="shared" si="260"/>
        <v/>
      </c>
      <c r="AC2862">
        <f t="shared" si="257"/>
        <v>1000</v>
      </c>
      <c r="AD2862" s="6"/>
    </row>
    <row r="2863" spans="1:30" x14ac:dyDescent="0.2">
      <c r="A2863" t="str">
        <f t="shared" si="258"/>
        <v/>
      </c>
      <c r="X2863" t="str" cm="1">
        <f t="array" ref="X2863">IF(S2863="","",IF($I2863&lt;&gt;"",$I2863,INDEX($I$2:$I2862,ROW()-COUNTIFS($T$2:$T2862,"="&amp;$T2863,$S$2:$S2862,"&lt;&gt;"&amp;$S2863)-1)))</f>
        <v/>
      </c>
      <c r="Y2863" t="b">
        <f>IF(X2863&lt;&gt;"",VLOOKUP(X2863,game_rosters!$C$43:$E$64,3,FALSE))</f>
        <v>0</v>
      </c>
      <c r="Z2863" t="e" cm="1" vm="1">
        <f t="array" aca="1" ref="Z2863" ca="1">IFERROR(IF(_xlfn._xlws.FILTER(game_rosters!$J:$J,(game_rosters!$G:$G=events!$AN2863)*(game_rosters!$J:$J=events!$X2863))&gt;0,1,""),"")</f>
        <v>#VALUE!</v>
      </c>
      <c r="AA2863">
        <f t="shared" si="259"/>
        <v>1000</v>
      </c>
      <c r="AB2863" t="str">
        <f t="shared" si="260"/>
        <v/>
      </c>
      <c r="AC2863">
        <f t="shared" si="257"/>
        <v>1000</v>
      </c>
      <c r="AD2863" s="6"/>
    </row>
    <row r="2864" spans="1:30" x14ac:dyDescent="0.2">
      <c r="A2864" t="str">
        <f t="shared" si="258"/>
        <v/>
      </c>
      <c r="X2864" t="str" cm="1">
        <f t="array" ref="X2864">IF(S2864="","",IF($I2864&lt;&gt;"",$I2864,INDEX($I$2:$I2863,ROW()-COUNTIFS($T$2:$T2863,"="&amp;$T2864,$S$2:$S2863,"&lt;&gt;"&amp;$S2864)-1)))</f>
        <v/>
      </c>
      <c r="Y2864" t="b">
        <f>IF(X2864&lt;&gt;"",VLOOKUP(X2864,game_rosters!$C$43:$E$64,3,FALSE))</f>
        <v>0</v>
      </c>
      <c r="Z2864" t="e" cm="1" vm="1">
        <f t="array" aca="1" ref="Z2864" ca="1">IFERROR(IF(_xlfn._xlws.FILTER(game_rosters!$J:$J,(game_rosters!$G:$G=events!$AN2864)*(game_rosters!$J:$J=events!$X2864))&gt;0,1,""),"")</f>
        <v>#VALUE!</v>
      </c>
      <c r="AA2864">
        <f t="shared" si="259"/>
        <v>1000</v>
      </c>
      <c r="AB2864" t="str">
        <f t="shared" si="260"/>
        <v/>
      </c>
      <c r="AC2864">
        <f t="shared" si="257"/>
        <v>1000</v>
      </c>
      <c r="AD2864" s="6"/>
    </row>
    <row r="2865" spans="1:30" x14ac:dyDescent="0.2">
      <c r="A2865" t="str">
        <f t="shared" si="258"/>
        <v/>
      </c>
      <c r="X2865" t="str" cm="1">
        <f t="array" ref="X2865">IF(S2865="","",IF($I2865&lt;&gt;"",$I2865,INDEX($I$2:$I2864,ROW()-COUNTIFS($T$2:$T2864,"="&amp;$T2865,$S$2:$S2864,"&lt;&gt;"&amp;$S2865)-1)))</f>
        <v/>
      </c>
      <c r="Y2865" t="b">
        <f>IF(X2865&lt;&gt;"",VLOOKUP(X2865,game_rosters!$C$43:$E$64,3,FALSE))</f>
        <v>0</v>
      </c>
      <c r="Z2865" t="e" cm="1" vm="1">
        <f t="array" aca="1" ref="Z2865" ca="1">IFERROR(IF(_xlfn._xlws.FILTER(game_rosters!$J:$J,(game_rosters!$G:$G=events!$AN2865)*(game_rosters!$J:$J=events!$X2865))&gt;0,1,""),"")</f>
        <v>#VALUE!</v>
      </c>
      <c r="AA2865">
        <f t="shared" si="259"/>
        <v>1000</v>
      </c>
      <c r="AB2865" t="str">
        <f t="shared" si="260"/>
        <v/>
      </c>
      <c r="AC2865">
        <f t="shared" si="257"/>
        <v>1000</v>
      </c>
      <c r="AD2865" s="6"/>
    </row>
    <row r="2866" spans="1:30" x14ac:dyDescent="0.2">
      <c r="A2866" t="str">
        <f t="shared" si="258"/>
        <v/>
      </c>
      <c r="X2866" t="str" cm="1">
        <f t="array" ref="X2866">IF(S2866="","",IF($I2866&lt;&gt;"",$I2866,INDEX($I$2:$I2865,ROW()-COUNTIFS($T$2:$T2865,"="&amp;$T2866,$S$2:$S2865,"&lt;&gt;"&amp;$S2866)-1)))</f>
        <v/>
      </c>
      <c r="Y2866" t="b">
        <f>IF(X2866&lt;&gt;"",VLOOKUP(X2866,game_rosters!$C$43:$E$64,3,FALSE))</f>
        <v>0</v>
      </c>
      <c r="Z2866" t="e" cm="1" vm="1">
        <f t="array" aca="1" ref="Z2866" ca="1">IFERROR(IF(_xlfn._xlws.FILTER(game_rosters!$J:$J,(game_rosters!$G:$G=events!$AN2866)*(game_rosters!$J:$J=events!$X2866))&gt;0,1,""),"")</f>
        <v>#VALUE!</v>
      </c>
      <c r="AA2866">
        <f t="shared" si="259"/>
        <v>1000</v>
      </c>
      <c r="AB2866" t="str">
        <f t="shared" si="260"/>
        <v/>
      </c>
      <c r="AC2866">
        <f t="shared" si="257"/>
        <v>1000</v>
      </c>
      <c r="AD2866" s="6"/>
    </row>
    <row r="2867" spans="1:30" x14ac:dyDescent="0.2">
      <c r="A2867" t="str">
        <f t="shared" si="258"/>
        <v/>
      </c>
      <c r="X2867" t="str" cm="1">
        <f t="array" ref="X2867">IF(S2867="","",IF($I2867&lt;&gt;"",$I2867,INDEX($I$2:$I2866,ROW()-COUNTIFS($T$2:$T2866,"="&amp;$T2867,$S$2:$S2866,"&lt;&gt;"&amp;$S2867)-1)))</f>
        <v/>
      </c>
      <c r="Y2867" t="b">
        <f>IF(X2867&lt;&gt;"",VLOOKUP(X2867,game_rosters!$C$43:$E$64,3,FALSE))</f>
        <v>0</v>
      </c>
      <c r="Z2867" t="e" cm="1" vm="1">
        <f t="array" aca="1" ref="Z2867" ca="1">IFERROR(IF(_xlfn._xlws.FILTER(game_rosters!$J:$J,(game_rosters!$G:$G=events!$AN2867)*(game_rosters!$J:$J=events!$X2867))&gt;0,1,""),"")</f>
        <v>#VALUE!</v>
      </c>
      <c r="AA2867">
        <f t="shared" si="259"/>
        <v>1000</v>
      </c>
      <c r="AB2867" t="str">
        <f t="shared" si="260"/>
        <v/>
      </c>
      <c r="AC2867">
        <f t="shared" si="257"/>
        <v>1000</v>
      </c>
      <c r="AD2867" s="6"/>
    </row>
    <row r="2868" spans="1:30" x14ac:dyDescent="0.2">
      <c r="A2868" t="str">
        <f t="shared" si="258"/>
        <v/>
      </c>
      <c r="X2868" t="str" cm="1">
        <f t="array" ref="X2868">IF(S2868="","",IF($I2868&lt;&gt;"",$I2868,INDEX($I$2:$I2867,ROW()-COUNTIFS($T$2:$T2867,"="&amp;$T2868,$S$2:$S2867,"&lt;&gt;"&amp;$S2868)-1)))</f>
        <v/>
      </c>
      <c r="Y2868" t="b">
        <f>IF(X2868&lt;&gt;"",VLOOKUP(X2868,game_rosters!$C$43:$E$64,3,FALSE))</f>
        <v>0</v>
      </c>
      <c r="Z2868" t="e" cm="1" vm="1">
        <f t="array" aca="1" ref="Z2868" ca="1">IFERROR(IF(_xlfn._xlws.FILTER(game_rosters!$J:$J,(game_rosters!$G:$G=events!$AN2868)*(game_rosters!$J:$J=events!$X2868))&gt;0,1,""),"")</f>
        <v>#VALUE!</v>
      </c>
      <c r="AA2868">
        <f t="shared" si="259"/>
        <v>1000</v>
      </c>
      <c r="AB2868" t="str">
        <f t="shared" si="260"/>
        <v/>
      </c>
      <c r="AC2868">
        <f t="shared" si="257"/>
        <v>1000</v>
      </c>
      <c r="AD2868" s="6"/>
    </row>
    <row r="2869" spans="1:30" x14ac:dyDescent="0.2">
      <c r="A2869" t="str">
        <f t="shared" si="258"/>
        <v/>
      </c>
      <c r="X2869" t="str" cm="1">
        <f t="array" ref="X2869">IF(S2869="","",IF($I2869&lt;&gt;"",$I2869,INDEX($I$2:$I2868,ROW()-COUNTIFS($T$2:$T2868,"="&amp;$T2869,$S$2:$S2868,"&lt;&gt;"&amp;$S2869)-1)))</f>
        <v/>
      </c>
      <c r="Y2869" t="b">
        <f>IF(X2869&lt;&gt;"",VLOOKUP(X2869,game_rosters!$C$43:$E$64,3,FALSE))</f>
        <v>0</v>
      </c>
      <c r="Z2869" t="e" cm="1" vm="1">
        <f t="array" aca="1" ref="Z2869" ca="1">IFERROR(IF(_xlfn._xlws.FILTER(game_rosters!$J:$J,(game_rosters!$G:$G=events!$AN2869)*(game_rosters!$J:$J=events!$X2869))&gt;0,1,""),"")</f>
        <v>#VALUE!</v>
      </c>
      <c r="AA2869">
        <f t="shared" si="259"/>
        <v>1000</v>
      </c>
      <c r="AB2869" t="str">
        <f t="shared" si="260"/>
        <v/>
      </c>
      <c r="AC2869">
        <f t="shared" si="257"/>
        <v>1000</v>
      </c>
      <c r="AD2869" s="6"/>
    </row>
    <row r="2870" spans="1:30" x14ac:dyDescent="0.2">
      <c r="A2870" t="str">
        <f t="shared" si="258"/>
        <v/>
      </c>
      <c r="X2870" t="str" cm="1">
        <f t="array" ref="X2870">IF(S2870="","",IF($I2870&lt;&gt;"",$I2870,INDEX($I$2:$I2869,ROW()-COUNTIFS($T$2:$T2869,"="&amp;$T2870,$S$2:$S2869,"&lt;&gt;"&amp;$S2870)-1)))</f>
        <v/>
      </c>
      <c r="Y2870" t="b">
        <f>IF(X2870&lt;&gt;"",VLOOKUP(X2870,game_rosters!$C$43:$E$64,3,FALSE))</f>
        <v>0</v>
      </c>
      <c r="Z2870" t="e" cm="1" vm="1">
        <f t="array" aca="1" ref="Z2870" ca="1">IFERROR(IF(_xlfn._xlws.FILTER(game_rosters!$J:$J,(game_rosters!$G:$G=events!$AN2870)*(game_rosters!$J:$J=events!$X2870))&gt;0,1,""),"")</f>
        <v>#VALUE!</v>
      </c>
      <c r="AA2870">
        <f t="shared" si="259"/>
        <v>1000</v>
      </c>
      <c r="AB2870" t="str">
        <f t="shared" si="260"/>
        <v/>
      </c>
      <c r="AC2870">
        <f t="shared" si="257"/>
        <v>1000</v>
      </c>
      <c r="AD2870" s="6"/>
    </row>
    <row r="2871" spans="1:30" x14ac:dyDescent="0.2">
      <c r="A2871" t="str">
        <f t="shared" si="258"/>
        <v/>
      </c>
      <c r="X2871" t="str" cm="1">
        <f t="array" ref="X2871">IF(S2871="","",IF($I2871&lt;&gt;"",$I2871,INDEX($I$2:$I2870,ROW()-COUNTIFS($T$2:$T2870,"="&amp;$T2871,$S$2:$S2870,"&lt;&gt;"&amp;$S2871)-1)))</f>
        <v/>
      </c>
      <c r="Y2871" t="b">
        <f>IF(X2871&lt;&gt;"",VLOOKUP(X2871,game_rosters!$C$43:$E$64,3,FALSE))</f>
        <v>0</v>
      </c>
      <c r="Z2871" t="e" cm="1" vm="1">
        <f t="array" aca="1" ref="Z2871" ca="1">IFERROR(IF(_xlfn._xlws.FILTER(game_rosters!$J:$J,(game_rosters!$G:$G=events!$AN2871)*(game_rosters!$J:$J=events!$X2871))&gt;0,1,""),"")</f>
        <v>#VALUE!</v>
      </c>
      <c r="AA2871">
        <f t="shared" si="259"/>
        <v>1000</v>
      </c>
      <c r="AB2871" t="str">
        <f t="shared" si="260"/>
        <v/>
      </c>
      <c r="AC2871">
        <f t="shared" si="257"/>
        <v>1000</v>
      </c>
      <c r="AD2871" s="6"/>
    </row>
    <row r="2872" spans="1:30" x14ac:dyDescent="0.2">
      <c r="A2872" t="str">
        <f t="shared" si="258"/>
        <v/>
      </c>
      <c r="X2872" t="str" cm="1">
        <f t="array" ref="X2872">IF(S2872="","",IF($I2872&lt;&gt;"",$I2872,INDEX($I$2:$I2871,ROW()-COUNTIFS($T$2:$T2871,"="&amp;$T2872,$S$2:$S2871,"&lt;&gt;"&amp;$S2872)-1)))</f>
        <v/>
      </c>
      <c r="Y2872" t="b">
        <f>IF(X2872&lt;&gt;"",VLOOKUP(X2872,game_rosters!$C$43:$E$64,3,FALSE))</f>
        <v>0</v>
      </c>
      <c r="Z2872" t="e" cm="1" vm="1">
        <f t="array" aca="1" ref="Z2872" ca="1">IFERROR(IF(_xlfn._xlws.FILTER(game_rosters!$J:$J,(game_rosters!$G:$G=events!$AN2872)*(game_rosters!$J:$J=events!$X2872))&gt;0,1,""),"")</f>
        <v>#VALUE!</v>
      </c>
      <c r="AA2872">
        <f t="shared" si="259"/>
        <v>1000</v>
      </c>
      <c r="AB2872" t="str">
        <f t="shared" si="260"/>
        <v/>
      </c>
      <c r="AC2872">
        <f t="shared" si="257"/>
        <v>1000</v>
      </c>
      <c r="AD2872" s="6"/>
    </row>
    <row r="2873" spans="1:30" x14ac:dyDescent="0.2">
      <c r="A2873" t="str">
        <f t="shared" si="258"/>
        <v/>
      </c>
      <c r="X2873" t="str" cm="1">
        <f t="array" ref="X2873">IF(S2873="","",IF($I2873&lt;&gt;"",$I2873,INDEX($I$2:$I2872,ROW()-COUNTIFS($T$2:$T2872,"="&amp;$T2873,$S$2:$S2872,"&lt;&gt;"&amp;$S2873)-1)))</f>
        <v/>
      </c>
      <c r="Y2873" t="b">
        <f>IF(X2873&lt;&gt;"",VLOOKUP(X2873,game_rosters!$C$43:$E$64,3,FALSE))</f>
        <v>0</v>
      </c>
      <c r="Z2873" t="e" cm="1" vm="1">
        <f t="array" aca="1" ref="Z2873" ca="1">IFERROR(IF(_xlfn._xlws.FILTER(game_rosters!$J:$J,(game_rosters!$G:$G=events!$AN2873)*(game_rosters!$J:$J=events!$X2873))&gt;0,1,""),"")</f>
        <v>#VALUE!</v>
      </c>
      <c r="AA2873">
        <f t="shared" si="259"/>
        <v>1000</v>
      </c>
      <c r="AB2873" t="str">
        <f t="shared" si="260"/>
        <v/>
      </c>
      <c r="AC2873">
        <f t="shared" si="257"/>
        <v>1000</v>
      </c>
      <c r="AD2873" s="6"/>
    </row>
    <row r="2874" spans="1:30" x14ac:dyDescent="0.2">
      <c r="A2874" t="str">
        <f t="shared" si="258"/>
        <v/>
      </c>
      <c r="X2874" t="str" cm="1">
        <f t="array" ref="X2874">IF(S2874="","",IF($I2874&lt;&gt;"",$I2874,INDEX($I$2:$I2873,ROW()-COUNTIFS($T$2:$T2873,"="&amp;$T2874,$S$2:$S2873,"&lt;&gt;"&amp;$S2874)-1)))</f>
        <v/>
      </c>
      <c r="Y2874" t="b">
        <f>IF(X2874&lt;&gt;"",VLOOKUP(X2874,game_rosters!$C$43:$E$64,3,FALSE))</f>
        <v>0</v>
      </c>
      <c r="Z2874" t="e" cm="1" vm="1">
        <f t="array" aca="1" ref="Z2874" ca="1">IFERROR(IF(_xlfn._xlws.FILTER(game_rosters!$J:$J,(game_rosters!$G:$G=events!$AN2874)*(game_rosters!$J:$J=events!$X2874))&gt;0,1,""),"")</f>
        <v>#VALUE!</v>
      </c>
      <c r="AA2874">
        <f t="shared" si="259"/>
        <v>1000</v>
      </c>
      <c r="AB2874" t="str">
        <f t="shared" si="260"/>
        <v/>
      </c>
      <c r="AC2874">
        <f t="shared" si="257"/>
        <v>1000</v>
      </c>
      <c r="AD2874" s="6"/>
    </row>
    <row r="2875" spans="1:30" x14ac:dyDescent="0.2">
      <c r="A2875" t="str">
        <f t="shared" si="258"/>
        <v/>
      </c>
      <c r="X2875" t="str" cm="1">
        <f t="array" ref="X2875">IF(S2875="","",IF($I2875&lt;&gt;"",$I2875,INDEX($I$2:$I2874,ROW()-COUNTIFS($T$2:$T2874,"="&amp;$T2875,$S$2:$S2874,"&lt;&gt;"&amp;$S2875)-1)))</f>
        <v/>
      </c>
      <c r="Y2875" t="b">
        <f>IF(X2875&lt;&gt;"",VLOOKUP(X2875,game_rosters!$C$43:$E$64,3,FALSE))</f>
        <v>0</v>
      </c>
      <c r="Z2875" t="e" cm="1" vm="1">
        <f t="array" aca="1" ref="Z2875" ca="1">IFERROR(IF(_xlfn._xlws.FILTER(game_rosters!$J:$J,(game_rosters!$G:$G=events!$AN2875)*(game_rosters!$J:$J=events!$X2875))&gt;0,1,""),"")</f>
        <v>#VALUE!</v>
      </c>
      <c r="AA2875">
        <f t="shared" si="259"/>
        <v>1000</v>
      </c>
      <c r="AB2875" t="str">
        <f t="shared" si="260"/>
        <v/>
      </c>
      <c r="AC2875">
        <f t="shared" si="257"/>
        <v>1000</v>
      </c>
      <c r="AD2875" s="6"/>
    </row>
    <row r="2876" spans="1:30" x14ac:dyDescent="0.2">
      <c r="A2876" t="str">
        <f t="shared" si="258"/>
        <v/>
      </c>
      <c r="X2876" t="str" cm="1">
        <f t="array" ref="X2876">IF(S2876="","",IF($I2876&lt;&gt;"",$I2876,INDEX($I$2:$I2875,ROW()-COUNTIFS($T$2:$T2875,"="&amp;$T2876,$S$2:$S2875,"&lt;&gt;"&amp;$S2876)-1)))</f>
        <v/>
      </c>
      <c r="Y2876" t="b">
        <f>IF(X2876&lt;&gt;"",VLOOKUP(X2876,game_rosters!$C$43:$E$64,3,FALSE))</f>
        <v>0</v>
      </c>
      <c r="Z2876" t="e" cm="1" vm="1">
        <f t="array" aca="1" ref="Z2876" ca="1">IFERROR(IF(_xlfn._xlws.FILTER(game_rosters!$J:$J,(game_rosters!$G:$G=events!$AN2876)*(game_rosters!$J:$J=events!$X2876))&gt;0,1,""),"")</f>
        <v>#VALUE!</v>
      </c>
      <c r="AA2876">
        <f t="shared" si="259"/>
        <v>1000</v>
      </c>
      <c r="AB2876" t="str">
        <f t="shared" si="260"/>
        <v/>
      </c>
      <c r="AC2876">
        <f t="shared" si="257"/>
        <v>1000</v>
      </c>
      <c r="AD2876" s="6"/>
    </row>
    <row r="2877" spans="1:30" x14ac:dyDescent="0.2">
      <c r="A2877" t="str">
        <f t="shared" si="258"/>
        <v/>
      </c>
      <c r="X2877" t="str" cm="1">
        <f t="array" ref="X2877">IF(S2877="","",IF($I2877&lt;&gt;"",$I2877,INDEX($I$2:$I2876,ROW()-COUNTIFS($T$2:$T2876,"="&amp;$T2877,$S$2:$S2876,"&lt;&gt;"&amp;$S2877)-1)))</f>
        <v/>
      </c>
      <c r="Y2877" t="b">
        <f>IF(X2877&lt;&gt;"",VLOOKUP(X2877,game_rosters!$C$43:$E$64,3,FALSE))</f>
        <v>0</v>
      </c>
      <c r="Z2877" t="e" cm="1" vm="1">
        <f t="array" aca="1" ref="Z2877" ca="1">IFERROR(IF(_xlfn._xlws.FILTER(game_rosters!$J:$J,(game_rosters!$G:$G=events!$AN2877)*(game_rosters!$J:$J=events!$X2877))&gt;0,1,""),"")</f>
        <v>#VALUE!</v>
      </c>
      <c r="AA2877">
        <f t="shared" si="259"/>
        <v>1000</v>
      </c>
      <c r="AB2877" t="str">
        <f t="shared" si="260"/>
        <v/>
      </c>
      <c r="AC2877">
        <f t="shared" si="257"/>
        <v>1000</v>
      </c>
      <c r="AD2877" s="6"/>
    </row>
    <row r="2878" spans="1:30" x14ac:dyDescent="0.2">
      <c r="A2878" t="str">
        <f t="shared" si="258"/>
        <v/>
      </c>
      <c r="X2878" t="str" cm="1">
        <f t="array" ref="X2878">IF(S2878="","",IF($I2878&lt;&gt;"",$I2878,INDEX($I$2:$I2877,ROW()-COUNTIFS($T$2:$T2877,"="&amp;$T2878,$S$2:$S2877,"&lt;&gt;"&amp;$S2878)-1)))</f>
        <v/>
      </c>
      <c r="Y2878" t="b">
        <f>IF(X2878&lt;&gt;"",VLOOKUP(X2878,game_rosters!$C$43:$E$64,3,FALSE))</f>
        <v>0</v>
      </c>
      <c r="Z2878" t="e" cm="1" vm="1">
        <f t="array" aca="1" ref="Z2878" ca="1">IFERROR(IF(_xlfn._xlws.FILTER(game_rosters!$J:$J,(game_rosters!$G:$G=events!$AN2878)*(game_rosters!$J:$J=events!$X2878))&gt;0,1,""),"")</f>
        <v>#VALUE!</v>
      </c>
      <c r="AA2878">
        <f t="shared" si="259"/>
        <v>1000</v>
      </c>
      <c r="AB2878" t="str">
        <f t="shared" si="260"/>
        <v/>
      </c>
      <c r="AC2878">
        <f t="shared" si="257"/>
        <v>1000</v>
      </c>
      <c r="AD2878" s="6"/>
    </row>
    <row r="2879" spans="1:30" x14ac:dyDescent="0.2">
      <c r="A2879" t="str">
        <f t="shared" si="258"/>
        <v/>
      </c>
      <c r="X2879" t="str" cm="1">
        <f t="array" ref="X2879">IF(S2879="","",IF($I2879&lt;&gt;"",$I2879,INDEX($I$2:$I2878,ROW()-COUNTIFS($T$2:$T2878,"="&amp;$T2879,$S$2:$S2878,"&lt;&gt;"&amp;$S2879)-1)))</f>
        <v/>
      </c>
      <c r="Y2879" t="b">
        <f>IF(X2879&lt;&gt;"",VLOOKUP(X2879,game_rosters!$C$43:$E$64,3,FALSE))</f>
        <v>0</v>
      </c>
      <c r="Z2879" t="e" cm="1" vm="1">
        <f t="array" aca="1" ref="Z2879" ca="1">IFERROR(IF(_xlfn._xlws.FILTER(game_rosters!$J:$J,(game_rosters!$G:$G=events!$AN2879)*(game_rosters!$J:$J=events!$X2879))&gt;0,1,""),"")</f>
        <v>#VALUE!</v>
      </c>
      <c r="AA2879">
        <f t="shared" si="259"/>
        <v>1000</v>
      </c>
      <c r="AB2879" t="str">
        <f t="shared" si="260"/>
        <v/>
      </c>
      <c r="AC2879">
        <f t="shared" si="257"/>
        <v>1000</v>
      </c>
      <c r="AD2879" s="6"/>
    </row>
    <row r="2880" spans="1:30" x14ac:dyDescent="0.2">
      <c r="A2880" t="str">
        <f t="shared" si="258"/>
        <v/>
      </c>
      <c r="X2880" t="str" cm="1">
        <f t="array" ref="X2880">IF(S2880="","",IF($I2880&lt;&gt;"",$I2880,INDEX($I$2:$I2879,ROW()-COUNTIFS($T$2:$T2879,"="&amp;$T2880,$S$2:$S2879,"&lt;&gt;"&amp;$S2880)-1)))</f>
        <v/>
      </c>
      <c r="Y2880" t="b">
        <f>IF(X2880&lt;&gt;"",VLOOKUP(X2880,game_rosters!$C$43:$E$64,3,FALSE))</f>
        <v>0</v>
      </c>
      <c r="Z2880" t="e" cm="1" vm="1">
        <f t="array" aca="1" ref="Z2880" ca="1">IFERROR(IF(_xlfn._xlws.FILTER(game_rosters!$J:$J,(game_rosters!$G:$G=events!$AN2880)*(game_rosters!$J:$J=events!$X2880))&gt;0,1,""),"")</f>
        <v>#VALUE!</v>
      </c>
      <c r="AA2880">
        <f t="shared" si="259"/>
        <v>1000</v>
      </c>
      <c r="AB2880" t="str">
        <f t="shared" si="260"/>
        <v/>
      </c>
      <c r="AC2880">
        <f t="shared" si="257"/>
        <v>1000</v>
      </c>
      <c r="AD2880" s="6"/>
    </row>
    <row r="2881" spans="1:30" x14ac:dyDescent="0.2">
      <c r="A2881" t="str">
        <f t="shared" si="258"/>
        <v/>
      </c>
      <c r="X2881" t="str" cm="1">
        <f t="array" ref="X2881">IF(S2881="","",IF($I2881&lt;&gt;"",$I2881,INDEX($I$2:$I2880,ROW()-COUNTIFS($T$2:$T2880,"="&amp;$T2881,$S$2:$S2880,"&lt;&gt;"&amp;$S2881)-1)))</f>
        <v/>
      </c>
      <c r="Y2881" t="b">
        <f>IF(X2881&lt;&gt;"",VLOOKUP(X2881,game_rosters!$C$43:$E$64,3,FALSE))</f>
        <v>0</v>
      </c>
      <c r="Z2881" t="e" cm="1" vm="1">
        <f t="array" aca="1" ref="Z2881" ca="1">IFERROR(IF(_xlfn._xlws.FILTER(game_rosters!$J:$J,(game_rosters!$G:$G=events!$AN2881)*(game_rosters!$J:$J=events!$X2881))&gt;0,1,""),"")</f>
        <v>#VALUE!</v>
      </c>
      <c r="AA2881">
        <f t="shared" si="259"/>
        <v>1000</v>
      </c>
      <c r="AB2881" t="str">
        <f t="shared" si="260"/>
        <v/>
      </c>
      <c r="AC2881">
        <f t="shared" si="257"/>
        <v>1000</v>
      </c>
      <c r="AD2881" s="6"/>
    </row>
    <row r="2882" spans="1:30" x14ac:dyDescent="0.2">
      <c r="A2882" t="str">
        <f t="shared" si="258"/>
        <v/>
      </c>
      <c r="X2882" t="str" cm="1">
        <f t="array" ref="X2882">IF(S2882="","",IF($I2882&lt;&gt;"",$I2882,INDEX($I$2:$I2881,ROW()-COUNTIFS($T$2:$T2881,"="&amp;$T2882,$S$2:$S2881,"&lt;&gt;"&amp;$S2882)-1)))</f>
        <v/>
      </c>
      <c r="Y2882" t="b">
        <f>IF(X2882&lt;&gt;"",VLOOKUP(X2882,game_rosters!$C$43:$E$64,3,FALSE))</f>
        <v>0</v>
      </c>
      <c r="Z2882" t="e" cm="1" vm="1">
        <f t="array" aca="1" ref="Z2882" ca="1">IFERROR(IF(_xlfn._xlws.FILTER(game_rosters!$J:$J,(game_rosters!$G:$G=events!$AN2882)*(game_rosters!$J:$J=events!$X2882))&gt;0,1,""),"")</f>
        <v>#VALUE!</v>
      </c>
      <c r="AA2882">
        <f t="shared" si="259"/>
        <v>1000</v>
      </c>
      <c r="AB2882" t="str">
        <f t="shared" si="260"/>
        <v/>
      </c>
      <c r="AC2882">
        <f t="shared" ref="AC2882:AC2945" si="261">IF(AB2882&lt;&gt;"",AB2882,S2882+1000)</f>
        <v>1000</v>
      </c>
      <c r="AD2882" s="6"/>
    </row>
    <row r="2883" spans="1:30" x14ac:dyDescent="0.2">
      <c r="A2883" t="str">
        <f t="shared" si="258"/>
        <v/>
      </c>
      <c r="X2883" t="str" cm="1">
        <f t="array" ref="X2883">IF(S2883="","",IF($I2883&lt;&gt;"",$I2883,INDEX($I$2:$I2882,ROW()-COUNTIFS($T$2:$T2882,"="&amp;$T2883,$S$2:$S2882,"&lt;&gt;"&amp;$S2883)-1)))</f>
        <v/>
      </c>
      <c r="Y2883" t="b">
        <f>IF(X2883&lt;&gt;"",VLOOKUP(X2883,game_rosters!$C$43:$E$64,3,FALSE))</f>
        <v>0</v>
      </c>
      <c r="Z2883" t="e" cm="1" vm="1">
        <f t="array" aca="1" ref="Z2883" ca="1">IFERROR(IF(_xlfn._xlws.FILTER(game_rosters!$J:$J,(game_rosters!$G:$G=events!$AN2883)*(game_rosters!$J:$J=events!$X2883))&gt;0,1,""),"")</f>
        <v>#VALUE!</v>
      </c>
      <c r="AA2883">
        <f t="shared" si="259"/>
        <v>1000</v>
      </c>
      <c r="AB2883" t="str">
        <f t="shared" si="260"/>
        <v/>
      </c>
      <c r="AC2883">
        <f t="shared" si="261"/>
        <v>1000</v>
      </c>
      <c r="AD2883" s="6"/>
    </row>
    <row r="2884" spans="1:30" x14ac:dyDescent="0.2">
      <c r="A2884" t="str">
        <f t="shared" si="258"/>
        <v/>
      </c>
      <c r="X2884" t="str" cm="1">
        <f t="array" ref="X2884">IF(S2884="","",IF($I2884&lt;&gt;"",$I2884,INDEX($I$2:$I2883,ROW()-COUNTIFS($T$2:$T2883,"="&amp;$T2884,$S$2:$S2883,"&lt;&gt;"&amp;$S2884)-1)))</f>
        <v/>
      </c>
      <c r="Y2884" t="b">
        <f>IF(X2884&lt;&gt;"",VLOOKUP(X2884,game_rosters!$C$43:$E$64,3,FALSE))</f>
        <v>0</v>
      </c>
      <c r="Z2884" t="e" cm="1" vm="1">
        <f t="array" aca="1" ref="Z2884" ca="1">IFERROR(IF(_xlfn._xlws.FILTER(game_rosters!$J:$J,(game_rosters!$G:$G=events!$AN2884)*(game_rosters!$J:$J=events!$X2884))&gt;0,1,""),"")</f>
        <v>#VALUE!</v>
      </c>
      <c r="AA2884">
        <f t="shared" si="259"/>
        <v>1000</v>
      </c>
      <c r="AB2884" t="str">
        <f t="shared" si="260"/>
        <v/>
      </c>
      <c r="AC2884">
        <f t="shared" si="261"/>
        <v>1000</v>
      </c>
      <c r="AD2884" s="6"/>
    </row>
    <row r="2885" spans="1:30" x14ac:dyDescent="0.2">
      <c r="A2885" t="str">
        <f t="shared" ref="A2885:A2948" si="262">IF(K2885&lt;&gt;"",1,IF(D2885="x","x",""))</f>
        <v/>
      </c>
      <c r="X2885" t="str" cm="1">
        <f t="array" ref="X2885">IF(S2885="","",IF($I2885&lt;&gt;"",$I2885,INDEX($I$2:$I2884,ROW()-COUNTIFS($T$2:$T2884,"="&amp;$T2885,$S$2:$S2884,"&lt;&gt;"&amp;$S2885)-1)))</f>
        <v/>
      </c>
      <c r="Y2885" t="b">
        <f>IF(X2885&lt;&gt;"",VLOOKUP(X2885,game_rosters!$C$43:$E$64,3,FALSE))</f>
        <v>0</v>
      </c>
      <c r="Z2885" t="e" cm="1" vm="1">
        <f t="array" aca="1" ref="Z2885" ca="1">IFERROR(IF(_xlfn._xlws.FILTER(game_rosters!$J:$J,(game_rosters!$G:$G=events!$AN2885)*(game_rosters!$J:$J=events!$X2885))&gt;0,1,""),"")</f>
        <v>#VALUE!</v>
      </c>
      <c r="AA2885">
        <f t="shared" si="259"/>
        <v>1000</v>
      </c>
      <c r="AB2885" t="str">
        <f t="shared" si="260"/>
        <v/>
      </c>
      <c r="AC2885">
        <f t="shared" si="261"/>
        <v>1000</v>
      </c>
      <c r="AD2885" s="6"/>
    </row>
    <row r="2886" spans="1:30" x14ac:dyDescent="0.2">
      <c r="A2886" t="str">
        <f t="shared" si="262"/>
        <v/>
      </c>
      <c r="X2886" t="str" cm="1">
        <f t="array" ref="X2886">IF(S2886="","",IF($I2886&lt;&gt;"",$I2886,INDEX($I$2:$I2885,ROW()-COUNTIFS($T$2:$T2885,"="&amp;$T2886,$S$2:$S2885,"&lt;&gt;"&amp;$S2886)-1)))</f>
        <v/>
      </c>
      <c r="Y2886" t="b">
        <f>IF(X2886&lt;&gt;"",VLOOKUP(X2886,game_rosters!$C$43:$E$64,3,FALSE))</f>
        <v>0</v>
      </c>
      <c r="Z2886" t="e" cm="1" vm="1">
        <f t="array" aca="1" ref="Z2886" ca="1">IFERROR(IF(_xlfn._xlws.FILTER(game_rosters!$J:$J,(game_rosters!$G:$G=events!$AN2886)*(game_rosters!$J:$J=events!$X2886))&gt;0,1,""),"")</f>
        <v>#VALUE!</v>
      </c>
      <c r="AA2886">
        <f t="shared" si="259"/>
        <v>1000</v>
      </c>
      <c r="AB2886" t="str">
        <f t="shared" si="260"/>
        <v/>
      </c>
      <c r="AC2886">
        <f t="shared" si="261"/>
        <v>1000</v>
      </c>
      <c r="AD2886" s="6"/>
    </row>
    <row r="2887" spans="1:30" x14ac:dyDescent="0.2">
      <c r="A2887" t="str">
        <f t="shared" si="262"/>
        <v/>
      </c>
      <c r="X2887" t="str" cm="1">
        <f t="array" ref="X2887">IF(S2887="","",IF($I2887&lt;&gt;"",$I2887,INDEX($I$2:$I2886,ROW()-COUNTIFS($T$2:$T2886,"="&amp;$T2887,$S$2:$S2886,"&lt;&gt;"&amp;$S2887)-1)))</f>
        <v/>
      </c>
      <c r="Y2887" t="b">
        <f>IF(X2887&lt;&gt;"",VLOOKUP(X2887,game_rosters!$C$43:$E$64,3,FALSE))</f>
        <v>0</v>
      </c>
      <c r="Z2887" t="e" cm="1" vm="1">
        <f t="array" aca="1" ref="Z2887" ca="1">IFERROR(IF(_xlfn._xlws.FILTER(game_rosters!$J:$J,(game_rosters!$G:$G=events!$AN2887)*(game_rosters!$J:$J=events!$X2887))&gt;0,1,""),"")</f>
        <v>#VALUE!</v>
      </c>
      <c r="AA2887">
        <f t="shared" si="259"/>
        <v>1000</v>
      </c>
      <c r="AB2887" t="str">
        <f t="shared" si="260"/>
        <v/>
      </c>
      <c r="AC2887">
        <f t="shared" si="261"/>
        <v>1000</v>
      </c>
      <c r="AD2887" s="6"/>
    </row>
    <row r="2888" spans="1:30" x14ac:dyDescent="0.2">
      <c r="A2888" t="str">
        <f t="shared" si="262"/>
        <v/>
      </c>
      <c r="X2888" t="str" cm="1">
        <f t="array" ref="X2888">IF(S2888="","",IF($I2888&lt;&gt;"",$I2888,INDEX($I$2:$I2887,ROW()-COUNTIFS($T$2:$T2887,"="&amp;$T2888,$S$2:$S2887,"&lt;&gt;"&amp;$S2888)-1)))</f>
        <v/>
      </c>
      <c r="Y2888" t="b">
        <f>IF(X2888&lt;&gt;"",VLOOKUP(X2888,game_rosters!$C$43:$E$64,3,FALSE))</f>
        <v>0</v>
      </c>
      <c r="Z2888" t="e" cm="1" vm="1">
        <f t="array" aca="1" ref="Z2888" ca="1">IFERROR(IF(_xlfn._xlws.FILTER(game_rosters!$J:$J,(game_rosters!$G:$G=events!$AN2888)*(game_rosters!$J:$J=events!$X2888))&gt;0,1,""),"")</f>
        <v>#VALUE!</v>
      </c>
      <c r="AA2888">
        <f t="shared" si="259"/>
        <v>1000</v>
      </c>
      <c r="AB2888" t="str">
        <f t="shared" si="260"/>
        <v/>
      </c>
      <c r="AC2888">
        <f t="shared" si="261"/>
        <v>1000</v>
      </c>
      <c r="AD2888" s="6"/>
    </row>
    <row r="2889" spans="1:30" x14ac:dyDescent="0.2">
      <c r="A2889" t="str">
        <f t="shared" si="262"/>
        <v/>
      </c>
      <c r="X2889" t="str" cm="1">
        <f t="array" ref="X2889">IF(S2889="","",IF($I2889&lt;&gt;"",$I2889,INDEX($I$2:$I2888,ROW()-COUNTIFS($T$2:$T2888,"="&amp;$T2889,$S$2:$S2888,"&lt;&gt;"&amp;$S2889)-1)))</f>
        <v/>
      </c>
      <c r="Y2889" t="b">
        <f>IF(X2889&lt;&gt;"",VLOOKUP(X2889,game_rosters!$C$43:$E$64,3,FALSE))</f>
        <v>0</v>
      </c>
      <c r="Z2889" t="e" cm="1" vm="1">
        <f t="array" aca="1" ref="Z2889" ca="1">IFERROR(IF(_xlfn._xlws.FILTER(game_rosters!$J:$J,(game_rosters!$G:$G=events!$AN2889)*(game_rosters!$J:$J=events!$X2889))&gt;0,1,""),"")</f>
        <v>#VALUE!</v>
      </c>
      <c r="AA2889">
        <f t="shared" si="259"/>
        <v>1000</v>
      </c>
      <c r="AB2889" t="str">
        <f t="shared" si="260"/>
        <v/>
      </c>
      <c r="AC2889">
        <f t="shared" si="261"/>
        <v>1000</v>
      </c>
      <c r="AD2889" s="6"/>
    </row>
    <row r="2890" spans="1:30" x14ac:dyDescent="0.2">
      <c r="A2890" t="str">
        <f t="shared" si="262"/>
        <v/>
      </c>
      <c r="X2890" t="str" cm="1">
        <f t="array" ref="X2890">IF(S2890="","",IF($I2890&lt;&gt;"",$I2890,INDEX($I$2:$I2889,ROW()-COUNTIFS($T$2:$T2889,"="&amp;$T2890,$S$2:$S2889,"&lt;&gt;"&amp;$S2890)-1)))</f>
        <v/>
      </c>
      <c r="Y2890" t="b">
        <f>IF(X2890&lt;&gt;"",VLOOKUP(X2890,game_rosters!$C$43:$E$64,3,FALSE))</f>
        <v>0</v>
      </c>
      <c r="Z2890" t="e" cm="1" vm="1">
        <f t="array" aca="1" ref="Z2890" ca="1">IFERROR(IF(_xlfn._xlws.FILTER(game_rosters!$J:$J,(game_rosters!$G:$G=events!$AN2890)*(game_rosters!$J:$J=events!$X2890))&gt;0,1,""),"")</f>
        <v>#VALUE!</v>
      </c>
      <c r="AA2890">
        <f t="shared" si="259"/>
        <v>1000</v>
      </c>
      <c r="AB2890" t="str">
        <f t="shared" si="260"/>
        <v/>
      </c>
      <c r="AC2890">
        <f t="shared" si="261"/>
        <v>1000</v>
      </c>
      <c r="AD2890" s="6"/>
    </row>
    <row r="2891" spans="1:30" x14ac:dyDescent="0.2">
      <c r="A2891" t="str">
        <f t="shared" si="262"/>
        <v/>
      </c>
      <c r="X2891" t="str" cm="1">
        <f t="array" ref="X2891">IF(S2891="","",IF($I2891&lt;&gt;"",$I2891,INDEX($I$2:$I2890,ROW()-COUNTIFS($T$2:$T2890,"="&amp;$T2891,$S$2:$S2890,"&lt;&gt;"&amp;$S2891)-1)))</f>
        <v/>
      </c>
      <c r="Y2891" t="b">
        <f>IF(X2891&lt;&gt;"",VLOOKUP(X2891,game_rosters!$C$43:$E$64,3,FALSE))</f>
        <v>0</v>
      </c>
      <c r="Z2891" t="e" cm="1" vm="1">
        <f t="array" aca="1" ref="Z2891" ca="1">IFERROR(IF(_xlfn._xlws.FILTER(game_rosters!$J:$J,(game_rosters!$G:$G=events!$AN2891)*(game_rosters!$J:$J=events!$X2891))&gt;0,1,""),"")</f>
        <v>#VALUE!</v>
      </c>
      <c r="AA2891">
        <f t="shared" si="259"/>
        <v>1000</v>
      </c>
      <c r="AB2891" t="str">
        <f t="shared" si="260"/>
        <v/>
      </c>
      <c r="AC2891">
        <f t="shared" si="261"/>
        <v>1000</v>
      </c>
      <c r="AD2891" s="6"/>
    </row>
    <row r="2892" spans="1:30" x14ac:dyDescent="0.2">
      <c r="A2892" t="str">
        <f t="shared" si="262"/>
        <v/>
      </c>
      <c r="X2892" t="str" cm="1">
        <f t="array" ref="X2892">IF(S2892="","",IF($I2892&lt;&gt;"",$I2892,INDEX($I$2:$I2891,ROW()-COUNTIFS($T$2:$T2891,"="&amp;$T2892,$S$2:$S2891,"&lt;&gt;"&amp;$S2892)-1)))</f>
        <v/>
      </c>
      <c r="Y2892" t="b">
        <f>IF(X2892&lt;&gt;"",VLOOKUP(X2892,game_rosters!$C$43:$E$64,3,FALSE))</f>
        <v>0</v>
      </c>
      <c r="Z2892" t="e" cm="1" vm="1">
        <f t="array" aca="1" ref="Z2892" ca="1">IFERROR(IF(_xlfn._xlws.FILTER(game_rosters!$J:$J,(game_rosters!$G:$G=events!$AN2892)*(game_rosters!$J:$J=events!$X2892))&gt;0,1,""),"")</f>
        <v>#VALUE!</v>
      </c>
      <c r="AA2892">
        <f t="shared" si="259"/>
        <v>1000</v>
      </c>
      <c r="AB2892" t="str">
        <f t="shared" si="260"/>
        <v/>
      </c>
      <c r="AC2892">
        <f t="shared" si="261"/>
        <v>1000</v>
      </c>
      <c r="AD2892" s="6"/>
    </row>
    <row r="2893" spans="1:30" x14ac:dyDescent="0.2">
      <c r="A2893" t="str">
        <f t="shared" si="262"/>
        <v/>
      </c>
      <c r="X2893" t="str" cm="1">
        <f t="array" ref="X2893">IF(S2893="","",IF($I2893&lt;&gt;"",$I2893,INDEX($I$2:$I2892,ROW()-COUNTIFS($T$2:$T2892,"="&amp;$T2893,$S$2:$S2892,"&lt;&gt;"&amp;$S2893)-1)))</f>
        <v/>
      </c>
      <c r="Y2893" t="b">
        <f>IF(X2893&lt;&gt;"",VLOOKUP(X2893,game_rosters!$C$43:$E$64,3,FALSE))</f>
        <v>0</v>
      </c>
      <c r="Z2893" t="e" cm="1" vm="1">
        <f t="array" aca="1" ref="Z2893" ca="1">IFERROR(IF(_xlfn._xlws.FILTER(game_rosters!$J:$J,(game_rosters!$G:$G=events!$AN2893)*(game_rosters!$J:$J=events!$X2893))&gt;0,1,""),"")</f>
        <v>#VALUE!</v>
      </c>
      <c r="AA2893">
        <f t="shared" si="259"/>
        <v>1000</v>
      </c>
      <c r="AB2893" t="str">
        <f t="shared" si="260"/>
        <v/>
      </c>
      <c r="AC2893">
        <f t="shared" si="261"/>
        <v>1000</v>
      </c>
      <c r="AD2893" s="6"/>
    </row>
    <row r="2894" spans="1:30" x14ac:dyDescent="0.2">
      <c r="A2894" t="str">
        <f t="shared" si="262"/>
        <v/>
      </c>
      <c r="X2894" t="str" cm="1">
        <f t="array" ref="X2894">IF(S2894="","",IF($I2894&lt;&gt;"",$I2894,INDEX($I$2:$I2893,ROW()-COUNTIFS($T$2:$T2893,"="&amp;$T2894,$S$2:$S2893,"&lt;&gt;"&amp;$S2894)-1)))</f>
        <v/>
      </c>
      <c r="Y2894" t="b">
        <f>IF(X2894&lt;&gt;"",VLOOKUP(X2894,game_rosters!$C$43:$E$64,3,FALSE))</f>
        <v>0</v>
      </c>
      <c r="Z2894" t="e" cm="1" vm="1">
        <f t="array" aca="1" ref="Z2894" ca="1">IFERROR(IF(_xlfn._xlws.FILTER(game_rosters!$J:$J,(game_rosters!$G:$G=events!$AN2894)*(game_rosters!$J:$J=events!$X2894))&gt;0,1,""),"")</f>
        <v>#VALUE!</v>
      </c>
      <c r="AA2894">
        <f t="shared" si="259"/>
        <v>1000</v>
      </c>
      <c r="AB2894" t="str">
        <f t="shared" si="260"/>
        <v/>
      </c>
      <c r="AC2894">
        <f t="shared" si="261"/>
        <v>1000</v>
      </c>
      <c r="AD2894" s="6"/>
    </row>
    <row r="2895" spans="1:30" x14ac:dyDescent="0.2">
      <c r="A2895" t="str">
        <f t="shared" si="262"/>
        <v/>
      </c>
      <c r="X2895" t="str" cm="1">
        <f t="array" ref="X2895">IF(S2895="","",IF($I2895&lt;&gt;"",$I2895,INDEX($I$2:$I2894,ROW()-COUNTIFS($T$2:$T2894,"="&amp;$T2895,$S$2:$S2894,"&lt;&gt;"&amp;$S2895)-1)))</f>
        <v/>
      </c>
      <c r="Y2895" t="b">
        <f>IF(X2895&lt;&gt;"",VLOOKUP(X2895,game_rosters!$C$43:$E$64,3,FALSE))</f>
        <v>0</v>
      </c>
      <c r="Z2895" t="e" cm="1" vm="1">
        <f t="array" aca="1" ref="Z2895" ca="1">IFERROR(IF(_xlfn._xlws.FILTER(game_rosters!$J:$J,(game_rosters!$G:$G=events!$AN2895)*(game_rosters!$J:$J=events!$X2895))&gt;0,1,""),"")</f>
        <v>#VALUE!</v>
      </c>
      <c r="AA2895">
        <f t="shared" si="259"/>
        <v>1000</v>
      </c>
      <c r="AB2895" t="str">
        <f t="shared" si="260"/>
        <v/>
      </c>
      <c r="AC2895">
        <f t="shared" si="261"/>
        <v>1000</v>
      </c>
      <c r="AD2895" s="6"/>
    </row>
    <row r="2896" spans="1:30" x14ac:dyDescent="0.2">
      <c r="A2896" t="str">
        <f t="shared" si="262"/>
        <v/>
      </c>
      <c r="X2896" t="str" cm="1">
        <f t="array" ref="X2896">IF(S2896="","",IF($I2896&lt;&gt;"",$I2896,INDEX($I$2:$I2895,ROW()-COUNTIFS($T$2:$T2895,"="&amp;$T2896,$S$2:$S2895,"&lt;&gt;"&amp;$S2896)-1)))</f>
        <v/>
      </c>
      <c r="Y2896" t="b">
        <f>IF(X2896&lt;&gt;"",VLOOKUP(X2896,game_rosters!$C$43:$E$64,3,FALSE))</f>
        <v>0</v>
      </c>
      <c r="Z2896" t="e" cm="1" vm="1">
        <f t="array" aca="1" ref="Z2896" ca="1">IFERROR(IF(_xlfn._xlws.FILTER(game_rosters!$J:$J,(game_rosters!$G:$G=events!$AN2896)*(game_rosters!$J:$J=events!$X2896))&gt;0,1,""),"")</f>
        <v>#VALUE!</v>
      </c>
      <c r="AA2896">
        <f t="shared" si="259"/>
        <v>1000</v>
      </c>
      <c r="AB2896" t="str">
        <f t="shared" si="260"/>
        <v/>
      </c>
      <c r="AC2896">
        <f t="shared" si="261"/>
        <v>1000</v>
      </c>
      <c r="AD2896" s="6"/>
    </row>
    <row r="2897" spans="1:30" x14ac:dyDescent="0.2">
      <c r="A2897" t="str">
        <f t="shared" si="262"/>
        <v/>
      </c>
      <c r="X2897" t="str" cm="1">
        <f t="array" ref="X2897">IF(S2897="","",IF($I2897&lt;&gt;"",$I2897,INDEX($I$2:$I2896,ROW()-COUNTIFS($T$2:$T2896,"="&amp;$T2897,$S$2:$S2896,"&lt;&gt;"&amp;$S2897)-1)))</f>
        <v/>
      </c>
      <c r="Y2897" t="b">
        <f>IF(X2897&lt;&gt;"",VLOOKUP(X2897,game_rosters!$C$43:$E$64,3,FALSE))</f>
        <v>0</v>
      </c>
      <c r="Z2897" t="e" cm="1" vm="1">
        <f t="array" aca="1" ref="Z2897" ca="1">IFERROR(IF(_xlfn._xlws.FILTER(game_rosters!$J:$J,(game_rosters!$G:$G=events!$AN2897)*(game_rosters!$J:$J=events!$X2897))&gt;0,1,""),"")</f>
        <v>#VALUE!</v>
      </c>
      <c r="AA2897">
        <f t="shared" si="259"/>
        <v>1000</v>
      </c>
      <c r="AB2897" t="str">
        <f t="shared" si="260"/>
        <v/>
      </c>
      <c r="AC2897">
        <f t="shared" si="261"/>
        <v>1000</v>
      </c>
      <c r="AD2897" s="6"/>
    </row>
    <row r="2898" spans="1:30" x14ac:dyDescent="0.2">
      <c r="A2898" t="str">
        <f t="shared" si="262"/>
        <v/>
      </c>
      <c r="X2898" t="str" cm="1">
        <f t="array" ref="X2898">IF(S2898="","",IF($I2898&lt;&gt;"",$I2898,INDEX($I$2:$I2897,ROW()-COUNTIFS($T$2:$T2897,"="&amp;$T2898,$S$2:$S2897,"&lt;&gt;"&amp;$S2898)-1)))</f>
        <v/>
      </c>
      <c r="Y2898" t="b">
        <f>IF(X2898&lt;&gt;"",VLOOKUP(X2898,game_rosters!$C$43:$E$64,3,FALSE))</f>
        <v>0</v>
      </c>
      <c r="Z2898" t="e" cm="1" vm="1">
        <f t="array" aca="1" ref="Z2898" ca="1">IFERROR(IF(_xlfn._xlws.FILTER(game_rosters!$J:$J,(game_rosters!$G:$G=events!$AN2898)*(game_rosters!$J:$J=events!$X2898))&gt;0,1,""),"")</f>
        <v>#VALUE!</v>
      </c>
      <c r="AA2898">
        <f t="shared" si="259"/>
        <v>1000</v>
      </c>
      <c r="AB2898" t="str">
        <f t="shared" si="260"/>
        <v/>
      </c>
      <c r="AC2898">
        <f t="shared" si="261"/>
        <v>1000</v>
      </c>
      <c r="AD2898" s="6"/>
    </row>
    <row r="2899" spans="1:30" x14ac:dyDescent="0.2">
      <c r="A2899" t="str">
        <f t="shared" si="262"/>
        <v/>
      </c>
      <c r="X2899" t="str" cm="1">
        <f t="array" ref="X2899">IF(S2899="","",IF($I2899&lt;&gt;"",$I2899,INDEX($I$2:$I2898,ROW()-COUNTIFS($T$2:$T2898,"="&amp;$T2899,$S$2:$S2898,"&lt;&gt;"&amp;$S2899)-1)))</f>
        <v/>
      </c>
      <c r="Y2899" t="b">
        <f>IF(X2899&lt;&gt;"",VLOOKUP(X2899,game_rosters!$C$43:$E$64,3,FALSE))</f>
        <v>0</v>
      </c>
      <c r="Z2899" t="e" cm="1" vm="1">
        <f t="array" aca="1" ref="Z2899" ca="1">IFERROR(IF(_xlfn._xlws.FILTER(game_rosters!$J:$J,(game_rosters!$G:$G=events!$AN2899)*(game_rosters!$J:$J=events!$X2899))&gt;0,1,""),"")</f>
        <v>#VALUE!</v>
      </c>
      <c r="AA2899">
        <f t="shared" si="259"/>
        <v>1000</v>
      </c>
      <c r="AB2899" t="str">
        <f t="shared" si="260"/>
        <v/>
      </c>
      <c r="AC2899">
        <f t="shared" si="261"/>
        <v>1000</v>
      </c>
      <c r="AD2899" s="6"/>
    </row>
    <row r="2900" spans="1:30" x14ac:dyDescent="0.2">
      <c r="A2900" t="str">
        <f t="shared" si="262"/>
        <v/>
      </c>
      <c r="X2900" t="str" cm="1">
        <f t="array" ref="X2900">IF(S2900="","",IF($I2900&lt;&gt;"",$I2900,INDEX($I$2:$I2899,ROW()-COUNTIFS($T$2:$T2899,"="&amp;$T2900,$S$2:$S2899,"&lt;&gt;"&amp;$S2900)-1)))</f>
        <v/>
      </c>
      <c r="Y2900" t="b">
        <f>IF(X2900&lt;&gt;"",VLOOKUP(X2900,game_rosters!$C$43:$E$64,3,FALSE))</f>
        <v>0</v>
      </c>
      <c r="Z2900" t="e" cm="1" vm="1">
        <f t="array" aca="1" ref="Z2900" ca="1">IFERROR(IF(_xlfn._xlws.FILTER(game_rosters!$J:$J,(game_rosters!$G:$G=events!$AN2900)*(game_rosters!$J:$J=events!$X2900))&gt;0,1,""),"")</f>
        <v>#VALUE!</v>
      </c>
      <c r="AA2900">
        <f t="shared" si="259"/>
        <v>1000</v>
      </c>
      <c r="AB2900" t="str">
        <f t="shared" si="260"/>
        <v/>
      </c>
      <c r="AC2900">
        <f t="shared" si="261"/>
        <v>1000</v>
      </c>
      <c r="AD2900" s="6"/>
    </row>
    <row r="2901" spans="1:30" x14ac:dyDescent="0.2">
      <c r="A2901" t="str">
        <f t="shared" si="262"/>
        <v/>
      </c>
      <c r="X2901" t="str" cm="1">
        <f t="array" ref="X2901">IF(S2901="","",IF($I2901&lt;&gt;"",$I2901,INDEX($I$2:$I2900,ROW()-COUNTIFS($T$2:$T2900,"="&amp;$T2901,$S$2:$S2900,"&lt;&gt;"&amp;$S2901)-1)))</f>
        <v/>
      </c>
      <c r="Y2901" t="b">
        <f>IF(X2901&lt;&gt;"",VLOOKUP(X2901,game_rosters!$C$43:$E$64,3,FALSE))</f>
        <v>0</v>
      </c>
      <c r="Z2901" t="e" cm="1" vm="1">
        <f t="array" aca="1" ref="Z2901" ca="1">IFERROR(IF(_xlfn._xlws.FILTER(game_rosters!$J:$J,(game_rosters!$G:$G=events!$AN2901)*(game_rosters!$J:$J=events!$X2901))&gt;0,1,""),"")</f>
        <v>#VALUE!</v>
      </c>
      <c r="AA2901">
        <f t="shared" si="259"/>
        <v>1000</v>
      </c>
      <c r="AB2901" t="str">
        <f t="shared" si="260"/>
        <v/>
      </c>
      <c r="AC2901">
        <f t="shared" si="261"/>
        <v>1000</v>
      </c>
      <c r="AD2901" s="6"/>
    </row>
    <row r="2902" spans="1:30" x14ac:dyDescent="0.2">
      <c r="A2902" t="str">
        <f t="shared" si="262"/>
        <v/>
      </c>
      <c r="X2902" t="str" cm="1">
        <f t="array" ref="X2902">IF(S2902="","",IF($I2902&lt;&gt;"",$I2902,INDEX($I$2:$I2901,ROW()-COUNTIFS($T$2:$T2901,"="&amp;$T2902,$S$2:$S2901,"&lt;&gt;"&amp;$S2902)-1)))</f>
        <v/>
      </c>
      <c r="Y2902" t="b">
        <f>IF(X2902&lt;&gt;"",VLOOKUP(X2902,game_rosters!$C$43:$E$64,3,FALSE))</f>
        <v>0</v>
      </c>
      <c r="Z2902" t="e" cm="1" vm="1">
        <f t="array" aca="1" ref="Z2902" ca="1">IFERROR(IF(_xlfn._xlws.FILTER(game_rosters!$J:$J,(game_rosters!$G:$G=events!$AN2902)*(game_rosters!$J:$J=events!$X2902))&gt;0,1,""),"")</f>
        <v>#VALUE!</v>
      </c>
      <c r="AA2902">
        <f t="shared" si="259"/>
        <v>1000</v>
      </c>
      <c r="AB2902" t="str">
        <f t="shared" si="260"/>
        <v/>
      </c>
      <c r="AC2902">
        <f t="shared" si="261"/>
        <v>1000</v>
      </c>
      <c r="AD2902" s="6"/>
    </row>
    <row r="2903" spans="1:30" x14ac:dyDescent="0.2">
      <c r="A2903" t="str">
        <f t="shared" si="262"/>
        <v/>
      </c>
      <c r="X2903" t="str" cm="1">
        <f t="array" ref="X2903">IF(S2903="","",IF($I2903&lt;&gt;"",$I2903,INDEX($I$2:$I2902,ROW()-COUNTIFS($T$2:$T2902,"="&amp;$T2903,$S$2:$S2902,"&lt;&gt;"&amp;$S2903)-1)))</f>
        <v/>
      </c>
      <c r="Y2903" t="b">
        <f>IF(X2903&lt;&gt;"",VLOOKUP(X2903,game_rosters!$C$43:$E$64,3,FALSE))</f>
        <v>0</v>
      </c>
      <c r="Z2903" t="e" cm="1" vm="1">
        <f t="array" aca="1" ref="Z2903" ca="1">IFERROR(IF(_xlfn._xlws.FILTER(game_rosters!$J:$J,(game_rosters!$G:$G=events!$AN2903)*(game_rosters!$J:$J=events!$X2903))&gt;0,1,""),"")</f>
        <v>#VALUE!</v>
      </c>
      <c r="AA2903">
        <f t="shared" si="259"/>
        <v>1000</v>
      </c>
      <c r="AB2903" t="str">
        <f t="shared" si="260"/>
        <v/>
      </c>
      <c r="AC2903">
        <f t="shared" si="261"/>
        <v>1000</v>
      </c>
      <c r="AD2903" s="6"/>
    </row>
    <row r="2904" spans="1:30" x14ac:dyDescent="0.2">
      <c r="A2904" t="str">
        <f t="shared" si="262"/>
        <v/>
      </c>
      <c r="X2904" t="str" cm="1">
        <f t="array" ref="X2904">IF(S2904="","",IF($I2904&lt;&gt;"",$I2904,INDEX($I$2:$I2903,ROW()-COUNTIFS($T$2:$T2903,"="&amp;$T2904,$S$2:$S2903,"&lt;&gt;"&amp;$S2904)-1)))</f>
        <v/>
      </c>
      <c r="Y2904" t="b">
        <f>IF(X2904&lt;&gt;"",VLOOKUP(X2904,game_rosters!$C$43:$E$64,3,FALSE))</f>
        <v>0</v>
      </c>
      <c r="Z2904" t="e" cm="1" vm="1">
        <f t="array" aca="1" ref="Z2904" ca="1">IFERROR(IF(_xlfn._xlws.FILTER(game_rosters!$J:$J,(game_rosters!$G:$G=events!$AN2904)*(game_rosters!$J:$J=events!$X2904))&gt;0,1,""),"")</f>
        <v>#VALUE!</v>
      </c>
      <c r="AA2904">
        <f t="shared" si="259"/>
        <v>1000</v>
      </c>
      <c r="AB2904" t="str">
        <f t="shared" si="260"/>
        <v/>
      </c>
      <c r="AC2904">
        <f t="shared" si="261"/>
        <v>1000</v>
      </c>
      <c r="AD2904" s="6"/>
    </row>
    <row r="2905" spans="1:30" x14ac:dyDescent="0.2">
      <c r="A2905" t="str">
        <f t="shared" si="262"/>
        <v/>
      </c>
      <c r="X2905" t="str" cm="1">
        <f t="array" ref="X2905">IF(S2905="","",IF($I2905&lt;&gt;"",$I2905,INDEX($I$2:$I2904,ROW()-COUNTIFS($T$2:$T2904,"="&amp;$T2905,$S$2:$S2904,"&lt;&gt;"&amp;$S2905)-1)))</f>
        <v/>
      </c>
      <c r="Y2905" t="b">
        <f>IF(X2905&lt;&gt;"",VLOOKUP(X2905,game_rosters!$C$43:$E$64,3,FALSE))</f>
        <v>0</v>
      </c>
      <c r="Z2905" t="e" cm="1" vm="1">
        <f t="array" aca="1" ref="Z2905" ca="1">IFERROR(IF(_xlfn._xlws.FILTER(game_rosters!$J:$J,(game_rosters!$G:$G=events!$AN2905)*(game_rosters!$J:$J=events!$X2905))&gt;0,1,""),"")</f>
        <v>#VALUE!</v>
      </c>
      <c r="AA2905">
        <f t="shared" si="259"/>
        <v>1000</v>
      </c>
      <c r="AB2905" t="str">
        <f t="shared" si="260"/>
        <v/>
      </c>
      <c r="AC2905">
        <f t="shared" si="261"/>
        <v>1000</v>
      </c>
      <c r="AD2905" s="6"/>
    </row>
    <row r="2906" spans="1:30" x14ac:dyDescent="0.2">
      <c r="A2906" t="str">
        <f t="shared" si="262"/>
        <v/>
      </c>
      <c r="X2906" t="str" cm="1">
        <f t="array" ref="X2906">IF(S2906="","",IF($I2906&lt;&gt;"",$I2906,INDEX($I$2:$I2905,ROW()-COUNTIFS($T$2:$T2905,"="&amp;$T2906,$S$2:$S2905,"&lt;&gt;"&amp;$S2906)-1)))</f>
        <v/>
      </c>
      <c r="Y2906" t="b">
        <f>IF(X2906&lt;&gt;"",VLOOKUP(X2906,game_rosters!$C$43:$E$64,3,FALSE))</f>
        <v>0</v>
      </c>
      <c r="Z2906" t="e" cm="1" vm="1">
        <f t="array" aca="1" ref="Z2906" ca="1">IFERROR(IF(_xlfn._xlws.FILTER(game_rosters!$J:$J,(game_rosters!$G:$G=events!$AN2906)*(game_rosters!$J:$J=events!$X2906))&gt;0,1,""),"")</f>
        <v>#VALUE!</v>
      </c>
      <c r="AA2906">
        <f t="shared" si="259"/>
        <v>1000</v>
      </c>
      <c r="AB2906" t="str">
        <f t="shared" si="260"/>
        <v/>
      </c>
      <c r="AC2906">
        <f t="shared" si="261"/>
        <v>1000</v>
      </c>
      <c r="AD2906" s="6"/>
    </row>
    <row r="2907" spans="1:30" x14ac:dyDescent="0.2">
      <c r="A2907" t="str">
        <f t="shared" si="262"/>
        <v/>
      </c>
      <c r="X2907" t="str" cm="1">
        <f t="array" ref="X2907">IF(S2907="","",IF($I2907&lt;&gt;"",$I2907,INDEX($I$2:$I2906,ROW()-COUNTIFS($T$2:$T2906,"="&amp;$T2907,$S$2:$S2906,"&lt;&gt;"&amp;$S2907)-1)))</f>
        <v/>
      </c>
      <c r="Y2907" t="b">
        <f>IF(X2907&lt;&gt;"",VLOOKUP(X2907,game_rosters!$C$43:$E$64,3,FALSE))</f>
        <v>0</v>
      </c>
      <c r="Z2907" t="e" cm="1" vm="1">
        <f t="array" aca="1" ref="Z2907" ca="1">IFERROR(IF(_xlfn._xlws.FILTER(game_rosters!$J:$J,(game_rosters!$G:$G=events!$AN2907)*(game_rosters!$J:$J=events!$X2907))&gt;0,1,""),"")</f>
        <v>#VALUE!</v>
      </c>
      <c r="AA2907">
        <f t="shared" si="259"/>
        <v>1000</v>
      </c>
      <c r="AB2907" t="str">
        <f t="shared" si="260"/>
        <v/>
      </c>
      <c r="AC2907">
        <f t="shared" si="261"/>
        <v>1000</v>
      </c>
      <c r="AD2907" s="6"/>
    </row>
    <row r="2908" spans="1:30" x14ac:dyDescent="0.2">
      <c r="A2908" t="str">
        <f t="shared" si="262"/>
        <v/>
      </c>
      <c r="X2908" t="str" cm="1">
        <f t="array" ref="X2908">IF(S2908="","",IF($I2908&lt;&gt;"",$I2908,INDEX($I$2:$I2907,ROW()-COUNTIFS($T$2:$T2907,"="&amp;$T2908,$S$2:$S2907,"&lt;&gt;"&amp;$S2908)-1)))</f>
        <v/>
      </c>
      <c r="Y2908" t="b">
        <f>IF(X2908&lt;&gt;"",VLOOKUP(X2908,game_rosters!$C$43:$E$64,3,FALSE))</f>
        <v>0</v>
      </c>
      <c r="Z2908" t="e" cm="1" vm="1">
        <f t="array" aca="1" ref="Z2908" ca="1">IFERROR(IF(_xlfn._xlws.FILTER(game_rosters!$J:$J,(game_rosters!$G:$G=events!$AN2908)*(game_rosters!$J:$J=events!$X2908))&gt;0,1,""),"")</f>
        <v>#VALUE!</v>
      </c>
      <c r="AA2908">
        <f t="shared" si="259"/>
        <v>1000</v>
      </c>
      <c r="AB2908" t="str">
        <f t="shared" si="260"/>
        <v/>
      </c>
      <c r="AC2908">
        <f t="shared" si="261"/>
        <v>1000</v>
      </c>
      <c r="AD2908" s="6"/>
    </row>
    <row r="2909" spans="1:30" x14ac:dyDescent="0.2">
      <c r="A2909" t="str">
        <f t="shared" si="262"/>
        <v/>
      </c>
      <c r="X2909" t="str" cm="1">
        <f t="array" ref="X2909">IF(S2909="","",IF($I2909&lt;&gt;"",$I2909,INDEX($I$2:$I2908,ROW()-COUNTIFS($T$2:$T2908,"="&amp;$T2909,$S$2:$S2908,"&lt;&gt;"&amp;$S2909)-1)))</f>
        <v/>
      </c>
      <c r="Y2909" t="b">
        <f>IF(X2909&lt;&gt;"",VLOOKUP(X2909,game_rosters!$C$43:$E$64,3,FALSE))</f>
        <v>0</v>
      </c>
      <c r="Z2909" t="e" cm="1" vm="1">
        <f t="array" aca="1" ref="Z2909" ca="1">IFERROR(IF(_xlfn._xlws.FILTER(game_rosters!$J:$J,(game_rosters!$G:$G=events!$AN2909)*(game_rosters!$J:$J=events!$X2909))&gt;0,1,""),"")</f>
        <v>#VALUE!</v>
      </c>
      <c r="AA2909">
        <f t="shared" ref="AA2909:AA2972" si="263">S2909+1000</f>
        <v>1000</v>
      </c>
      <c r="AB2909" t="str">
        <f t="shared" ref="AB2909:AB2972" si="264">IF(T2909&lt;&gt;"",9000+T2909,"")</f>
        <v/>
      </c>
      <c r="AC2909">
        <f t="shared" si="261"/>
        <v>1000</v>
      </c>
      <c r="AD2909" s="6"/>
    </row>
    <row r="2910" spans="1:30" x14ac:dyDescent="0.2">
      <c r="A2910" t="str">
        <f t="shared" si="262"/>
        <v/>
      </c>
      <c r="X2910" t="str" cm="1">
        <f t="array" ref="X2910">IF(S2910="","",IF($I2910&lt;&gt;"",$I2910,INDEX($I$2:$I2909,ROW()-COUNTIFS($T$2:$T2909,"="&amp;$T2910,$S$2:$S2909,"&lt;&gt;"&amp;$S2910)-1)))</f>
        <v/>
      </c>
      <c r="Y2910" t="b">
        <f>IF(X2910&lt;&gt;"",VLOOKUP(X2910,game_rosters!$C$43:$E$64,3,FALSE))</f>
        <v>0</v>
      </c>
      <c r="Z2910" t="e" cm="1" vm="1">
        <f t="array" aca="1" ref="Z2910" ca="1">IFERROR(IF(_xlfn._xlws.FILTER(game_rosters!$J:$J,(game_rosters!$G:$G=events!$AN2910)*(game_rosters!$J:$J=events!$X2910))&gt;0,1,""),"")</f>
        <v>#VALUE!</v>
      </c>
      <c r="AA2910">
        <f t="shared" si="263"/>
        <v>1000</v>
      </c>
      <c r="AB2910" t="str">
        <f t="shared" si="264"/>
        <v/>
      </c>
      <c r="AC2910">
        <f t="shared" si="261"/>
        <v>1000</v>
      </c>
      <c r="AD2910" s="6"/>
    </row>
    <row r="2911" spans="1:30" x14ac:dyDescent="0.2">
      <c r="A2911" t="str">
        <f t="shared" si="262"/>
        <v/>
      </c>
      <c r="X2911" t="str" cm="1">
        <f t="array" ref="X2911">IF(S2911="","",IF($I2911&lt;&gt;"",$I2911,INDEX($I$2:$I2910,ROW()-COUNTIFS($T$2:$T2910,"="&amp;$T2911,$S$2:$S2910,"&lt;&gt;"&amp;$S2911)-1)))</f>
        <v/>
      </c>
      <c r="Y2911" t="b">
        <f>IF(X2911&lt;&gt;"",VLOOKUP(X2911,game_rosters!$C$43:$E$64,3,FALSE))</f>
        <v>0</v>
      </c>
      <c r="Z2911" t="e" cm="1" vm="1">
        <f t="array" aca="1" ref="Z2911" ca="1">IFERROR(IF(_xlfn._xlws.FILTER(game_rosters!$J:$J,(game_rosters!$G:$G=events!$AN2911)*(game_rosters!$J:$J=events!$X2911))&gt;0,1,""),"")</f>
        <v>#VALUE!</v>
      </c>
      <c r="AA2911">
        <f t="shared" si="263"/>
        <v>1000</v>
      </c>
      <c r="AB2911" t="str">
        <f t="shared" si="264"/>
        <v/>
      </c>
      <c r="AC2911">
        <f t="shared" si="261"/>
        <v>1000</v>
      </c>
      <c r="AD2911" s="6"/>
    </row>
    <row r="2912" spans="1:30" x14ac:dyDescent="0.2">
      <c r="A2912" t="str">
        <f t="shared" si="262"/>
        <v/>
      </c>
      <c r="X2912" t="str" cm="1">
        <f t="array" ref="X2912">IF(S2912="","",IF($I2912&lt;&gt;"",$I2912,INDEX($I$2:$I2911,ROW()-COUNTIFS($T$2:$T2911,"="&amp;$T2912,$S$2:$S2911,"&lt;&gt;"&amp;$S2912)-1)))</f>
        <v/>
      </c>
      <c r="Y2912" t="b">
        <f>IF(X2912&lt;&gt;"",VLOOKUP(X2912,game_rosters!$C$43:$E$64,3,FALSE))</f>
        <v>0</v>
      </c>
      <c r="Z2912" t="e" cm="1" vm="1">
        <f t="array" aca="1" ref="Z2912" ca="1">IFERROR(IF(_xlfn._xlws.FILTER(game_rosters!$J:$J,(game_rosters!$G:$G=events!$AN2912)*(game_rosters!$J:$J=events!$X2912))&gt;0,1,""),"")</f>
        <v>#VALUE!</v>
      </c>
      <c r="AA2912">
        <f t="shared" si="263"/>
        <v>1000</v>
      </c>
      <c r="AB2912" t="str">
        <f t="shared" si="264"/>
        <v/>
      </c>
      <c r="AC2912">
        <f t="shared" si="261"/>
        <v>1000</v>
      </c>
      <c r="AD2912" s="6"/>
    </row>
    <row r="2913" spans="1:30" x14ac:dyDescent="0.2">
      <c r="A2913" t="str">
        <f t="shared" si="262"/>
        <v/>
      </c>
      <c r="X2913" t="str" cm="1">
        <f t="array" ref="X2913">IF(S2913="","",IF($I2913&lt;&gt;"",$I2913,INDEX($I$2:$I2912,ROW()-COUNTIFS($T$2:$T2912,"="&amp;$T2913,$S$2:$S2912,"&lt;&gt;"&amp;$S2913)-1)))</f>
        <v/>
      </c>
      <c r="Y2913" t="b">
        <f>IF(X2913&lt;&gt;"",VLOOKUP(X2913,game_rosters!$C$43:$E$64,3,FALSE))</f>
        <v>0</v>
      </c>
      <c r="Z2913" t="e" cm="1" vm="1">
        <f t="array" aca="1" ref="Z2913" ca="1">IFERROR(IF(_xlfn._xlws.FILTER(game_rosters!$J:$J,(game_rosters!$G:$G=events!$AN2913)*(game_rosters!$J:$J=events!$X2913))&gt;0,1,""),"")</f>
        <v>#VALUE!</v>
      </c>
      <c r="AA2913">
        <f t="shared" si="263"/>
        <v>1000</v>
      </c>
      <c r="AB2913" t="str">
        <f t="shared" si="264"/>
        <v/>
      </c>
      <c r="AC2913">
        <f t="shared" si="261"/>
        <v>1000</v>
      </c>
      <c r="AD2913" s="6"/>
    </row>
    <row r="2914" spans="1:30" x14ac:dyDescent="0.2">
      <c r="A2914" t="str">
        <f t="shared" si="262"/>
        <v/>
      </c>
      <c r="X2914" t="str" cm="1">
        <f t="array" ref="X2914">IF(S2914="","",IF($I2914&lt;&gt;"",$I2914,INDEX($I$2:$I2913,ROW()-COUNTIFS($T$2:$T2913,"="&amp;$T2914,$S$2:$S2913,"&lt;&gt;"&amp;$S2914)-1)))</f>
        <v/>
      </c>
      <c r="Y2914" t="b">
        <f>IF(X2914&lt;&gt;"",VLOOKUP(X2914,game_rosters!$C$43:$E$64,3,FALSE))</f>
        <v>0</v>
      </c>
      <c r="Z2914" t="e" cm="1" vm="1">
        <f t="array" aca="1" ref="Z2914" ca="1">IFERROR(IF(_xlfn._xlws.FILTER(game_rosters!$J:$J,(game_rosters!$G:$G=events!$AN2914)*(game_rosters!$J:$J=events!$X2914))&gt;0,1,""),"")</f>
        <v>#VALUE!</v>
      </c>
      <c r="AA2914">
        <f t="shared" si="263"/>
        <v>1000</v>
      </c>
      <c r="AB2914" t="str">
        <f t="shared" si="264"/>
        <v/>
      </c>
      <c r="AC2914">
        <f t="shared" si="261"/>
        <v>1000</v>
      </c>
      <c r="AD2914" s="6"/>
    </row>
    <row r="2915" spans="1:30" x14ac:dyDescent="0.2">
      <c r="A2915" t="str">
        <f t="shared" si="262"/>
        <v/>
      </c>
      <c r="X2915" t="str" cm="1">
        <f t="array" ref="X2915">IF(S2915="","",IF($I2915&lt;&gt;"",$I2915,INDEX($I$2:$I2914,ROW()-COUNTIFS($T$2:$T2914,"="&amp;$T2915,$S$2:$S2914,"&lt;&gt;"&amp;$S2915)-1)))</f>
        <v/>
      </c>
      <c r="Y2915" t="b">
        <f>IF(X2915&lt;&gt;"",VLOOKUP(X2915,game_rosters!$C$43:$E$64,3,FALSE))</f>
        <v>0</v>
      </c>
      <c r="Z2915" t="e" cm="1" vm="1">
        <f t="array" aca="1" ref="Z2915" ca="1">IFERROR(IF(_xlfn._xlws.FILTER(game_rosters!$J:$J,(game_rosters!$G:$G=events!$AN2915)*(game_rosters!$J:$J=events!$X2915))&gt;0,1,""),"")</f>
        <v>#VALUE!</v>
      </c>
      <c r="AA2915">
        <f t="shared" si="263"/>
        <v>1000</v>
      </c>
      <c r="AB2915" t="str">
        <f t="shared" si="264"/>
        <v/>
      </c>
      <c r="AC2915">
        <f t="shared" si="261"/>
        <v>1000</v>
      </c>
      <c r="AD2915" s="6"/>
    </row>
    <row r="2916" spans="1:30" x14ac:dyDescent="0.2">
      <c r="A2916" t="str">
        <f t="shared" si="262"/>
        <v/>
      </c>
      <c r="X2916" t="str" cm="1">
        <f t="array" ref="X2916">IF(S2916="","",IF($I2916&lt;&gt;"",$I2916,INDEX($I$2:$I2915,ROW()-COUNTIFS($T$2:$T2915,"="&amp;$T2916,$S$2:$S2915,"&lt;&gt;"&amp;$S2916)-1)))</f>
        <v/>
      </c>
      <c r="Y2916" t="b">
        <f>IF(X2916&lt;&gt;"",VLOOKUP(X2916,game_rosters!$C$43:$E$64,3,FALSE))</f>
        <v>0</v>
      </c>
      <c r="Z2916" t="e" cm="1" vm="1">
        <f t="array" aca="1" ref="Z2916" ca="1">IFERROR(IF(_xlfn._xlws.FILTER(game_rosters!$J:$J,(game_rosters!$G:$G=events!$AN2916)*(game_rosters!$J:$J=events!$X2916))&gt;0,1,""),"")</f>
        <v>#VALUE!</v>
      </c>
      <c r="AA2916">
        <f t="shared" si="263"/>
        <v>1000</v>
      </c>
      <c r="AB2916" t="str">
        <f t="shared" si="264"/>
        <v/>
      </c>
      <c r="AC2916">
        <f t="shared" si="261"/>
        <v>1000</v>
      </c>
      <c r="AD2916" s="6"/>
    </row>
    <row r="2917" spans="1:30" x14ac:dyDescent="0.2">
      <c r="A2917" t="str">
        <f t="shared" si="262"/>
        <v/>
      </c>
      <c r="X2917" t="str" cm="1">
        <f t="array" ref="X2917">IF(S2917="","",IF($I2917&lt;&gt;"",$I2917,INDEX($I$2:$I2916,ROW()-COUNTIFS($T$2:$T2916,"="&amp;$T2917,$S$2:$S2916,"&lt;&gt;"&amp;$S2917)-1)))</f>
        <v/>
      </c>
      <c r="Y2917" t="b">
        <f>IF(X2917&lt;&gt;"",VLOOKUP(X2917,game_rosters!$C$43:$E$64,3,FALSE))</f>
        <v>0</v>
      </c>
      <c r="Z2917" t="e" cm="1" vm="1">
        <f t="array" aca="1" ref="Z2917" ca="1">IFERROR(IF(_xlfn._xlws.FILTER(game_rosters!$J:$J,(game_rosters!$G:$G=events!$AN2917)*(game_rosters!$J:$J=events!$X2917))&gt;0,1,""),"")</f>
        <v>#VALUE!</v>
      </c>
      <c r="AA2917">
        <f t="shared" si="263"/>
        <v>1000</v>
      </c>
      <c r="AB2917" t="str">
        <f t="shared" si="264"/>
        <v/>
      </c>
      <c r="AC2917">
        <f t="shared" si="261"/>
        <v>1000</v>
      </c>
      <c r="AD2917" s="6"/>
    </row>
    <row r="2918" spans="1:30" x14ac:dyDescent="0.2">
      <c r="A2918" t="str">
        <f t="shared" si="262"/>
        <v/>
      </c>
      <c r="X2918" t="str" cm="1">
        <f t="array" ref="X2918">IF(S2918="","",IF($I2918&lt;&gt;"",$I2918,INDEX($I$2:$I2917,ROW()-COUNTIFS($T$2:$T2917,"="&amp;$T2918,$S$2:$S2917,"&lt;&gt;"&amp;$S2918)-1)))</f>
        <v/>
      </c>
      <c r="Y2918" t="b">
        <f>IF(X2918&lt;&gt;"",VLOOKUP(X2918,game_rosters!$C$43:$E$64,3,FALSE))</f>
        <v>0</v>
      </c>
      <c r="Z2918" t="e" cm="1" vm="1">
        <f t="array" aca="1" ref="Z2918" ca="1">IFERROR(IF(_xlfn._xlws.FILTER(game_rosters!$J:$J,(game_rosters!$G:$G=events!$AN2918)*(game_rosters!$J:$J=events!$X2918))&gt;0,1,""),"")</f>
        <v>#VALUE!</v>
      </c>
      <c r="AA2918">
        <f t="shared" si="263"/>
        <v>1000</v>
      </c>
      <c r="AB2918" t="str">
        <f t="shared" si="264"/>
        <v/>
      </c>
      <c r="AC2918">
        <f t="shared" si="261"/>
        <v>1000</v>
      </c>
      <c r="AD2918" s="6"/>
    </row>
    <row r="2919" spans="1:30" x14ac:dyDescent="0.2">
      <c r="A2919" t="str">
        <f t="shared" si="262"/>
        <v/>
      </c>
      <c r="X2919" t="str" cm="1">
        <f t="array" ref="X2919">IF(S2919="","",IF($I2919&lt;&gt;"",$I2919,INDEX($I$2:$I2918,ROW()-COUNTIFS($T$2:$T2918,"="&amp;$T2919,$S$2:$S2918,"&lt;&gt;"&amp;$S2919)-1)))</f>
        <v/>
      </c>
      <c r="Y2919" t="b">
        <f>IF(X2919&lt;&gt;"",VLOOKUP(X2919,game_rosters!$C$43:$E$64,3,FALSE))</f>
        <v>0</v>
      </c>
      <c r="Z2919" t="e" cm="1" vm="1">
        <f t="array" aca="1" ref="Z2919" ca="1">IFERROR(IF(_xlfn._xlws.FILTER(game_rosters!$J:$J,(game_rosters!$G:$G=events!$AN2919)*(game_rosters!$J:$J=events!$X2919))&gt;0,1,""),"")</f>
        <v>#VALUE!</v>
      </c>
      <c r="AA2919">
        <f t="shared" si="263"/>
        <v>1000</v>
      </c>
      <c r="AB2919" t="str">
        <f t="shared" si="264"/>
        <v/>
      </c>
      <c r="AC2919">
        <f t="shared" si="261"/>
        <v>1000</v>
      </c>
      <c r="AD2919" s="6"/>
    </row>
    <row r="2920" spans="1:30" x14ac:dyDescent="0.2">
      <c r="A2920" t="str">
        <f t="shared" si="262"/>
        <v/>
      </c>
      <c r="X2920" t="str" cm="1">
        <f t="array" ref="X2920">IF(S2920="","",IF($I2920&lt;&gt;"",$I2920,INDEX($I$2:$I2919,ROW()-COUNTIFS($T$2:$T2919,"="&amp;$T2920,$S$2:$S2919,"&lt;&gt;"&amp;$S2920)-1)))</f>
        <v/>
      </c>
      <c r="Y2920" t="b">
        <f>IF(X2920&lt;&gt;"",VLOOKUP(X2920,game_rosters!$C$43:$E$64,3,FALSE))</f>
        <v>0</v>
      </c>
      <c r="Z2920" t="e" cm="1" vm="1">
        <f t="array" aca="1" ref="Z2920" ca="1">IFERROR(IF(_xlfn._xlws.FILTER(game_rosters!$J:$J,(game_rosters!$G:$G=events!$AN2920)*(game_rosters!$J:$J=events!$X2920))&gt;0,1,""),"")</f>
        <v>#VALUE!</v>
      </c>
      <c r="AA2920">
        <f t="shared" si="263"/>
        <v>1000</v>
      </c>
      <c r="AB2920" t="str">
        <f t="shared" si="264"/>
        <v/>
      </c>
      <c r="AC2920">
        <f t="shared" si="261"/>
        <v>1000</v>
      </c>
      <c r="AD2920" s="6"/>
    </row>
    <row r="2921" spans="1:30" x14ac:dyDescent="0.2">
      <c r="A2921" t="str">
        <f t="shared" si="262"/>
        <v/>
      </c>
      <c r="X2921" t="str" cm="1">
        <f t="array" ref="X2921">IF(S2921="","",IF($I2921&lt;&gt;"",$I2921,INDEX($I$2:$I2920,ROW()-COUNTIFS($T$2:$T2920,"="&amp;$T2921,$S$2:$S2920,"&lt;&gt;"&amp;$S2921)-1)))</f>
        <v/>
      </c>
      <c r="Y2921" t="b">
        <f>IF(X2921&lt;&gt;"",VLOOKUP(X2921,game_rosters!$C$43:$E$64,3,FALSE))</f>
        <v>0</v>
      </c>
      <c r="Z2921" t="e" cm="1" vm="1">
        <f t="array" aca="1" ref="Z2921" ca="1">IFERROR(IF(_xlfn._xlws.FILTER(game_rosters!$J:$J,(game_rosters!$G:$G=events!$AN2921)*(game_rosters!$J:$J=events!$X2921))&gt;0,1,""),"")</f>
        <v>#VALUE!</v>
      </c>
      <c r="AA2921">
        <f t="shared" si="263"/>
        <v>1000</v>
      </c>
      <c r="AB2921" t="str">
        <f t="shared" si="264"/>
        <v/>
      </c>
      <c r="AC2921">
        <f t="shared" si="261"/>
        <v>1000</v>
      </c>
      <c r="AD2921" s="6"/>
    </row>
    <row r="2922" spans="1:30" x14ac:dyDescent="0.2">
      <c r="A2922" t="str">
        <f t="shared" si="262"/>
        <v/>
      </c>
      <c r="X2922" t="str" cm="1">
        <f t="array" ref="X2922">IF(S2922="","",IF($I2922&lt;&gt;"",$I2922,INDEX($I$2:$I2921,ROW()-COUNTIFS($T$2:$T2921,"="&amp;$T2922,$S$2:$S2921,"&lt;&gt;"&amp;$S2922)-1)))</f>
        <v/>
      </c>
      <c r="Y2922" t="b">
        <f>IF(X2922&lt;&gt;"",VLOOKUP(X2922,game_rosters!$C$43:$E$64,3,FALSE))</f>
        <v>0</v>
      </c>
      <c r="Z2922" t="e" cm="1" vm="1">
        <f t="array" aca="1" ref="Z2922" ca="1">IFERROR(IF(_xlfn._xlws.FILTER(game_rosters!$J:$J,(game_rosters!$G:$G=events!$AN2922)*(game_rosters!$J:$J=events!$X2922))&gt;0,1,""),"")</f>
        <v>#VALUE!</v>
      </c>
      <c r="AA2922">
        <f t="shared" si="263"/>
        <v>1000</v>
      </c>
      <c r="AB2922" t="str">
        <f t="shared" si="264"/>
        <v/>
      </c>
      <c r="AC2922">
        <f t="shared" si="261"/>
        <v>1000</v>
      </c>
      <c r="AD2922" s="6"/>
    </row>
    <row r="2923" spans="1:30" x14ac:dyDescent="0.2">
      <c r="A2923" t="str">
        <f t="shared" si="262"/>
        <v/>
      </c>
      <c r="X2923" t="str" cm="1">
        <f t="array" ref="X2923">IF(S2923="","",IF($I2923&lt;&gt;"",$I2923,INDEX($I$2:$I2922,ROW()-COUNTIFS($T$2:$T2922,"="&amp;$T2923,$S$2:$S2922,"&lt;&gt;"&amp;$S2923)-1)))</f>
        <v/>
      </c>
      <c r="Y2923" t="b">
        <f>IF(X2923&lt;&gt;"",VLOOKUP(X2923,game_rosters!$C$43:$E$64,3,FALSE))</f>
        <v>0</v>
      </c>
      <c r="Z2923" t="e" cm="1" vm="1">
        <f t="array" aca="1" ref="Z2923" ca="1">IFERROR(IF(_xlfn._xlws.FILTER(game_rosters!$J:$J,(game_rosters!$G:$G=events!$AN2923)*(game_rosters!$J:$J=events!$X2923))&gt;0,1,""),"")</f>
        <v>#VALUE!</v>
      </c>
      <c r="AA2923">
        <f t="shared" si="263"/>
        <v>1000</v>
      </c>
      <c r="AB2923" t="str">
        <f t="shared" si="264"/>
        <v/>
      </c>
      <c r="AC2923">
        <f t="shared" si="261"/>
        <v>1000</v>
      </c>
      <c r="AD2923" s="6"/>
    </row>
    <row r="2924" spans="1:30" x14ac:dyDescent="0.2">
      <c r="A2924" t="str">
        <f t="shared" si="262"/>
        <v/>
      </c>
      <c r="X2924" t="str" cm="1">
        <f t="array" ref="X2924">IF(S2924="","",IF($I2924&lt;&gt;"",$I2924,INDEX($I$2:$I2923,ROW()-COUNTIFS($T$2:$T2923,"="&amp;$T2924,$S$2:$S2923,"&lt;&gt;"&amp;$S2924)-1)))</f>
        <v/>
      </c>
      <c r="Y2924" t="b">
        <f>IF(X2924&lt;&gt;"",VLOOKUP(X2924,game_rosters!$C$43:$E$64,3,FALSE))</f>
        <v>0</v>
      </c>
      <c r="Z2924" t="e" cm="1" vm="1">
        <f t="array" aca="1" ref="Z2924" ca="1">IFERROR(IF(_xlfn._xlws.FILTER(game_rosters!$J:$J,(game_rosters!$G:$G=events!$AN2924)*(game_rosters!$J:$J=events!$X2924))&gt;0,1,""),"")</f>
        <v>#VALUE!</v>
      </c>
      <c r="AA2924">
        <f t="shared" si="263"/>
        <v>1000</v>
      </c>
      <c r="AB2924" t="str">
        <f t="shared" si="264"/>
        <v/>
      </c>
      <c r="AC2924">
        <f t="shared" si="261"/>
        <v>1000</v>
      </c>
      <c r="AD2924" s="6"/>
    </row>
    <row r="2925" spans="1:30" x14ac:dyDescent="0.2">
      <c r="A2925" t="str">
        <f t="shared" si="262"/>
        <v/>
      </c>
      <c r="X2925" t="str" cm="1">
        <f t="array" ref="X2925">IF(S2925="","",IF($I2925&lt;&gt;"",$I2925,INDEX($I$2:$I2924,ROW()-COUNTIFS($T$2:$T2924,"="&amp;$T2925,$S$2:$S2924,"&lt;&gt;"&amp;$S2925)-1)))</f>
        <v/>
      </c>
      <c r="Y2925" t="b">
        <f>IF(X2925&lt;&gt;"",VLOOKUP(X2925,game_rosters!$C$43:$E$64,3,FALSE))</f>
        <v>0</v>
      </c>
      <c r="Z2925" t="e" cm="1" vm="1">
        <f t="array" aca="1" ref="Z2925" ca="1">IFERROR(IF(_xlfn._xlws.FILTER(game_rosters!$J:$J,(game_rosters!$G:$G=events!$AN2925)*(game_rosters!$J:$J=events!$X2925))&gt;0,1,""),"")</f>
        <v>#VALUE!</v>
      </c>
      <c r="AA2925">
        <f t="shared" si="263"/>
        <v>1000</v>
      </c>
      <c r="AB2925" t="str">
        <f t="shared" si="264"/>
        <v/>
      </c>
      <c r="AC2925">
        <f t="shared" si="261"/>
        <v>1000</v>
      </c>
      <c r="AD2925" s="6"/>
    </row>
    <row r="2926" spans="1:30" x14ac:dyDescent="0.2">
      <c r="A2926" t="str">
        <f t="shared" si="262"/>
        <v/>
      </c>
      <c r="X2926" t="str" cm="1">
        <f t="array" ref="X2926">IF(S2926="","",IF($I2926&lt;&gt;"",$I2926,INDEX($I$2:$I2925,ROW()-COUNTIFS($T$2:$T2925,"="&amp;$T2926,$S$2:$S2925,"&lt;&gt;"&amp;$S2926)-1)))</f>
        <v/>
      </c>
      <c r="Y2926" t="b">
        <f>IF(X2926&lt;&gt;"",VLOOKUP(X2926,game_rosters!$C$43:$E$64,3,FALSE))</f>
        <v>0</v>
      </c>
      <c r="Z2926" t="e" cm="1" vm="1">
        <f t="array" aca="1" ref="Z2926" ca="1">IFERROR(IF(_xlfn._xlws.FILTER(game_rosters!$J:$J,(game_rosters!$G:$G=events!$AN2926)*(game_rosters!$J:$J=events!$X2926))&gt;0,1,""),"")</f>
        <v>#VALUE!</v>
      </c>
      <c r="AA2926">
        <f t="shared" si="263"/>
        <v>1000</v>
      </c>
      <c r="AB2926" t="str">
        <f t="shared" si="264"/>
        <v/>
      </c>
      <c r="AC2926">
        <f t="shared" si="261"/>
        <v>1000</v>
      </c>
      <c r="AD2926" s="6"/>
    </row>
    <row r="2927" spans="1:30" x14ac:dyDescent="0.2">
      <c r="A2927" t="str">
        <f t="shared" si="262"/>
        <v/>
      </c>
      <c r="X2927" t="str" cm="1">
        <f t="array" ref="X2927">IF(S2927="","",IF($I2927&lt;&gt;"",$I2927,INDEX($I$2:$I2926,ROW()-COUNTIFS($T$2:$T2926,"="&amp;$T2927,$S$2:$S2926,"&lt;&gt;"&amp;$S2927)-1)))</f>
        <v/>
      </c>
      <c r="Y2927" t="b">
        <f>IF(X2927&lt;&gt;"",VLOOKUP(X2927,game_rosters!$C$43:$E$64,3,FALSE))</f>
        <v>0</v>
      </c>
      <c r="Z2927" t="e" cm="1" vm="1">
        <f t="array" aca="1" ref="Z2927" ca="1">IFERROR(IF(_xlfn._xlws.FILTER(game_rosters!$J:$J,(game_rosters!$G:$G=events!$AN2927)*(game_rosters!$J:$J=events!$X2927))&gt;0,1,""),"")</f>
        <v>#VALUE!</v>
      </c>
      <c r="AA2927">
        <f t="shared" si="263"/>
        <v>1000</v>
      </c>
      <c r="AB2927" t="str">
        <f t="shared" si="264"/>
        <v/>
      </c>
      <c r="AC2927">
        <f t="shared" si="261"/>
        <v>1000</v>
      </c>
      <c r="AD2927" s="6"/>
    </row>
    <row r="2928" spans="1:30" x14ac:dyDescent="0.2">
      <c r="A2928" t="str">
        <f t="shared" si="262"/>
        <v/>
      </c>
      <c r="X2928" t="str" cm="1">
        <f t="array" ref="X2928">IF(S2928="","",IF($I2928&lt;&gt;"",$I2928,INDEX($I$2:$I2927,ROW()-COUNTIFS($T$2:$T2927,"="&amp;$T2928,$S$2:$S2927,"&lt;&gt;"&amp;$S2928)-1)))</f>
        <v/>
      </c>
      <c r="Y2928" t="b">
        <f>IF(X2928&lt;&gt;"",VLOOKUP(X2928,game_rosters!$C$43:$E$64,3,FALSE))</f>
        <v>0</v>
      </c>
      <c r="Z2928" t="e" cm="1" vm="1">
        <f t="array" aca="1" ref="Z2928" ca="1">IFERROR(IF(_xlfn._xlws.FILTER(game_rosters!$J:$J,(game_rosters!$G:$G=events!$AN2928)*(game_rosters!$J:$J=events!$X2928))&gt;0,1,""),"")</f>
        <v>#VALUE!</v>
      </c>
      <c r="AA2928">
        <f t="shared" si="263"/>
        <v>1000</v>
      </c>
      <c r="AB2928" t="str">
        <f t="shared" si="264"/>
        <v/>
      </c>
      <c r="AC2928">
        <f t="shared" si="261"/>
        <v>1000</v>
      </c>
      <c r="AD2928" s="6"/>
    </row>
    <row r="2929" spans="1:30" x14ac:dyDescent="0.2">
      <c r="A2929" t="str">
        <f t="shared" si="262"/>
        <v/>
      </c>
      <c r="X2929" t="str" cm="1">
        <f t="array" ref="X2929">IF(S2929="","",IF($I2929&lt;&gt;"",$I2929,INDEX($I$2:$I2928,ROW()-COUNTIFS($T$2:$T2928,"="&amp;$T2929,$S$2:$S2928,"&lt;&gt;"&amp;$S2929)-1)))</f>
        <v/>
      </c>
      <c r="Y2929" t="b">
        <f>IF(X2929&lt;&gt;"",VLOOKUP(X2929,game_rosters!$C$43:$E$64,3,FALSE))</f>
        <v>0</v>
      </c>
      <c r="Z2929" t="e" cm="1" vm="1">
        <f t="array" aca="1" ref="Z2929" ca="1">IFERROR(IF(_xlfn._xlws.FILTER(game_rosters!$J:$J,(game_rosters!$G:$G=events!$AN2929)*(game_rosters!$J:$J=events!$X2929))&gt;0,1,""),"")</f>
        <v>#VALUE!</v>
      </c>
      <c r="AA2929">
        <f t="shared" si="263"/>
        <v>1000</v>
      </c>
      <c r="AB2929" t="str">
        <f t="shared" si="264"/>
        <v/>
      </c>
      <c r="AC2929">
        <f t="shared" si="261"/>
        <v>1000</v>
      </c>
      <c r="AD2929" s="6"/>
    </row>
    <row r="2930" spans="1:30" x14ac:dyDescent="0.2">
      <c r="A2930" t="str">
        <f t="shared" si="262"/>
        <v/>
      </c>
      <c r="X2930" t="str" cm="1">
        <f t="array" ref="X2930">IF(S2930="","",IF($I2930&lt;&gt;"",$I2930,INDEX($I$2:$I2929,ROW()-COUNTIFS($T$2:$T2929,"="&amp;$T2930,$S$2:$S2929,"&lt;&gt;"&amp;$S2930)-1)))</f>
        <v/>
      </c>
      <c r="Y2930" t="b">
        <f>IF(X2930&lt;&gt;"",VLOOKUP(X2930,game_rosters!$C$43:$E$64,3,FALSE))</f>
        <v>0</v>
      </c>
      <c r="Z2930" t="e" cm="1" vm="1">
        <f t="array" aca="1" ref="Z2930" ca="1">IFERROR(IF(_xlfn._xlws.FILTER(game_rosters!$J:$J,(game_rosters!$G:$G=events!$AN2930)*(game_rosters!$J:$J=events!$X2930))&gt;0,1,""),"")</f>
        <v>#VALUE!</v>
      </c>
      <c r="AA2930">
        <f t="shared" si="263"/>
        <v>1000</v>
      </c>
      <c r="AB2930" t="str">
        <f t="shared" si="264"/>
        <v/>
      </c>
      <c r="AC2930">
        <f t="shared" si="261"/>
        <v>1000</v>
      </c>
      <c r="AD2930" s="6"/>
    </row>
    <row r="2931" spans="1:30" x14ac:dyDescent="0.2">
      <c r="A2931" t="str">
        <f t="shared" si="262"/>
        <v/>
      </c>
      <c r="X2931" t="str" cm="1">
        <f t="array" ref="X2931">IF(S2931="","",IF($I2931&lt;&gt;"",$I2931,INDEX($I$2:$I2930,ROW()-COUNTIFS($T$2:$T2930,"="&amp;$T2931,$S$2:$S2930,"&lt;&gt;"&amp;$S2931)-1)))</f>
        <v/>
      </c>
      <c r="Y2931" t="b">
        <f>IF(X2931&lt;&gt;"",VLOOKUP(X2931,game_rosters!$C$43:$E$64,3,FALSE))</f>
        <v>0</v>
      </c>
      <c r="Z2931" t="e" cm="1" vm="1">
        <f t="array" aca="1" ref="Z2931" ca="1">IFERROR(IF(_xlfn._xlws.FILTER(game_rosters!$J:$J,(game_rosters!$G:$G=events!$AN2931)*(game_rosters!$J:$J=events!$X2931))&gt;0,1,""),"")</f>
        <v>#VALUE!</v>
      </c>
      <c r="AA2931">
        <f t="shared" si="263"/>
        <v>1000</v>
      </c>
      <c r="AB2931" t="str">
        <f t="shared" si="264"/>
        <v/>
      </c>
      <c r="AC2931">
        <f t="shared" si="261"/>
        <v>1000</v>
      </c>
      <c r="AD2931" s="6"/>
    </row>
    <row r="2932" spans="1:30" x14ac:dyDescent="0.2">
      <c r="A2932" t="str">
        <f t="shared" si="262"/>
        <v/>
      </c>
      <c r="X2932" t="str" cm="1">
        <f t="array" ref="X2932">IF(S2932="","",IF($I2932&lt;&gt;"",$I2932,INDEX($I$2:$I2931,ROW()-COUNTIFS($T$2:$T2931,"="&amp;$T2932,$S$2:$S2931,"&lt;&gt;"&amp;$S2932)-1)))</f>
        <v/>
      </c>
      <c r="Y2932" t="b">
        <f>IF(X2932&lt;&gt;"",VLOOKUP(X2932,game_rosters!$C$43:$E$64,3,FALSE))</f>
        <v>0</v>
      </c>
      <c r="Z2932" t="e" cm="1" vm="1">
        <f t="array" aca="1" ref="Z2932" ca="1">IFERROR(IF(_xlfn._xlws.FILTER(game_rosters!$J:$J,(game_rosters!$G:$G=events!$AN2932)*(game_rosters!$J:$J=events!$X2932))&gt;0,1,""),"")</f>
        <v>#VALUE!</v>
      </c>
      <c r="AA2932">
        <f t="shared" si="263"/>
        <v>1000</v>
      </c>
      <c r="AB2932" t="str">
        <f t="shared" si="264"/>
        <v/>
      </c>
      <c r="AC2932">
        <f t="shared" si="261"/>
        <v>1000</v>
      </c>
      <c r="AD2932" s="6"/>
    </row>
    <row r="2933" spans="1:30" x14ac:dyDescent="0.2">
      <c r="A2933" t="str">
        <f t="shared" si="262"/>
        <v/>
      </c>
      <c r="X2933" t="str" cm="1">
        <f t="array" ref="X2933">IF(S2933="","",IF($I2933&lt;&gt;"",$I2933,INDEX($I$2:$I2932,ROW()-COUNTIFS($T$2:$T2932,"="&amp;$T2933,$S$2:$S2932,"&lt;&gt;"&amp;$S2933)-1)))</f>
        <v/>
      </c>
      <c r="Y2933" t="b">
        <f>IF(X2933&lt;&gt;"",VLOOKUP(X2933,game_rosters!$C$43:$E$64,3,FALSE))</f>
        <v>0</v>
      </c>
      <c r="Z2933" t="e" cm="1" vm="1">
        <f t="array" aca="1" ref="Z2933" ca="1">IFERROR(IF(_xlfn._xlws.FILTER(game_rosters!$J:$J,(game_rosters!$G:$G=events!$AN2933)*(game_rosters!$J:$J=events!$X2933))&gt;0,1,""),"")</f>
        <v>#VALUE!</v>
      </c>
      <c r="AA2933">
        <f t="shared" si="263"/>
        <v>1000</v>
      </c>
      <c r="AB2933" t="str">
        <f t="shared" si="264"/>
        <v/>
      </c>
      <c r="AC2933">
        <f t="shared" si="261"/>
        <v>1000</v>
      </c>
      <c r="AD2933" s="6"/>
    </row>
    <row r="2934" spans="1:30" x14ac:dyDescent="0.2">
      <c r="A2934" t="str">
        <f t="shared" si="262"/>
        <v/>
      </c>
      <c r="X2934" t="str" cm="1">
        <f t="array" ref="X2934">IF(S2934="","",IF($I2934&lt;&gt;"",$I2934,INDEX($I$2:$I2933,ROW()-COUNTIFS($T$2:$T2933,"="&amp;$T2934,$S$2:$S2933,"&lt;&gt;"&amp;$S2934)-1)))</f>
        <v/>
      </c>
      <c r="Y2934" t="b">
        <f>IF(X2934&lt;&gt;"",VLOOKUP(X2934,game_rosters!$C$43:$E$64,3,FALSE))</f>
        <v>0</v>
      </c>
      <c r="Z2934" t="e" cm="1" vm="1">
        <f t="array" aca="1" ref="Z2934" ca="1">IFERROR(IF(_xlfn._xlws.FILTER(game_rosters!$J:$J,(game_rosters!$G:$G=events!$AN2934)*(game_rosters!$J:$J=events!$X2934))&gt;0,1,""),"")</f>
        <v>#VALUE!</v>
      </c>
      <c r="AA2934">
        <f t="shared" si="263"/>
        <v>1000</v>
      </c>
      <c r="AB2934" t="str">
        <f t="shared" si="264"/>
        <v/>
      </c>
      <c r="AC2934">
        <f t="shared" si="261"/>
        <v>1000</v>
      </c>
      <c r="AD2934" s="6"/>
    </row>
    <row r="2935" spans="1:30" x14ac:dyDescent="0.2">
      <c r="A2935" t="str">
        <f t="shared" si="262"/>
        <v/>
      </c>
      <c r="X2935" t="str" cm="1">
        <f t="array" ref="X2935">IF(S2935="","",IF($I2935&lt;&gt;"",$I2935,INDEX($I$2:$I2934,ROW()-COUNTIFS($T$2:$T2934,"="&amp;$T2935,$S$2:$S2934,"&lt;&gt;"&amp;$S2935)-1)))</f>
        <v/>
      </c>
      <c r="Y2935" t="b">
        <f>IF(X2935&lt;&gt;"",VLOOKUP(X2935,game_rosters!$C$43:$E$64,3,FALSE))</f>
        <v>0</v>
      </c>
      <c r="Z2935" t="e" cm="1" vm="1">
        <f t="array" aca="1" ref="Z2935" ca="1">IFERROR(IF(_xlfn._xlws.FILTER(game_rosters!$J:$J,(game_rosters!$G:$G=events!$AN2935)*(game_rosters!$J:$J=events!$X2935))&gt;0,1,""),"")</f>
        <v>#VALUE!</v>
      </c>
      <c r="AA2935">
        <f t="shared" si="263"/>
        <v>1000</v>
      </c>
      <c r="AB2935" t="str">
        <f t="shared" si="264"/>
        <v/>
      </c>
      <c r="AC2935">
        <f t="shared" si="261"/>
        <v>1000</v>
      </c>
      <c r="AD2935" s="6"/>
    </row>
    <row r="2936" spans="1:30" x14ac:dyDescent="0.2">
      <c r="A2936" t="str">
        <f t="shared" si="262"/>
        <v/>
      </c>
      <c r="X2936" t="str" cm="1">
        <f t="array" ref="X2936">IF(S2936="","",IF($I2936&lt;&gt;"",$I2936,INDEX($I$2:$I2935,ROW()-COUNTIFS($T$2:$T2935,"="&amp;$T2936,$S$2:$S2935,"&lt;&gt;"&amp;$S2936)-1)))</f>
        <v/>
      </c>
      <c r="Y2936" t="b">
        <f>IF(X2936&lt;&gt;"",VLOOKUP(X2936,game_rosters!$C$43:$E$64,3,FALSE))</f>
        <v>0</v>
      </c>
      <c r="Z2936" t="e" cm="1" vm="1">
        <f t="array" aca="1" ref="Z2936" ca="1">IFERROR(IF(_xlfn._xlws.FILTER(game_rosters!$J:$J,(game_rosters!$G:$G=events!$AN2936)*(game_rosters!$J:$J=events!$X2936))&gt;0,1,""),"")</f>
        <v>#VALUE!</v>
      </c>
      <c r="AA2936">
        <f t="shared" si="263"/>
        <v>1000</v>
      </c>
      <c r="AB2936" t="str">
        <f t="shared" si="264"/>
        <v/>
      </c>
      <c r="AC2936">
        <f t="shared" si="261"/>
        <v>1000</v>
      </c>
      <c r="AD2936" s="6"/>
    </row>
    <row r="2937" spans="1:30" x14ac:dyDescent="0.2">
      <c r="A2937" t="str">
        <f t="shared" si="262"/>
        <v/>
      </c>
      <c r="X2937" t="str" cm="1">
        <f t="array" ref="X2937">IF(S2937="","",IF($I2937&lt;&gt;"",$I2937,INDEX($I$2:$I2936,ROW()-COUNTIFS($T$2:$T2936,"="&amp;$T2937,$S$2:$S2936,"&lt;&gt;"&amp;$S2937)-1)))</f>
        <v/>
      </c>
      <c r="Y2937" t="b">
        <f>IF(X2937&lt;&gt;"",VLOOKUP(X2937,game_rosters!$C$43:$E$64,3,FALSE))</f>
        <v>0</v>
      </c>
      <c r="Z2937" t="e" cm="1" vm="1">
        <f t="array" aca="1" ref="Z2937" ca="1">IFERROR(IF(_xlfn._xlws.FILTER(game_rosters!$J:$J,(game_rosters!$G:$G=events!$AN2937)*(game_rosters!$J:$J=events!$X2937))&gt;0,1,""),"")</f>
        <v>#VALUE!</v>
      </c>
      <c r="AA2937">
        <f t="shared" si="263"/>
        <v>1000</v>
      </c>
      <c r="AB2937" t="str">
        <f t="shared" si="264"/>
        <v/>
      </c>
      <c r="AC2937">
        <f t="shared" si="261"/>
        <v>1000</v>
      </c>
      <c r="AD2937" s="6"/>
    </row>
    <row r="2938" spans="1:30" x14ac:dyDescent="0.2">
      <c r="A2938" t="str">
        <f t="shared" si="262"/>
        <v/>
      </c>
      <c r="X2938" t="str" cm="1">
        <f t="array" ref="X2938">IF(S2938="","",IF($I2938&lt;&gt;"",$I2938,INDEX($I$2:$I2937,ROW()-COUNTIFS($T$2:$T2937,"="&amp;$T2938,$S$2:$S2937,"&lt;&gt;"&amp;$S2938)-1)))</f>
        <v/>
      </c>
      <c r="Y2938" t="b">
        <f>IF(X2938&lt;&gt;"",VLOOKUP(X2938,game_rosters!$C$43:$E$64,3,FALSE))</f>
        <v>0</v>
      </c>
      <c r="Z2938" t="e" cm="1" vm="1">
        <f t="array" aca="1" ref="Z2938" ca="1">IFERROR(IF(_xlfn._xlws.FILTER(game_rosters!$J:$J,(game_rosters!$G:$G=events!$AN2938)*(game_rosters!$J:$J=events!$X2938))&gt;0,1,""),"")</f>
        <v>#VALUE!</v>
      </c>
      <c r="AA2938">
        <f t="shared" si="263"/>
        <v>1000</v>
      </c>
      <c r="AB2938" t="str">
        <f t="shared" si="264"/>
        <v/>
      </c>
      <c r="AC2938">
        <f t="shared" si="261"/>
        <v>1000</v>
      </c>
      <c r="AD2938" s="6"/>
    </row>
    <row r="2939" spans="1:30" x14ac:dyDescent="0.2">
      <c r="A2939" t="str">
        <f t="shared" si="262"/>
        <v/>
      </c>
      <c r="X2939" t="str" cm="1">
        <f t="array" ref="X2939">IF(S2939="","",IF($I2939&lt;&gt;"",$I2939,INDEX($I$2:$I2938,ROW()-COUNTIFS($T$2:$T2938,"="&amp;$T2939,$S$2:$S2938,"&lt;&gt;"&amp;$S2939)-1)))</f>
        <v/>
      </c>
      <c r="Y2939" t="b">
        <f>IF(X2939&lt;&gt;"",VLOOKUP(X2939,game_rosters!$C$43:$E$64,3,FALSE))</f>
        <v>0</v>
      </c>
      <c r="Z2939" t="e" cm="1" vm="1">
        <f t="array" aca="1" ref="Z2939" ca="1">IFERROR(IF(_xlfn._xlws.FILTER(game_rosters!$J:$J,(game_rosters!$G:$G=events!$AN2939)*(game_rosters!$J:$J=events!$X2939))&gt;0,1,""),"")</f>
        <v>#VALUE!</v>
      </c>
      <c r="AA2939">
        <f t="shared" si="263"/>
        <v>1000</v>
      </c>
      <c r="AB2939" t="str">
        <f t="shared" si="264"/>
        <v/>
      </c>
      <c r="AC2939">
        <f t="shared" si="261"/>
        <v>1000</v>
      </c>
      <c r="AD2939" s="6"/>
    </row>
    <row r="2940" spans="1:30" x14ac:dyDescent="0.2">
      <c r="A2940" t="str">
        <f t="shared" si="262"/>
        <v/>
      </c>
      <c r="X2940" t="str" cm="1">
        <f t="array" ref="X2940">IF(S2940="","",IF($I2940&lt;&gt;"",$I2940,INDEX($I$2:$I2939,ROW()-COUNTIFS($T$2:$T2939,"="&amp;$T2940,$S$2:$S2939,"&lt;&gt;"&amp;$S2940)-1)))</f>
        <v/>
      </c>
      <c r="Y2940" t="b">
        <f>IF(X2940&lt;&gt;"",VLOOKUP(X2940,game_rosters!$C$43:$E$64,3,FALSE))</f>
        <v>0</v>
      </c>
      <c r="Z2940" t="e" cm="1" vm="1">
        <f t="array" aca="1" ref="Z2940" ca="1">IFERROR(IF(_xlfn._xlws.FILTER(game_rosters!$J:$J,(game_rosters!$G:$G=events!$AN2940)*(game_rosters!$J:$J=events!$X2940))&gt;0,1,""),"")</f>
        <v>#VALUE!</v>
      </c>
      <c r="AA2940">
        <f t="shared" si="263"/>
        <v>1000</v>
      </c>
      <c r="AB2940" t="str">
        <f t="shared" si="264"/>
        <v/>
      </c>
      <c r="AC2940">
        <f t="shared" si="261"/>
        <v>1000</v>
      </c>
      <c r="AD2940" s="6"/>
    </row>
    <row r="2941" spans="1:30" x14ac:dyDescent="0.2">
      <c r="A2941" t="str">
        <f t="shared" si="262"/>
        <v/>
      </c>
      <c r="X2941" t="str" cm="1">
        <f t="array" ref="X2941">IF(S2941="","",IF($I2941&lt;&gt;"",$I2941,INDEX($I$2:$I2940,ROW()-COUNTIFS($T$2:$T2940,"="&amp;$T2941,$S$2:$S2940,"&lt;&gt;"&amp;$S2941)-1)))</f>
        <v/>
      </c>
      <c r="Y2941" t="b">
        <f>IF(X2941&lt;&gt;"",VLOOKUP(X2941,game_rosters!$C$43:$E$64,3,FALSE))</f>
        <v>0</v>
      </c>
      <c r="Z2941" t="e" cm="1" vm="1">
        <f t="array" aca="1" ref="Z2941" ca="1">IFERROR(IF(_xlfn._xlws.FILTER(game_rosters!$J:$J,(game_rosters!$G:$G=events!$AN2941)*(game_rosters!$J:$J=events!$X2941))&gt;0,1,""),"")</f>
        <v>#VALUE!</v>
      </c>
      <c r="AA2941">
        <f t="shared" si="263"/>
        <v>1000</v>
      </c>
      <c r="AB2941" t="str">
        <f t="shared" si="264"/>
        <v/>
      </c>
      <c r="AC2941">
        <f t="shared" si="261"/>
        <v>1000</v>
      </c>
      <c r="AD2941" s="6"/>
    </row>
    <row r="2942" spans="1:30" x14ac:dyDescent="0.2">
      <c r="A2942" t="str">
        <f t="shared" si="262"/>
        <v/>
      </c>
      <c r="X2942" t="str" cm="1">
        <f t="array" ref="X2942">IF(S2942="","",IF($I2942&lt;&gt;"",$I2942,INDEX($I$2:$I2941,ROW()-COUNTIFS($T$2:$T2941,"="&amp;$T2942,$S$2:$S2941,"&lt;&gt;"&amp;$S2942)-1)))</f>
        <v/>
      </c>
      <c r="Y2942" t="b">
        <f>IF(X2942&lt;&gt;"",VLOOKUP(X2942,game_rosters!$C$43:$E$64,3,FALSE))</f>
        <v>0</v>
      </c>
      <c r="Z2942" t="e" cm="1" vm="1">
        <f t="array" aca="1" ref="Z2942" ca="1">IFERROR(IF(_xlfn._xlws.FILTER(game_rosters!$J:$J,(game_rosters!$G:$G=events!$AN2942)*(game_rosters!$J:$J=events!$X2942))&gt;0,1,""),"")</f>
        <v>#VALUE!</v>
      </c>
      <c r="AA2942">
        <f t="shared" si="263"/>
        <v>1000</v>
      </c>
      <c r="AB2942" t="str">
        <f t="shared" si="264"/>
        <v/>
      </c>
      <c r="AC2942">
        <f t="shared" si="261"/>
        <v>1000</v>
      </c>
      <c r="AD2942" s="6"/>
    </row>
    <row r="2943" spans="1:30" x14ac:dyDescent="0.2">
      <c r="A2943" t="str">
        <f t="shared" si="262"/>
        <v/>
      </c>
      <c r="X2943" t="str" cm="1">
        <f t="array" ref="X2943">IF(S2943="","",IF($I2943&lt;&gt;"",$I2943,INDEX($I$2:$I2942,ROW()-COUNTIFS($T$2:$T2942,"="&amp;$T2943,$S$2:$S2942,"&lt;&gt;"&amp;$S2943)-1)))</f>
        <v/>
      </c>
      <c r="Y2943" t="b">
        <f>IF(X2943&lt;&gt;"",VLOOKUP(X2943,game_rosters!$C$43:$E$64,3,FALSE))</f>
        <v>0</v>
      </c>
      <c r="Z2943" t="e" cm="1" vm="1">
        <f t="array" aca="1" ref="Z2943" ca="1">IFERROR(IF(_xlfn._xlws.FILTER(game_rosters!$J:$J,(game_rosters!$G:$G=events!$AN2943)*(game_rosters!$J:$J=events!$X2943))&gt;0,1,""),"")</f>
        <v>#VALUE!</v>
      </c>
      <c r="AA2943">
        <f t="shared" si="263"/>
        <v>1000</v>
      </c>
      <c r="AB2943" t="str">
        <f t="shared" si="264"/>
        <v/>
      </c>
      <c r="AC2943">
        <f t="shared" si="261"/>
        <v>1000</v>
      </c>
      <c r="AD2943" s="6"/>
    </row>
    <row r="2944" spans="1:30" x14ac:dyDescent="0.2">
      <c r="A2944" t="str">
        <f t="shared" si="262"/>
        <v/>
      </c>
      <c r="X2944" t="str" cm="1">
        <f t="array" ref="X2944">IF(S2944="","",IF($I2944&lt;&gt;"",$I2944,INDEX($I$2:$I2943,ROW()-COUNTIFS($T$2:$T2943,"="&amp;$T2944,$S$2:$S2943,"&lt;&gt;"&amp;$S2944)-1)))</f>
        <v/>
      </c>
      <c r="Y2944" t="b">
        <f>IF(X2944&lt;&gt;"",VLOOKUP(X2944,game_rosters!$C$43:$E$64,3,FALSE))</f>
        <v>0</v>
      </c>
      <c r="Z2944" t="e" cm="1" vm="1">
        <f t="array" aca="1" ref="Z2944" ca="1">IFERROR(IF(_xlfn._xlws.FILTER(game_rosters!$J:$J,(game_rosters!$G:$G=events!$AN2944)*(game_rosters!$J:$J=events!$X2944))&gt;0,1,""),"")</f>
        <v>#VALUE!</v>
      </c>
      <c r="AA2944">
        <f t="shared" si="263"/>
        <v>1000</v>
      </c>
      <c r="AB2944" t="str">
        <f t="shared" si="264"/>
        <v/>
      </c>
      <c r="AC2944">
        <f t="shared" si="261"/>
        <v>1000</v>
      </c>
      <c r="AD2944" s="6"/>
    </row>
    <row r="2945" spans="1:30" x14ac:dyDescent="0.2">
      <c r="A2945" t="str">
        <f t="shared" si="262"/>
        <v/>
      </c>
      <c r="X2945" t="str" cm="1">
        <f t="array" ref="X2945">IF(S2945="","",IF($I2945&lt;&gt;"",$I2945,INDEX($I$2:$I2944,ROW()-COUNTIFS($T$2:$T2944,"="&amp;$T2945,$S$2:$S2944,"&lt;&gt;"&amp;$S2945)-1)))</f>
        <v/>
      </c>
      <c r="Y2945" t="b">
        <f>IF(X2945&lt;&gt;"",VLOOKUP(X2945,game_rosters!$C$43:$E$64,3,FALSE))</f>
        <v>0</v>
      </c>
      <c r="Z2945" t="e" cm="1" vm="1">
        <f t="array" aca="1" ref="Z2945" ca="1">IFERROR(IF(_xlfn._xlws.FILTER(game_rosters!$J:$J,(game_rosters!$G:$G=events!$AN2945)*(game_rosters!$J:$J=events!$X2945))&gt;0,1,""),"")</f>
        <v>#VALUE!</v>
      </c>
      <c r="AA2945">
        <f t="shared" si="263"/>
        <v>1000</v>
      </c>
      <c r="AB2945" t="str">
        <f t="shared" si="264"/>
        <v/>
      </c>
      <c r="AC2945">
        <f t="shared" si="261"/>
        <v>1000</v>
      </c>
      <c r="AD2945" s="6"/>
    </row>
    <row r="2946" spans="1:30" x14ac:dyDescent="0.2">
      <c r="A2946" t="str">
        <f t="shared" si="262"/>
        <v/>
      </c>
      <c r="X2946" t="str" cm="1">
        <f t="array" ref="X2946">IF(S2946="","",IF($I2946&lt;&gt;"",$I2946,INDEX($I$2:$I2945,ROW()-COUNTIFS($T$2:$T2945,"="&amp;$T2946,$S$2:$S2945,"&lt;&gt;"&amp;$S2946)-1)))</f>
        <v/>
      </c>
      <c r="Y2946" t="b">
        <f>IF(X2946&lt;&gt;"",VLOOKUP(X2946,game_rosters!$C$43:$E$64,3,FALSE))</f>
        <v>0</v>
      </c>
      <c r="Z2946" t="e" cm="1" vm="1">
        <f t="array" aca="1" ref="Z2946" ca="1">IFERROR(IF(_xlfn._xlws.FILTER(game_rosters!$J:$J,(game_rosters!$G:$G=events!$AN2946)*(game_rosters!$J:$J=events!$X2946))&gt;0,1,""),"")</f>
        <v>#VALUE!</v>
      </c>
      <c r="AA2946">
        <f t="shared" si="263"/>
        <v>1000</v>
      </c>
      <c r="AB2946" t="str">
        <f t="shared" si="264"/>
        <v/>
      </c>
      <c r="AC2946">
        <f t="shared" ref="AC2946:AC3009" si="265">IF(AB2946&lt;&gt;"",AB2946,S2946+1000)</f>
        <v>1000</v>
      </c>
      <c r="AD2946" s="6"/>
    </row>
    <row r="2947" spans="1:30" x14ac:dyDescent="0.2">
      <c r="A2947" t="str">
        <f t="shared" si="262"/>
        <v/>
      </c>
      <c r="X2947" t="str" cm="1">
        <f t="array" ref="X2947">IF(S2947="","",IF($I2947&lt;&gt;"",$I2947,INDEX($I$2:$I2946,ROW()-COUNTIFS($T$2:$T2946,"="&amp;$T2947,$S$2:$S2946,"&lt;&gt;"&amp;$S2947)-1)))</f>
        <v/>
      </c>
      <c r="Y2947" t="b">
        <f>IF(X2947&lt;&gt;"",VLOOKUP(X2947,game_rosters!$C$43:$E$64,3,FALSE))</f>
        <v>0</v>
      </c>
      <c r="Z2947" t="e" cm="1" vm="1">
        <f t="array" aca="1" ref="Z2947" ca="1">IFERROR(IF(_xlfn._xlws.FILTER(game_rosters!$J:$J,(game_rosters!$G:$G=events!$AN2947)*(game_rosters!$J:$J=events!$X2947))&gt;0,1,""),"")</f>
        <v>#VALUE!</v>
      </c>
      <c r="AA2947">
        <f t="shared" si="263"/>
        <v>1000</v>
      </c>
      <c r="AB2947" t="str">
        <f t="shared" si="264"/>
        <v/>
      </c>
      <c r="AC2947">
        <f t="shared" si="265"/>
        <v>1000</v>
      </c>
      <c r="AD2947" s="6"/>
    </row>
    <row r="2948" spans="1:30" x14ac:dyDescent="0.2">
      <c r="A2948" t="str">
        <f t="shared" si="262"/>
        <v/>
      </c>
      <c r="X2948" t="str" cm="1">
        <f t="array" ref="X2948">IF(S2948="","",IF($I2948&lt;&gt;"",$I2948,INDEX($I$2:$I2947,ROW()-COUNTIFS($T$2:$T2947,"="&amp;$T2948,$S$2:$S2947,"&lt;&gt;"&amp;$S2948)-1)))</f>
        <v/>
      </c>
      <c r="Y2948" t="b">
        <f>IF(X2948&lt;&gt;"",VLOOKUP(X2948,game_rosters!$C$43:$E$64,3,FALSE))</f>
        <v>0</v>
      </c>
      <c r="Z2948" t="e" cm="1" vm="1">
        <f t="array" aca="1" ref="Z2948" ca="1">IFERROR(IF(_xlfn._xlws.FILTER(game_rosters!$J:$J,(game_rosters!$G:$G=events!$AN2948)*(game_rosters!$J:$J=events!$X2948))&gt;0,1,""),"")</f>
        <v>#VALUE!</v>
      </c>
      <c r="AA2948">
        <f t="shared" si="263"/>
        <v>1000</v>
      </c>
      <c r="AB2948" t="str">
        <f t="shared" si="264"/>
        <v/>
      </c>
      <c r="AC2948">
        <f t="shared" si="265"/>
        <v>1000</v>
      </c>
      <c r="AD2948" s="6"/>
    </row>
    <row r="2949" spans="1:30" x14ac:dyDescent="0.2">
      <c r="A2949" t="str">
        <f t="shared" ref="A2949:A3012" si="266">IF(K2949&lt;&gt;"",1,IF(D2949="x","x",""))</f>
        <v/>
      </c>
      <c r="X2949" t="str" cm="1">
        <f t="array" ref="X2949">IF(S2949="","",IF($I2949&lt;&gt;"",$I2949,INDEX($I$2:$I2948,ROW()-COUNTIFS($T$2:$T2948,"="&amp;$T2949,$S$2:$S2948,"&lt;&gt;"&amp;$S2949)-1)))</f>
        <v/>
      </c>
      <c r="Y2949" t="b">
        <f>IF(X2949&lt;&gt;"",VLOOKUP(X2949,game_rosters!$C$43:$E$64,3,FALSE))</f>
        <v>0</v>
      </c>
      <c r="Z2949" t="e" cm="1" vm="1">
        <f t="array" aca="1" ref="Z2949" ca="1">IFERROR(IF(_xlfn._xlws.FILTER(game_rosters!$J:$J,(game_rosters!$G:$G=events!$AN2949)*(game_rosters!$J:$J=events!$X2949))&gt;0,1,""),"")</f>
        <v>#VALUE!</v>
      </c>
      <c r="AA2949">
        <f t="shared" si="263"/>
        <v>1000</v>
      </c>
      <c r="AB2949" t="str">
        <f t="shared" si="264"/>
        <v/>
      </c>
      <c r="AC2949">
        <f t="shared" si="265"/>
        <v>1000</v>
      </c>
      <c r="AD2949" s="6"/>
    </row>
    <row r="2950" spans="1:30" x14ac:dyDescent="0.2">
      <c r="A2950" t="str">
        <f t="shared" si="266"/>
        <v/>
      </c>
      <c r="X2950" t="str" cm="1">
        <f t="array" ref="X2950">IF(S2950="","",IF($I2950&lt;&gt;"",$I2950,INDEX($I$2:$I2949,ROW()-COUNTIFS($T$2:$T2949,"="&amp;$T2950,$S$2:$S2949,"&lt;&gt;"&amp;$S2950)-1)))</f>
        <v/>
      </c>
      <c r="Y2950" t="b">
        <f>IF(X2950&lt;&gt;"",VLOOKUP(X2950,game_rosters!$C$43:$E$64,3,FALSE))</f>
        <v>0</v>
      </c>
      <c r="Z2950" t="e" cm="1" vm="1">
        <f t="array" aca="1" ref="Z2950" ca="1">IFERROR(IF(_xlfn._xlws.FILTER(game_rosters!$J:$J,(game_rosters!$G:$G=events!$AN2950)*(game_rosters!$J:$J=events!$X2950))&gt;0,1,""),"")</f>
        <v>#VALUE!</v>
      </c>
      <c r="AA2950">
        <f t="shared" si="263"/>
        <v>1000</v>
      </c>
      <c r="AB2950" t="str">
        <f t="shared" si="264"/>
        <v/>
      </c>
      <c r="AC2950">
        <f t="shared" si="265"/>
        <v>1000</v>
      </c>
      <c r="AD2950" s="6"/>
    </row>
    <row r="2951" spans="1:30" x14ac:dyDescent="0.2">
      <c r="A2951" t="str">
        <f t="shared" si="266"/>
        <v/>
      </c>
      <c r="X2951" t="str" cm="1">
        <f t="array" ref="X2951">IF(S2951="","",IF($I2951&lt;&gt;"",$I2951,INDEX($I$2:$I2950,ROW()-COUNTIFS($T$2:$T2950,"="&amp;$T2951,$S$2:$S2950,"&lt;&gt;"&amp;$S2951)-1)))</f>
        <v/>
      </c>
      <c r="Y2951" t="b">
        <f>IF(X2951&lt;&gt;"",VLOOKUP(X2951,game_rosters!$C$43:$E$64,3,FALSE))</f>
        <v>0</v>
      </c>
      <c r="Z2951" t="e" cm="1" vm="1">
        <f t="array" aca="1" ref="Z2951" ca="1">IFERROR(IF(_xlfn._xlws.FILTER(game_rosters!$J:$J,(game_rosters!$G:$G=events!$AN2951)*(game_rosters!$J:$J=events!$X2951))&gt;0,1,""),"")</f>
        <v>#VALUE!</v>
      </c>
      <c r="AA2951">
        <f t="shared" si="263"/>
        <v>1000</v>
      </c>
      <c r="AB2951" t="str">
        <f t="shared" si="264"/>
        <v/>
      </c>
      <c r="AC2951">
        <f t="shared" si="265"/>
        <v>1000</v>
      </c>
      <c r="AD2951" s="6"/>
    </row>
    <row r="2952" spans="1:30" x14ac:dyDescent="0.2">
      <c r="A2952" t="str">
        <f t="shared" si="266"/>
        <v/>
      </c>
      <c r="X2952" t="str" cm="1">
        <f t="array" ref="X2952">IF(S2952="","",IF($I2952&lt;&gt;"",$I2952,INDEX($I$2:$I2951,ROW()-COUNTIFS($T$2:$T2951,"="&amp;$T2952,$S$2:$S2951,"&lt;&gt;"&amp;$S2952)-1)))</f>
        <v/>
      </c>
      <c r="Y2952" t="b">
        <f>IF(X2952&lt;&gt;"",VLOOKUP(X2952,game_rosters!$C$43:$E$64,3,FALSE))</f>
        <v>0</v>
      </c>
      <c r="Z2952" t="e" cm="1" vm="1">
        <f t="array" aca="1" ref="Z2952" ca="1">IFERROR(IF(_xlfn._xlws.FILTER(game_rosters!$J:$J,(game_rosters!$G:$G=events!$AN2952)*(game_rosters!$J:$J=events!$X2952))&gt;0,1,""),"")</f>
        <v>#VALUE!</v>
      </c>
      <c r="AA2952">
        <f t="shared" si="263"/>
        <v>1000</v>
      </c>
      <c r="AB2952" t="str">
        <f t="shared" si="264"/>
        <v/>
      </c>
      <c r="AC2952">
        <f t="shared" si="265"/>
        <v>1000</v>
      </c>
      <c r="AD2952" s="6"/>
    </row>
    <row r="2953" spans="1:30" x14ac:dyDescent="0.2">
      <c r="A2953" t="str">
        <f t="shared" si="266"/>
        <v/>
      </c>
      <c r="X2953" t="str" cm="1">
        <f t="array" ref="X2953">IF(S2953="","",IF($I2953&lt;&gt;"",$I2953,INDEX($I$2:$I2952,ROW()-COUNTIFS($T$2:$T2952,"="&amp;$T2953,$S$2:$S2952,"&lt;&gt;"&amp;$S2953)-1)))</f>
        <v/>
      </c>
      <c r="Y2953" t="b">
        <f>IF(X2953&lt;&gt;"",VLOOKUP(X2953,game_rosters!$C$43:$E$64,3,FALSE))</f>
        <v>0</v>
      </c>
      <c r="Z2953" t="e" cm="1" vm="1">
        <f t="array" aca="1" ref="Z2953" ca="1">IFERROR(IF(_xlfn._xlws.FILTER(game_rosters!$J:$J,(game_rosters!$G:$G=events!$AN2953)*(game_rosters!$J:$J=events!$X2953))&gt;0,1,""),"")</f>
        <v>#VALUE!</v>
      </c>
      <c r="AA2953">
        <f t="shared" si="263"/>
        <v>1000</v>
      </c>
      <c r="AB2953" t="str">
        <f t="shared" si="264"/>
        <v/>
      </c>
      <c r="AC2953">
        <f t="shared" si="265"/>
        <v>1000</v>
      </c>
      <c r="AD2953" s="6"/>
    </row>
    <row r="2954" spans="1:30" x14ac:dyDescent="0.2">
      <c r="A2954" t="str">
        <f t="shared" si="266"/>
        <v/>
      </c>
      <c r="X2954" t="str" cm="1">
        <f t="array" ref="X2954">IF(S2954="","",IF($I2954&lt;&gt;"",$I2954,INDEX($I$2:$I2953,ROW()-COUNTIFS($T$2:$T2953,"="&amp;$T2954,$S$2:$S2953,"&lt;&gt;"&amp;$S2954)-1)))</f>
        <v/>
      </c>
      <c r="Y2954" t="b">
        <f>IF(X2954&lt;&gt;"",VLOOKUP(X2954,game_rosters!$C$43:$E$64,3,FALSE))</f>
        <v>0</v>
      </c>
      <c r="Z2954" t="e" cm="1" vm="1">
        <f t="array" aca="1" ref="Z2954" ca="1">IFERROR(IF(_xlfn._xlws.FILTER(game_rosters!$J:$J,(game_rosters!$G:$G=events!$AN2954)*(game_rosters!$J:$J=events!$X2954))&gt;0,1,""),"")</f>
        <v>#VALUE!</v>
      </c>
      <c r="AA2954">
        <f t="shared" si="263"/>
        <v>1000</v>
      </c>
      <c r="AB2954" t="str">
        <f t="shared" si="264"/>
        <v/>
      </c>
      <c r="AC2954">
        <f t="shared" si="265"/>
        <v>1000</v>
      </c>
      <c r="AD2954" s="6"/>
    </row>
    <row r="2955" spans="1:30" x14ac:dyDescent="0.2">
      <c r="A2955" t="str">
        <f t="shared" si="266"/>
        <v/>
      </c>
      <c r="X2955" t="str" cm="1">
        <f t="array" ref="X2955">IF(S2955="","",IF($I2955&lt;&gt;"",$I2955,INDEX($I$2:$I2954,ROW()-COUNTIFS($T$2:$T2954,"="&amp;$T2955,$S$2:$S2954,"&lt;&gt;"&amp;$S2955)-1)))</f>
        <v/>
      </c>
      <c r="Y2955" t="b">
        <f>IF(X2955&lt;&gt;"",VLOOKUP(X2955,game_rosters!$C$43:$E$64,3,FALSE))</f>
        <v>0</v>
      </c>
      <c r="Z2955" t="e" cm="1" vm="1">
        <f t="array" aca="1" ref="Z2955" ca="1">IFERROR(IF(_xlfn._xlws.FILTER(game_rosters!$J:$J,(game_rosters!$G:$G=events!$AN2955)*(game_rosters!$J:$J=events!$X2955))&gt;0,1,""),"")</f>
        <v>#VALUE!</v>
      </c>
      <c r="AA2955">
        <f t="shared" si="263"/>
        <v>1000</v>
      </c>
      <c r="AB2955" t="str">
        <f t="shared" si="264"/>
        <v/>
      </c>
      <c r="AC2955">
        <f t="shared" si="265"/>
        <v>1000</v>
      </c>
      <c r="AD2955" s="6"/>
    </row>
    <row r="2956" spans="1:30" x14ac:dyDescent="0.2">
      <c r="A2956" t="str">
        <f t="shared" si="266"/>
        <v/>
      </c>
      <c r="X2956" t="str" cm="1">
        <f t="array" ref="X2956">IF(S2956="","",IF($I2956&lt;&gt;"",$I2956,INDEX($I$2:$I2955,ROW()-COUNTIFS($T$2:$T2955,"="&amp;$T2956,$S$2:$S2955,"&lt;&gt;"&amp;$S2956)-1)))</f>
        <v/>
      </c>
      <c r="Y2956" t="b">
        <f>IF(X2956&lt;&gt;"",VLOOKUP(X2956,game_rosters!$C$43:$E$64,3,FALSE))</f>
        <v>0</v>
      </c>
      <c r="Z2956" t="e" cm="1" vm="1">
        <f t="array" aca="1" ref="Z2956" ca="1">IFERROR(IF(_xlfn._xlws.FILTER(game_rosters!$J:$J,(game_rosters!$G:$G=events!$AN2956)*(game_rosters!$J:$J=events!$X2956))&gt;0,1,""),"")</f>
        <v>#VALUE!</v>
      </c>
      <c r="AA2956">
        <f t="shared" si="263"/>
        <v>1000</v>
      </c>
      <c r="AB2956" t="str">
        <f t="shared" si="264"/>
        <v/>
      </c>
      <c r="AC2956">
        <f t="shared" si="265"/>
        <v>1000</v>
      </c>
      <c r="AD2956" s="6"/>
    </row>
    <row r="2957" spans="1:30" x14ac:dyDescent="0.2">
      <c r="A2957" t="str">
        <f t="shared" si="266"/>
        <v/>
      </c>
      <c r="X2957" t="str" cm="1">
        <f t="array" ref="X2957">IF(S2957="","",IF($I2957&lt;&gt;"",$I2957,INDEX($I$2:$I2956,ROW()-COUNTIFS($T$2:$T2956,"="&amp;$T2957,$S$2:$S2956,"&lt;&gt;"&amp;$S2957)-1)))</f>
        <v/>
      </c>
      <c r="Y2957" t="b">
        <f>IF(X2957&lt;&gt;"",VLOOKUP(X2957,game_rosters!$C$43:$E$64,3,FALSE))</f>
        <v>0</v>
      </c>
      <c r="Z2957" t="e" cm="1" vm="1">
        <f t="array" aca="1" ref="Z2957" ca="1">IFERROR(IF(_xlfn._xlws.FILTER(game_rosters!$J:$J,(game_rosters!$G:$G=events!$AN2957)*(game_rosters!$J:$J=events!$X2957))&gt;0,1,""),"")</f>
        <v>#VALUE!</v>
      </c>
      <c r="AA2957">
        <f t="shared" si="263"/>
        <v>1000</v>
      </c>
      <c r="AB2957" t="str">
        <f t="shared" si="264"/>
        <v/>
      </c>
      <c r="AC2957">
        <f t="shared" si="265"/>
        <v>1000</v>
      </c>
      <c r="AD2957" s="6"/>
    </row>
    <row r="2958" spans="1:30" x14ac:dyDescent="0.2">
      <c r="A2958" t="str">
        <f t="shared" si="266"/>
        <v/>
      </c>
      <c r="X2958" t="str" cm="1">
        <f t="array" ref="X2958">IF(S2958="","",IF($I2958&lt;&gt;"",$I2958,INDEX($I$2:$I2957,ROW()-COUNTIFS($T$2:$T2957,"="&amp;$T2958,$S$2:$S2957,"&lt;&gt;"&amp;$S2958)-1)))</f>
        <v/>
      </c>
      <c r="Y2958" t="b">
        <f>IF(X2958&lt;&gt;"",VLOOKUP(X2958,game_rosters!$C$43:$E$64,3,FALSE))</f>
        <v>0</v>
      </c>
      <c r="Z2958" t="e" cm="1" vm="1">
        <f t="array" aca="1" ref="Z2958" ca="1">IFERROR(IF(_xlfn._xlws.FILTER(game_rosters!$J:$J,(game_rosters!$G:$G=events!$AN2958)*(game_rosters!$J:$J=events!$X2958))&gt;0,1,""),"")</f>
        <v>#VALUE!</v>
      </c>
      <c r="AA2958">
        <f t="shared" si="263"/>
        <v>1000</v>
      </c>
      <c r="AB2958" t="str">
        <f t="shared" si="264"/>
        <v/>
      </c>
      <c r="AC2958">
        <f t="shared" si="265"/>
        <v>1000</v>
      </c>
      <c r="AD2958" s="6"/>
    </row>
    <row r="2959" spans="1:30" x14ac:dyDescent="0.2">
      <c r="A2959" t="str">
        <f t="shared" si="266"/>
        <v/>
      </c>
      <c r="X2959" t="str" cm="1">
        <f t="array" ref="X2959">IF(S2959="","",IF($I2959&lt;&gt;"",$I2959,INDEX($I$2:$I2958,ROW()-COUNTIFS($T$2:$T2958,"="&amp;$T2959,$S$2:$S2958,"&lt;&gt;"&amp;$S2959)-1)))</f>
        <v/>
      </c>
      <c r="Y2959" t="b">
        <f>IF(X2959&lt;&gt;"",VLOOKUP(X2959,game_rosters!$C$43:$E$64,3,FALSE))</f>
        <v>0</v>
      </c>
      <c r="Z2959" t="e" cm="1" vm="1">
        <f t="array" aca="1" ref="Z2959" ca="1">IFERROR(IF(_xlfn._xlws.FILTER(game_rosters!$J:$J,(game_rosters!$G:$G=events!$AN2959)*(game_rosters!$J:$J=events!$X2959))&gt;0,1,""),"")</f>
        <v>#VALUE!</v>
      </c>
      <c r="AA2959">
        <f t="shared" si="263"/>
        <v>1000</v>
      </c>
      <c r="AB2959" t="str">
        <f t="shared" si="264"/>
        <v/>
      </c>
      <c r="AC2959">
        <f t="shared" si="265"/>
        <v>1000</v>
      </c>
      <c r="AD2959" s="6"/>
    </row>
    <row r="2960" spans="1:30" x14ac:dyDescent="0.2">
      <c r="A2960" t="str">
        <f t="shared" si="266"/>
        <v/>
      </c>
      <c r="X2960" t="str" cm="1">
        <f t="array" ref="X2960">IF(S2960="","",IF($I2960&lt;&gt;"",$I2960,INDEX($I$2:$I2959,ROW()-COUNTIFS($T$2:$T2959,"="&amp;$T2960,$S$2:$S2959,"&lt;&gt;"&amp;$S2960)-1)))</f>
        <v/>
      </c>
      <c r="Y2960" t="b">
        <f>IF(X2960&lt;&gt;"",VLOOKUP(X2960,game_rosters!$C$43:$E$64,3,FALSE))</f>
        <v>0</v>
      </c>
      <c r="Z2960" t="e" cm="1" vm="1">
        <f t="array" aca="1" ref="Z2960" ca="1">IFERROR(IF(_xlfn._xlws.FILTER(game_rosters!$J:$J,(game_rosters!$G:$G=events!$AN2960)*(game_rosters!$J:$J=events!$X2960))&gt;0,1,""),"")</f>
        <v>#VALUE!</v>
      </c>
      <c r="AA2960">
        <f t="shared" si="263"/>
        <v>1000</v>
      </c>
      <c r="AB2960" t="str">
        <f t="shared" si="264"/>
        <v/>
      </c>
      <c r="AC2960">
        <f t="shared" si="265"/>
        <v>1000</v>
      </c>
      <c r="AD2960" s="6"/>
    </row>
    <row r="2961" spans="1:30" x14ac:dyDescent="0.2">
      <c r="A2961" t="str">
        <f t="shared" si="266"/>
        <v/>
      </c>
      <c r="X2961" t="str" cm="1">
        <f t="array" ref="X2961">IF(S2961="","",IF($I2961&lt;&gt;"",$I2961,INDEX($I$2:$I2960,ROW()-COUNTIFS($T$2:$T2960,"="&amp;$T2961,$S$2:$S2960,"&lt;&gt;"&amp;$S2961)-1)))</f>
        <v/>
      </c>
      <c r="Y2961" t="b">
        <f>IF(X2961&lt;&gt;"",VLOOKUP(X2961,game_rosters!$C$43:$E$64,3,FALSE))</f>
        <v>0</v>
      </c>
      <c r="Z2961" t="e" cm="1" vm="1">
        <f t="array" aca="1" ref="Z2961" ca="1">IFERROR(IF(_xlfn._xlws.FILTER(game_rosters!$J:$J,(game_rosters!$G:$G=events!$AN2961)*(game_rosters!$J:$J=events!$X2961))&gt;0,1,""),"")</f>
        <v>#VALUE!</v>
      </c>
      <c r="AA2961">
        <f t="shared" si="263"/>
        <v>1000</v>
      </c>
      <c r="AB2961" t="str">
        <f t="shared" si="264"/>
        <v/>
      </c>
      <c r="AC2961">
        <f t="shared" si="265"/>
        <v>1000</v>
      </c>
      <c r="AD2961" s="6"/>
    </row>
    <row r="2962" spans="1:30" x14ac:dyDescent="0.2">
      <c r="A2962" t="str">
        <f t="shared" si="266"/>
        <v/>
      </c>
      <c r="X2962" t="str" cm="1">
        <f t="array" ref="X2962">IF(S2962="","",IF($I2962&lt;&gt;"",$I2962,INDEX($I$2:$I2961,ROW()-COUNTIFS($T$2:$T2961,"="&amp;$T2962,$S$2:$S2961,"&lt;&gt;"&amp;$S2962)-1)))</f>
        <v/>
      </c>
      <c r="Y2962" t="b">
        <f>IF(X2962&lt;&gt;"",VLOOKUP(X2962,game_rosters!$C$43:$E$64,3,FALSE))</f>
        <v>0</v>
      </c>
      <c r="Z2962" t="e" cm="1" vm="1">
        <f t="array" aca="1" ref="Z2962" ca="1">IFERROR(IF(_xlfn._xlws.FILTER(game_rosters!$J:$J,(game_rosters!$G:$G=events!$AN2962)*(game_rosters!$J:$J=events!$X2962))&gt;0,1,""),"")</f>
        <v>#VALUE!</v>
      </c>
      <c r="AA2962">
        <f t="shared" si="263"/>
        <v>1000</v>
      </c>
      <c r="AB2962" t="str">
        <f t="shared" si="264"/>
        <v/>
      </c>
      <c r="AC2962">
        <f t="shared" si="265"/>
        <v>1000</v>
      </c>
      <c r="AD2962" s="6"/>
    </row>
    <row r="2963" spans="1:30" x14ac:dyDescent="0.2">
      <c r="A2963" t="str">
        <f t="shared" si="266"/>
        <v/>
      </c>
      <c r="X2963" t="str" cm="1">
        <f t="array" ref="X2963">IF(S2963="","",IF($I2963&lt;&gt;"",$I2963,INDEX($I$2:$I2962,ROW()-COUNTIFS($T$2:$T2962,"="&amp;$T2963,$S$2:$S2962,"&lt;&gt;"&amp;$S2963)-1)))</f>
        <v/>
      </c>
      <c r="Y2963" t="b">
        <f>IF(X2963&lt;&gt;"",VLOOKUP(X2963,game_rosters!$C$43:$E$64,3,FALSE))</f>
        <v>0</v>
      </c>
      <c r="Z2963" t="e" cm="1" vm="1">
        <f t="array" aca="1" ref="Z2963" ca="1">IFERROR(IF(_xlfn._xlws.FILTER(game_rosters!$J:$J,(game_rosters!$G:$G=events!$AN2963)*(game_rosters!$J:$J=events!$X2963))&gt;0,1,""),"")</f>
        <v>#VALUE!</v>
      </c>
      <c r="AA2963">
        <f t="shared" si="263"/>
        <v>1000</v>
      </c>
      <c r="AB2963" t="str">
        <f t="shared" si="264"/>
        <v/>
      </c>
      <c r="AC2963">
        <f t="shared" si="265"/>
        <v>1000</v>
      </c>
      <c r="AD2963" s="6"/>
    </row>
    <row r="2964" spans="1:30" x14ac:dyDescent="0.2">
      <c r="A2964" t="str">
        <f t="shared" si="266"/>
        <v/>
      </c>
      <c r="X2964" t="str" cm="1">
        <f t="array" ref="X2964">IF(S2964="","",IF($I2964&lt;&gt;"",$I2964,INDEX($I$2:$I2963,ROW()-COUNTIFS($T$2:$T2963,"="&amp;$T2964,$S$2:$S2963,"&lt;&gt;"&amp;$S2964)-1)))</f>
        <v/>
      </c>
      <c r="Y2964" t="b">
        <f>IF(X2964&lt;&gt;"",VLOOKUP(X2964,game_rosters!$C$43:$E$64,3,FALSE))</f>
        <v>0</v>
      </c>
      <c r="Z2964" t="e" cm="1" vm="1">
        <f t="array" aca="1" ref="Z2964" ca="1">IFERROR(IF(_xlfn._xlws.FILTER(game_rosters!$J:$J,(game_rosters!$G:$G=events!$AN2964)*(game_rosters!$J:$J=events!$X2964))&gt;0,1,""),"")</f>
        <v>#VALUE!</v>
      </c>
      <c r="AA2964">
        <f t="shared" si="263"/>
        <v>1000</v>
      </c>
      <c r="AB2964" t="str">
        <f t="shared" si="264"/>
        <v/>
      </c>
      <c r="AC2964">
        <f t="shared" si="265"/>
        <v>1000</v>
      </c>
      <c r="AD2964" s="6"/>
    </row>
    <row r="2965" spans="1:30" x14ac:dyDescent="0.2">
      <c r="A2965" t="str">
        <f t="shared" si="266"/>
        <v/>
      </c>
      <c r="X2965" t="str" cm="1">
        <f t="array" ref="X2965">IF(S2965="","",IF($I2965&lt;&gt;"",$I2965,INDEX($I$2:$I2964,ROW()-COUNTIFS($T$2:$T2964,"="&amp;$T2965,$S$2:$S2964,"&lt;&gt;"&amp;$S2965)-1)))</f>
        <v/>
      </c>
      <c r="Y2965" t="b">
        <f>IF(X2965&lt;&gt;"",VLOOKUP(X2965,game_rosters!$C$43:$E$64,3,FALSE))</f>
        <v>0</v>
      </c>
      <c r="Z2965" t="e" cm="1" vm="1">
        <f t="array" aca="1" ref="Z2965" ca="1">IFERROR(IF(_xlfn._xlws.FILTER(game_rosters!$J:$J,(game_rosters!$G:$G=events!$AN2965)*(game_rosters!$J:$J=events!$X2965))&gt;0,1,""),"")</f>
        <v>#VALUE!</v>
      </c>
      <c r="AA2965">
        <f t="shared" si="263"/>
        <v>1000</v>
      </c>
      <c r="AB2965" t="str">
        <f t="shared" si="264"/>
        <v/>
      </c>
      <c r="AC2965">
        <f t="shared" si="265"/>
        <v>1000</v>
      </c>
      <c r="AD2965" s="6"/>
    </row>
    <row r="2966" spans="1:30" x14ac:dyDescent="0.2">
      <c r="A2966" t="str">
        <f t="shared" si="266"/>
        <v/>
      </c>
      <c r="X2966" t="str" cm="1">
        <f t="array" ref="X2966">IF(S2966="","",IF($I2966&lt;&gt;"",$I2966,INDEX($I$2:$I2965,ROW()-COUNTIFS($T$2:$T2965,"="&amp;$T2966,$S$2:$S2965,"&lt;&gt;"&amp;$S2966)-1)))</f>
        <v/>
      </c>
      <c r="Y2966" t="b">
        <f>IF(X2966&lt;&gt;"",VLOOKUP(X2966,game_rosters!$C$43:$E$64,3,FALSE))</f>
        <v>0</v>
      </c>
      <c r="Z2966" t="e" cm="1" vm="1">
        <f t="array" aca="1" ref="Z2966" ca="1">IFERROR(IF(_xlfn._xlws.FILTER(game_rosters!$J:$J,(game_rosters!$G:$G=events!$AN2966)*(game_rosters!$J:$J=events!$X2966))&gt;0,1,""),"")</f>
        <v>#VALUE!</v>
      </c>
      <c r="AA2966">
        <f t="shared" si="263"/>
        <v>1000</v>
      </c>
      <c r="AB2966" t="str">
        <f t="shared" si="264"/>
        <v/>
      </c>
      <c r="AC2966">
        <f t="shared" si="265"/>
        <v>1000</v>
      </c>
      <c r="AD2966" s="6"/>
    </row>
    <row r="2967" spans="1:30" x14ac:dyDescent="0.2">
      <c r="A2967" t="str">
        <f t="shared" si="266"/>
        <v/>
      </c>
      <c r="X2967" t="str" cm="1">
        <f t="array" ref="X2967">IF(S2967="","",IF($I2967&lt;&gt;"",$I2967,INDEX($I$2:$I2966,ROW()-COUNTIFS($T$2:$T2966,"="&amp;$T2967,$S$2:$S2966,"&lt;&gt;"&amp;$S2967)-1)))</f>
        <v/>
      </c>
      <c r="Y2967" t="b">
        <f>IF(X2967&lt;&gt;"",VLOOKUP(X2967,game_rosters!$C$43:$E$64,3,FALSE))</f>
        <v>0</v>
      </c>
      <c r="Z2967" t="e" cm="1" vm="1">
        <f t="array" aca="1" ref="Z2967" ca="1">IFERROR(IF(_xlfn._xlws.FILTER(game_rosters!$J:$J,(game_rosters!$G:$G=events!$AN2967)*(game_rosters!$J:$J=events!$X2967))&gt;0,1,""),"")</f>
        <v>#VALUE!</v>
      </c>
      <c r="AA2967">
        <f t="shared" si="263"/>
        <v>1000</v>
      </c>
      <c r="AB2967" t="str">
        <f t="shared" si="264"/>
        <v/>
      </c>
      <c r="AC2967">
        <f t="shared" si="265"/>
        <v>1000</v>
      </c>
      <c r="AD2967" s="6"/>
    </row>
    <row r="2968" spans="1:30" x14ac:dyDescent="0.2">
      <c r="A2968" t="str">
        <f t="shared" si="266"/>
        <v/>
      </c>
      <c r="X2968" t="str" cm="1">
        <f t="array" ref="X2968">IF(S2968="","",IF($I2968&lt;&gt;"",$I2968,INDEX($I$2:$I2967,ROW()-COUNTIFS($T$2:$T2967,"="&amp;$T2968,$S$2:$S2967,"&lt;&gt;"&amp;$S2968)-1)))</f>
        <v/>
      </c>
      <c r="Y2968" t="b">
        <f>IF(X2968&lt;&gt;"",VLOOKUP(X2968,game_rosters!$C$43:$E$64,3,FALSE))</f>
        <v>0</v>
      </c>
      <c r="Z2968" t="e" cm="1" vm="1">
        <f t="array" aca="1" ref="Z2968" ca="1">IFERROR(IF(_xlfn._xlws.FILTER(game_rosters!$J:$J,(game_rosters!$G:$G=events!$AN2968)*(game_rosters!$J:$J=events!$X2968))&gt;0,1,""),"")</f>
        <v>#VALUE!</v>
      </c>
      <c r="AA2968">
        <f t="shared" si="263"/>
        <v>1000</v>
      </c>
      <c r="AB2968" t="str">
        <f t="shared" si="264"/>
        <v/>
      </c>
      <c r="AC2968">
        <f t="shared" si="265"/>
        <v>1000</v>
      </c>
      <c r="AD2968" s="6"/>
    </row>
    <row r="2969" spans="1:30" x14ac:dyDescent="0.2">
      <c r="A2969" t="str">
        <f t="shared" si="266"/>
        <v/>
      </c>
      <c r="X2969" t="str" cm="1">
        <f t="array" ref="X2969">IF(S2969="","",IF($I2969&lt;&gt;"",$I2969,INDEX($I$2:$I2968,ROW()-COUNTIFS($T$2:$T2968,"="&amp;$T2969,$S$2:$S2968,"&lt;&gt;"&amp;$S2969)-1)))</f>
        <v/>
      </c>
      <c r="Y2969" t="b">
        <f>IF(X2969&lt;&gt;"",VLOOKUP(X2969,game_rosters!$C$43:$E$64,3,FALSE))</f>
        <v>0</v>
      </c>
      <c r="Z2969" t="e" cm="1" vm="1">
        <f t="array" aca="1" ref="Z2969" ca="1">IFERROR(IF(_xlfn._xlws.FILTER(game_rosters!$J:$J,(game_rosters!$G:$G=events!$AN2969)*(game_rosters!$J:$J=events!$X2969))&gt;0,1,""),"")</f>
        <v>#VALUE!</v>
      </c>
      <c r="AA2969">
        <f t="shared" si="263"/>
        <v>1000</v>
      </c>
      <c r="AB2969" t="str">
        <f t="shared" si="264"/>
        <v/>
      </c>
      <c r="AC2969">
        <f t="shared" si="265"/>
        <v>1000</v>
      </c>
      <c r="AD2969" s="6"/>
    </row>
    <row r="2970" spans="1:30" x14ac:dyDescent="0.2">
      <c r="A2970" t="str">
        <f t="shared" si="266"/>
        <v/>
      </c>
      <c r="X2970" t="str" cm="1">
        <f t="array" ref="X2970">IF(S2970="","",IF($I2970&lt;&gt;"",$I2970,INDEX($I$2:$I2969,ROW()-COUNTIFS($T$2:$T2969,"="&amp;$T2970,$S$2:$S2969,"&lt;&gt;"&amp;$S2970)-1)))</f>
        <v/>
      </c>
      <c r="Y2970" t="b">
        <f>IF(X2970&lt;&gt;"",VLOOKUP(X2970,game_rosters!$C$43:$E$64,3,FALSE))</f>
        <v>0</v>
      </c>
      <c r="Z2970" t="e" cm="1" vm="1">
        <f t="array" aca="1" ref="Z2970" ca="1">IFERROR(IF(_xlfn._xlws.FILTER(game_rosters!$J:$J,(game_rosters!$G:$G=events!$AN2970)*(game_rosters!$J:$J=events!$X2970))&gt;0,1,""),"")</f>
        <v>#VALUE!</v>
      </c>
      <c r="AA2970">
        <f t="shared" si="263"/>
        <v>1000</v>
      </c>
      <c r="AB2970" t="str">
        <f t="shared" si="264"/>
        <v/>
      </c>
      <c r="AC2970">
        <f t="shared" si="265"/>
        <v>1000</v>
      </c>
      <c r="AD2970" s="6"/>
    </row>
    <row r="2971" spans="1:30" x14ac:dyDescent="0.2">
      <c r="A2971" t="str">
        <f t="shared" si="266"/>
        <v/>
      </c>
      <c r="X2971" t="str" cm="1">
        <f t="array" ref="X2971">IF(S2971="","",IF($I2971&lt;&gt;"",$I2971,INDEX($I$2:$I2970,ROW()-COUNTIFS($T$2:$T2970,"="&amp;$T2971,$S$2:$S2970,"&lt;&gt;"&amp;$S2971)-1)))</f>
        <v/>
      </c>
      <c r="Y2971" t="b">
        <f>IF(X2971&lt;&gt;"",VLOOKUP(X2971,game_rosters!$C$43:$E$64,3,FALSE))</f>
        <v>0</v>
      </c>
      <c r="Z2971" t="e" cm="1" vm="1">
        <f t="array" aca="1" ref="Z2971" ca="1">IFERROR(IF(_xlfn._xlws.FILTER(game_rosters!$J:$J,(game_rosters!$G:$G=events!$AN2971)*(game_rosters!$J:$J=events!$X2971))&gt;0,1,""),"")</f>
        <v>#VALUE!</v>
      </c>
      <c r="AA2971">
        <f t="shared" si="263"/>
        <v>1000</v>
      </c>
      <c r="AB2971" t="str">
        <f t="shared" si="264"/>
        <v/>
      </c>
      <c r="AC2971">
        <f t="shared" si="265"/>
        <v>1000</v>
      </c>
      <c r="AD2971" s="6"/>
    </row>
    <row r="2972" spans="1:30" x14ac:dyDescent="0.2">
      <c r="A2972" t="str">
        <f t="shared" si="266"/>
        <v/>
      </c>
      <c r="X2972" t="str" cm="1">
        <f t="array" ref="X2972">IF(S2972="","",IF($I2972&lt;&gt;"",$I2972,INDEX($I$2:$I2971,ROW()-COUNTIFS($T$2:$T2971,"="&amp;$T2972,$S$2:$S2971,"&lt;&gt;"&amp;$S2972)-1)))</f>
        <v/>
      </c>
      <c r="Y2972" t="b">
        <f>IF(X2972&lt;&gt;"",VLOOKUP(X2972,game_rosters!$C$43:$E$64,3,FALSE))</f>
        <v>0</v>
      </c>
      <c r="Z2972" t="e" cm="1" vm="1">
        <f t="array" aca="1" ref="Z2972" ca="1">IFERROR(IF(_xlfn._xlws.FILTER(game_rosters!$J:$J,(game_rosters!$G:$G=events!$AN2972)*(game_rosters!$J:$J=events!$X2972))&gt;0,1,""),"")</f>
        <v>#VALUE!</v>
      </c>
      <c r="AA2972">
        <f t="shared" si="263"/>
        <v>1000</v>
      </c>
      <c r="AB2972" t="str">
        <f t="shared" si="264"/>
        <v/>
      </c>
      <c r="AC2972">
        <f t="shared" si="265"/>
        <v>1000</v>
      </c>
      <c r="AD2972" s="6"/>
    </row>
    <row r="2973" spans="1:30" x14ac:dyDescent="0.2">
      <c r="A2973" t="str">
        <f t="shared" si="266"/>
        <v/>
      </c>
      <c r="X2973" t="str" cm="1">
        <f t="array" ref="X2973">IF(S2973="","",IF($I2973&lt;&gt;"",$I2973,INDEX($I$2:$I2972,ROW()-COUNTIFS($T$2:$T2972,"="&amp;$T2973,$S$2:$S2972,"&lt;&gt;"&amp;$S2973)-1)))</f>
        <v/>
      </c>
      <c r="Y2973" t="b">
        <f>IF(X2973&lt;&gt;"",VLOOKUP(X2973,game_rosters!$C$43:$E$64,3,FALSE))</f>
        <v>0</v>
      </c>
      <c r="Z2973" t="e" cm="1" vm="1">
        <f t="array" aca="1" ref="Z2973" ca="1">IFERROR(IF(_xlfn._xlws.FILTER(game_rosters!$J:$J,(game_rosters!$G:$G=events!$AN2973)*(game_rosters!$J:$J=events!$X2973))&gt;0,1,""),"")</f>
        <v>#VALUE!</v>
      </c>
      <c r="AA2973">
        <f t="shared" ref="AA2973:AA3036" si="267">S2973+1000</f>
        <v>1000</v>
      </c>
      <c r="AB2973" t="str">
        <f t="shared" ref="AB2973:AB3036" si="268">IF(T2973&lt;&gt;"",9000+T2973,"")</f>
        <v/>
      </c>
      <c r="AC2973">
        <f t="shared" si="265"/>
        <v>1000</v>
      </c>
      <c r="AD2973" s="6"/>
    </row>
    <row r="2974" spans="1:30" x14ac:dyDescent="0.2">
      <c r="A2974" t="str">
        <f t="shared" si="266"/>
        <v/>
      </c>
      <c r="X2974" t="str" cm="1">
        <f t="array" ref="X2974">IF(S2974="","",IF($I2974&lt;&gt;"",$I2974,INDEX($I$2:$I2973,ROW()-COUNTIFS($T$2:$T2973,"="&amp;$T2974,$S$2:$S2973,"&lt;&gt;"&amp;$S2974)-1)))</f>
        <v/>
      </c>
      <c r="Y2974" t="b">
        <f>IF(X2974&lt;&gt;"",VLOOKUP(X2974,game_rosters!$C$43:$E$64,3,FALSE))</f>
        <v>0</v>
      </c>
      <c r="Z2974" t="e" cm="1" vm="1">
        <f t="array" aca="1" ref="Z2974" ca="1">IFERROR(IF(_xlfn._xlws.FILTER(game_rosters!$J:$J,(game_rosters!$G:$G=events!$AN2974)*(game_rosters!$J:$J=events!$X2974))&gt;0,1,""),"")</f>
        <v>#VALUE!</v>
      </c>
      <c r="AA2974">
        <f t="shared" si="267"/>
        <v>1000</v>
      </c>
      <c r="AB2974" t="str">
        <f t="shared" si="268"/>
        <v/>
      </c>
      <c r="AC2974">
        <f t="shared" si="265"/>
        <v>1000</v>
      </c>
      <c r="AD2974" s="6"/>
    </row>
    <row r="2975" spans="1:30" x14ac:dyDescent="0.2">
      <c r="A2975" t="str">
        <f t="shared" si="266"/>
        <v/>
      </c>
      <c r="X2975" t="str" cm="1">
        <f t="array" ref="X2975">IF(S2975="","",IF($I2975&lt;&gt;"",$I2975,INDEX($I$2:$I2974,ROW()-COUNTIFS($T$2:$T2974,"="&amp;$T2975,$S$2:$S2974,"&lt;&gt;"&amp;$S2975)-1)))</f>
        <v/>
      </c>
      <c r="Y2975" t="b">
        <f>IF(X2975&lt;&gt;"",VLOOKUP(X2975,game_rosters!$C$43:$E$64,3,FALSE))</f>
        <v>0</v>
      </c>
      <c r="Z2975" t="e" cm="1" vm="1">
        <f t="array" aca="1" ref="Z2975" ca="1">IFERROR(IF(_xlfn._xlws.FILTER(game_rosters!$J:$J,(game_rosters!$G:$G=events!$AN2975)*(game_rosters!$J:$J=events!$X2975))&gt;0,1,""),"")</f>
        <v>#VALUE!</v>
      </c>
      <c r="AA2975">
        <f t="shared" si="267"/>
        <v>1000</v>
      </c>
      <c r="AB2975" t="str">
        <f t="shared" si="268"/>
        <v/>
      </c>
      <c r="AC2975">
        <f t="shared" si="265"/>
        <v>1000</v>
      </c>
      <c r="AD2975" s="6"/>
    </row>
    <row r="2976" spans="1:30" x14ac:dyDescent="0.2">
      <c r="A2976" t="str">
        <f t="shared" si="266"/>
        <v/>
      </c>
      <c r="X2976" t="str" cm="1">
        <f t="array" ref="X2976">IF(S2976="","",IF($I2976&lt;&gt;"",$I2976,INDEX($I$2:$I2975,ROW()-COUNTIFS($T$2:$T2975,"="&amp;$T2976,$S$2:$S2975,"&lt;&gt;"&amp;$S2976)-1)))</f>
        <v/>
      </c>
      <c r="Y2976" t="b">
        <f>IF(X2976&lt;&gt;"",VLOOKUP(X2976,game_rosters!$C$43:$E$64,3,FALSE))</f>
        <v>0</v>
      </c>
      <c r="Z2976" t="e" cm="1" vm="1">
        <f t="array" aca="1" ref="Z2976" ca="1">IFERROR(IF(_xlfn._xlws.FILTER(game_rosters!$J:$J,(game_rosters!$G:$G=events!$AN2976)*(game_rosters!$J:$J=events!$X2976))&gt;0,1,""),"")</f>
        <v>#VALUE!</v>
      </c>
      <c r="AA2976">
        <f t="shared" si="267"/>
        <v>1000</v>
      </c>
      <c r="AB2976" t="str">
        <f t="shared" si="268"/>
        <v/>
      </c>
      <c r="AC2976">
        <f t="shared" si="265"/>
        <v>1000</v>
      </c>
      <c r="AD2976" s="6"/>
    </row>
    <row r="2977" spans="1:30" x14ac:dyDescent="0.2">
      <c r="A2977" t="str">
        <f t="shared" si="266"/>
        <v/>
      </c>
      <c r="X2977" t="str" cm="1">
        <f t="array" ref="X2977">IF(S2977="","",IF($I2977&lt;&gt;"",$I2977,INDEX($I$2:$I2976,ROW()-COUNTIFS($T$2:$T2976,"="&amp;$T2977,$S$2:$S2976,"&lt;&gt;"&amp;$S2977)-1)))</f>
        <v/>
      </c>
      <c r="Y2977" t="b">
        <f>IF(X2977&lt;&gt;"",VLOOKUP(X2977,game_rosters!$C$43:$E$64,3,FALSE))</f>
        <v>0</v>
      </c>
      <c r="Z2977" t="e" cm="1" vm="1">
        <f t="array" aca="1" ref="Z2977" ca="1">IFERROR(IF(_xlfn._xlws.FILTER(game_rosters!$J:$J,(game_rosters!$G:$G=events!$AN2977)*(game_rosters!$J:$J=events!$X2977))&gt;0,1,""),"")</f>
        <v>#VALUE!</v>
      </c>
      <c r="AA2977">
        <f t="shared" si="267"/>
        <v>1000</v>
      </c>
      <c r="AB2977" t="str">
        <f t="shared" si="268"/>
        <v/>
      </c>
      <c r="AC2977">
        <f t="shared" si="265"/>
        <v>1000</v>
      </c>
      <c r="AD2977" s="6"/>
    </row>
    <row r="2978" spans="1:30" x14ac:dyDescent="0.2">
      <c r="A2978" t="str">
        <f t="shared" si="266"/>
        <v/>
      </c>
      <c r="X2978" t="str" cm="1">
        <f t="array" ref="X2978">IF(S2978="","",IF($I2978&lt;&gt;"",$I2978,INDEX($I$2:$I2977,ROW()-COUNTIFS($T$2:$T2977,"="&amp;$T2978,$S$2:$S2977,"&lt;&gt;"&amp;$S2978)-1)))</f>
        <v/>
      </c>
      <c r="Y2978" t="b">
        <f>IF(X2978&lt;&gt;"",VLOOKUP(X2978,game_rosters!$C$43:$E$64,3,FALSE))</f>
        <v>0</v>
      </c>
      <c r="Z2978" t="e" cm="1" vm="1">
        <f t="array" aca="1" ref="Z2978" ca="1">IFERROR(IF(_xlfn._xlws.FILTER(game_rosters!$J:$J,(game_rosters!$G:$G=events!$AN2978)*(game_rosters!$J:$J=events!$X2978))&gt;0,1,""),"")</f>
        <v>#VALUE!</v>
      </c>
      <c r="AA2978">
        <f t="shared" si="267"/>
        <v>1000</v>
      </c>
      <c r="AB2978" t="str">
        <f t="shared" si="268"/>
        <v/>
      </c>
      <c r="AC2978">
        <f t="shared" si="265"/>
        <v>1000</v>
      </c>
      <c r="AD2978" s="6"/>
    </row>
    <row r="2979" spans="1:30" x14ac:dyDescent="0.2">
      <c r="A2979" t="str">
        <f t="shared" si="266"/>
        <v/>
      </c>
      <c r="X2979" t="str" cm="1">
        <f t="array" ref="X2979">IF(S2979="","",IF($I2979&lt;&gt;"",$I2979,INDEX($I$2:$I2978,ROW()-COUNTIFS($T$2:$T2978,"="&amp;$T2979,$S$2:$S2978,"&lt;&gt;"&amp;$S2979)-1)))</f>
        <v/>
      </c>
      <c r="Y2979" t="b">
        <f>IF(X2979&lt;&gt;"",VLOOKUP(X2979,game_rosters!$C$43:$E$64,3,FALSE))</f>
        <v>0</v>
      </c>
      <c r="Z2979" t="e" cm="1" vm="1">
        <f t="array" aca="1" ref="Z2979" ca="1">IFERROR(IF(_xlfn._xlws.FILTER(game_rosters!$J:$J,(game_rosters!$G:$G=events!$AN2979)*(game_rosters!$J:$J=events!$X2979))&gt;0,1,""),"")</f>
        <v>#VALUE!</v>
      </c>
      <c r="AA2979">
        <f t="shared" si="267"/>
        <v>1000</v>
      </c>
      <c r="AB2979" t="str">
        <f t="shared" si="268"/>
        <v/>
      </c>
      <c r="AC2979">
        <f t="shared" si="265"/>
        <v>1000</v>
      </c>
      <c r="AD2979" s="6"/>
    </row>
    <row r="2980" spans="1:30" x14ac:dyDescent="0.2">
      <c r="A2980" t="str">
        <f t="shared" si="266"/>
        <v/>
      </c>
      <c r="X2980" t="str" cm="1">
        <f t="array" ref="X2980">IF(S2980="","",IF($I2980&lt;&gt;"",$I2980,INDEX($I$2:$I2979,ROW()-COUNTIFS($T$2:$T2979,"="&amp;$T2980,$S$2:$S2979,"&lt;&gt;"&amp;$S2980)-1)))</f>
        <v/>
      </c>
      <c r="Y2980" t="b">
        <f>IF(X2980&lt;&gt;"",VLOOKUP(X2980,game_rosters!$C$43:$E$64,3,FALSE))</f>
        <v>0</v>
      </c>
      <c r="Z2980" t="e" cm="1" vm="1">
        <f t="array" aca="1" ref="Z2980" ca="1">IFERROR(IF(_xlfn._xlws.FILTER(game_rosters!$J:$J,(game_rosters!$G:$G=events!$AN2980)*(game_rosters!$J:$J=events!$X2980))&gt;0,1,""),"")</f>
        <v>#VALUE!</v>
      </c>
      <c r="AA2980">
        <f t="shared" si="267"/>
        <v>1000</v>
      </c>
      <c r="AB2980" t="str">
        <f t="shared" si="268"/>
        <v/>
      </c>
      <c r="AC2980">
        <f t="shared" si="265"/>
        <v>1000</v>
      </c>
      <c r="AD2980" s="6"/>
    </row>
    <row r="2981" spans="1:30" x14ac:dyDescent="0.2">
      <c r="A2981" t="str">
        <f t="shared" si="266"/>
        <v/>
      </c>
      <c r="X2981" t="str" cm="1">
        <f t="array" ref="X2981">IF(S2981="","",IF($I2981&lt;&gt;"",$I2981,INDEX($I$2:$I2980,ROW()-COUNTIFS($T$2:$T2980,"="&amp;$T2981,$S$2:$S2980,"&lt;&gt;"&amp;$S2981)-1)))</f>
        <v/>
      </c>
      <c r="Y2981" t="b">
        <f>IF(X2981&lt;&gt;"",VLOOKUP(X2981,game_rosters!$C$43:$E$64,3,FALSE))</f>
        <v>0</v>
      </c>
      <c r="Z2981" t="e" cm="1" vm="1">
        <f t="array" aca="1" ref="Z2981" ca="1">IFERROR(IF(_xlfn._xlws.FILTER(game_rosters!$J:$J,(game_rosters!$G:$G=events!$AN2981)*(game_rosters!$J:$J=events!$X2981))&gt;0,1,""),"")</f>
        <v>#VALUE!</v>
      </c>
      <c r="AA2981">
        <f t="shared" si="267"/>
        <v>1000</v>
      </c>
      <c r="AB2981" t="str">
        <f t="shared" si="268"/>
        <v/>
      </c>
      <c r="AC2981">
        <f t="shared" si="265"/>
        <v>1000</v>
      </c>
      <c r="AD2981" s="6"/>
    </row>
    <row r="2982" spans="1:30" x14ac:dyDescent="0.2">
      <c r="A2982" t="str">
        <f t="shared" si="266"/>
        <v/>
      </c>
      <c r="X2982" t="str" cm="1">
        <f t="array" ref="X2982">IF(S2982="","",IF($I2982&lt;&gt;"",$I2982,INDEX($I$2:$I2981,ROW()-COUNTIFS($T$2:$T2981,"="&amp;$T2982,$S$2:$S2981,"&lt;&gt;"&amp;$S2982)-1)))</f>
        <v/>
      </c>
      <c r="Y2982" t="b">
        <f>IF(X2982&lt;&gt;"",VLOOKUP(X2982,game_rosters!$C$43:$E$64,3,FALSE))</f>
        <v>0</v>
      </c>
      <c r="Z2982" t="e" cm="1" vm="1">
        <f t="array" aca="1" ref="Z2982" ca="1">IFERROR(IF(_xlfn._xlws.FILTER(game_rosters!$J:$J,(game_rosters!$G:$G=events!$AN2982)*(game_rosters!$J:$J=events!$X2982))&gt;0,1,""),"")</f>
        <v>#VALUE!</v>
      </c>
      <c r="AA2982">
        <f t="shared" si="267"/>
        <v>1000</v>
      </c>
      <c r="AB2982" t="str">
        <f t="shared" si="268"/>
        <v/>
      </c>
      <c r="AC2982">
        <f t="shared" si="265"/>
        <v>1000</v>
      </c>
      <c r="AD2982" s="6"/>
    </row>
    <row r="2983" spans="1:30" x14ac:dyDescent="0.2">
      <c r="A2983" t="str">
        <f t="shared" si="266"/>
        <v/>
      </c>
      <c r="X2983" t="str" cm="1">
        <f t="array" ref="X2983">IF(S2983="","",IF($I2983&lt;&gt;"",$I2983,INDEX($I$2:$I2982,ROW()-COUNTIFS($T$2:$T2982,"="&amp;$T2983,$S$2:$S2982,"&lt;&gt;"&amp;$S2983)-1)))</f>
        <v/>
      </c>
      <c r="Y2983" t="b">
        <f>IF(X2983&lt;&gt;"",VLOOKUP(X2983,game_rosters!$C$43:$E$64,3,FALSE))</f>
        <v>0</v>
      </c>
      <c r="Z2983" t="e" cm="1" vm="1">
        <f t="array" aca="1" ref="Z2983" ca="1">IFERROR(IF(_xlfn._xlws.FILTER(game_rosters!$J:$J,(game_rosters!$G:$G=events!$AN2983)*(game_rosters!$J:$J=events!$X2983))&gt;0,1,""),"")</f>
        <v>#VALUE!</v>
      </c>
      <c r="AA2983">
        <f t="shared" si="267"/>
        <v>1000</v>
      </c>
      <c r="AB2983" t="str">
        <f t="shared" si="268"/>
        <v/>
      </c>
      <c r="AC2983">
        <f t="shared" si="265"/>
        <v>1000</v>
      </c>
      <c r="AD2983" s="6"/>
    </row>
    <row r="2984" spans="1:30" x14ac:dyDescent="0.2">
      <c r="A2984" t="str">
        <f t="shared" si="266"/>
        <v/>
      </c>
      <c r="X2984" t="str" cm="1">
        <f t="array" ref="X2984">IF(S2984="","",IF($I2984&lt;&gt;"",$I2984,INDEX($I$2:$I2983,ROW()-COUNTIFS($T$2:$T2983,"="&amp;$T2984,$S$2:$S2983,"&lt;&gt;"&amp;$S2984)-1)))</f>
        <v/>
      </c>
      <c r="Y2984" t="b">
        <f>IF(X2984&lt;&gt;"",VLOOKUP(X2984,game_rosters!$C$43:$E$64,3,FALSE))</f>
        <v>0</v>
      </c>
      <c r="Z2984" t="e" cm="1" vm="1">
        <f t="array" aca="1" ref="Z2984" ca="1">IFERROR(IF(_xlfn._xlws.FILTER(game_rosters!$J:$J,(game_rosters!$G:$G=events!$AN2984)*(game_rosters!$J:$J=events!$X2984))&gt;0,1,""),"")</f>
        <v>#VALUE!</v>
      </c>
      <c r="AA2984">
        <f t="shared" si="267"/>
        <v>1000</v>
      </c>
      <c r="AB2984" t="str">
        <f t="shared" si="268"/>
        <v/>
      </c>
      <c r="AC2984">
        <f t="shared" si="265"/>
        <v>1000</v>
      </c>
      <c r="AD2984" s="6"/>
    </row>
    <row r="2985" spans="1:30" x14ac:dyDescent="0.2">
      <c r="A2985" t="str">
        <f t="shared" si="266"/>
        <v/>
      </c>
      <c r="X2985" t="str" cm="1">
        <f t="array" ref="X2985">IF(S2985="","",IF($I2985&lt;&gt;"",$I2985,INDEX($I$2:$I2984,ROW()-COUNTIFS($T$2:$T2984,"="&amp;$T2985,$S$2:$S2984,"&lt;&gt;"&amp;$S2985)-1)))</f>
        <v/>
      </c>
      <c r="Y2985" t="b">
        <f>IF(X2985&lt;&gt;"",VLOOKUP(X2985,game_rosters!$C$43:$E$64,3,FALSE))</f>
        <v>0</v>
      </c>
      <c r="Z2985" t="e" cm="1" vm="1">
        <f t="array" aca="1" ref="Z2985" ca="1">IFERROR(IF(_xlfn._xlws.FILTER(game_rosters!$J:$J,(game_rosters!$G:$G=events!$AN2985)*(game_rosters!$J:$J=events!$X2985))&gt;0,1,""),"")</f>
        <v>#VALUE!</v>
      </c>
      <c r="AA2985">
        <f t="shared" si="267"/>
        <v>1000</v>
      </c>
      <c r="AB2985" t="str">
        <f t="shared" si="268"/>
        <v/>
      </c>
      <c r="AC2985">
        <f t="shared" si="265"/>
        <v>1000</v>
      </c>
      <c r="AD2985" s="6"/>
    </row>
    <row r="2986" spans="1:30" x14ac:dyDescent="0.2">
      <c r="A2986" t="str">
        <f t="shared" si="266"/>
        <v/>
      </c>
      <c r="X2986" t="str" cm="1">
        <f t="array" ref="X2986">IF(S2986="","",IF($I2986&lt;&gt;"",$I2986,INDEX($I$2:$I2985,ROW()-COUNTIFS($T$2:$T2985,"="&amp;$T2986,$S$2:$S2985,"&lt;&gt;"&amp;$S2986)-1)))</f>
        <v/>
      </c>
      <c r="Y2986" t="b">
        <f>IF(X2986&lt;&gt;"",VLOOKUP(X2986,game_rosters!$C$43:$E$64,3,FALSE))</f>
        <v>0</v>
      </c>
      <c r="Z2986" t="e" cm="1" vm="1">
        <f t="array" aca="1" ref="Z2986" ca="1">IFERROR(IF(_xlfn._xlws.FILTER(game_rosters!$J:$J,(game_rosters!$G:$G=events!$AN2986)*(game_rosters!$J:$J=events!$X2986))&gt;0,1,""),"")</f>
        <v>#VALUE!</v>
      </c>
      <c r="AA2986">
        <f t="shared" si="267"/>
        <v>1000</v>
      </c>
      <c r="AB2986" t="str">
        <f t="shared" si="268"/>
        <v/>
      </c>
      <c r="AC2986">
        <f t="shared" si="265"/>
        <v>1000</v>
      </c>
      <c r="AD2986" s="6"/>
    </row>
    <row r="2987" spans="1:30" x14ac:dyDescent="0.2">
      <c r="A2987" t="str">
        <f t="shared" si="266"/>
        <v/>
      </c>
      <c r="X2987" t="str" cm="1">
        <f t="array" ref="X2987">IF(S2987="","",IF($I2987&lt;&gt;"",$I2987,INDEX($I$2:$I2986,ROW()-COUNTIFS($T$2:$T2986,"="&amp;$T2987,$S$2:$S2986,"&lt;&gt;"&amp;$S2987)-1)))</f>
        <v/>
      </c>
      <c r="Y2987" t="b">
        <f>IF(X2987&lt;&gt;"",VLOOKUP(X2987,game_rosters!$C$43:$E$64,3,FALSE))</f>
        <v>0</v>
      </c>
      <c r="Z2987" t="e" cm="1" vm="1">
        <f t="array" aca="1" ref="Z2987" ca="1">IFERROR(IF(_xlfn._xlws.FILTER(game_rosters!$J:$J,(game_rosters!$G:$G=events!$AN2987)*(game_rosters!$J:$J=events!$X2987))&gt;0,1,""),"")</f>
        <v>#VALUE!</v>
      </c>
      <c r="AA2987">
        <f t="shared" si="267"/>
        <v>1000</v>
      </c>
      <c r="AB2987" t="str">
        <f t="shared" si="268"/>
        <v/>
      </c>
      <c r="AC2987">
        <f t="shared" si="265"/>
        <v>1000</v>
      </c>
      <c r="AD2987" s="6"/>
    </row>
    <row r="2988" spans="1:30" x14ac:dyDescent="0.2">
      <c r="A2988" t="str">
        <f t="shared" si="266"/>
        <v/>
      </c>
      <c r="X2988" t="str" cm="1">
        <f t="array" ref="X2988">IF(S2988="","",IF($I2988&lt;&gt;"",$I2988,INDEX($I$2:$I2987,ROW()-COUNTIFS($T$2:$T2987,"="&amp;$T2988,$S$2:$S2987,"&lt;&gt;"&amp;$S2988)-1)))</f>
        <v/>
      </c>
      <c r="Y2988" t="b">
        <f>IF(X2988&lt;&gt;"",VLOOKUP(X2988,game_rosters!$C$43:$E$64,3,FALSE))</f>
        <v>0</v>
      </c>
      <c r="Z2988" t="e" cm="1" vm="1">
        <f t="array" aca="1" ref="Z2988" ca="1">IFERROR(IF(_xlfn._xlws.FILTER(game_rosters!$J:$J,(game_rosters!$G:$G=events!$AN2988)*(game_rosters!$J:$J=events!$X2988))&gt;0,1,""),"")</f>
        <v>#VALUE!</v>
      </c>
      <c r="AA2988">
        <f t="shared" si="267"/>
        <v>1000</v>
      </c>
      <c r="AB2988" t="str">
        <f t="shared" si="268"/>
        <v/>
      </c>
      <c r="AC2988">
        <f t="shared" si="265"/>
        <v>1000</v>
      </c>
      <c r="AD2988" s="6"/>
    </row>
    <row r="2989" spans="1:30" x14ac:dyDescent="0.2">
      <c r="A2989" t="str">
        <f t="shared" si="266"/>
        <v/>
      </c>
      <c r="X2989" t="str" cm="1">
        <f t="array" ref="X2989">IF(S2989="","",IF($I2989&lt;&gt;"",$I2989,INDEX($I$2:$I2988,ROW()-COUNTIFS($T$2:$T2988,"="&amp;$T2989,$S$2:$S2988,"&lt;&gt;"&amp;$S2989)-1)))</f>
        <v/>
      </c>
      <c r="Y2989" t="b">
        <f>IF(X2989&lt;&gt;"",VLOOKUP(X2989,game_rosters!$C$43:$E$64,3,FALSE))</f>
        <v>0</v>
      </c>
      <c r="Z2989" t="e" cm="1" vm="1">
        <f t="array" aca="1" ref="Z2989" ca="1">IFERROR(IF(_xlfn._xlws.FILTER(game_rosters!$J:$J,(game_rosters!$G:$G=events!$AN2989)*(game_rosters!$J:$J=events!$X2989))&gt;0,1,""),"")</f>
        <v>#VALUE!</v>
      </c>
      <c r="AA2989">
        <f t="shared" si="267"/>
        <v>1000</v>
      </c>
      <c r="AB2989" t="str">
        <f t="shared" si="268"/>
        <v/>
      </c>
      <c r="AC2989">
        <f t="shared" si="265"/>
        <v>1000</v>
      </c>
      <c r="AD2989" s="6"/>
    </row>
    <row r="2990" spans="1:30" x14ac:dyDescent="0.2">
      <c r="A2990" t="str">
        <f t="shared" si="266"/>
        <v/>
      </c>
      <c r="X2990" t="str" cm="1">
        <f t="array" ref="X2990">IF(S2990="","",IF($I2990&lt;&gt;"",$I2990,INDEX($I$2:$I2989,ROW()-COUNTIFS($T$2:$T2989,"="&amp;$T2990,$S$2:$S2989,"&lt;&gt;"&amp;$S2990)-1)))</f>
        <v/>
      </c>
      <c r="Y2990" t="b">
        <f>IF(X2990&lt;&gt;"",VLOOKUP(X2990,game_rosters!$C$43:$E$64,3,FALSE))</f>
        <v>0</v>
      </c>
      <c r="Z2990" t="e" cm="1" vm="1">
        <f t="array" aca="1" ref="Z2990" ca="1">IFERROR(IF(_xlfn._xlws.FILTER(game_rosters!$J:$J,(game_rosters!$G:$G=events!$AN2990)*(game_rosters!$J:$J=events!$X2990))&gt;0,1,""),"")</f>
        <v>#VALUE!</v>
      </c>
      <c r="AA2990">
        <f t="shared" si="267"/>
        <v>1000</v>
      </c>
      <c r="AB2990" t="str">
        <f t="shared" si="268"/>
        <v/>
      </c>
      <c r="AC2990">
        <f t="shared" si="265"/>
        <v>1000</v>
      </c>
      <c r="AD2990" s="6"/>
    </row>
    <row r="2991" spans="1:30" x14ac:dyDescent="0.2">
      <c r="A2991" t="str">
        <f t="shared" si="266"/>
        <v/>
      </c>
      <c r="X2991" t="str" cm="1">
        <f t="array" ref="X2991">IF(S2991="","",IF($I2991&lt;&gt;"",$I2991,INDEX($I$2:$I2990,ROW()-COUNTIFS($T$2:$T2990,"="&amp;$T2991,$S$2:$S2990,"&lt;&gt;"&amp;$S2991)-1)))</f>
        <v/>
      </c>
      <c r="Y2991" t="b">
        <f>IF(X2991&lt;&gt;"",VLOOKUP(X2991,game_rosters!$C$43:$E$64,3,FALSE))</f>
        <v>0</v>
      </c>
      <c r="Z2991" t="e" cm="1" vm="1">
        <f t="array" aca="1" ref="Z2991" ca="1">IFERROR(IF(_xlfn._xlws.FILTER(game_rosters!$J:$J,(game_rosters!$G:$G=events!$AN2991)*(game_rosters!$J:$J=events!$X2991))&gt;0,1,""),"")</f>
        <v>#VALUE!</v>
      </c>
      <c r="AA2991">
        <f t="shared" si="267"/>
        <v>1000</v>
      </c>
      <c r="AB2991" t="str">
        <f t="shared" si="268"/>
        <v/>
      </c>
      <c r="AC2991">
        <f t="shared" si="265"/>
        <v>1000</v>
      </c>
      <c r="AD2991" s="6"/>
    </row>
    <row r="2992" spans="1:30" x14ac:dyDescent="0.2">
      <c r="A2992" t="str">
        <f t="shared" si="266"/>
        <v/>
      </c>
      <c r="X2992" t="str" cm="1">
        <f t="array" ref="X2992">IF(S2992="","",IF($I2992&lt;&gt;"",$I2992,INDEX($I$2:$I2991,ROW()-COUNTIFS($T$2:$T2991,"="&amp;$T2992,$S$2:$S2991,"&lt;&gt;"&amp;$S2992)-1)))</f>
        <v/>
      </c>
      <c r="Y2992" t="b">
        <f>IF(X2992&lt;&gt;"",VLOOKUP(X2992,game_rosters!$C$43:$E$64,3,FALSE))</f>
        <v>0</v>
      </c>
      <c r="Z2992" t="e" cm="1" vm="1">
        <f t="array" aca="1" ref="Z2992" ca="1">IFERROR(IF(_xlfn._xlws.FILTER(game_rosters!$J:$J,(game_rosters!$G:$G=events!$AN2992)*(game_rosters!$J:$J=events!$X2992))&gt;0,1,""),"")</f>
        <v>#VALUE!</v>
      </c>
      <c r="AA2992">
        <f t="shared" si="267"/>
        <v>1000</v>
      </c>
      <c r="AB2992" t="str">
        <f t="shared" si="268"/>
        <v/>
      </c>
      <c r="AC2992">
        <f t="shared" si="265"/>
        <v>1000</v>
      </c>
      <c r="AD2992" s="6"/>
    </row>
    <row r="2993" spans="1:30" x14ac:dyDescent="0.2">
      <c r="A2993" t="str">
        <f t="shared" si="266"/>
        <v/>
      </c>
      <c r="X2993" t="str" cm="1">
        <f t="array" ref="X2993">IF(S2993="","",IF($I2993&lt;&gt;"",$I2993,INDEX($I$2:$I2992,ROW()-COUNTIFS($T$2:$T2992,"="&amp;$T2993,$S$2:$S2992,"&lt;&gt;"&amp;$S2993)-1)))</f>
        <v/>
      </c>
      <c r="Y2993" t="b">
        <f>IF(X2993&lt;&gt;"",VLOOKUP(X2993,game_rosters!$C$43:$E$64,3,FALSE))</f>
        <v>0</v>
      </c>
      <c r="Z2993" t="e" cm="1" vm="1">
        <f t="array" aca="1" ref="Z2993" ca="1">IFERROR(IF(_xlfn._xlws.FILTER(game_rosters!$J:$J,(game_rosters!$G:$G=events!$AN2993)*(game_rosters!$J:$J=events!$X2993))&gt;0,1,""),"")</f>
        <v>#VALUE!</v>
      </c>
      <c r="AA2993">
        <f t="shared" si="267"/>
        <v>1000</v>
      </c>
      <c r="AB2993" t="str">
        <f t="shared" si="268"/>
        <v/>
      </c>
      <c r="AC2993">
        <f t="shared" si="265"/>
        <v>1000</v>
      </c>
      <c r="AD2993" s="6"/>
    </row>
    <row r="2994" spans="1:30" x14ac:dyDescent="0.2">
      <c r="A2994" t="str">
        <f t="shared" si="266"/>
        <v/>
      </c>
      <c r="X2994" t="str" cm="1">
        <f t="array" ref="X2994">IF(S2994="","",IF($I2994&lt;&gt;"",$I2994,INDEX($I$2:$I2993,ROW()-COUNTIFS($T$2:$T2993,"="&amp;$T2994,$S$2:$S2993,"&lt;&gt;"&amp;$S2994)-1)))</f>
        <v/>
      </c>
      <c r="Y2994" t="b">
        <f>IF(X2994&lt;&gt;"",VLOOKUP(X2994,game_rosters!$C$43:$E$64,3,FALSE))</f>
        <v>0</v>
      </c>
      <c r="Z2994" t="e" cm="1" vm="1">
        <f t="array" aca="1" ref="Z2994" ca="1">IFERROR(IF(_xlfn._xlws.FILTER(game_rosters!$J:$J,(game_rosters!$G:$G=events!$AN2994)*(game_rosters!$J:$J=events!$X2994))&gt;0,1,""),"")</f>
        <v>#VALUE!</v>
      </c>
      <c r="AA2994">
        <f t="shared" si="267"/>
        <v>1000</v>
      </c>
      <c r="AB2994" t="str">
        <f t="shared" si="268"/>
        <v/>
      </c>
      <c r="AC2994">
        <f t="shared" si="265"/>
        <v>1000</v>
      </c>
      <c r="AD2994" s="6"/>
    </row>
    <row r="2995" spans="1:30" x14ac:dyDescent="0.2">
      <c r="A2995" t="str">
        <f t="shared" si="266"/>
        <v/>
      </c>
      <c r="X2995" t="str" cm="1">
        <f t="array" ref="X2995">IF(S2995="","",IF($I2995&lt;&gt;"",$I2995,INDEX($I$2:$I2994,ROW()-COUNTIFS($T$2:$T2994,"="&amp;$T2995,$S$2:$S2994,"&lt;&gt;"&amp;$S2995)-1)))</f>
        <v/>
      </c>
      <c r="Y2995" t="b">
        <f>IF(X2995&lt;&gt;"",VLOOKUP(X2995,game_rosters!$C$43:$E$64,3,FALSE))</f>
        <v>0</v>
      </c>
      <c r="Z2995" t="e" cm="1" vm="1">
        <f t="array" aca="1" ref="Z2995" ca="1">IFERROR(IF(_xlfn._xlws.FILTER(game_rosters!$J:$J,(game_rosters!$G:$G=events!$AN2995)*(game_rosters!$J:$J=events!$X2995))&gt;0,1,""),"")</f>
        <v>#VALUE!</v>
      </c>
      <c r="AA2995">
        <f t="shared" si="267"/>
        <v>1000</v>
      </c>
      <c r="AB2995" t="str">
        <f t="shared" si="268"/>
        <v/>
      </c>
      <c r="AC2995">
        <f t="shared" si="265"/>
        <v>1000</v>
      </c>
      <c r="AD2995" s="6"/>
    </row>
    <row r="2996" spans="1:30" x14ac:dyDescent="0.2">
      <c r="A2996" t="str">
        <f t="shared" si="266"/>
        <v/>
      </c>
      <c r="X2996" t="str" cm="1">
        <f t="array" ref="X2996">IF(S2996="","",IF($I2996&lt;&gt;"",$I2996,INDEX($I$2:$I2995,ROW()-COUNTIFS($T$2:$T2995,"="&amp;$T2996,$S$2:$S2995,"&lt;&gt;"&amp;$S2996)-1)))</f>
        <v/>
      </c>
      <c r="Y2996" t="b">
        <f>IF(X2996&lt;&gt;"",VLOOKUP(X2996,game_rosters!$C$43:$E$64,3,FALSE))</f>
        <v>0</v>
      </c>
      <c r="Z2996" t="e" cm="1" vm="1">
        <f t="array" aca="1" ref="Z2996" ca="1">IFERROR(IF(_xlfn._xlws.FILTER(game_rosters!$J:$J,(game_rosters!$G:$G=events!$AN2996)*(game_rosters!$J:$J=events!$X2996))&gt;0,1,""),"")</f>
        <v>#VALUE!</v>
      </c>
      <c r="AA2996">
        <f t="shared" si="267"/>
        <v>1000</v>
      </c>
      <c r="AB2996" t="str">
        <f t="shared" si="268"/>
        <v/>
      </c>
      <c r="AC2996">
        <f t="shared" si="265"/>
        <v>1000</v>
      </c>
      <c r="AD2996" s="6"/>
    </row>
    <row r="2997" spans="1:30" x14ac:dyDescent="0.2">
      <c r="A2997" t="str">
        <f t="shared" si="266"/>
        <v/>
      </c>
      <c r="X2997" t="str" cm="1">
        <f t="array" ref="X2997">IF(S2997="","",IF($I2997&lt;&gt;"",$I2997,INDEX($I$2:$I2996,ROW()-COUNTIFS($T$2:$T2996,"="&amp;$T2997,$S$2:$S2996,"&lt;&gt;"&amp;$S2997)-1)))</f>
        <v/>
      </c>
      <c r="Y2997" t="b">
        <f>IF(X2997&lt;&gt;"",VLOOKUP(X2997,game_rosters!$C$43:$E$64,3,FALSE))</f>
        <v>0</v>
      </c>
      <c r="Z2997" t="e" cm="1" vm="1">
        <f t="array" aca="1" ref="Z2997" ca="1">IFERROR(IF(_xlfn._xlws.FILTER(game_rosters!$J:$J,(game_rosters!$G:$G=events!$AN2997)*(game_rosters!$J:$J=events!$X2997))&gt;0,1,""),"")</f>
        <v>#VALUE!</v>
      </c>
      <c r="AA2997">
        <f t="shared" si="267"/>
        <v>1000</v>
      </c>
      <c r="AB2997" t="str">
        <f t="shared" si="268"/>
        <v/>
      </c>
      <c r="AC2997">
        <f t="shared" si="265"/>
        <v>1000</v>
      </c>
      <c r="AD2997" s="6"/>
    </row>
    <row r="2998" spans="1:30" x14ac:dyDescent="0.2">
      <c r="A2998" t="str">
        <f t="shared" si="266"/>
        <v/>
      </c>
      <c r="X2998" t="str" cm="1">
        <f t="array" ref="X2998">IF(S2998="","",IF($I2998&lt;&gt;"",$I2998,INDEX($I$2:$I2997,ROW()-COUNTIFS($T$2:$T2997,"="&amp;$T2998,$S$2:$S2997,"&lt;&gt;"&amp;$S2998)-1)))</f>
        <v/>
      </c>
      <c r="Y2998" t="b">
        <f>IF(X2998&lt;&gt;"",VLOOKUP(X2998,game_rosters!$C$43:$E$64,3,FALSE))</f>
        <v>0</v>
      </c>
      <c r="Z2998" t="e" cm="1" vm="1">
        <f t="array" aca="1" ref="Z2998" ca="1">IFERROR(IF(_xlfn._xlws.FILTER(game_rosters!$J:$J,(game_rosters!$G:$G=events!$AN2998)*(game_rosters!$J:$J=events!$X2998))&gt;0,1,""),"")</f>
        <v>#VALUE!</v>
      </c>
      <c r="AA2998">
        <f t="shared" si="267"/>
        <v>1000</v>
      </c>
      <c r="AB2998" t="str">
        <f t="shared" si="268"/>
        <v/>
      </c>
      <c r="AC2998">
        <f t="shared" si="265"/>
        <v>1000</v>
      </c>
      <c r="AD2998" s="6"/>
    </row>
    <row r="2999" spans="1:30" x14ac:dyDescent="0.2">
      <c r="A2999" t="str">
        <f t="shared" si="266"/>
        <v/>
      </c>
      <c r="X2999" t="str" cm="1">
        <f t="array" ref="X2999">IF(S2999="","",IF($I2999&lt;&gt;"",$I2999,INDEX($I$2:$I2998,ROW()-COUNTIFS($T$2:$T2998,"="&amp;$T2999,$S$2:$S2998,"&lt;&gt;"&amp;$S2999)-1)))</f>
        <v/>
      </c>
      <c r="Y2999" t="b">
        <f>IF(X2999&lt;&gt;"",VLOOKUP(X2999,game_rosters!$C$43:$E$64,3,FALSE))</f>
        <v>0</v>
      </c>
      <c r="Z2999" t="e" cm="1" vm="1">
        <f t="array" aca="1" ref="Z2999" ca="1">IFERROR(IF(_xlfn._xlws.FILTER(game_rosters!$J:$J,(game_rosters!$G:$G=events!$AN2999)*(game_rosters!$J:$J=events!$X2999))&gt;0,1,""),"")</f>
        <v>#VALUE!</v>
      </c>
      <c r="AA2999">
        <f t="shared" si="267"/>
        <v>1000</v>
      </c>
      <c r="AB2999" t="str">
        <f t="shared" si="268"/>
        <v/>
      </c>
      <c r="AC2999">
        <f t="shared" si="265"/>
        <v>1000</v>
      </c>
      <c r="AD2999" s="6"/>
    </row>
    <row r="3000" spans="1:30" x14ac:dyDescent="0.2">
      <c r="A3000" t="str">
        <f t="shared" si="266"/>
        <v/>
      </c>
      <c r="X3000" t="str" cm="1">
        <f t="array" ref="X3000">IF(S3000="","",IF($I3000&lt;&gt;"",$I3000,INDEX($I$2:$I2999,ROW()-COUNTIFS($T$2:$T2999,"="&amp;$T3000,$S$2:$S2999,"&lt;&gt;"&amp;$S3000)-1)))</f>
        <v/>
      </c>
      <c r="Y3000" t="b">
        <f>IF(X3000&lt;&gt;"",VLOOKUP(X3000,game_rosters!$C$43:$E$64,3,FALSE))</f>
        <v>0</v>
      </c>
      <c r="Z3000" t="e" cm="1" vm="1">
        <f t="array" aca="1" ref="Z3000" ca="1">IFERROR(IF(_xlfn._xlws.FILTER(game_rosters!$J:$J,(game_rosters!$G:$G=events!$AN3000)*(game_rosters!$J:$J=events!$X3000))&gt;0,1,""),"")</f>
        <v>#VALUE!</v>
      </c>
      <c r="AA3000">
        <f t="shared" si="267"/>
        <v>1000</v>
      </c>
      <c r="AB3000" t="str">
        <f t="shared" si="268"/>
        <v/>
      </c>
      <c r="AC3000">
        <f t="shared" si="265"/>
        <v>1000</v>
      </c>
      <c r="AD3000" s="6"/>
    </row>
    <row r="3001" spans="1:30" x14ac:dyDescent="0.2">
      <c r="A3001" t="str">
        <f t="shared" si="266"/>
        <v/>
      </c>
      <c r="X3001" t="str" cm="1">
        <f t="array" ref="X3001">IF(S3001="","",IF($I3001&lt;&gt;"",$I3001,INDEX($I$2:$I3000,ROW()-COUNTIFS($T$2:$T3000,"="&amp;$T3001,$S$2:$S3000,"&lt;&gt;"&amp;$S3001)-1)))</f>
        <v/>
      </c>
      <c r="Y3001" t="b">
        <f>IF(X3001&lt;&gt;"",VLOOKUP(X3001,game_rosters!$C$43:$E$64,3,FALSE))</f>
        <v>0</v>
      </c>
      <c r="Z3001" t="e" cm="1" vm="1">
        <f t="array" aca="1" ref="Z3001" ca="1">IFERROR(IF(_xlfn._xlws.FILTER(game_rosters!$J:$J,(game_rosters!$G:$G=events!$AN3001)*(game_rosters!$J:$J=events!$X3001))&gt;0,1,""),"")</f>
        <v>#VALUE!</v>
      </c>
      <c r="AA3001">
        <f t="shared" si="267"/>
        <v>1000</v>
      </c>
      <c r="AB3001" t="str">
        <f t="shared" si="268"/>
        <v/>
      </c>
      <c r="AC3001">
        <f t="shared" si="265"/>
        <v>1000</v>
      </c>
      <c r="AD3001" s="6"/>
    </row>
    <row r="3002" spans="1:30" x14ac:dyDescent="0.2">
      <c r="A3002" t="str">
        <f t="shared" si="266"/>
        <v/>
      </c>
      <c r="X3002" t="str" cm="1">
        <f t="array" ref="X3002">IF(S3002="","",IF($I3002&lt;&gt;"",$I3002,INDEX($I$2:$I3001,ROW()-COUNTIFS($T$2:$T3001,"="&amp;$T3002,$S$2:$S3001,"&lt;&gt;"&amp;$S3002)-1)))</f>
        <v/>
      </c>
      <c r="Y3002" t="b">
        <f>IF(X3002&lt;&gt;"",VLOOKUP(X3002,game_rosters!$C$43:$E$64,3,FALSE))</f>
        <v>0</v>
      </c>
      <c r="Z3002" t="e" cm="1" vm="1">
        <f t="array" aca="1" ref="Z3002" ca="1">IFERROR(IF(_xlfn._xlws.FILTER(game_rosters!$J:$J,(game_rosters!$G:$G=events!$AN3002)*(game_rosters!$J:$J=events!$X3002))&gt;0,1,""),"")</f>
        <v>#VALUE!</v>
      </c>
      <c r="AA3002">
        <f t="shared" si="267"/>
        <v>1000</v>
      </c>
      <c r="AB3002" t="str">
        <f t="shared" si="268"/>
        <v/>
      </c>
      <c r="AC3002">
        <f t="shared" si="265"/>
        <v>1000</v>
      </c>
      <c r="AD3002" s="6"/>
    </row>
    <row r="3003" spans="1:30" x14ac:dyDescent="0.2">
      <c r="A3003" t="str">
        <f t="shared" si="266"/>
        <v/>
      </c>
      <c r="X3003" t="str" cm="1">
        <f t="array" ref="X3003">IF(S3003="","",IF($I3003&lt;&gt;"",$I3003,INDEX($I$2:$I3002,ROW()-COUNTIFS($T$2:$T3002,"="&amp;$T3003,$S$2:$S3002,"&lt;&gt;"&amp;$S3003)-1)))</f>
        <v/>
      </c>
      <c r="Y3003" t="b">
        <f>IF(X3003&lt;&gt;"",VLOOKUP(X3003,game_rosters!$C$43:$E$64,3,FALSE))</f>
        <v>0</v>
      </c>
      <c r="Z3003" t="e" cm="1" vm="1">
        <f t="array" aca="1" ref="Z3003" ca="1">IFERROR(IF(_xlfn._xlws.FILTER(game_rosters!$J:$J,(game_rosters!$G:$G=events!$AN3003)*(game_rosters!$J:$J=events!$X3003))&gt;0,1,""),"")</f>
        <v>#VALUE!</v>
      </c>
      <c r="AA3003">
        <f t="shared" si="267"/>
        <v>1000</v>
      </c>
      <c r="AB3003" t="str">
        <f t="shared" si="268"/>
        <v/>
      </c>
      <c r="AC3003">
        <f t="shared" si="265"/>
        <v>1000</v>
      </c>
      <c r="AD3003" s="6"/>
    </row>
    <row r="3004" spans="1:30" x14ac:dyDescent="0.2">
      <c r="A3004" t="str">
        <f t="shared" si="266"/>
        <v/>
      </c>
      <c r="X3004" t="str" cm="1">
        <f t="array" ref="X3004">IF(S3004="","",IF($I3004&lt;&gt;"",$I3004,INDEX($I$2:$I3003,ROW()-COUNTIFS($T$2:$T3003,"="&amp;$T3004,$S$2:$S3003,"&lt;&gt;"&amp;$S3004)-1)))</f>
        <v/>
      </c>
      <c r="Y3004" t="b">
        <f>IF(X3004&lt;&gt;"",VLOOKUP(X3004,game_rosters!$C$43:$E$64,3,FALSE))</f>
        <v>0</v>
      </c>
      <c r="Z3004" t="e" cm="1" vm="1">
        <f t="array" aca="1" ref="Z3004" ca="1">IFERROR(IF(_xlfn._xlws.FILTER(game_rosters!$J:$J,(game_rosters!$G:$G=events!$AN3004)*(game_rosters!$J:$J=events!$X3004))&gt;0,1,""),"")</f>
        <v>#VALUE!</v>
      </c>
      <c r="AA3004">
        <f t="shared" si="267"/>
        <v>1000</v>
      </c>
      <c r="AB3004" t="str">
        <f t="shared" si="268"/>
        <v/>
      </c>
      <c r="AC3004">
        <f t="shared" si="265"/>
        <v>1000</v>
      </c>
      <c r="AD3004" s="6"/>
    </row>
    <row r="3005" spans="1:30" x14ac:dyDescent="0.2">
      <c r="A3005" t="str">
        <f t="shared" si="266"/>
        <v/>
      </c>
      <c r="X3005" t="str" cm="1">
        <f t="array" ref="X3005">IF(S3005="","",IF($I3005&lt;&gt;"",$I3005,INDEX($I$2:$I3004,ROW()-COUNTIFS($T$2:$T3004,"="&amp;$T3005,$S$2:$S3004,"&lt;&gt;"&amp;$S3005)-1)))</f>
        <v/>
      </c>
      <c r="Y3005" t="b">
        <f>IF(X3005&lt;&gt;"",VLOOKUP(X3005,game_rosters!$C$43:$E$64,3,FALSE))</f>
        <v>0</v>
      </c>
      <c r="Z3005" t="e" cm="1" vm="1">
        <f t="array" aca="1" ref="Z3005" ca="1">IFERROR(IF(_xlfn._xlws.FILTER(game_rosters!$J:$J,(game_rosters!$G:$G=events!$AN3005)*(game_rosters!$J:$J=events!$X3005))&gt;0,1,""),"")</f>
        <v>#VALUE!</v>
      </c>
      <c r="AA3005">
        <f t="shared" si="267"/>
        <v>1000</v>
      </c>
      <c r="AB3005" t="str">
        <f t="shared" si="268"/>
        <v/>
      </c>
      <c r="AC3005">
        <f t="shared" si="265"/>
        <v>1000</v>
      </c>
      <c r="AD3005" s="6"/>
    </row>
    <row r="3006" spans="1:30" x14ac:dyDescent="0.2">
      <c r="A3006" t="str">
        <f t="shared" si="266"/>
        <v/>
      </c>
      <c r="X3006" t="str" cm="1">
        <f t="array" ref="X3006">IF(S3006="","",IF($I3006&lt;&gt;"",$I3006,INDEX($I$2:$I3005,ROW()-COUNTIFS($T$2:$T3005,"="&amp;$T3006,$S$2:$S3005,"&lt;&gt;"&amp;$S3006)-1)))</f>
        <v/>
      </c>
      <c r="Y3006" t="b">
        <f>IF(X3006&lt;&gt;"",VLOOKUP(X3006,game_rosters!$C$43:$E$64,3,FALSE))</f>
        <v>0</v>
      </c>
      <c r="Z3006" t="e" cm="1" vm="1">
        <f t="array" aca="1" ref="Z3006" ca="1">IFERROR(IF(_xlfn._xlws.FILTER(game_rosters!$J:$J,(game_rosters!$G:$G=events!$AN3006)*(game_rosters!$J:$J=events!$X3006))&gt;0,1,""),"")</f>
        <v>#VALUE!</v>
      </c>
      <c r="AA3006">
        <f t="shared" si="267"/>
        <v>1000</v>
      </c>
      <c r="AB3006" t="str">
        <f t="shared" si="268"/>
        <v/>
      </c>
      <c r="AC3006">
        <f t="shared" si="265"/>
        <v>1000</v>
      </c>
      <c r="AD3006" s="6"/>
    </row>
    <row r="3007" spans="1:30" x14ac:dyDescent="0.2">
      <c r="A3007" t="str">
        <f t="shared" si="266"/>
        <v/>
      </c>
      <c r="X3007" t="str" cm="1">
        <f t="array" ref="X3007">IF(S3007="","",IF($I3007&lt;&gt;"",$I3007,INDEX($I$2:$I3006,ROW()-COUNTIFS($T$2:$T3006,"="&amp;$T3007,$S$2:$S3006,"&lt;&gt;"&amp;$S3007)-1)))</f>
        <v/>
      </c>
      <c r="Y3007" t="b">
        <f>IF(X3007&lt;&gt;"",VLOOKUP(X3007,game_rosters!$C$43:$E$64,3,FALSE))</f>
        <v>0</v>
      </c>
      <c r="Z3007" t="e" cm="1" vm="1">
        <f t="array" aca="1" ref="Z3007" ca="1">IFERROR(IF(_xlfn._xlws.FILTER(game_rosters!$J:$J,(game_rosters!$G:$G=events!$AN3007)*(game_rosters!$J:$J=events!$X3007))&gt;0,1,""),"")</f>
        <v>#VALUE!</v>
      </c>
      <c r="AA3007">
        <f t="shared" si="267"/>
        <v>1000</v>
      </c>
      <c r="AB3007" t="str">
        <f t="shared" si="268"/>
        <v/>
      </c>
      <c r="AC3007">
        <f t="shared" si="265"/>
        <v>1000</v>
      </c>
      <c r="AD3007" s="6"/>
    </row>
    <row r="3008" spans="1:30" x14ac:dyDescent="0.2">
      <c r="A3008" t="str">
        <f t="shared" si="266"/>
        <v/>
      </c>
      <c r="X3008" t="str" cm="1">
        <f t="array" ref="X3008">IF(S3008="","",IF($I3008&lt;&gt;"",$I3008,INDEX($I$2:$I3007,ROW()-COUNTIFS($T$2:$T3007,"="&amp;$T3008,$S$2:$S3007,"&lt;&gt;"&amp;$S3008)-1)))</f>
        <v/>
      </c>
      <c r="Y3008" t="b">
        <f>IF(X3008&lt;&gt;"",VLOOKUP(X3008,game_rosters!$C$43:$E$64,3,FALSE))</f>
        <v>0</v>
      </c>
      <c r="Z3008" t="e" cm="1" vm="1">
        <f t="array" aca="1" ref="Z3008" ca="1">IFERROR(IF(_xlfn._xlws.FILTER(game_rosters!$J:$J,(game_rosters!$G:$G=events!$AN3008)*(game_rosters!$J:$J=events!$X3008))&gt;0,1,""),"")</f>
        <v>#VALUE!</v>
      </c>
      <c r="AA3008">
        <f t="shared" si="267"/>
        <v>1000</v>
      </c>
      <c r="AB3008" t="str">
        <f t="shared" si="268"/>
        <v/>
      </c>
      <c r="AC3008">
        <f t="shared" si="265"/>
        <v>1000</v>
      </c>
      <c r="AD3008" s="6"/>
    </row>
    <row r="3009" spans="1:30" x14ac:dyDescent="0.2">
      <c r="A3009" t="str">
        <f t="shared" si="266"/>
        <v/>
      </c>
      <c r="X3009" t="str" cm="1">
        <f t="array" ref="X3009">IF(S3009="","",IF($I3009&lt;&gt;"",$I3009,INDEX($I$2:$I3008,ROW()-COUNTIFS($T$2:$T3008,"="&amp;$T3009,$S$2:$S3008,"&lt;&gt;"&amp;$S3009)-1)))</f>
        <v/>
      </c>
      <c r="Y3009" t="b">
        <f>IF(X3009&lt;&gt;"",VLOOKUP(X3009,game_rosters!$C$43:$E$64,3,FALSE))</f>
        <v>0</v>
      </c>
      <c r="Z3009" t="e" cm="1" vm="1">
        <f t="array" aca="1" ref="Z3009" ca="1">IFERROR(IF(_xlfn._xlws.FILTER(game_rosters!$J:$J,(game_rosters!$G:$G=events!$AN3009)*(game_rosters!$J:$J=events!$X3009))&gt;0,1,""),"")</f>
        <v>#VALUE!</v>
      </c>
      <c r="AA3009">
        <f t="shared" si="267"/>
        <v>1000</v>
      </c>
      <c r="AB3009" t="str">
        <f t="shared" si="268"/>
        <v/>
      </c>
      <c r="AC3009">
        <f t="shared" si="265"/>
        <v>1000</v>
      </c>
      <c r="AD3009" s="6"/>
    </row>
    <row r="3010" spans="1:30" x14ac:dyDescent="0.2">
      <c r="A3010" t="str">
        <f t="shared" si="266"/>
        <v/>
      </c>
      <c r="X3010" t="str" cm="1">
        <f t="array" ref="X3010">IF(S3010="","",IF($I3010&lt;&gt;"",$I3010,INDEX($I$2:$I3009,ROW()-COUNTIFS($T$2:$T3009,"="&amp;$T3010,$S$2:$S3009,"&lt;&gt;"&amp;$S3010)-1)))</f>
        <v/>
      </c>
      <c r="Y3010" t="b">
        <f>IF(X3010&lt;&gt;"",VLOOKUP(X3010,game_rosters!$C$43:$E$64,3,FALSE))</f>
        <v>0</v>
      </c>
      <c r="Z3010" t="e" cm="1" vm="1">
        <f t="array" aca="1" ref="Z3010" ca="1">IFERROR(IF(_xlfn._xlws.FILTER(game_rosters!$J:$J,(game_rosters!$G:$G=events!$AN3010)*(game_rosters!$J:$J=events!$X3010))&gt;0,1,""),"")</f>
        <v>#VALUE!</v>
      </c>
      <c r="AA3010">
        <f t="shared" si="267"/>
        <v>1000</v>
      </c>
      <c r="AB3010" t="str">
        <f t="shared" si="268"/>
        <v/>
      </c>
      <c r="AC3010">
        <f t="shared" ref="AC3010:AC3073" si="269">IF(AB3010&lt;&gt;"",AB3010,S3010+1000)</f>
        <v>1000</v>
      </c>
      <c r="AD3010" s="6"/>
    </row>
    <row r="3011" spans="1:30" x14ac:dyDescent="0.2">
      <c r="A3011" t="str">
        <f t="shared" si="266"/>
        <v/>
      </c>
      <c r="X3011" t="str" cm="1">
        <f t="array" ref="X3011">IF(S3011="","",IF($I3011&lt;&gt;"",$I3011,INDEX($I$2:$I3010,ROW()-COUNTIFS($T$2:$T3010,"="&amp;$T3011,$S$2:$S3010,"&lt;&gt;"&amp;$S3011)-1)))</f>
        <v/>
      </c>
      <c r="Y3011" t="b">
        <f>IF(X3011&lt;&gt;"",VLOOKUP(X3011,game_rosters!$C$43:$E$64,3,FALSE))</f>
        <v>0</v>
      </c>
      <c r="Z3011" t="e" cm="1" vm="1">
        <f t="array" aca="1" ref="Z3011" ca="1">IFERROR(IF(_xlfn._xlws.FILTER(game_rosters!$J:$J,(game_rosters!$G:$G=events!$AN3011)*(game_rosters!$J:$J=events!$X3011))&gt;0,1,""),"")</f>
        <v>#VALUE!</v>
      </c>
      <c r="AA3011">
        <f t="shared" si="267"/>
        <v>1000</v>
      </c>
      <c r="AB3011" t="str">
        <f t="shared" si="268"/>
        <v/>
      </c>
      <c r="AC3011">
        <f t="shared" si="269"/>
        <v>1000</v>
      </c>
      <c r="AD3011" s="6"/>
    </row>
    <row r="3012" spans="1:30" x14ac:dyDescent="0.2">
      <c r="A3012" t="str">
        <f t="shared" si="266"/>
        <v/>
      </c>
      <c r="X3012" t="str" cm="1">
        <f t="array" ref="X3012">IF(S3012="","",IF($I3012&lt;&gt;"",$I3012,INDEX($I$2:$I3011,ROW()-COUNTIFS($T$2:$T3011,"="&amp;$T3012,$S$2:$S3011,"&lt;&gt;"&amp;$S3012)-1)))</f>
        <v/>
      </c>
      <c r="Y3012" t="b">
        <f>IF(X3012&lt;&gt;"",VLOOKUP(X3012,game_rosters!$C$43:$E$64,3,FALSE))</f>
        <v>0</v>
      </c>
      <c r="Z3012" t="e" cm="1" vm="1">
        <f t="array" aca="1" ref="Z3012" ca="1">IFERROR(IF(_xlfn._xlws.FILTER(game_rosters!$J:$J,(game_rosters!$G:$G=events!$AN3012)*(game_rosters!$J:$J=events!$X3012))&gt;0,1,""),"")</f>
        <v>#VALUE!</v>
      </c>
      <c r="AA3012">
        <f t="shared" si="267"/>
        <v>1000</v>
      </c>
      <c r="AB3012" t="str">
        <f t="shared" si="268"/>
        <v/>
      </c>
      <c r="AC3012">
        <f t="shared" si="269"/>
        <v>1000</v>
      </c>
      <c r="AD3012" s="6"/>
    </row>
    <row r="3013" spans="1:30" x14ac:dyDescent="0.2">
      <c r="A3013" t="str">
        <f t="shared" ref="A3013:A3076" si="270">IF(K3013&lt;&gt;"",1,IF(D3013="x","x",""))</f>
        <v/>
      </c>
      <c r="X3013" t="str" cm="1">
        <f t="array" ref="X3013">IF(S3013="","",IF($I3013&lt;&gt;"",$I3013,INDEX($I$2:$I3012,ROW()-COUNTIFS($T$2:$T3012,"="&amp;$T3013,$S$2:$S3012,"&lt;&gt;"&amp;$S3013)-1)))</f>
        <v/>
      </c>
      <c r="Y3013" t="b">
        <f>IF(X3013&lt;&gt;"",VLOOKUP(X3013,game_rosters!$C$43:$E$64,3,FALSE))</f>
        <v>0</v>
      </c>
      <c r="Z3013" t="e" cm="1" vm="1">
        <f t="array" aca="1" ref="Z3013" ca="1">IFERROR(IF(_xlfn._xlws.FILTER(game_rosters!$J:$J,(game_rosters!$G:$G=events!$AN3013)*(game_rosters!$J:$J=events!$X3013))&gt;0,1,""),"")</f>
        <v>#VALUE!</v>
      </c>
      <c r="AA3013">
        <f t="shared" si="267"/>
        <v>1000</v>
      </c>
      <c r="AB3013" t="str">
        <f t="shared" si="268"/>
        <v/>
      </c>
      <c r="AC3013">
        <f t="shared" si="269"/>
        <v>1000</v>
      </c>
      <c r="AD3013" s="6"/>
    </row>
    <row r="3014" spans="1:30" x14ac:dyDescent="0.2">
      <c r="A3014" t="str">
        <f t="shared" si="270"/>
        <v/>
      </c>
      <c r="X3014" t="str" cm="1">
        <f t="array" ref="X3014">IF(S3014="","",IF($I3014&lt;&gt;"",$I3014,INDEX($I$2:$I3013,ROW()-COUNTIFS($T$2:$T3013,"="&amp;$T3014,$S$2:$S3013,"&lt;&gt;"&amp;$S3014)-1)))</f>
        <v/>
      </c>
      <c r="Y3014" t="b">
        <f>IF(X3014&lt;&gt;"",VLOOKUP(X3014,game_rosters!$C$43:$E$64,3,FALSE))</f>
        <v>0</v>
      </c>
      <c r="Z3014" t="e" cm="1" vm="1">
        <f t="array" aca="1" ref="Z3014" ca="1">IFERROR(IF(_xlfn._xlws.FILTER(game_rosters!$J:$J,(game_rosters!$G:$G=events!$AN3014)*(game_rosters!$J:$J=events!$X3014))&gt;0,1,""),"")</f>
        <v>#VALUE!</v>
      </c>
      <c r="AA3014">
        <f t="shared" si="267"/>
        <v>1000</v>
      </c>
      <c r="AB3014" t="str">
        <f t="shared" si="268"/>
        <v/>
      </c>
      <c r="AC3014">
        <f t="shared" si="269"/>
        <v>1000</v>
      </c>
      <c r="AD3014" s="6"/>
    </row>
    <row r="3015" spans="1:30" x14ac:dyDescent="0.2">
      <c r="A3015" t="str">
        <f t="shared" si="270"/>
        <v/>
      </c>
      <c r="X3015" t="str" cm="1">
        <f t="array" ref="X3015">IF(S3015="","",IF($I3015&lt;&gt;"",$I3015,INDEX($I$2:$I3014,ROW()-COUNTIFS($T$2:$T3014,"="&amp;$T3015,$S$2:$S3014,"&lt;&gt;"&amp;$S3015)-1)))</f>
        <v/>
      </c>
      <c r="Y3015" t="b">
        <f>IF(X3015&lt;&gt;"",VLOOKUP(X3015,game_rosters!$C$43:$E$64,3,FALSE))</f>
        <v>0</v>
      </c>
      <c r="Z3015" t="e" cm="1" vm="1">
        <f t="array" aca="1" ref="Z3015" ca="1">IFERROR(IF(_xlfn._xlws.FILTER(game_rosters!$J:$J,(game_rosters!$G:$G=events!$AN3015)*(game_rosters!$J:$J=events!$X3015))&gt;0,1,""),"")</f>
        <v>#VALUE!</v>
      </c>
      <c r="AA3015">
        <f t="shared" si="267"/>
        <v>1000</v>
      </c>
      <c r="AB3015" t="str">
        <f t="shared" si="268"/>
        <v/>
      </c>
      <c r="AC3015">
        <f t="shared" si="269"/>
        <v>1000</v>
      </c>
      <c r="AD3015" s="6"/>
    </row>
    <row r="3016" spans="1:30" x14ac:dyDescent="0.2">
      <c r="A3016" t="str">
        <f t="shared" si="270"/>
        <v/>
      </c>
      <c r="X3016" t="str" cm="1">
        <f t="array" ref="X3016">IF(S3016="","",IF($I3016&lt;&gt;"",$I3016,INDEX($I$2:$I3015,ROW()-COUNTIFS($T$2:$T3015,"="&amp;$T3016,$S$2:$S3015,"&lt;&gt;"&amp;$S3016)-1)))</f>
        <v/>
      </c>
      <c r="Y3016" t="b">
        <f>IF(X3016&lt;&gt;"",VLOOKUP(X3016,game_rosters!$C$43:$E$64,3,FALSE))</f>
        <v>0</v>
      </c>
      <c r="Z3016" t="e" cm="1" vm="1">
        <f t="array" aca="1" ref="Z3016" ca="1">IFERROR(IF(_xlfn._xlws.FILTER(game_rosters!$J:$J,(game_rosters!$G:$G=events!$AN3016)*(game_rosters!$J:$J=events!$X3016))&gt;0,1,""),"")</f>
        <v>#VALUE!</v>
      </c>
      <c r="AA3016">
        <f t="shared" si="267"/>
        <v>1000</v>
      </c>
      <c r="AB3016" t="str">
        <f t="shared" si="268"/>
        <v/>
      </c>
      <c r="AC3016">
        <f t="shared" si="269"/>
        <v>1000</v>
      </c>
      <c r="AD3016" s="6"/>
    </row>
    <row r="3017" spans="1:30" x14ac:dyDescent="0.2">
      <c r="A3017" t="str">
        <f t="shared" si="270"/>
        <v/>
      </c>
      <c r="X3017" t="str" cm="1">
        <f t="array" ref="X3017">IF(S3017="","",IF($I3017&lt;&gt;"",$I3017,INDEX($I$2:$I3016,ROW()-COUNTIFS($T$2:$T3016,"="&amp;$T3017,$S$2:$S3016,"&lt;&gt;"&amp;$S3017)-1)))</f>
        <v/>
      </c>
      <c r="Y3017" t="b">
        <f>IF(X3017&lt;&gt;"",VLOOKUP(X3017,game_rosters!$C$43:$E$64,3,FALSE))</f>
        <v>0</v>
      </c>
      <c r="Z3017" t="e" cm="1" vm="1">
        <f t="array" aca="1" ref="Z3017" ca="1">IFERROR(IF(_xlfn._xlws.FILTER(game_rosters!$J:$J,(game_rosters!$G:$G=events!$AN3017)*(game_rosters!$J:$J=events!$X3017))&gt;0,1,""),"")</f>
        <v>#VALUE!</v>
      </c>
      <c r="AA3017">
        <f t="shared" si="267"/>
        <v>1000</v>
      </c>
      <c r="AB3017" t="str">
        <f t="shared" si="268"/>
        <v/>
      </c>
      <c r="AC3017">
        <f t="shared" si="269"/>
        <v>1000</v>
      </c>
      <c r="AD3017" s="6"/>
    </row>
    <row r="3018" spans="1:30" x14ac:dyDescent="0.2">
      <c r="A3018" t="str">
        <f t="shared" si="270"/>
        <v/>
      </c>
      <c r="X3018" t="str" cm="1">
        <f t="array" ref="X3018">IF(S3018="","",IF($I3018&lt;&gt;"",$I3018,INDEX($I$2:$I3017,ROW()-COUNTIFS($T$2:$T3017,"="&amp;$T3018,$S$2:$S3017,"&lt;&gt;"&amp;$S3018)-1)))</f>
        <v/>
      </c>
      <c r="Y3018" t="b">
        <f>IF(X3018&lt;&gt;"",VLOOKUP(X3018,game_rosters!$C$43:$E$64,3,FALSE))</f>
        <v>0</v>
      </c>
      <c r="Z3018" t="e" cm="1" vm="1">
        <f t="array" aca="1" ref="Z3018" ca="1">IFERROR(IF(_xlfn._xlws.FILTER(game_rosters!$J:$J,(game_rosters!$G:$G=events!$AN3018)*(game_rosters!$J:$J=events!$X3018))&gt;0,1,""),"")</f>
        <v>#VALUE!</v>
      </c>
      <c r="AA3018">
        <f t="shared" si="267"/>
        <v>1000</v>
      </c>
      <c r="AB3018" t="str">
        <f t="shared" si="268"/>
        <v/>
      </c>
      <c r="AC3018">
        <f t="shared" si="269"/>
        <v>1000</v>
      </c>
      <c r="AD3018" s="6"/>
    </row>
    <row r="3019" spans="1:30" x14ac:dyDescent="0.2">
      <c r="A3019" t="str">
        <f t="shared" si="270"/>
        <v/>
      </c>
      <c r="X3019" t="str" cm="1">
        <f t="array" ref="X3019">IF(S3019="","",IF($I3019&lt;&gt;"",$I3019,INDEX($I$2:$I3018,ROW()-COUNTIFS($T$2:$T3018,"="&amp;$T3019,$S$2:$S3018,"&lt;&gt;"&amp;$S3019)-1)))</f>
        <v/>
      </c>
      <c r="Y3019" t="b">
        <f>IF(X3019&lt;&gt;"",VLOOKUP(X3019,game_rosters!$C$43:$E$64,3,FALSE))</f>
        <v>0</v>
      </c>
      <c r="Z3019" t="e" cm="1" vm="1">
        <f t="array" aca="1" ref="Z3019" ca="1">IFERROR(IF(_xlfn._xlws.FILTER(game_rosters!$J:$J,(game_rosters!$G:$G=events!$AN3019)*(game_rosters!$J:$J=events!$X3019))&gt;0,1,""),"")</f>
        <v>#VALUE!</v>
      </c>
      <c r="AA3019">
        <f t="shared" si="267"/>
        <v>1000</v>
      </c>
      <c r="AB3019" t="str">
        <f t="shared" si="268"/>
        <v/>
      </c>
      <c r="AC3019">
        <f t="shared" si="269"/>
        <v>1000</v>
      </c>
      <c r="AD3019" s="6"/>
    </row>
    <row r="3020" spans="1:30" x14ac:dyDescent="0.2">
      <c r="A3020" t="str">
        <f t="shared" si="270"/>
        <v/>
      </c>
      <c r="X3020" t="str" cm="1">
        <f t="array" ref="X3020">IF(S3020="","",IF($I3020&lt;&gt;"",$I3020,INDEX($I$2:$I3019,ROW()-COUNTIFS($T$2:$T3019,"="&amp;$T3020,$S$2:$S3019,"&lt;&gt;"&amp;$S3020)-1)))</f>
        <v/>
      </c>
      <c r="Y3020" t="b">
        <f>IF(X3020&lt;&gt;"",VLOOKUP(X3020,game_rosters!$C$43:$E$64,3,FALSE))</f>
        <v>0</v>
      </c>
      <c r="Z3020" t="e" cm="1" vm="1">
        <f t="array" aca="1" ref="Z3020" ca="1">IFERROR(IF(_xlfn._xlws.FILTER(game_rosters!$J:$J,(game_rosters!$G:$G=events!$AN3020)*(game_rosters!$J:$J=events!$X3020))&gt;0,1,""),"")</f>
        <v>#VALUE!</v>
      </c>
      <c r="AA3020">
        <f t="shared" si="267"/>
        <v>1000</v>
      </c>
      <c r="AB3020" t="str">
        <f t="shared" si="268"/>
        <v/>
      </c>
      <c r="AC3020">
        <f t="shared" si="269"/>
        <v>1000</v>
      </c>
      <c r="AD3020" s="6"/>
    </row>
    <row r="3021" spans="1:30" x14ac:dyDescent="0.2">
      <c r="A3021" t="str">
        <f t="shared" si="270"/>
        <v/>
      </c>
      <c r="X3021" t="str" cm="1">
        <f t="array" ref="X3021">IF(S3021="","",IF($I3021&lt;&gt;"",$I3021,INDEX($I$2:$I3020,ROW()-COUNTIFS($T$2:$T3020,"="&amp;$T3021,$S$2:$S3020,"&lt;&gt;"&amp;$S3021)-1)))</f>
        <v/>
      </c>
      <c r="Y3021" t="b">
        <f>IF(X3021&lt;&gt;"",VLOOKUP(X3021,game_rosters!$C$43:$E$64,3,FALSE))</f>
        <v>0</v>
      </c>
      <c r="Z3021" t="e" cm="1" vm="1">
        <f t="array" aca="1" ref="Z3021" ca="1">IFERROR(IF(_xlfn._xlws.FILTER(game_rosters!$J:$J,(game_rosters!$G:$G=events!$AN3021)*(game_rosters!$J:$J=events!$X3021))&gt;0,1,""),"")</f>
        <v>#VALUE!</v>
      </c>
      <c r="AA3021">
        <f t="shared" si="267"/>
        <v>1000</v>
      </c>
      <c r="AB3021" t="str">
        <f t="shared" si="268"/>
        <v/>
      </c>
      <c r="AC3021">
        <f t="shared" si="269"/>
        <v>1000</v>
      </c>
      <c r="AD3021" s="6"/>
    </row>
    <row r="3022" spans="1:30" x14ac:dyDescent="0.2">
      <c r="A3022" t="str">
        <f t="shared" si="270"/>
        <v/>
      </c>
      <c r="X3022" t="str" cm="1">
        <f t="array" ref="X3022">IF(S3022="","",IF($I3022&lt;&gt;"",$I3022,INDEX($I$2:$I3021,ROW()-COUNTIFS($T$2:$T3021,"="&amp;$T3022,$S$2:$S3021,"&lt;&gt;"&amp;$S3022)-1)))</f>
        <v/>
      </c>
      <c r="Y3022" t="b">
        <f>IF(X3022&lt;&gt;"",VLOOKUP(X3022,game_rosters!$C$43:$E$64,3,FALSE))</f>
        <v>0</v>
      </c>
      <c r="Z3022" t="e" cm="1" vm="1">
        <f t="array" aca="1" ref="Z3022" ca="1">IFERROR(IF(_xlfn._xlws.FILTER(game_rosters!$J:$J,(game_rosters!$G:$G=events!$AN3022)*(game_rosters!$J:$J=events!$X3022))&gt;0,1,""),"")</f>
        <v>#VALUE!</v>
      </c>
      <c r="AA3022">
        <f t="shared" si="267"/>
        <v>1000</v>
      </c>
      <c r="AB3022" t="str">
        <f t="shared" si="268"/>
        <v/>
      </c>
      <c r="AC3022">
        <f t="shared" si="269"/>
        <v>1000</v>
      </c>
      <c r="AD3022" s="6"/>
    </row>
    <row r="3023" spans="1:30" x14ac:dyDescent="0.2">
      <c r="A3023" t="str">
        <f t="shared" si="270"/>
        <v/>
      </c>
      <c r="X3023" t="str" cm="1">
        <f t="array" ref="X3023">IF(S3023="","",IF($I3023&lt;&gt;"",$I3023,INDEX($I$2:$I3022,ROW()-COUNTIFS($T$2:$T3022,"="&amp;$T3023,$S$2:$S3022,"&lt;&gt;"&amp;$S3023)-1)))</f>
        <v/>
      </c>
      <c r="Y3023" t="b">
        <f>IF(X3023&lt;&gt;"",VLOOKUP(X3023,game_rosters!$C$43:$E$64,3,FALSE))</f>
        <v>0</v>
      </c>
      <c r="Z3023" t="e" cm="1" vm="1">
        <f t="array" aca="1" ref="Z3023" ca="1">IFERROR(IF(_xlfn._xlws.FILTER(game_rosters!$J:$J,(game_rosters!$G:$G=events!$AN3023)*(game_rosters!$J:$J=events!$X3023))&gt;0,1,""),"")</f>
        <v>#VALUE!</v>
      </c>
      <c r="AA3023">
        <f t="shared" si="267"/>
        <v>1000</v>
      </c>
      <c r="AB3023" t="str">
        <f t="shared" si="268"/>
        <v/>
      </c>
      <c r="AC3023">
        <f t="shared" si="269"/>
        <v>1000</v>
      </c>
      <c r="AD3023" s="6"/>
    </row>
    <row r="3024" spans="1:30" x14ac:dyDescent="0.2">
      <c r="A3024" t="str">
        <f t="shared" si="270"/>
        <v/>
      </c>
      <c r="X3024" t="str" cm="1">
        <f t="array" ref="X3024">IF(S3024="","",IF($I3024&lt;&gt;"",$I3024,INDEX($I$2:$I3023,ROW()-COUNTIFS($T$2:$T3023,"="&amp;$T3024,$S$2:$S3023,"&lt;&gt;"&amp;$S3024)-1)))</f>
        <v/>
      </c>
      <c r="Y3024" t="b">
        <f>IF(X3024&lt;&gt;"",VLOOKUP(X3024,game_rosters!$C$43:$E$64,3,FALSE))</f>
        <v>0</v>
      </c>
      <c r="Z3024" t="e" cm="1" vm="1">
        <f t="array" aca="1" ref="Z3024" ca="1">IFERROR(IF(_xlfn._xlws.FILTER(game_rosters!$J:$J,(game_rosters!$G:$G=events!$AN3024)*(game_rosters!$J:$J=events!$X3024))&gt;0,1,""),"")</f>
        <v>#VALUE!</v>
      </c>
      <c r="AA3024">
        <f t="shared" si="267"/>
        <v>1000</v>
      </c>
      <c r="AB3024" t="str">
        <f t="shared" si="268"/>
        <v/>
      </c>
      <c r="AC3024">
        <f t="shared" si="269"/>
        <v>1000</v>
      </c>
      <c r="AD3024" s="6"/>
    </row>
    <row r="3025" spans="1:30" x14ac:dyDescent="0.2">
      <c r="A3025" t="str">
        <f t="shared" si="270"/>
        <v/>
      </c>
      <c r="X3025" t="str" cm="1">
        <f t="array" ref="X3025">IF(S3025="","",IF($I3025&lt;&gt;"",$I3025,INDEX($I$2:$I3024,ROW()-COUNTIFS($T$2:$T3024,"="&amp;$T3025,$S$2:$S3024,"&lt;&gt;"&amp;$S3025)-1)))</f>
        <v/>
      </c>
      <c r="Y3025" t="b">
        <f>IF(X3025&lt;&gt;"",VLOOKUP(X3025,game_rosters!$C$43:$E$64,3,FALSE))</f>
        <v>0</v>
      </c>
      <c r="Z3025" t="e" cm="1" vm="1">
        <f t="array" aca="1" ref="Z3025" ca="1">IFERROR(IF(_xlfn._xlws.FILTER(game_rosters!$J:$J,(game_rosters!$G:$G=events!$AN3025)*(game_rosters!$J:$J=events!$X3025))&gt;0,1,""),"")</f>
        <v>#VALUE!</v>
      </c>
      <c r="AA3025">
        <f t="shared" si="267"/>
        <v>1000</v>
      </c>
      <c r="AB3025" t="str">
        <f t="shared" si="268"/>
        <v/>
      </c>
      <c r="AC3025">
        <f t="shared" si="269"/>
        <v>1000</v>
      </c>
      <c r="AD3025" s="6"/>
    </row>
    <row r="3026" spans="1:30" x14ac:dyDescent="0.2">
      <c r="A3026" t="str">
        <f t="shared" si="270"/>
        <v/>
      </c>
      <c r="X3026" t="str" cm="1">
        <f t="array" ref="X3026">IF(S3026="","",IF($I3026&lt;&gt;"",$I3026,INDEX($I$2:$I3025,ROW()-COUNTIFS($T$2:$T3025,"="&amp;$T3026,$S$2:$S3025,"&lt;&gt;"&amp;$S3026)-1)))</f>
        <v/>
      </c>
      <c r="Y3026" t="b">
        <f>IF(X3026&lt;&gt;"",VLOOKUP(X3026,game_rosters!$C$43:$E$64,3,FALSE))</f>
        <v>0</v>
      </c>
      <c r="Z3026" t="e" cm="1" vm="1">
        <f t="array" aca="1" ref="Z3026" ca="1">IFERROR(IF(_xlfn._xlws.FILTER(game_rosters!$J:$J,(game_rosters!$G:$G=events!$AN3026)*(game_rosters!$J:$J=events!$X3026))&gt;0,1,""),"")</f>
        <v>#VALUE!</v>
      </c>
      <c r="AA3026">
        <f t="shared" si="267"/>
        <v>1000</v>
      </c>
      <c r="AB3026" t="str">
        <f t="shared" si="268"/>
        <v/>
      </c>
      <c r="AC3026">
        <f t="shared" si="269"/>
        <v>1000</v>
      </c>
      <c r="AD3026" s="6"/>
    </row>
    <row r="3027" spans="1:30" x14ac:dyDescent="0.2">
      <c r="A3027" t="str">
        <f t="shared" si="270"/>
        <v/>
      </c>
      <c r="X3027" t="str" cm="1">
        <f t="array" ref="X3027">IF(S3027="","",IF($I3027&lt;&gt;"",$I3027,INDEX($I$2:$I3026,ROW()-COUNTIFS($T$2:$T3026,"="&amp;$T3027,$S$2:$S3026,"&lt;&gt;"&amp;$S3027)-1)))</f>
        <v/>
      </c>
      <c r="Y3027" t="b">
        <f>IF(X3027&lt;&gt;"",VLOOKUP(X3027,game_rosters!$C$43:$E$64,3,FALSE))</f>
        <v>0</v>
      </c>
      <c r="Z3027" t="e" cm="1" vm="1">
        <f t="array" aca="1" ref="Z3027" ca="1">IFERROR(IF(_xlfn._xlws.FILTER(game_rosters!$J:$J,(game_rosters!$G:$G=events!$AN3027)*(game_rosters!$J:$J=events!$X3027))&gt;0,1,""),"")</f>
        <v>#VALUE!</v>
      </c>
      <c r="AA3027">
        <f t="shared" si="267"/>
        <v>1000</v>
      </c>
      <c r="AB3027" t="str">
        <f t="shared" si="268"/>
        <v/>
      </c>
      <c r="AC3027">
        <f t="shared" si="269"/>
        <v>1000</v>
      </c>
      <c r="AD3027" s="6"/>
    </row>
    <row r="3028" spans="1:30" x14ac:dyDescent="0.2">
      <c r="A3028" t="str">
        <f t="shared" si="270"/>
        <v/>
      </c>
      <c r="X3028" t="str" cm="1">
        <f t="array" ref="X3028">IF(S3028="","",IF($I3028&lt;&gt;"",$I3028,INDEX($I$2:$I3027,ROW()-COUNTIFS($T$2:$T3027,"="&amp;$T3028,$S$2:$S3027,"&lt;&gt;"&amp;$S3028)-1)))</f>
        <v/>
      </c>
      <c r="Y3028" t="b">
        <f>IF(X3028&lt;&gt;"",VLOOKUP(X3028,game_rosters!$C$43:$E$64,3,FALSE))</f>
        <v>0</v>
      </c>
      <c r="Z3028" t="e" cm="1" vm="1">
        <f t="array" aca="1" ref="Z3028" ca="1">IFERROR(IF(_xlfn._xlws.FILTER(game_rosters!$J:$J,(game_rosters!$G:$G=events!$AN3028)*(game_rosters!$J:$J=events!$X3028))&gt;0,1,""),"")</f>
        <v>#VALUE!</v>
      </c>
      <c r="AA3028">
        <f t="shared" si="267"/>
        <v>1000</v>
      </c>
      <c r="AB3028" t="str">
        <f t="shared" si="268"/>
        <v/>
      </c>
      <c r="AC3028">
        <f t="shared" si="269"/>
        <v>1000</v>
      </c>
      <c r="AD3028" s="6"/>
    </row>
    <row r="3029" spans="1:30" x14ac:dyDescent="0.2">
      <c r="A3029" t="str">
        <f t="shared" si="270"/>
        <v/>
      </c>
      <c r="X3029" t="str" cm="1">
        <f t="array" ref="X3029">IF(S3029="","",IF($I3029&lt;&gt;"",$I3029,INDEX($I$2:$I3028,ROW()-COUNTIFS($T$2:$T3028,"="&amp;$T3029,$S$2:$S3028,"&lt;&gt;"&amp;$S3029)-1)))</f>
        <v/>
      </c>
      <c r="Y3029" t="b">
        <f>IF(X3029&lt;&gt;"",VLOOKUP(X3029,game_rosters!$C$43:$E$64,3,FALSE))</f>
        <v>0</v>
      </c>
      <c r="Z3029" t="e" cm="1" vm="1">
        <f t="array" aca="1" ref="Z3029" ca="1">IFERROR(IF(_xlfn._xlws.FILTER(game_rosters!$J:$J,(game_rosters!$G:$G=events!$AN3029)*(game_rosters!$J:$J=events!$X3029))&gt;0,1,""),"")</f>
        <v>#VALUE!</v>
      </c>
      <c r="AA3029">
        <f t="shared" si="267"/>
        <v>1000</v>
      </c>
      <c r="AB3029" t="str">
        <f t="shared" si="268"/>
        <v/>
      </c>
      <c r="AC3029">
        <f t="shared" si="269"/>
        <v>1000</v>
      </c>
      <c r="AD3029" s="6"/>
    </row>
    <row r="3030" spans="1:30" x14ac:dyDescent="0.2">
      <c r="A3030" t="str">
        <f t="shared" si="270"/>
        <v/>
      </c>
      <c r="X3030" t="str" cm="1">
        <f t="array" ref="X3030">IF(S3030="","",IF($I3030&lt;&gt;"",$I3030,INDEX($I$2:$I3029,ROW()-COUNTIFS($T$2:$T3029,"="&amp;$T3030,$S$2:$S3029,"&lt;&gt;"&amp;$S3030)-1)))</f>
        <v/>
      </c>
      <c r="Y3030" t="b">
        <f>IF(X3030&lt;&gt;"",VLOOKUP(X3030,game_rosters!$C$43:$E$64,3,FALSE))</f>
        <v>0</v>
      </c>
      <c r="Z3030" t="e" cm="1" vm="1">
        <f t="array" aca="1" ref="Z3030" ca="1">IFERROR(IF(_xlfn._xlws.FILTER(game_rosters!$J:$J,(game_rosters!$G:$G=events!$AN3030)*(game_rosters!$J:$J=events!$X3030))&gt;0,1,""),"")</f>
        <v>#VALUE!</v>
      </c>
      <c r="AA3030">
        <f t="shared" si="267"/>
        <v>1000</v>
      </c>
      <c r="AB3030" t="str">
        <f t="shared" si="268"/>
        <v/>
      </c>
      <c r="AC3030">
        <f t="shared" si="269"/>
        <v>1000</v>
      </c>
      <c r="AD3030" s="6"/>
    </row>
    <row r="3031" spans="1:30" x14ac:dyDescent="0.2">
      <c r="A3031" t="str">
        <f t="shared" si="270"/>
        <v/>
      </c>
      <c r="X3031" t="str" cm="1">
        <f t="array" ref="X3031">IF(S3031="","",IF($I3031&lt;&gt;"",$I3031,INDEX($I$2:$I3030,ROW()-COUNTIFS($T$2:$T3030,"="&amp;$T3031,$S$2:$S3030,"&lt;&gt;"&amp;$S3031)-1)))</f>
        <v/>
      </c>
      <c r="Y3031" t="b">
        <f>IF(X3031&lt;&gt;"",VLOOKUP(X3031,game_rosters!$C$43:$E$64,3,FALSE))</f>
        <v>0</v>
      </c>
      <c r="Z3031" t="e" cm="1" vm="1">
        <f t="array" aca="1" ref="Z3031" ca="1">IFERROR(IF(_xlfn._xlws.FILTER(game_rosters!$J:$J,(game_rosters!$G:$G=events!$AN3031)*(game_rosters!$J:$J=events!$X3031))&gt;0,1,""),"")</f>
        <v>#VALUE!</v>
      </c>
      <c r="AA3031">
        <f t="shared" si="267"/>
        <v>1000</v>
      </c>
      <c r="AB3031" t="str">
        <f t="shared" si="268"/>
        <v/>
      </c>
      <c r="AC3031">
        <f t="shared" si="269"/>
        <v>1000</v>
      </c>
      <c r="AD3031" s="6"/>
    </row>
    <row r="3032" spans="1:30" x14ac:dyDescent="0.2">
      <c r="A3032" t="str">
        <f t="shared" si="270"/>
        <v/>
      </c>
      <c r="X3032" t="str" cm="1">
        <f t="array" ref="X3032">IF(S3032="","",IF($I3032&lt;&gt;"",$I3032,INDEX($I$2:$I3031,ROW()-COUNTIFS($T$2:$T3031,"="&amp;$T3032,$S$2:$S3031,"&lt;&gt;"&amp;$S3032)-1)))</f>
        <v/>
      </c>
      <c r="Y3032" t="b">
        <f>IF(X3032&lt;&gt;"",VLOOKUP(X3032,game_rosters!$C$43:$E$64,3,FALSE))</f>
        <v>0</v>
      </c>
      <c r="Z3032" t="e" cm="1" vm="1">
        <f t="array" aca="1" ref="Z3032" ca="1">IFERROR(IF(_xlfn._xlws.FILTER(game_rosters!$J:$J,(game_rosters!$G:$G=events!$AN3032)*(game_rosters!$J:$J=events!$X3032))&gt;0,1,""),"")</f>
        <v>#VALUE!</v>
      </c>
      <c r="AA3032">
        <f t="shared" si="267"/>
        <v>1000</v>
      </c>
      <c r="AB3032" t="str">
        <f t="shared" si="268"/>
        <v/>
      </c>
      <c r="AC3032">
        <f t="shared" si="269"/>
        <v>1000</v>
      </c>
      <c r="AD3032" s="6"/>
    </row>
    <row r="3033" spans="1:30" x14ac:dyDescent="0.2">
      <c r="A3033" t="str">
        <f t="shared" si="270"/>
        <v/>
      </c>
      <c r="X3033" t="str" cm="1">
        <f t="array" ref="X3033">IF(S3033="","",IF($I3033&lt;&gt;"",$I3033,INDEX($I$2:$I3032,ROW()-COUNTIFS($T$2:$T3032,"="&amp;$T3033,$S$2:$S3032,"&lt;&gt;"&amp;$S3033)-1)))</f>
        <v/>
      </c>
      <c r="Y3033" t="b">
        <f>IF(X3033&lt;&gt;"",VLOOKUP(X3033,game_rosters!$C$43:$E$64,3,FALSE))</f>
        <v>0</v>
      </c>
      <c r="Z3033" t="e" cm="1" vm="1">
        <f t="array" aca="1" ref="Z3033" ca="1">IFERROR(IF(_xlfn._xlws.FILTER(game_rosters!$J:$J,(game_rosters!$G:$G=events!$AN3033)*(game_rosters!$J:$J=events!$X3033))&gt;0,1,""),"")</f>
        <v>#VALUE!</v>
      </c>
      <c r="AA3033">
        <f t="shared" si="267"/>
        <v>1000</v>
      </c>
      <c r="AB3033" t="str">
        <f t="shared" si="268"/>
        <v/>
      </c>
      <c r="AC3033">
        <f t="shared" si="269"/>
        <v>1000</v>
      </c>
      <c r="AD3033" s="6"/>
    </row>
    <row r="3034" spans="1:30" x14ac:dyDescent="0.2">
      <c r="A3034" t="str">
        <f t="shared" si="270"/>
        <v/>
      </c>
      <c r="X3034" t="str" cm="1">
        <f t="array" ref="X3034">IF(S3034="","",IF($I3034&lt;&gt;"",$I3034,INDEX($I$2:$I3033,ROW()-COUNTIFS($T$2:$T3033,"="&amp;$T3034,$S$2:$S3033,"&lt;&gt;"&amp;$S3034)-1)))</f>
        <v/>
      </c>
      <c r="Y3034" t="b">
        <f>IF(X3034&lt;&gt;"",VLOOKUP(X3034,game_rosters!$C$43:$E$64,3,FALSE))</f>
        <v>0</v>
      </c>
      <c r="Z3034" t="e" cm="1" vm="1">
        <f t="array" aca="1" ref="Z3034" ca="1">IFERROR(IF(_xlfn._xlws.FILTER(game_rosters!$J:$J,(game_rosters!$G:$G=events!$AN3034)*(game_rosters!$J:$J=events!$X3034))&gt;0,1,""),"")</f>
        <v>#VALUE!</v>
      </c>
      <c r="AA3034">
        <f t="shared" si="267"/>
        <v>1000</v>
      </c>
      <c r="AB3034" t="str">
        <f t="shared" si="268"/>
        <v/>
      </c>
      <c r="AC3034">
        <f t="shared" si="269"/>
        <v>1000</v>
      </c>
      <c r="AD3034" s="6"/>
    </row>
    <row r="3035" spans="1:30" x14ac:dyDescent="0.2">
      <c r="A3035" t="str">
        <f t="shared" si="270"/>
        <v/>
      </c>
      <c r="X3035" t="str" cm="1">
        <f t="array" ref="X3035">IF(S3035="","",IF($I3035&lt;&gt;"",$I3035,INDEX($I$2:$I3034,ROW()-COUNTIFS($T$2:$T3034,"="&amp;$T3035,$S$2:$S3034,"&lt;&gt;"&amp;$S3035)-1)))</f>
        <v/>
      </c>
      <c r="Y3035" t="b">
        <f>IF(X3035&lt;&gt;"",VLOOKUP(X3035,game_rosters!$C$43:$E$64,3,FALSE))</f>
        <v>0</v>
      </c>
      <c r="Z3035" t="e" cm="1" vm="1">
        <f t="array" aca="1" ref="Z3035" ca="1">IFERROR(IF(_xlfn._xlws.FILTER(game_rosters!$J:$J,(game_rosters!$G:$G=events!$AN3035)*(game_rosters!$J:$J=events!$X3035))&gt;0,1,""),"")</f>
        <v>#VALUE!</v>
      </c>
      <c r="AA3035">
        <f t="shared" si="267"/>
        <v>1000</v>
      </c>
      <c r="AB3035" t="str">
        <f t="shared" si="268"/>
        <v/>
      </c>
      <c r="AC3035">
        <f t="shared" si="269"/>
        <v>1000</v>
      </c>
      <c r="AD3035" s="6"/>
    </row>
    <row r="3036" spans="1:30" x14ac:dyDescent="0.2">
      <c r="A3036" t="str">
        <f t="shared" si="270"/>
        <v/>
      </c>
      <c r="X3036" t="str" cm="1">
        <f t="array" ref="X3036">IF(S3036="","",IF($I3036&lt;&gt;"",$I3036,INDEX($I$2:$I3035,ROW()-COUNTIFS($T$2:$T3035,"="&amp;$T3036,$S$2:$S3035,"&lt;&gt;"&amp;$S3036)-1)))</f>
        <v/>
      </c>
      <c r="Y3036" t="b">
        <f>IF(X3036&lt;&gt;"",VLOOKUP(X3036,game_rosters!$C$43:$E$64,3,FALSE))</f>
        <v>0</v>
      </c>
      <c r="Z3036" t="e" cm="1" vm="1">
        <f t="array" aca="1" ref="Z3036" ca="1">IFERROR(IF(_xlfn._xlws.FILTER(game_rosters!$J:$J,(game_rosters!$G:$G=events!$AN3036)*(game_rosters!$J:$J=events!$X3036))&gt;0,1,""),"")</f>
        <v>#VALUE!</v>
      </c>
      <c r="AA3036">
        <f t="shared" si="267"/>
        <v>1000</v>
      </c>
      <c r="AB3036" t="str">
        <f t="shared" si="268"/>
        <v/>
      </c>
      <c r="AC3036">
        <f t="shared" si="269"/>
        <v>1000</v>
      </c>
      <c r="AD3036" s="6"/>
    </row>
    <row r="3037" spans="1:30" x14ac:dyDescent="0.2">
      <c r="A3037" t="str">
        <f t="shared" si="270"/>
        <v/>
      </c>
      <c r="X3037" t="str" cm="1">
        <f t="array" ref="X3037">IF(S3037="","",IF($I3037&lt;&gt;"",$I3037,INDEX($I$2:$I3036,ROW()-COUNTIFS($T$2:$T3036,"="&amp;$T3037,$S$2:$S3036,"&lt;&gt;"&amp;$S3037)-1)))</f>
        <v/>
      </c>
      <c r="Y3037" t="b">
        <f>IF(X3037&lt;&gt;"",VLOOKUP(X3037,game_rosters!$C$43:$E$64,3,FALSE))</f>
        <v>0</v>
      </c>
      <c r="Z3037" t="e" cm="1" vm="1">
        <f t="array" aca="1" ref="Z3037" ca="1">IFERROR(IF(_xlfn._xlws.FILTER(game_rosters!$J:$J,(game_rosters!$G:$G=events!$AN3037)*(game_rosters!$J:$J=events!$X3037))&gt;0,1,""),"")</f>
        <v>#VALUE!</v>
      </c>
      <c r="AA3037">
        <f t="shared" ref="AA3037:AA3100" si="271">S3037+1000</f>
        <v>1000</v>
      </c>
      <c r="AB3037" t="str">
        <f t="shared" ref="AB3037:AB3100" si="272">IF(T3037&lt;&gt;"",9000+T3037,"")</f>
        <v/>
      </c>
      <c r="AC3037">
        <f t="shared" si="269"/>
        <v>1000</v>
      </c>
      <c r="AD3037" s="6"/>
    </row>
    <row r="3038" spans="1:30" x14ac:dyDescent="0.2">
      <c r="A3038" t="str">
        <f t="shared" si="270"/>
        <v/>
      </c>
      <c r="X3038" t="str" cm="1">
        <f t="array" ref="X3038">IF(S3038="","",IF($I3038&lt;&gt;"",$I3038,INDEX($I$2:$I3037,ROW()-COUNTIFS($T$2:$T3037,"="&amp;$T3038,$S$2:$S3037,"&lt;&gt;"&amp;$S3038)-1)))</f>
        <v/>
      </c>
      <c r="Y3038" t="b">
        <f>IF(X3038&lt;&gt;"",VLOOKUP(X3038,game_rosters!$C$43:$E$64,3,FALSE))</f>
        <v>0</v>
      </c>
      <c r="Z3038" t="e" cm="1" vm="1">
        <f t="array" aca="1" ref="Z3038" ca="1">IFERROR(IF(_xlfn._xlws.FILTER(game_rosters!$J:$J,(game_rosters!$G:$G=events!$AN3038)*(game_rosters!$J:$J=events!$X3038))&gt;0,1,""),"")</f>
        <v>#VALUE!</v>
      </c>
      <c r="AA3038">
        <f t="shared" si="271"/>
        <v>1000</v>
      </c>
      <c r="AB3038" t="str">
        <f t="shared" si="272"/>
        <v/>
      </c>
      <c r="AC3038">
        <f t="shared" si="269"/>
        <v>1000</v>
      </c>
      <c r="AD3038" s="6"/>
    </row>
    <row r="3039" spans="1:30" x14ac:dyDescent="0.2">
      <c r="A3039" t="str">
        <f t="shared" si="270"/>
        <v/>
      </c>
      <c r="X3039" t="str" cm="1">
        <f t="array" ref="X3039">IF(S3039="","",IF($I3039&lt;&gt;"",$I3039,INDEX($I$2:$I3038,ROW()-COUNTIFS($T$2:$T3038,"="&amp;$T3039,$S$2:$S3038,"&lt;&gt;"&amp;$S3039)-1)))</f>
        <v/>
      </c>
      <c r="Y3039" t="b">
        <f>IF(X3039&lt;&gt;"",VLOOKUP(X3039,game_rosters!$C$43:$E$64,3,FALSE))</f>
        <v>0</v>
      </c>
      <c r="Z3039" t="e" cm="1" vm="1">
        <f t="array" aca="1" ref="Z3039" ca="1">IFERROR(IF(_xlfn._xlws.FILTER(game_rosters!$J:$J,(game_rosters!$G:$G=events!$AN3039)*(game_rosters!$J:$J=events!$X3039))&gt;0,1,""),"")</f>
        <v>#VALUE!</v>
      </c>
      <c r="AA3039">
        <f t="shared" si="271"/>
        <v>1000</v>
      </c>
      <c r="AB3039" t="str">
        <f t="shared" si="272"/>
        <v/>
      </c>
      <c r="AC3039">
        <f t="shared" si="269"/>
        <v>1000</v>
      </c>
      <c r="AD3039" s="6"/>
    </row>
    <row r="3040" spans="1:30" x14ac:dyDescent="0.2">
      <c r="A3040" t="str">
        <f t="shared" si="270"/>
        <v/>
      </c>
      <c r="X3040" t="str" cm="1">
        <f t="array" ref="X3040">IF(S3040="","",IF($I3040&lt;&gt;"",$I3040,INDEX($I$2:$I3039,ROW()-COUNTIFS($T$2:$T3039,"="&amp;$T3040,$S$2:$S3039,"&lt;&gt;"&amp;$S3040)-1)))</f>
        <v/>
      </c>
      <c r="Y3040" t="b">
        <f>IF(X3040&lt;&gt;"",VLOOKUP(X3040,game_rosters!$C$43:$E$64,3,FALSE))</f>
        <v>0</v>
      </c>
      <c r="Z3040" t="e" cm="1" vm="1">
        <f t="array" aca="1" ref="Z3040" ca="1">IFERROR(IF(_xlfn._xlws.FILTER(game_rosters!$J:$J,(game_rosters!$G:$G=events!$AN3040)*(game_rosters!$J:$J=events!$X3040))&gt;0,1,""),"")</f>
        <v>#VALUE!</v>
      </c>
      <c r="AA3040">
        <f t="shared" si="271"/>
        <v>1000</v>
      </c>
      <c r="AB3040" t="str">
        <f t="shared" si="272"/>
        <v/>
      </c>
      <c r="AC3040">
        <f t="shared" si="269"/>
        <v>1000</v>
      </c>
      <c r="AD3040" s="6"/>
    </row>
    <row r="3041" spans="1:30" x14ac:dyDescent="0.2">
      <c r="A3041" t="str">
        <f t="shared" si="270"/>
        <v/>
      </c>
      <c r="X3041" t="str" cm="1">
        <f t="array" ref="X3041">IF(S3041="","",IF($I3041&lt;&gt;"",$I3041,INDEX($I$2:$I3040,ROW()-COUNTIFS($T$2:$T3040,"="&amp;$T3041,$S$2:$S3040,"&lt;&gt;"&amp;$S3041)-1)))</f>
        <v/>
      </c>
      <c r="Y3041" t="b">
        <f>IF(X3041&lt;&gt;"",VLOOKUP(X3041,game_rosters!$C$43:$E$64,3,FALSE))</f>
        <v>0</v>
      </c>
      <c r="Z3041" t="e" cm="1" vm="1">
        <f t="array" aca="1" ref="Z3041" ca="1">IFERROR(IF(_xlfn._xlws.FILTER(game_rosters!$J:$J,(game_rosters!$G:$G=events!$AN3041)*(game_rosters!$J:$J=events!$X3041))&gt;0,1,""),"")</f>
        <v>#VALUE!</v>
      </c>
      <c r="AA3041">
        <f t="shared" si="271"/>
        <v>1000</v>
      </c>
      <c r="AB3041" t="str">
        <f t="shared" si="272"/>
        <v/>
      </c>
      <c r="AC3041">
        <f t="shared" si="269"/>
        <v>1000</v>
      </c>
      <c r="AD3041" s="6"/>
    </row>
    <row r="3042" spans="1:30" x14ac:dyDescent="0.2">
      <c r="A3042" t="str">
        <f t="shared" si="270"/>
        <v/>
      </c>
      <c r="X3042" t="str" cm="1">
        <f t="array" ref="X3042">IF(S3042="","",IF($I3042&lt;&gt;"",$I3042,INDEX($I$2:$I3041,ROW()-COUNTIFS($T$2:$T3041,"="&amp;$T3042,$S$2:$S3041,"&lt;&gt;"&amp;$S3042)-1)))</f>
        <v/>
      </c>
      <c r="Y3042" t="b">
        <f>IF(X3042&lt;&gt;"",VLOOKUP(X3042,game_rosters!$C$43:$E$64,3,FALSE))</f>
        <v>0</v>
      </c>
      <c r="Z3042" t="e" cm="1" vm="1">
        <f t="array" aca="1" ref="Z3042" ca="1">IFERROR(IF(_xlfn._xlws.FILTER(game_rosters!$J:$J,(game_rosters!$G:$G=events!$AN3042)*(game_rosters!$J:$J=events!$X3042))&gt;0,1,""),"")</f>
        <v>#VALUE!</v>
      </c>
      <c r="AA3042">
        <f t="shared" si="271"/>
        <v>1000</v>
      </c>
      <c r="AB3042" t="str">
        <f t="shared" si="272"/>
        <v/>
      </c>
      <c r="AC3042">
        <f t="shared" si="269"/>
        <v>1000</v>
      </c>
      <c r="AD3042" s="6"/>
    </row>
    <row r="3043" spans="1:30" x14ac:dyDescent="0.2">
      <c r="A3043" t="str">
        <f t="shared" si="270"/>
        <v/>
      </c>
      <c r="X3043" t="str" cm="1">
        <f t="array" ref="X3043">IF(S3043="","",IF($I3043&lt;&gt;"",$I3043,INDEX($I$2:$I3042,ROW()-COUNTIFS($T$2:$T3042,"="&amp;$T3043,$S$2:$S3042,"&lt;&gt;"&amp;$S3043)-1)))</f>
        <v/>
      </c>
      <c r="Y3043" t="b">
        <f>IF(X3043&lt;&gt;"",VLOOKUP(X3043,game_rosters!$C$43:$E$64,3,FALSE))</f>
        <v>0</v>
      </c>
      <c r="Z3043" t="e" cm="1" vm="1">
        <f t="array" aca="1" ref="Z3043" ca="1">IFERROR(IF(_xlfn._xlws.FILTER(game_rosters!$J:$J,(game_rosters!$G:$G=events!$AN3043)*(game_rosters!$J:$J=events!$X3043))&gt;0,1,""),"")</f>
        <v>#VALUE!</v>
      </c>
      <c r="AA3043">
        <f t="shared" si="271"/>
        <v>1000</v>
      </c>
      <c r="AB3043" t="str">
        <f t="shared" si="272"/>
        <v/>
      </c>
      <c r="AC3043">
        <f t="shared" si="269"/>
        <v>1000</v>
      </c>
      <c r="AD3043" s="6"/>
    </row>
    <row r="3044" spans="1:30" x14ac:dyDescent="0.2">
      <c r="A3044" t="str">
        <f t="shared" si="270"/>
        <v/>
      </c>
      <c r="X3044" t="str" cm="1">
        <f t="array" ref="X3044">IF(S3044="","",IF($I3044&lt;&gt;"",$I3044,INDEX($I$2:$I3043,ROW()-COUNTIFS($T$2:$T3043,"="&amp;$T3044,$S$2:$S3043,"&lt;&gt;"&amp;$S3044)-1)))</f>
        <v/>
      </c>
      <c r="Y3044" t="b">
        <f>IF(X3044&lt;&gt;"",VLOOKUP(X3044,game_rosters!$C$43:$E$64,3,FALSE))</f>
        <v>0</v>
      </c>
      <c r="Z3044" t="e" cm="1" vm="1">
        <f t="array" aca="1" ref="Z3044" ca="1">IFERROR(IF(_xlfn._xlws.FILTER(game_rosters!$J:$J,(game_rosters!$G:$G=events!$AN3044)*(game_rosters!$J:$J=events!$X3044))&gt;0,1,""),"")</f>
        <v>#VALUE!</v>
      </c>
      <c r="AA3044">
        <f t="shared" si="271"/>
        <v>1000</v>
      </c>
      <c r="AB3044" t="str">
        <f t="shared" si="272"/>
        <v/>
      </c>
      <c r="AC3044">
        <f t="shared" si="269"/>
        <v>1000</v>
      </c>
      <c r="AD3044" s="6"/>
    </row>
    <row r="3045" spans="1:30" x14ac:dyDescent="0.2">
      <c r="A3045" t="str">
        <f t="shared" si="270"/>
        <v/>
      </c>
      <c r="X3045" t="str" cm="1">
        <f t="array" ref="X3045">IF(S3045="","",IF($I3045&lt;&gt;"",$I3045,INDEX($I$2:$I3044,ROW()-COUNTIFS($T$2:$T3044,"="&amp;$T3045,$S$2:$S3044,"&lt;&gt;"&amp;$S3045)-1)))</f>
        <v/>
      </c>
      <c r="Y3045" t="b">
        <f>IF(X3045&lt;&gt;"",VLOOKUP(X3045,game_rosters!$C$43:$E$64,3,FALSE))</f>
        <v>0</v>
      </c>
      <c r="Z3045" t="e" cm="1" vm="1">
        <f t="array" aca="1" ref="Z3045" ca="1">IFERROR(IF(_xlfn._xlws.FILTER(game_rosters!$J:$J,(game_rosters!$G:$G=events!$AN3045)*(game_rosters!$J:$J=events!$X3045))&gt;0,1,""),"")</f>
        <v>#VALUE!</v>
      </c>
      <c r="AA3045">
        <f t="shared" si="271"/>
        <v>1000</v>
      </c>
      <c r="AB3045" t="str">
        <f t="shared" si="272"/>
        <v/>
      </c>
      <c r="AC3045">
        <f t="shared" si="269"/>
        <v>1000</v>
      </c>
      <c r="AD3045" s="6"/>
    </row>
    <row r="3046" spans="1:30" x14ac:dyDescent="0.2">
      <c r="A3046" t="str">
        <f t="shared" si="270"/>
        <v/>
      </c>
      <c r="X3046" t="str" cm="1">
        <f t="array" ref="X3046">IF(S3046="","",IF($I3046&lt;&gt;"",$I3046,INDEX($I$2:$I3045,ROW()-COUNTIFS($T$2:$T3045,"="&amp;$T3046,$S$2:$S3045,"&lt;&gt;"&amp;$S3046)-1)))</f>
        <v/>
      </c>
      <c r="Y3046" t="b">
        <f>IF(X3046&lt;&gt;"",VLOOKUP(X3046,game_rosters!$C$43:$E$64,3,FALSE))</f>
        <v>0</v>
      </c>
      <c r="Z3046" t="e" cm="1" vm="1">
        <f t="array" aca="1" ref="Z3046" ca="1">IFERROR(IF(_xlfn._xlws.FILTER(game_rosters!$J:$J,(game_rosters!$G:$G=events!$AN3046)*(game_rosters!$J:$J=events!$X3046))&gt;0,1,""),"")</f>
        <v>#VALUE!</v>
      </c>
      <c r="AA3046">
        <f t="shared" si="271"/>
        <v>1000</v>
      </c>
      <c r="AB3046" t="str">
        <f t="shared" si="272"/>
        <v/>
      </c>
      <c r="AC3046">
        <f t="shared" si="269"/>
        <v>1000</v>
      </c>
      <c r="AD3046" s="6"/>
    </row>
    <row r="3047" spans="1:30" x14ac:dyDescent="0.2">
      <c r="A3047" t="str">
        <f t="shared" si="270"/>
        <v/>
      </c>
      <c r="X3047" t="str" cm="1">
        <f t="array" ref="X3047">IF(S3047="","",IF($I3047&lt;&gt;"",$I3047,INDEX($I$2:$I3046,ROW()-COUNTIFS($T$2:$T3046,"="&amp;$T3047,$S$2:$S3046,"&lt;&gt;"&amp;$S3047)-1)))</f>
        <v/>
      </c>
      <c r="Y3047" t="b">
        <f>IF(X3047&lt;&gt;"",VLOOKUP(X3047,game_rosters!$C$43:$E$64,3,FALSE))</f>
        <v>0</v>
      </c>
      <c r="Z3047" t="e" cm="1" vm="1">
        <f t="array" aca="1" ref="Z3047" ca="1">IFERROR(IF(_xlfn._xlws.FILTER(game_rosters!$J:$J,(game_rosters!$G:$G=events!$AN3047)*(game_rosters!$J:$J=events!$X3047))&gt;0,1,""),"")</f>
        <v>#VALUE!</v>
      </c>
      <c r="AA3047">
        <f t="shared" si="271"/>
        <v>1000</v>
      </c>
      <c r="AB3047" t="str">
        <f t="shared" si="272"/>
        <v/>
      </c>
      <c r="AC3047">
        <f t="shared" si="269"/>
        <v>1000</v>
      </c>
      <c r="AD3047" s="6"/>
    </row>
    <row r="3048" spans="1:30" x14ac:dyDescent="0.2">
      <c r="A3048" t="str">
        <f t="shared" si="270"/>
        <v/>
      </c>
      <c r="X3048" t="str" cm="1">
        <f t="array" ref="X3048">IF(S3048="","",IF($I3048&lt;&gt;"",$I3048,INDEX($I$2:$I3047,ROW()-COUNTIFS($T$2:$T3047,"="&amp;$T3048,$S$2:$S3047,"&lt;&gt;"&amp;$S3048)-1)))</f>
        <v/>
      </c>
      <c r="Y3048" t="b">
        <f>IF(X3048&lt;&gt;"",VLOOKUP(X3048,game_rosters!$C$43:$E$64,3,FALSE))</f>
        <v>0</v>
      </c>
      <c r="Z3048" t="e" cm="1" vm="1">
        <f t="array" aca="1" ref="Z3048" ca="1">IFERROR(IF(_xlfn._xlws.FILTER(game_rosters!$J:$J,(game_rosters!$G:$G=events!$AN3048)*(game_rosters!$J:$J=events!$X3048))&gt;0,1,""),"")</f>
        <v>#VALUE!</v>
      </c>
      <c r="AA3048">
        <f t="shared" si="271"/>
        <v>1000</v>
      </c>
      <c r="AB3048" t="str">
        <f t="shared" si="272"/>
        <v/>
      </c>
      <c r="AC3048">
        <f t="shared" si="269"/>
        <v>1000</v>
      </c>
      <c r="AD3048" s="6"/>
    </row>
    <row r="3049" spans="1:30" x14ac:dyDescent="0.2">
      <c r="A3049" t="str">
        <f t="shared" si="270"/>
        <v/>
      </c>
      <c r="X3049" t="str" cm="1">
        <f t="array" ref="X3049">IF(S3049="","",IF($I3049&lt;&gt;"",$I3049,INDEX($I$2:$I3048,ROW()-COUNTIFS($T$2:$T3048,"="&amp;$T3049,$S$2:$S3048,"&lt;&gt;"&amp;$S3049)-1)))</f>
        <v/>
      </c>
      <c r="Y3049" t="b">
        <f>IF(X3049&lt;&gt;"",VLOOKUP(X3049,game_rosters!$C$43:$E$64,3,FALSE))</f>
        <v>0</v>
      </c>
      <c r="Z3049" t="e" cm="1" vm="1">
        <f t="array" aca="1" ref="Z3049" ca="1">IFERROR(IF(_xlfn._xlws.FILTER(game_rosters!$J:$J,(game_rosters!$G:$G=events!$AN3049)*(game_rosters!$J:$J=events!$X3049))&gt;0,1,""),"")</f>
        <v>#VALUE!</v>
      </c>
      <c r="AA3049">
        <f t="shared" si="271"/>
        <v>1000</v>
      </c>
      <c r="AB3049" t="str">
        <f t="shared" si="272"/>
        <v/>
      </c>
      <c r="AC3049">
        <f t="shared" si="269"/>
        <v>1000</v>
      </c>
      <c r="AD3049" s="6"/>
    </row>
    <row r="3050" spans="1:30" x14ac:dyDescent="0.2">
      <c r="A3050" t="str">
        <f t="shared" si="270"/>
        <v/>
      </c>
      <c r="X3050" t="str" cm="1">
        <f t="array" ref="X3050">IF(S3050="","",IF($I3050&lt;&gt;"",$I3050,INDEX($I$2:$I3049,ROW()-COUNTIFS($T$2:$T3049,"="&amp;$T3050,$S$2:$S3049,"&lt;&gt;"&amp;$S3050)-1)))</f>
        <v/>
      </c>
      <c r="Y3050" t="b">
        <f>IF(X3050&lt;&gt;"",VLOOKUP(X3050,game_rosters!$C$43:$E$64,3,FALSE))</f>
        <v>0</v>
      </c>
      <c r="Z3050" t="e" cm="1" vm="1">
        <f t="array" aca="1" ref="Z3050" ca="1">IFERROR(IF(_xlfn._xlws.FILTER(game_rosters!$J:$J,(game_rosters!$G:$G=events!$AN3050)*(game_rosters!$J:$J=events!$X3050))&gt;0,1,""),"")</f>
        <v>#VALUE!</v>
      </c>
      <c r="AA3050">
        <f t="shared" si="271"/>
        <v>1000</v>
      </c>
      <c r="AB3050" t="str">
        <f t="shared" si="272"/>
        <v/>
      </c>
      <c r="AC3050">
        <f t="shared" si="269"/>
        <v>1000</v>
      </c>
      <c r="AD3050" s="6"/>
    </row>
    <row r="3051" spans="1:30" x14ac:dyDescent="0.2">
      <c r="A3051" t="str">
        <f t="shared" si="270"/>
        <v/>
      </c>
      <c r="X3051" t="str" cm="1">
        <f t="array" ref="X3051">IF(S3051="","",IF($I3051&lt;&gt;"",$I3051,INDEX($I$2:$I3050,ROW()-COUNTIFS($T$2:$T3050,"="&amp;$T3051,$S$2:$S3050,"&lt;&gt;"&amp;$S3051)-1)))</f>
        <v/>
      </c>
      <c r="Y3051" t="b">
        <f>IF(X3051&lt;&gt;"",VLOOKUP(X3051,game_rosters!$C$43:$E$64,3,FALSE))</f>
        <v>0</v>
      </c>
      <c r="Z3051" t="e" cm="1" vm="1">
        <f t="array" aca="1" ref="Z3051" ca="1">IFERROR(IF(_xlfn._xlws.FILTER(game_rosters!$J:$J,(game_rosters!$G:$G=events!$AN3051)*(game_rosters!$J:$J=events!$X3051))&gt;0,1,""),"")</f>
        <v>#VALUE!</v>
      </c>
      <c r="AA3051">
        <f t="shared" si="271"/>
        <v>1000</v>
      </c>
      <c r="AB3051" t="str">
        <f t="shared" si="272"/>
        <v/>
      </c>
      <c r="AC3051">
        <f t="shared" si="269"/>
        <v>1000</v>
      </c>
      <c r="AD3051" s="6"/>
    </row>
    <row r="3052" spans="1:30" x14ac:dyDescent="0.2">
      <c r="A3052" t="str">
        <f t="shared" si="270"/>
        <v/>
      </c>
      <c r="X3052" t="str" cm="1">
        <f t="array" ref="X3052">IF(S3052="","",IF($I3052&lt;&gt;"",$I3052,INDEX($I$2:$I3051,ROW()-COUNTIFS($T$2:$T3051,"="&amp;$T3052,$S$2:$S3051,"&lt;&gt;"&amp;$S3052)-1)))</f>
        <v/>
      </c>
      <c r="Y3052" t="b">
        <f>IF(X3052&lt;&gt;"",VLOOKUP(X3052,game_rosters!$C$43:$E$64,3,FALSE))</f>
        <v>0</v>
      </c>
      <c r="Z3052" t="e" cm="1" vm="1">
        <f t="array" aca="1" ref="Z3052" ca="1">IFERROR(IF(_xlfn._xlws.FILTER(game_rosters!$J:$J,(game_rosters!$G:$G=events!$AN3052)*(game_rosters!$J:$J=events!$X3052))&gt;0,1,""),"")</f>
        <v>#VALUE!</v>
      </c>
      <c r="AA3052">
        <f t="shared" si="271"/>
        <v>1000</v>
      </c>
      <c r="AB3052" t="str">
        <f t="shared" si="272"/>
        <v/>
      </c>
      <c r="AC3052">
        <f t="shared" si="269"/>
        <v>1000</v>
      </c>
      <c r="AD3052" s="6"/>
    </row>
    <row r="3053" spans="1:30" x14ac:dyDescent="0.2">
      <c r="A3053" t="str">
        <f t="shared" si="270"/>
        <v/>
      </c>
      <c r="X3053" t="str" cm="1">
        <f t="array" ref="X3053">IF(S3053="","",IF($I3053&lt;&gt;"",$I3053,INDEX($I$2:$I3052,ROW()-COUNTIFS($T$2:$T3052,"="&amp;$T3053,$S$2:$S3052,"&lt;&gt;"&amp;$S3053)-1)))</f>
        <v/>
      </c>
      <c r="Y3053" t="b">
        <f>IF(X3053&lt;&gt;"",VLOOKUP(X3053,game_rosters!$C$43:$E$64,3,FALSE))</f>
        <v>0</v>
      </c>
      <c r="Z3053" t="e" cm="1" vm="1">
        <f t="array" aca="1" ref="Z3053" ca="1">IFERROR(IF(_xlfn._xlws.FILTER(game_rosters!$J:$J,(game_rosters!$G:$G=events!$AN3053)*(game_rosters!$J:$J=events!$X3053))&gt;0,1,""),"")</f>
        <v>#VALUE!</v>
      </c>
      <c r="AA3053">
        <f t="shared" si="271"/>
        <v>1000</v>
      </c>
      <c r="AB3053" t="str">
        <f t="shared" si="272"/>
        <v/>
      </c>
      <c r="AC3053">
        <f t="shared" si="269"/>
        <v>1000</v>
      </c>
      <c r="AD3053" s="6"/>
    </row>
    <row r="3054" spans="1:30" x14ac:dyDescent="0.2">
      <c r="A3054" t="str">
        <f t="shared" si="270"/>
        <v/>
      </c>
      <c r="X3054" t="str" cm="1">
        <f t="array" ref="X3054">IF(S3054="","",IF($I3054&lt;&gt;"",$I3054,INDEX($I$2:$I3053,ROW()-COUNTIFS($T$2:$T3053,"="&amp;$T3054,$S$2:$S3053,"&lt;&gt;"&amp;$S3054)-1)))</f>
        <v/>
      </c>
      <c r="Y3054" t="b">
        <f>IF(X3054&lt;&gt;"",VLOOKUP(X3054,game_rosters!$C$43:$E$64,3,FALSE))</f>
        <v>0</v>
      </c>
      <c r="Z3054" t="e" cm="1" vm="1">
        <f t="array" aca="1" ref="Z3054" ca="1">IFERROR(IF(_xlfn._xlws.FILTER(game_rosters!$J:$J,(game_rosters!$G:$G=events!$AN3054)*(game_rosters!$J:$J=events!$X3054))&gt;0,1,""),"")</f>
        <v>#VALUE!</v>
      </c>
      <c r="AA3054">
        <f t="shared" si="271"/>
        <v>1000</v>
      </c>
      <c r="AB3054" t="str">
        <f t="shared" si="272"/>
        <v/>
      </c>
      <c r="AC3054">
        <f t="shared" si="269"/>
        <v>1000</v>
      </c>
      <c r="AD3054" s="6"/>
    </row>
    <row r="3055" spans="1:30" x14ac:dyDescent="0.2">
      <c r="A3055" t="str">
        <f t="shared" si="270"/>
        <v/>
      </c>
      <c r="X3055" t="str" cm="1">
        <f t="array" ref="X3055">IF(S3055="","",IF($I3055&lt;&gt;"",$I3055,INDEX($I$2:$I3054,ROW()-COUNTIFS($T$2:$T3054,"="&amp;$T3055,$S$2:$S3054,"&lt;&gt;"&amp;$S3055)-1)))</f>
        <v/>
      </c>
      <c r="Y3055" t="b">
        <f>IF(X3055&lt;&gt;"",VLOOKUP(X3055,game_rosters!$C$43:$E$64,3,FALSE))</f>
        <v>0</v>
      </c>
      <c r="Z3055" t="e" cm="1" vm="1">
        <f t="array" aca="1" ref="Z3055" ca="1">IFERROR(IF(_xlfn._xlws.FILTER(game_rosters!$J:$J,(game_rosters!$G:$G=events!$AN3055)*(game_rosters!$J:$J=events!$X3055))&gt;0,1,""),"")</f>
        <v>#VALUE!</v>
      </c>
      <c r="AA3055">
        <f t="shared" si="271"/>
        <v>1000</v>
      </c>
      <c r="AB3055" t="str">
        <f t="shared" si="272"/>
        <v/>
      </c>
      <c r="AC3055">
        <f t="shared" si="269"/>
        <v>1000</v>
      </c>
      <c r="AD3055" s="6"/>
    </row>
    <row r="3056" spans="1:30" x14ac:dyDescent="0.2">
      <c r="A3056" t="str">
        <f t="shared" si="270"/>
        <v/>
      </c>
      <c r="X3056" t="str" cm="1">
        <f t="array" ref="X3056">IF(S3056="","",IF($I3056&lt;&gt;"",$I3056,INDEX($I$2:$I3055,ROW()-COUNTIFS($T$2:$T3055,"="&amp;$T3056,$S$2:$S3055,"&lt;&gt;"&amp;$S3056)-1)))</f>
        <v/>
      </c>
      <c r="Y3056" t="b">
        <f>IF(X3056&lt;&gt;"",VLOOKUP(X3056,game_rosters!$C$43:$E$64,3,FALSE))</f>
        <v>0</v>
      </c>
      <c r="Z3056" t="e" cm="1" vm="1">
        <f t="array" aca="1" ref="Z3056" ca="1">IFERROR(IF(_xlfn._xlws.FILTER(game_rosters!$J:$J,(game_rosters!$G:$G=events!$AN3056)*(game_rosters!$J:$J=events!$X3056))&gt;0,1,""),"")</f>
        <v>#VALUE!</v>
      </c>
      <c r="AA3056">
        <f t="shared" si="271"/>
        <v>1000</v>
      </c>
      <c r="AB3056" t="str">
        <f t="shared" si="272"/>
        <v/>
      </c>
      <c r="AC3056">
        <f t="shared" si="269"/>
        <v>1000</v>
      </c>
      <c r="AD3056" s="6"/>
    </row>
    <row r="3057" spans="1:30" x14ac:dyDescent="0.2">
      <c r="A3057" t="str">
        <f t="shared" si="270"/>
        <v/>
      </c>
      <c r="X3057" t="str" cm="1">
        <f t="array" ref="X3057">IF(S3057="","",IF($I3057&lt;&gt;"",$I3057,INDEX($I$2:$I3056,ROW()-COUNTIFS($T$2:$T3056,"="&amp;$T3057,$S$2:$S3056,"&lt;&gt;"&amp;$S3057)-1)))</f>
        <v/>
      </c>
      <c r="Y3057" t="b">
        <f>IF(X3057&lt;&gt;"",VLOOKUP(X3057,game_rosters!$C$43:$E$64,3,FALSE))</f>
        <v>0</v>
      </c>
      <c r="Z3057" t="e" cm="1" vm="1">
        <f t="array" aca="1" ref="Z3057" ca="1">IFERROR(IF(_xlfn._xlws.FILTER(game_rosters!$J:$J,(game_rosters!$G:$G=events!$AN3057)*(game_rosters!$J:$J=events!$X3057))&gt;0,1,""),"")</f>
        <v>#VALUE!</v>
      </c>
      <c r="AA3057">
        <f t="shared" si="271"/>
        <v>1000</v>
      </c>
      <c r="AB3057" t="str">
        <f t="shared" si="272"/>
        <v/>
      </c>
      <c r="AC3057">
        <f t="shared" si="269"/>
        <v>1000</v>
      </c>
      <c r="AD3057" s="6"/>
    </row>
    <row r="3058" spans="1:30" x14ac:dyDescent="0.2">
      <c r="A3058" t="str">
        <f t="shared" si="270"/>
        <v/>
      </c>
      <c r="X3058" t="str" cm="1">
        <f t="array" ref="X3058">IF(S3058="","",IF($I3058&lt;&gt;"",$I3058,INDEX($I$2:$I3057,ROW()-COUNTIFS($T$2:$T3057,"="&amp;$T3058,$S$2:$S3057,"&lt;&gt;"&amp;$S3058)-1)))</f>
        <v/>
      </c>
      <c r="Y3058" t="b">
        <f>IF(X3058&lt;&gt;"",VLOOKUP(X3058,game_rosters!$C$43:$E$64,3,FALSE))</f>
        <v>0</v>
      </c>
      <c r="Z3058" t="e" cm="1" vm="1">
        <f t="array" aca="1" ref="Z3058" ca="1">IFERROR(IF(_xlfn._xlws.FILTER(game_rosters!$J:$J,(game_rosters!$G:$G=events!$AN3058)*(game_rosters!$J:$J=events!$X3058))&gt;0,1,""),"")</f>
        <v>#VALUE!</v>
      </c>
      <c r="AA3058">
        <f t="shared" si="271"/>
        <v>1000</v>
      </c>
      <c r="AB3058" t="str">
        <f t="shared" si="272"/>
        <v/>
      </c>
      <c r="AC3058">
        <f t="shared" si="269"/>
        <v>1000</v>
      </c>
      <c r="AD3058" s="6"/>
    </row>
    <row r="3059" spans="1:30" x14ac:dyDescent="0.2">
      <c r="A3059" t="str">
        <f t="shared" si="270"/>
        <v/>
      </c>
      <c r="X3059" t="str" cm="1">
        <f t="array" ref="X3059">IF(S3059="","",IF($I3059&lt;&gt;"",$I3059,INDEX($I$2:$I3058,ROW()-COUNTIFS($T$2:$T3058,"="&amp;$T3059,$S$2:$S3058,"&lt;&gt;"&amp;$S3059)-1)))</f>
        <v/>
      </c>
      <c r="Y3059" t="b">
        <f>IF(X3059&lt;&gt;"",VLOOKUP(X3059,game_rosters!$C$43:$E$64,3,FALSE))</f>
        <v>0</v>
      </c>
      <c r="Z3059" t="e" cm="1" vm="1">
        <f t="array" aca="1" ref="Z3059" ca="1">IFERROR(IF(_xlfn._xlws.FILTER(game_rosters!$J:$J,(game_rosters!$G:$G=events!$AN3059)*(game_rosters!$J:$J=events!$X3059))&gt;0,1,""),"")</f>
        <v>#VALUE!</v>
      </c>
      <c r="AA3059">
        <f t="shared" si="271"/>
        <v>1000</v>
      </c>
      <c r="AB3059" t="str">
        <f t="shared" si="272"/>
        <v/>
      </c>
      <c r="AC3059">
        <f t="shared" si="269"/>
        <v>1000</v>
      </c>
      <c r="AD3059" s="6"/>
    </row>
    <row r="3060" spans="1:30" x14ac:dyDescent="0.2">
      <c r="A3060" t="str">
        <f t="shared" si="270"/>
        <v/>
      </c>
      <c r="X3060" t="str" cm="1">
        <f t="array" ref="X3060">IF(S3060="","",IF($I3060&lt;&gt;"",$I3060,INDEX($I$2:$I3059,ROW()-COUNTIFS($T$2:$T3059,"="&amp;$T3060,$S$2:$S3059,"&lt;&gt;"&amp;$S3060)-1)))</f>
        <v/>
      </c>
      <c r="Y3060" t="b">
        <f>IF(X3060&lt;&gt;"",VLOOKUP(X3060,game_rosters!$C$43:$E$64,3,FALSE))</f>
        <v>0</v>
      </c>
      <c r="Z3060" t="e" cm="1" vm="1">
        <f t="array" aca="1" ref="Z3060" ca="1">IFERROR(IF(_xlfn._xlws.FILTER(game_rosters!$J:$J,(game_rosters!$G:$G=events!$AN3060)*(game_rosters!$J:$J=events!$X3060))&gt;0,1,""),"")</f>
        <v>#VALUE!</v>
      </c>
      <c r="AA3060">
        <f t="shared" si="271"/>
        <v>1000</v>
      </c>
      <c r="AB3060" t="str">
        <f t="shared" si="272"/>
        <v/>
      </c>
      <c r="AC3060">
        <f t="shared" si="269"/>
        <v>1000</v>
      </c>
      <c r="AD3060" s="6"/>
    </row>
    <row r="3061" spans="1:30" x14ac:dyDescent="0.2">
      <c r="A3061" t="str">
        <f t="shared" si="270"/>
        <v/>
      </c>
      <c r="X3061" t="str" cm="1">
        <f t="array" ref="X3061">IF(S3061="","",IF($I3061&lt;&gt;"",$I3061,INDEX($I$2:$I3060,ROW()-COUNTIFS($T$2:$T3060,"="&amp;$T3061,$S$2:$S3060,"&lt;&gt;"&amp;$S3061)-1)))</f>
        <v/>
      </c>
      <c r="Y3061" t="b">
        <f>IF(X3061&lt;&gt;"",VLOOKUP(X3061,game_rosters!$C$43:$E$64,3,FALSE))</f>
        <v>0</v>
      </c>
      <c r="Z3061" t="e" cm="1" vm="1">
        <f t="array" aca="1" ref="Z3061" ca="1">IFERROR(IF(_xlfn._xlws.FILTER(game_rosters!$J:$J,(game_rosters!$G:$G=events!$AN3061)*(game_rosters!$J:$J=events!$X3061))&gt;0,1,""),"")</f>
        <v>#VALUE!</v>
      </c>
      <c r="AA3061">
        <f t="shared" si="271"/>
        <v>1000</v>
      </c>
      <c r="AB3061" t="str">
        <f t="shared" si="272"/>
        <v/>
      </c>
      <c r="AC3061">
        <f t="shared" si="269"/>
        <v>1000</v>
      </c>
      <c r="AD3061" s="6"/>
    </row>
    <row r="3062" spans="1:30" x14ac:dyDescent="0.2">
      <c r="A3062" t="str">
        <f t="shared" si="270"/>
        <v/>
      </c>
      <c r="X3062" t="str" cm="1">
        <f t="array" ref="X3062">IF(S3062="","",IF($I3062&lt;&gt;"",$I3062,INDEX($I$2:$I3061,ROW()-COUNTIFS($T$2:$T3061,"="&amp;$T3062,$S$2:$S3061,"&lt;&gt;"&amp;$S3062)-1)))</f>
        <v/>
      </c>
      <c r="Y3062" t="b">
        <f>IF(X3062&lt;&gt;"",VLOOKUP(X3062,game_rosters!$C$43:$E$64,3,FALSE))</f>
        <v>0</v>
      </c>
      <c r="Z3062" t="e" cm="1" vm="1">
        <f t="array" aca="1" ref="Z3062" ca="1">IFERROR(IF(_xlfn._xlws.FILTER(game_rosters!$J:$J,(game_rosters!$G:$G=events!$AN3062)*(game_rosters!$J:$J=events!$X3062))&gt;0,1,""),"")</f>
        <v>#VALUE!</v>
      </c>
      <c r="AA3062">
        <f t="shared" si="271"/>
        <v>1000</v>
      </c>
      <c r="AB3062" t="str">
        <f t="shared" si="272"/>
        <v/>
      </c>
      <c r="AC3062">
        <f t="shared" si="269"/>
        <v>1000</v>
      </c>
      <c r="AD3062" s="6"/>
    </row>
    <row r="3063" spans="1:30" x14ac:dyDescent="0.2">
      <c r="A3063" t="str">
        <f t="shared" si="270"/>
        <v/>
      </c>
      <c r="X3063" t="str" cm="1">
        <f t="array" ref="X3063">IF(S3063="","",IF($I3063&lt;&gt;"",$I3063,INDEX($I$2:$I3062,ROW()-COUNTIFS($T$2:$T3062,"="&amp;$T3063,$S$2:$S3062,"&lt;&gt;"&amp;$S3063)-1)))</f>
        <v/>
      </c>
      <c r="Y3063" t="b">
        <f>IF(X3063&lt;&gt;"",VLOOKUP(X3063,game_rosters!$C$43:$E$64,3,FALSE))</f>
        <v>0</v>
      </c>
      <c r="Z3063" t="e" cm="1" vm="1">
        <f t="array" aca="1" ref="Z3063" ca="1">IFERROR(IF(_xlfn._xlws.FILTER(game_rosters!$J:$J,(game_rosters!$G:$G=events!$AN3063)*(game_rosters!$J:$J=events!$X3063))&gt;0,1,""),"")</f>
        <v>#VALUE!</v>
      </c>
      <c r="AA3063">
        <f t="shared" si="271"/>
        <v>1000</v>
      </c>
      <c r="AB3063" t="str">
        <f t="shared" si="272"/>
        <v/>
      </c>
      <c r="AC3063">
        <f t="shared" si="269"/>
        <v>1000</v>
      </c>
      <c r="AD3063" s="6"/>
    </row>
    <row r="3064" spans="1:30" x14ac:dyDescent="0.2">
      <c r="A3064" t="str">
        <f t="shared" si="270"/>
        <v/>
      </c>
      <c r="X3064" t="str" cm="1">
        <f t="array" ref="X3064">IF(S3064="","",IF($I3064&lt;&gt;"",$I3064,INDEX($I$2:$I3063,ROW()-COUNTIFS($T$2:$T3063,"="&amp;$T3064,$S$2:$S3063,"&lt;&gt;"&amp;$S3064)-1)))</f>
        <v/>
      </c>
      <c r="Y3064" t="b">
        <f>IF(X3064&lt;&gt;"",VLOOKUP(X3064,game_rosters!$C$43:$E$64,3,FALSE))</f>
        <v>0</v>
      </c>
      <c r="Z3064" t="e" cm="1" vm="1">
        <f t="array" aca="1" ref="Z3064" ca="1">IFERROR(IF(_xlfn._xlws.FILTER(game_rosters!$J:$J,(game_rosters!$G:$G=events!$AN3064)*(game_rosters!$J:$J=events!$X3064))&gt;0,1,""),"")</f>
        <v>#VALUE!</v>
      </c>
      <c r="AA3064">
        <f t="shared" si="271"/>
        <v>1000</v>
      </c>
      <c r="AB3064" t="str">
        <f t="shared" si="272"/>
        <v/>
      </c>
      <c r="AC3064">
        <f t="shared" si="269"/>
        <v>1000</v>
      </c>
      <c r="AD3064" s="6"/>
    </row>
    <row r="3065" spans="1:30" x14ac:dyDescent="0.2">
      <c r="A3065" t="str">
        <f t="shared" si="270"/>
        <v/>
      </c>
      <c r="X3065" t="str" cm="1">
        <f t="array" ref="X3065">IF(S3065="","",IF($I3065&lt;&gt;"",$I3065,INDEX($I$2:$I3064,ROW()-COUNTIFS($T$2:$T3064,"="&amp;$T3065,$S$2:$S3064,"&lt;&gt;"&amp;$S3065)-1)))</f>
        <v/>
      </c>
      <c r="Y3065" t="b">
        <f>IF(X3065&lt;&gt;"",VLOOKUP(X3065,game_rosters!$C$43:$E$64,3,FALSE))</f>
        <v>0</v>
      </c>
      <c r="Z3065" t="e" cm="1" vm="1">
        <f t="array" aca="1" ref="Z3065" ca="1">IFERROR(IF(_xlfn._xlws.FILTER(game_rosters!$J:$J,(game_rosters!$G:$G=events!$AN3065)*(game_rosters!$J:$J=events!$X3065))&gt;0,1,""),"")</f>
        <v>#VALUE!</v>
      </c>
      <c r="AA3065">
        <f t="shared" si="271"/>
        <v>1000</v>
      </c>
      <c r="AB3065" t="str">
        <f t="shared" si="272"/>
        <v/>
      </c>
      <c r="AC3065">
        <f t="shared" si="269"/>
        <v>1000</v>
      </c>
      <c r="AD3065" s="6"/>
    </row>
    <row r="3066" spans="1:30" x14ac:dyDescent="0.2">
      <c r="A3066" t="str">
        <f t="shared" si="270"/>
        <v/>
      </c>
      <c r="X3066" t="str" cm="1">
        <f t="array" ref="X3066">IF(S3066="","",IF($I3066&lt;&gt;"",$I3066,INDEX($I$2:$I3065,ROW()-COUNTIFS($T$2:$T3065,"="&amp;$T3066,$S$2:$S3065,"&lt;&gt;"&amp;$S3066)-1)))</f>
        <v/>
      </c>
      <c r="Y3066" t="b">
        <f>IF(X3066&lt;&gt;"",VLOOKUP(X3066,game_rosters!$C$43:$E$64,3,FALSE))</f>
        <v>0</v>
      </c>
      <c r="Z3066" t="e" cm="1" vm="1">
        <f t="array" aca="1" ref="Z3066" ca="1">IFERROR(IF(_xlfn._xlws.FILTER(game_rosters!$J:$J,(game_rosters!$G:$G=events!$AN3066)*(game_rosters!$J:$J=events!$X3066))&gt;0,1,""),"")</f>
        <v>#VALUE!</v>
      </c>
      <c r="AA3066">
        <f t="shared" si="271"/>
        <v>1000</v>
      </c>
      <c r="AB3066" t="str">
        <f t="shared" si="272"/>
        <v/>
      </c>
      <c r="AC3066">
        <f t="shared" si="269"/>
        <v>1000</v>
      </c>
      <c r="AD3066" s="6"/>
    </row>
    <row r="3067" spans="1:30" x14ac:dyDescent="0.2">
      <c r="A3067" t="str">
        <f t="shared" si="270"/>
        <v/>
      </c>
      <c r="X3067" t="str" cm="1">
        <f t="array" ref="X3067">IF(S3067="","",IF($I3067&lt;&gt;"",$I3067,INDEX($I$2:$I3066,ROW()-COUNTIFS($T$2:$T3066,"="&amp;$T3067,$S$2:$S3066,"&lt;&gt;"&amp;$S3067)-1)))</f>
        <v/>
      </c>
      <c r="Y3067" t="b">
        <f>IF(X3067&lt;&gt;"",VLOOKUP(X3067,game_rosters!$C$43:$E$64,3,FALSE))</f>
        <v>0</v>
      </c>
      <c r="Z3067" t="e" cm="1" vm="1">
        <f t="array" aca="1" ref="Z3067" ca="1">IFERROR(IF(_xlfn._xlws.FILTER(game_rosters!$J:$J,(game_rosters!$G:$G=events!$AN3067)*(game_rosters!$J:$J=events!$X3067))&gt;0,1,""),"")</f>
        <v>#VALUE!</v>
      </c>
      <c r="AA3067">
        <f t="shared" si="271"/>
        <v>1000</v>
      </c>
      <c r="AB3067" t="str">
        <f t="shared" si="272"/>
        <v/>
      </c>
      <c r="AC3067">
        <f t="shared" si="269"/>
        <v>1000</v>
      </c>
      <c r="AD3067" s="6"/>
    </row>
    <row r="3068" spans="1:30" x14ac:dyDescent="0.2">
      <c r="A3068" t="str">
        <f t="shared" si="270"/>
        <v/>
      </c>
      <c r="X3068" t="str" cm="1">
        <f t="array" ref="X3068">IF(S3068="","",IF($I3068&lt;&gt;"",$I3068,INDEX($I$2:$I3067,ROW()-COUNTIFS($T$2:$T3067,"="&amp;$T3068,$S$2:$S3067,"&lt;&gt;"&amp;$S3068)-1)))</f>
        <v/>
      </c>
      <c r="Y3068" t="b">
        <f>IF(X3068&lt;&gt;"",VLOOKUP(X3068,game_rosters!$C$43:$E$64,3,FALSE))</f>
        <v>0</v>
      </c>
      <c r="Z3068" t="e" cm="1" vm="1">
        <f t="array" aca="1" ref="Z3068" ca="1">IFERROR(IF(_xlfn._xlws.FILTER(game_rosters!$J:$J,(game_rosters!$G:$G=events!$AN3068)*(game_rosters!$J:$J=events!$X3068))&gt;0,1,""),"")</f>
        <v>#VALUE!</v>
      </c>
      <c r="AA3068">
        <f t="shared" si="271"/>
        <v>1000</v>
      </c>
      <c r="AB3068" t="str">
        <f t="shared" si="272"/>
        <v/>
      </c>
      <c r="AC3068">
        <f t="shared" si="269"/>
        <v>1000</v>
      </c>
      <c r="AD3068" s="6"/>
    </row>
    <row r="3069" spans="1:30" x14ac:dyDescent="0.2">
      <c r="A3069" t="str">
        <f t="shared" si="270"/>
        <v/>
      </c>
      <c r="X3069" t="str" cm="1">
        <f t="array" ref="X3069">IF(S3069="","",IF($I3069&lt;&gt;"",$I3069,INDEX($I$2:$I3068,ROW()-COUNTIFS($T$2:$T3068,"="&amp;$T3069,$S$2:$S3068,"&lt;&gt;"&amp;$S3069)-1)))</f>
        <v/>
      </c>
      <c r="Y3069" t="b">
        <f>IF(X3069&lt;&gt;"",VLOOKUP(X3069,game_rosters!$C$43:$E$64,3,FALSE))</f>
        <v>0</v>
      </c>
      <c r="Z3069" t="e" cm="1" vm="1">
        <f t="array" aca="1" ref="Z3069" ca="1">IFERROR(IF(_xlfn._xlws.FILTER(game_rosters!$J:$J,(game_rosters!$G:$G=events!$AN3069)*(game_rosters!$J:$J=events!$X3069))&gt;0,1,""),"")</f>
        <v>#VALUE!</v>
      </c>
      <c r="AA3069">
        <f t="shared" si="271"/>
        <v>1000</v>
      </c>
      <c r="AB3069" t="str">
        <f t="shared" si="272"/>
        <v/>
      </c>
      <c r="AC3069">
        <f t="shared" si="269"/>
        <v>1000</v>
      </c>
      <c r="AD3069" s="6"/>
    </row>
    <row r="3070" spans="1:30" x14ac:dyDescent="0.2">
      <c r="A3070" t="str">
        <f t="shared" si="270"/>
        <v/>
      </c>
      <c r="X3070" t="str" cm="1">
        <f t="array" ref="X3070">IF(S3070="","",IF($I3070&lt;&gt;"",$I3070,INDEX($I$2:$I3069,ROW()-COUNTIFS($T$2:$T3069,"="&amp;$T3070,$S$2:$S3069,"&lt;&gt;"&amp;$S3070)-1)))</f>
        <v/>
      </c>
      <c r="Y3070" t="b">
        <f>IF(X3070&lt;&gt;"",VLOOKUP(X3070,game_rosters!$C$43:$E$64,3,FALSE))</f>
        <v>0</v>
      </c>
      <c r="Z3070" t="e" cm="1" vm="1">
        <f t="array" aca="1" ref="Z3070" ca="1">IFERROR(IF(_xlfn._xlws.FILTER(game_rosters!$J:$J,(game_rosters!$G:$G=events!$AN3070)*(game_rosters!$J:$J=events!$X3070))&gt;0,1,""),"")</f>
        <v>#VALUE!</v>
      </c>
      <c r="AA3070">
        <f t="shared" si="271"/>
        <v>1000</v>
      </c>
      <c r="AB3070" t="str">
        <f t="shared" si="272"/>
        <v/>
      </c>
      <c r="AC3070">
        <f t="shared" si="269"/>
        <v>1000</v>
      </c>
      <c r="AD3070" s="6"/>
    </row>
    <row r="3071" spans="1:30" x14ac:dyDescent="0.2">
      <c r="A3071" t="str">
        <f t="shared" si="270"/>
        <v/>
      </c>
      <c r="X3071" t="str" cm="1">
        <f t="array" ref="X3071">IF(S3071="","",IF($I3071&lt;&gt;"",$I3071,INDEX($I$2:$I3070,ROW()-COUNTIFS($T$2:$T3070,"="&amp;$T3071,$S$2:$S3070,"&lt;&gt;"&amp;$S3071)-1)))</f>
        <v/>
      </c>
      <c r="Y3071" t="b">
        <f>IF(X3071&lt;&gt;"",VLOOKUP(X3071,game_rosters!$C$43:$E$64,3,FALSE))</f>
        <v>0</v>
      </c>
      <c r="Z3071" t="e" cm="1" vm="1">
        <f t="array" aca="1" ref="Z3071" ca="1">IFERROR(IF(_xlfn._xlws.FILTER(game_rosters!$J:$J,(game_rosters!$G:$G=events!$AN3071)*(game_rosters!$J:$J=events!$X3071))&gt;0,1,""),"")</f>
        <v>#VALUE!</v>
      </c>
      <c r="AA3071">
        <f t="shared" si="271"/>
        <v>1000</v>
      </c>
      <c r="AB3071" t="str">
        <f t="shared" si="272"/>
        <v/>
      </c>
      <c r="AC3071">
        <f t="shared" si="269"/>
        <v>1000</v>
      </c>
      <c r="AD3071" s="6"/>
    </row>
    <row r="3072" spans="1:30" x14ac:dyDescent="0.2">
      <c r="A3072" t="str">
        <f t="shared" si="270"/>
        <v/>
      </c>
      <c r="X3072" t="str" cm="1">
        <f t="array" ref="X3072">IF(S3072="","",IF($I3072&lt;&gt;"",$I3072,INDEX($I$2:$I3071,ROW()-COUNTIFS($T$2:$T3071,"="&amp;$T3072,$S$2:$S3071,"&lt;&gt;"&amp;$S3072)-1)))</f>
        <v/>
      </c>
      <c r="Y3072" t="b">
        <f>IF(X3072&lt;&gt;"",VLOOKUP(X3072,game_rosters!$C$43:$E$64,3,FALSE))</f>
        <v>0</v>
      </c>
      <c r="Z3072" t="e" cm="1" vm="1">
        <f t="array" aca="1" ref="Z3072" ca="1">IFERROR(IF(_xlfn._xlws.FILTER(game_rosters!$J:$J,(game_rosters!$G:$G=events!$AN3072)*(game_rosters!$J:$J=events!$X3072))&gt;0,1,""),"")</f>
        <v>#VALUE!</v>
      </c>
      <c r="AA3072">
        <f t="shared" si="271"/>
        <v>1000</v>
      </c>
      <c r="AB3072" t="str">
        <f t="shared" si="272"/>
        <v/>
      </c>
      <c r="AC3072">
        <f t="shared" si="269"/>
        <v>1000</v>
      </c>
      <c r="AD3072" s="6"/>
    </row>
    <row r="3073" spans="1:30" x14ac:dyDescent="0.2">
      <c r="A3073" t="str">
        <f t="shared" si="270"/>
        <v/>
      </c>
      <c r="X3073" t="str" cm="1">
        <f t="array" ref="X3073">IF(S3073="","",IF($I3073&lt;&gt;"",$I3073,INDEX($I$2:$I3072,ROW()-COUNTIFS($T$2:$T3072,"="&amp;$T3073,$S$2:$S3072,"&lt;&gt;"&amp;$S3073)-1)))</f>
        <v/>
      </c>
      <c r="Y3073" t="b">
        <f>IF(X3073&lt;&gt;"",VLOOKUP(X3073,game_rosters!$C$43:$E$64,3,FALSE))</f>
        <v>0</v>
      </c>
      <c r="Z3073" t="e" cm="1" vm="1">
        <f t="array" aca="1" ref="Z3073" ca="1">IFERROR(IF(_xlfn._xlws.FILTER(game_rosters!$J:$J,(game_rosters!$G:$G=events!$AN3073)*(game_rosters!$J:$J=events!$X3073))&gt;0,1,""),"")</f>
        <v>#VALUE!</v>
      </c>
      <c r="AA3073">
        <f t="shared" si="271"/>
        <v>1000</v>
      </c>
      <c r="AB3073" t="str">
        <f t="shared" si="272"/>
        <v/>
      </c>
      <c r="AC3073">
        <f t="shared" si="269"/>
        <v>1000</v>
      </c>
      <c r="AD3073" s="6"/>
    </row>
    <row r="3074" spans="1:30" x14ac:dyDescent="0.2">
      <c r="A3074" t="str">
        <f t="shared" si="270"/>
        <v/>
      </c>
      <c r="X3074" t="str" cm="1">
        <f t="array" ref="X3074">IF(S3074="","",IF($I3074&lt;&gt;"",$I3074,INDEX($I$2:$I3073,ROW()-COUNTIFS($T$2:$T3073,"="&amp;$T3074,$S$2:$S3073,"&lt;&gt;"&amp;$S3074)-1)))</f>
        <v/>
      </c>
      <c r="Y3074" t="b">
        <f>IF(X3074&lt;&gt;"",VLOOKUP(X3074,game_rosters!$C$43:$E$64,3,FALSE))</f>
        <v>0</v>
      </c>
      <c r="Z3074" t="e" cm="1" vm="1">
        <f t="array" aca="1" ref="Z3074" ca="1">IFERROR(IF(_xlfn._xlws.FILTER(game_rosters!$J:$J,(game_rosters!$G:$G=events!$AN3074)*(game_rosters!$J:$J=events!$X3074))&gt;0,1,""),"")</f>
        <v>#VALUE!</v>
      </c>
      <c r="AA3074">
        <f t="shared" si="271"/>
        <v>1000</v>
      </c>
      <c r="AB3074" t="str">
        <f t="shared" si="272"/>
        <v/>
      </c>
      <c r="AC3074">
        <f t="shared" ref="AC3074:AC3137" si="273">IF(AB3074&lt;&gt;"",AB3074,S3074+1000)</f>
        <v>1000</v>
      </c>
      <c r="AD3074" s="6"/>
    </row>
    <row r="3075" spans="1:30" x14ac:dyDescent="0.2">
      <c r="A3075" t="str">
        <f t="shared" si="270"/>
        <v/>
      </c>
      <c r="X3075" t="str" cm="1">
        <f t="array" ref="X3075">IF(S3075="","",IF($I3075&lt;&gt;"",$I3075,INDEX($I$2:$I3074,ROW()-COUNTIFS($T$2:$T3074,"="&amp;$T3075,$S$2:$S3074,"&lt;&gt;"&amp;$S3075)-1)))</f>
        <v/>
      </c>
      <c r="Y3075" t="b">
        <f>IF(X3075&lt;&gt;"",VLOOKUP(X3075,game_rosters!$C$43:$E$64,3,FALSE))</f>
        <v>0</v>
      </c>
      <c r="Z3075" t="e" cm="1" vm="1">
        <f t="array" aca="1" ref="Z3075" ca="1">IFERROR(IF(_xlfn._xlws.FILTER(game_rosters!$J:$J,(game_rosters!$G:$G=events!$AN3075)*(game_rosters!$J:$J=events!$X3075))&gt;0,1,""),"")</f>
        <v>#VALUE!</v>
      </c>
      <c r="AA3075">
        <f t="shared" si="271"/>
        <v>1000</v>
      </c>
      <c r="AB3075" t="str">
        <f t="shared" si="272"/>
        <v/>
      </c>
      <c r="AC3075">
        <f t="shared" si="273"/>
        <v>1000</v>
      </c>
      <c r="AD3075" s="6"/>
    </row>
    <row r="3076" spans="1:30" x14ac:dyDescent="0.2">
      <c r="A3076" t="str">
        <f t="shared" si="270"/>
        <v/>
      </c>
      <c r="X3076" t="str" cm="1">
        <f t="array" ref="X3076">IF(S3076="","",IF($I3076&lt;&gt;"",$I3076,INDEX($I$2:$I3075,ROW()-COUNTIFS($T$2:$T3075,"="&amp;$T3076,$S$2:$S3075,"&lt;&gt;"&amp;$S3076)-1)))</f>
        <v/>
      </c>
      <c r="Y3076" t="b">
        <f>IF(X3076&lt;&gt;"",VLOOKUP(X3076,game_rosters!$C$43:$E$64,3,FALSE))</f>
        <v>0</v>
      </c>
      <c r="Z3076" t="e" cm="1" vm="1">
        <f t="array" aca="1" ref="Z3076" ca="1">IFERROR(IF(_xlfn._xlws.FILTER(game_rosters!$J:$J,(game_rosters!$G:$G=events!$AN3076)*(game_rosters!$J:$J=events!$X3076))&gt;0,1,""),"")</f>
        <v>#VALUE!</v>
      </c>
      <c r="AA3076">
        <f t="shared" si="271"/>
        <v>1000</v>
      </c>
      <c r="AB3076" t="str">
        <f t="shared" si="272"/>
        <v/>
      </c>
      <c r="AC3076">
        <f t="shared" si="273"/>
        <v>1000</v>
      </c>
      <c r="AD3076" s="6"/>
    </row>
    <row r="3077" spans="1:30" x14ac:dyDescent="0.2">
      <c r="A3077" t="str">
        <f t="shared" ref="A3077:A3140" si="274">IF(K3077&lt;&gt;"",1,IF(D3077="x","x",""))</f>
        <v/>
      </c>
      <c r="X3077" t="str" cm="1">
        <f t="array" ref="X3077">IF(S3077="","",IF($I3077&lt;&gt;"",$I3077,INDEX($I$2:$I3076,ROW()-COUNTIFS($T$2:$T3076,"="&amp;$T3077,$S$2:$S3076,"&lt;&gt;"&amp;$S3077)-1)))</f>
        <v/>
      </c>
      <c r="Y3077" t="b">
        <f>IF(X3077&lt;&gt;"",VLOOKUP(X3077,game_rosters!$C$43:$E$64,3,FALSE))</f>
        <v>0</v>
      </c>
      <c r="Z3077" t="e" cm="1" vm="1">
        <f t="array" aca="1" ref="Z3077" ca="1">IFERROR(IF(_xlfn._xlws.FILTER(game_rosters!$J:$J,(game_rosters!$G:$G=events!$AN3077)*(game_rosters!$J:$J=events!$X3077))&gt;0,1,""),"")</f>
        <v>#VALUE!</v>
      </c>
      <c r="AA3077">
        <f t="shared" si="271"/>
        <v>1000</v>
      </c>
      <c r="AB3077" t="str">
        <f t="shared" si="272"/>
        <v/>
      </c>
      <c r="AC3077">
        <f t="shared" si="273"/>
        <v>1000</v>
      </c>
      <c r="AD3077" s="6"/>
    </row>
    <row r="3078" spans="1:30" x14ac:dyDescent="0.2">
      <c r="A3078" t="str">
        <f t="shared" si="274"/>
        <v/>
      </c>
      <c r="X3078" t="str" cm="1">
        <f t="array" ref="X3078">IF(S3078="","",IF($I3078&lt;&gt;"",$I3078,INDEX($I$2:$I3077,ROW()-COUNTIFS($T$2:$T3077,"="&amp;$T3078,$S$2:$S3077,"&lt;&gt;"&amp;$S3078)-1)))</f>
        <v/>
      </c>
      <c r="Y3078" t="b">
        <f>IF(X3078&lt;&gt;"",VLOOKUP(X3078,game_rosters!$C$43:$E$64,3,FALSE))</f>
        <v>0</v>
      </c>
      <c r="Z3078" t="e" cm="1" vm="1">
        <f t="array" aca="1" ref="Z3078" ca="1">IFERROR(IF(_xlfn._xlws.FILTER(game_rosters!$J:$J,(game_rosters!$G:$G=events!$AN3078)*(game_rosters!$J:$J=events!$X3078))&gt;0,1,""),"")</f>
        <v>#VALUE!</v>
      </c>
      <c r="AA3078">
        <f t="shared" si="271"/>
        <v>1000</v>
      </c>
      <c r="AB3078" t="str">
        <f t="shared" si="272"/>
        <v/>
      </c>
      <c r="AC3078">
        <f t="shared" si="273"/>
        <v>1000</v>
      </c>
      <c r="AD3078" s="6"/>
    </row>
    <row r="3079" spans="1:30" x14ac:dyDescent="0.2">
      <c r="A3079" t="str">
        <f t="shared" si="274"/>
        <v/>
      </c>
      <c r="X3079" t="str" cm="1">
        <f t="array" ref="X3079">IF(S3079="","",IF($I3079&lt;&gt;"",$I3079,INDEX($I$2:$I3078,ROW()-COUNTIFS($T$2:$T3078,"="&amp;$T3079,$S$2:$S3078,"&lt;&gt;"&amp;$S3079)-1)))</f>
        <v/>
      </c>
      <c r="Y3079" t="b">
        <f>IF(X3079&lt;&gt;"",VLOOKUP(X3079,game_rosters!$C$43:$E$64,3,FALSE))</f>
        <v>0</v>
      </c>
      <c r="Z3079" t="e" cm="1" vm="1">
        <f t="array" aca="1" ref="Z3079" ca="1">IFERROR(IF(_xlfn._xlws.FILTER(game_rosters!$J:$J,(game_rosters!$G:$G=events!$AN3079)*(game_rosters!$J:$J=events!$X3079))&gt;0,1,""),"")</f>
        <v>#VALUE!</v>
      </c>
      <c r="AA3079">
        <f t="shared" si="271"/>
        <v>1000</v>
      </c>
      <c r="AB3079" t="str">
        <f t="shared" si="272"/>
        <v/>
      </c>
      <c r="AC3079">
        <f t="shared" si="273"/>
        <v>1000</v>
      </c>
      <c r="AD3079" s="6"/>
    </row>
    <row r="3080" spans="1:30" x14ac:dyDescent="0.2">
      <c r="A3080" t="str">
        <f t="shared" si="274"/>
        <v/>
      </c>
      <c r="X3080" t="str" cm="1">
        <f t="array" ref="X3080">IF(S3080="","",IF($I3080&lt;&gt;"",$I3080,INDEX($I$2:$I3079,ROW()-COUNTIFS($T$2:$T3079,"="&amp;$T3080,$S$2:$S3079,"&lt;&gt;"&amp;$S3080)-1)))</f>
        <v/>
      </c>
      <c r="Y3080" t="b">
        <f>IF(X3080&lt;&gt;"",VLOOKUP(X3080,game_rosters!$C$43:$E$64,3,FALSE))</f>
        <v>0</v>
      </c>
      <c r="Z3080" t="e" cm="1" vm="1">
        <f t="array" aca="1" ref="Z3080" ca="1">IFERROR(IF(_xlfn._xlws.FILTER(game_rosters!$J:$J,(game_rosters!$G:$G=events!$AN3080)*(game_rosters!$J:$J=events!$X3080))&gt;0,1,""),"")</f>
        <v>#VALUE!</v>
      </c>
      <c r="AA3080">
        <f t="shared" si="271"/>
        <v>1000</v>
      </c>
      <c r="AB3080" t="str">
        <f t="shared" si="272"/>
        <v/>
      </c>
      <c r="AC3080">
        <f t="shared" si="273"/>
        <v>1000</v>
      </c>
      <c r="AD3080" s="6"/>
    </row>
    <row r="3081" spans="1:30" x14ac:dyDescent="0.2">
      <c r="A3081" t="str">
        <f t="shared" si="274"/>
        <v/>
      </c>
      <c r="X3081" t="str" cm="1">
        <f t="array" ref="X3081">IF(S3081="","",IF($I3081&lt;&gt;"",$I3081,INDEX($I$2:$I3080,ROW()-COUNTIFS($T$2:$T3080,"="&amp;$T3081,$S$2:$S3080,"&lt;&gt;"&amp;$S3081)-1)))</f>
        <v/>
      </c>
      <c r="Y3081" t="b">
        <f>IF(X3081&lt;&gt;"",VLOOKUP(X3081,game_rosters!$C$43:$E$64,3,FALSE))</f>
        <v>0</v>
      </c>
      <c r="Z3081" t="e" cm="1" vm="1">
        <f t="array" aca="1" ref="Z3081" ca="1">IFERROR(IF(_xlfn._xlws.FILTER(game_rosters!$J:$J,(game_rosters!$G:$G=events!$AN3081)*(game_rosters!$J:$J=events!$X3081))&gt;0,1,""),"")</f>
        <v>#VALUE!</v>
      </c>
      <c r="AA3081">
        <f t="shared" si="271"/>
        <v>1000</v>
      </c>
      <c r="AB3081" t="str">
        <f t="shared" si="272"/>
        <v/>
      </c>
      <c r="AC3081">
        <f t="shared" si="273"/>
        <v>1000</v>
      </c>
      <c r="AD3081" s="6"/>
    </row>
    <row r="3082" spans="1:30" x14ac:dyDescent="0.2">
      <c r="A3082" t="str">
        <f t="shared" si="274"/>
        <v/>
      </c>
      <c r="X3082" t="str" cm="1">
        <f t="array" ref="X3082">IF(S3082="","",IF($I3082&lt;&gt;"",$I3082,INDEX($I$2:$I3081,ROW()-COUNTIFS($T$2:$T3081,"="&amp;$T3082,$S$2:$S3081,"&lt;&gt;"&amp;$S3082)-1)))</f>
        <v/>
      </c>
      <c r="Y3082" t="b">
        <f>IF(X3082&lt;&gt;"",VLOOKUP(X3082,game_rosters!$C$43:$E$64,3,FALSE))</f>
        <v>0</v>
      </c>
      <c r="Z3082" t="e" cm="1" vm="1">
        <f t="array" aca="1" ref="Z3082" ca="1">IFERROR(IF(_xlfn._xlws.FILTER(game_rosters!$J:$J,(game_rosters!$G:$G=events!$AN3082)*(game_rosters!$J:$J=events!$X3082))&gt;0,1,""),"")</f>
        <v>#VALUE!</v>
      </c>
      <c r="AA3082">
        <f t="shared" si="271"/>
        <v>1000</v>
      </c>
      <c r="AB3082" t="str">
        <f t="shared" si="272"/>
        <v/>
      </c>
      <c r="AC3082">
        <f t="shared" si="273"/>
        <v>1000</v>
      </c>
      <c r="AD3082" s="6"/>
    </row>
    <row r="3083" spans="1:30" x14ac:dyDescent="0.2">
      <c r="A3083" t="str">
        <f t="shared" si="274"/>
        <v/>
      </c>
      <c r="X3083" t="str" cm="1">
        <f t="array" ref="X3083">IF(S3083="","",IF($I3083&lt;&gt;"",$I3083,INDEX($I$2:$I3082,ROW()-COUNTIFS($T$2:$T3082,"="&amp;$T3083,$S$2:$S3082,"&lt;&gt;"&amp;$S3083)-1)))</f>
        <v/>
      </c>
      <c r="Y3083" t="b">
        <f>IF(X3083&lt;&gt;"",VLOOKUP(X3083,game_rosters!$C$43:$E$64,3,FALSE))</f>
        <v>0</v>
      </c>
      <c r="Z3083" t="e" cm="1" vm="1">
        <f t="array" aca="1" ref="Z3083" ca="1">IFERROR(IF(_xlfn._xlws.FILTER(game_rosters!$J:$J,(game_rosters!$G:$G=events!$AN3083)*(game_rosters!$J:$J=events!$X3083))&gt;0,1,""),"")</f>
        <v>#VALUE!</v>
      </c>
      <c r="AA3083">
        <f t="shared" si="271"/>
        <v>1000</v>
      </c>
      <c r="AB3083" t="str">
        <f t="shared" si="272"/>
        <v/>
      </c>
      <c r="AC3083">
        <f t="shared" si="273"/>
        <v>1000</v>
      </c>
      <c r="AD3083" s="6"/>
    </row>
    <row r="3084" spans="1:30" x14ac:dyDescent="0.2">
      <c r="A3084" t="str">
        <f t="shared" si="274"/>
        <v/>
      </c>
      <c r="X3084" t="str" cm="1">
        <f t="array" ref="X3084">IF(S3084="","",IF($I3084&lt;&gt;"",$I3084,INDEX($I$2:$I3083,ROW()-COUNTIFS($T$2:$T3083,"="&amp;$T3084,$S$2:$S3083,"&lt;&gt;"&amp;$S3084)-1)))</f>
        <v/>
      </c>
      <c r="Y3084" t="b">
        <f>IF(X3084&lt;&gt;"",VLOOKUP(X3084,game_rosters!$C$43:$E$64,3,FALSE))</f>
        <v>0</v>
      </c>
      <c r="Z3084" t="e" cm="1" vm="1">
        <f t="array" aca="1" ref="Z3084" ca="1">IFERROR(IF(_xlfn._xlws.FILTER(game_rosters!$J:$J,(game_rosters!$G:$G=events!$AN3084)*(game_rosters!$J:$J=events!$X3084))&gt;0,1,""),"")</f>
        <v>#VALUE!</v>
      </c>
      <c r="AA3084">
        <f t="shared" si="271"/>
        <v>1000</v>
      </c>
      <c r="AB3084" t="str">
        <f t="shared" si="272"/>
        <v/>
      </c>
      <c r="AC3084">
        <f t="shared" si="273"/>
        <v>1000</v>
      </c>
      <c r="AD3084" s="6"/>
    </row>
    <row r="3085" spans="1:30" x14ac:dyDescent="0.2">
      <c r="A3085" t="str">
        <f t="shared" si="274"/>
        <v/>
      </c>
      <c r="X3085" t="str" cm="1">
        <f t="array" ref="X3085">IF(S3085="","",IF($I3085&lt;&gt;"",$I3085,INDEX($I$2:$I3084,ROW()-COUNTIFS($T$2:$T3084,"="&amp;$T3085,$S$2:$S3084,"&lt;&gt;"&amp;$S3085)-1)))</f>
        <v/>
      </c>
      <c r="Y3085" t="b">
        <f>IF(X3085&lt;&gt;"",VLOOKUP(X3085,game_rosters!$C$43:$E$64,3,FALSE))</f>
        <v>0</v>
      </c>
      <c r="Z3085" t="e" cm="1" vm="1">
        <f t="array" aca="1" ref="Z3085" ca="1">IFERROR(IF(_xlfn._xlws.FILTER(game_rosters!$J:$J,(game_rosters!$G:$G=events!$AN3085)*(game_rosters!$J:$J=events!$X3085))&gt;0,1,""),"")</f>
        <v>#VALUE!</v>
      </c>
      <c r="AA3085">
        <f t="shared" si="271"/>
        <v>1000</v>
      </c>
      <c r="AB3085" t="str">
        <f t="shared" si="272"/>
        <v/>
      </c>
      <c r="AC3085">
        <f t="shared" si="273"/>
        <v>1000</v>
      </c>
      <c r="AD3085" s="6"/>
    </row>
    <row r="3086" spans="1:30" x14ac:dyDescent="0.2">
      <c r="A3086" t="str">
        <f t="shared" si="274"/>
        <v/>
      </c>
      <c r="X3086" t="str" cm="1">
        <f t="array" ref="X3086">IF(S3086="","",IF($I3086&lt;&gt;"",$I3086,INDEX($I$2:$I3085,ROW()-COUNTIFS($T$2:$T3085,"="&amp;$T3086,$S$2:$S3085,"&lt;&gt;"&amp;$S3086)-1)))</f>
        <v/>
      </c>
      <c r="Y3086" t="b">
        <f>IF(X3086&lt;&gt;"",VLOOKUP(X3086,game_rosters!$C$43:$E$64,3,FALSE))</f>
        <v>0</v>
      </c>
      <c r="Z3086" t="e" cm="1" vm="1">
        <f t="array" aca="1" ref="Z3086" ca="1">IFERROR(IF(_xlfn._xlws.FILTER(game_rosters!$J:$J,(game_rosters!$G:$G=events!$AN3086)*(game_rosters!$J:$J=events!$X3086))&gt;0,1,""),"")</f>
        <v>#VALUE!</v>
      </c>
      <c r="AA3086">
        <f t="shared" si="271"/>
        <v>1000</v>
      </c>
      <c r="AB3086" t="str">
        <f t="shared" si="272"/>
        <v/>
      </c>
      <c r="AC3086">
        <f t="shared" si="273"/>
        <v>1000</v>
      </c>
      <c r="AD3086" s="6"/>
    </row>
    <row r="3087" spans="1:30" x14ac:dyDescent="0.2">
      <c r="A3087" t="str">
        <f t="shared" si="274"/>
        <v/>
      </c>
      <c r="X3087" t="str" cm="1">
        <f t="array" ref="X3087">IF(S3087="","",IF($I3087&lt;&gt;"",$I3087,INDEX($I$2:$I3086,ROW()-COUNTIFS($T$2:$T3086,"="&amp;$T3087,$S$2:$S3086,"&lt;&gt;"&amp;$S3087)-1)))</f>
        <v/>
      </c>
      <c r="Y3087" t="b">
        <f>IF(X3087&lt;&gt;"",VLOOKUP(X3087,game_rosters!$C$43:$E$64,3,FALSE))</f>
        <v>0</v>
      </c>
      <c r="Z3087" t="e" cm="1" vm="1">
        <f t="array" aca="1" ref="Z3087" ca="1">IFERROR(IF(_xlfn._xlws.FILTER(game_rosters!$J:$J,(game_rosters!$G:$G=events!$AN3087)*(game_rosters!$J:$J=events!$X3087))&gt;0,1,""),"")</f>
        <v>#VALUE!</v>
      </c>
      <c r="AA3087">
        <f t="shared" si="271"/>
        <v>1000</v>
      </c>
      <c r="AB3087" t="str">
        <f t="shared" si="272"/>
        <v/>
      </c>
      <c r="AC3087">
        <f t="shared" si="273"/>
        <v>1000</v>
      </c>
      <c r="AD3087" s="6"/>
    </row>
    <row r="3088" spans="1:30" x14ac:dyDescent="0.2">
      <c r="A3088" t="str">
        <f t="shared" si="274"/>
        <v/>
      </c>
      <c r="X3088" t="str" cm="1">
        <f t="array" ref="X3088">IF(S3088="","",IF($I3088&lt;&gt;"",$I3088,INDEX($I$2:$I3087,ROW()-COUNTIFS($T$2:$T3087,"="&amp;$T3088,$S$2:$S3087,"&lt;&gt;"&amp;$S3088)-1)))</f>
        <v/>
      </c>
      <c r="Y3088" t="b">
        <f>IF(X3088&lt;&gt;"",VLOOKUP(X3088,game_rosters!$C$43:$E$64,3,FALSE))</f>
        <v>0</v>
      </c>
      <c r="Z3088" t="e" cm="1" vm="1">
        <f t="array" aca="1" ref="Z3088" ca="1">IFERROR(IF(_xlfn._xlws.FILTER(game_rosters!$J:$J,(game_rosters!$G:$G=events!$AN3088)*(game_rosters!$J:$J=events!$X3088))&gt;0,1,""),"")</f>
        <v>#VALUE!</v>
      </c>
      <c r="AA3088">
        <f t="shared" si="271"/>
        <v>1000</v>
      </c>
      <c r="AB3088" t="str">
        <f t="shared" si="272"/>
        <v/>
      </c>
      <c r="AC3088">
        <f t="shared" si="273"/>
        <v>1000</v>
      </c>
      <c r="AD3088" s="6"/>
    </row>
    <row r="3089" spans="1:30" x14ac:dyDescent="0.2">
      <c r="A3089" t="str">
        <f t="shared" si="274"/>
        <v/>
      </c>
      <c r="X3089" t="str" cm="1">
        <f t="array" ref="X3089">IF(S3089="","",IF($I3089&lt;&gt;"",$I3089,INDEX($I$2:$I3088,ROW()-COUNTIFS($T$2:$T3088,"="&amp;$T3089,$S$2:$S3088,"&lt;&gt;"&amp;$S3089)-1)))</f>
        <v/>
      </c>
      <c r="Y3089" t="b">
        <f>IF(X3089&lt;&gt;"",VLOOKUP(X3089,game_rosters!$C$43:$E$64,3,FALSE))</f>
        <v>0</v>
      </c>
      <c r="Z3089" t="e" cm="1" vm="1">
        <f t="array" aca="1" ref="Z3089" ca="1">IFERROR(IF(_xlfn._xlws.FILTER(game_rosters!$J:$J,(game_rosters!$G:$G=events!$AN3089)*(game_rosters!$J:$J=events!$X3089))&gt;0,1,""),"")</f>
        <v>#VALUE!</v>
      </c>
      <c r="AA3089">
        <f t="shared" si="271"/>
        <v>1000</v>
      </c>
      <c r="AB3089" t="str">
        <f t="shared" si="272"/>
        <v/>
      </c>
      <c r="AC3089">
        <f t="shared" si="273"/>
        <v>1000</v>
      </c>
      <c r="AD3089" s="6"/>
    </row>
    <row r="3090" spans="1:30" x14ac:dyDescent="0.2">
      <c r="A3090" t="str">
        <f t="shared" si="274"/>
        <v/>
      </c>
      <c r="X3090" t="str" cm="1">
        <f t="array" ref="X3090">IF(S3090="","",IF($I3090&lt;&gt;"",$I3090,INDEX($I$2:$I3089,ROW()-COUNTIFS($T$2:$T3089,"="&amp;$T3090,$S$2:$S3089,"&lt;&gt;"&amp;$S3090)-1)))</f>
        <v/>
      </c>
      <c r="Y3090" t="b">
        <f>IF(X3090&lt;&gt;"",VLOOKUP(X3090,game_rosters!$C$43:$E$64,3,FALSE))</f>
        <v>0</v>
      </c>
      <c r="Z3090" t="e" cm="1" vm="1">
        <f t="array" aca="1" ref="Z3090" ca="1">IFERROR(IF(_xlfn._xlws.FILTER(game_rosters!$J:$J,(game_rosters!$G:$G=events!$AN3090)*(game_rosters!$J:$J=events!$X3090))&gt;0,1,""),"")</f>
        <v>#VALUE!</v>
      </c>
      <c r="AA3090">
        <f t="shared" si="271"/>
        <v>1000</v>
      </c>
      <c r="AB3090" t="str">
        <f t="shared" si="272"/>
        <v/>
      </c>
      <c r="AC3090">
        <f t="shared" si="273"/>
        <v>1000</v>
      </c>
      <c r="AD3090" s="6"/>
    </row>
    <row r="3091" spans="1:30" x14ac:dyDescent="0.2">
      <c r="A3091" t="str">
        <f t="shared" si="274"/>
        <v/>
      </c>
      <c r="X3091" t="str" cm="1">
        <f t="array" ref="X3091">IF(S3091="","",IF($I3091&lt;&gt;"",$I3091,INDEX($I$2:$I3090,ROW()-COUNTIFS($T$2:$T3090,"="&amp;$T3091,$S$2:$S3090,"&lt;&gt;"&amp;$S3091)-1)))</f>
        <v/>
      </c>
      <c r="Y3091" t="b">
        <f>IF(X3091&lt;&gt;"",VLOOKUP(X3091,game_rosters!$C$43:$E$64,3,FALSE))</f>
        <v>0</v>
      </c>
      <c r="Z3091" t="e" cm="1" vm="1">
        <f t="array" aca="1" ref="Z3091" ca="1">IFERROR(IF(_xlfn._xlws.FILTER(game_rosters!$J:$J,(game_rosters!$G:$G=events!$AN3091)*(game_rosters!$J:$J=events!$X3091))&gt;0,1,""),"")</f>
        <v>#VALUE!</v>
      </c>
      <c r="AA3091">
        <f t="shared" si="271"/>
        <v>1000</v>
      </c>
      <c r="AB3091" t="str">
        <f t="shared" si="272"/>
        <v/>
      </c>
      <c r="AC3091">
        <f t="shared" si="273"/>
        <v>1000</v>
      </c>
      <c r="AD3091" s="6"/>
    </row>
    <row r="3092" spans="1:30" x14ac:dyDescent="0.2">
      <c r="A3092" t="str">
        <f t="shared" si="274"/>
        <v/>
      </c>
      <c r="X3092" t="str" cm="1">
        <f t="array" ref="X3092">IF(S3092="","",IF($I3092&lt;&gt;"",$I3092,INDEX($I$2:$I3091,ROW()-COUNTIFS($T$2:$T3091,"="&amp;$T3092,$S$2:$S3091,"&lt;&gt;"&amp;$S3092)-1)))</f>
        <v/>
      </c>
      <c r="Y3092" t="b">
        <f>IF(X3092&lt;&gt;"",VLOOKUP(X3092,game_rosters!$C$43:$E$64,3,FALSE))</f>
        <v>0</v>
      </c>
      <c r="Z3092" t="e" cm="1" vm="1">
        <f t="array" aca="1" ref="Z3092" ca="1">IFERROR(IF(_xlfn._xlws.FILTER(game_rosters!$J:$J,(game_rosters!$G:$G=events!$AN3092)*(game_rosters!$J:$J=events!$X3092))&gt;0,1,""),"")</f>
        <v>#VALUE!</v>
      </c>
      <c r="AA3092">
        <f t="shared" si="271"/>
        <v>1000</v>
      </c>
      <c r="AB3092" t="str">
        <f t="shared" si="272"/>
        <v/>
      </c>
      <c r="AC3092">
        <f t="shared" si="273"/>
        <v>1000</v>
      </c>
      <c r="AD3092" s="6"/>
    </row>
    <row r="3093" spans="1:30" x14ac:dyDescent="0.2">
      <c r="A3093" t="str">
        <f t="shared" si="274"/>
        <v/>
      </c>
      <c r="X3093" t="str" cm="1">
        <f t="array" ref="X3093">IF(S3093="","",IF($I3093&lt;&gt;"",$I3093,INDEX($I$2:$I3092,ROW()-COUNTIFS($T$2:$T3092,"="&amp;$T3093,$S$2:$S3092,"&lt;&gt;"&amp;$S3093)-1)))</f>
        <v/>
      </c>
      <c r="Y3093" t="b">
        <f>IF(X3093&lt;&gt;"",VLOOKUP(X3093,game_rosters!$C$43:$E$64,3,FALSE))</f>
        <v>0</v>
      </c>
      <c r="Z3093" t="e" cm="1" vm="1">
        <f t="array" aca="1" ref="Z3093" ca="1">IFERROR(IF(_xlfn._xlws.FILTER(game_rosters!$J:$J,(game_rosters!$G:$G=events!$AN3093)*(game_rosters!$J:$J=events!$X3093))&gt;0,1,""),"")</f>
        <v>#VALUE!</v>
      </c>
      <c r="AA3093">
        <f t="shared" si="271"/>
        <v>1000</v>
      </c>
      <c r="AB3093" t="str">
        <f t="shared" si="272"/>
        <v/>
      </c>
      <c r="AC3093">
        <f t="shared" si="273"/>
        <v>1000</v>
      </c>
      <c r="AD3093" s="6"/>
    </row>
    <row r="3094" spans="1:30" x14ac:dyDescent="0.2">
      <c r="A3094" t="str">
        <f t="shared" si="274"/>
        <v/>
      </c>
      <c r="X3094" t="str" cm="1">
        <f t="array" ref="X3094">IF(S3094="","",IF($I3094&lt;&gt;"",$I3094,INDEX($I$2:$I3093,ROW()-COUNTIFS($T$2:$T3093,"="&amp;$T3094,$S$2:$S3093,"&lt;&gt;"&amp;$S3094)-1)))</f>
        <v/>
      </c>
      <c r="Y3094" t="b">
        <f>IF(X3094&lt;&gt;"",VLOOKUP(X3094,game_rosters!$C$43:$E$64,3,FALSE))</f>
        <v>0</v>
      </c>
      <c r="Z3094" t="e" cm="1" vm="1">
        <f t="array" aca="1" ref="Z3094" ca="1">IFERROR(IF(_xlfn._xlws.FILTER(game_rosters!$J:$J,(game_rosters!$G:$G=events!$AN3094)*(game_rosters!$J:$J=events!$X3094))&gt;0,1,""),"")</f>
        <v>#VALUE!</v>
      </c>
      <c r="AA3094">
        <f t="shared" si="271"/>
        <v>1000</v>
      </c>
      <c r="AB3094" t="str">
        <f t="shared" si="272"/>
        <v/>
      </c>
      <c r="AC3094">
        <f t="shared" si="273"/>
        <v>1000</v>
      </c>
      <c r="AD3094" s="6"/>
    </row>
    <row r="3095" spans="1:30" x14ac:dyDescent="0.2">
      <c r="A3095" t="str">
        <f t="shared" si="274"/>
        <v/>
      </c>
      <c r="X3095" t="str" cm="1">
        <f t="array" ref="X3095">IF(S3095="","",IF($I3095&lt;&gt;"",$I3095,INDEX($I$2:$I3094,ROW()-COUNTIFS($T$2:$T3094,"="&amp;$T3095,$S$2:$S3094,"&lt;&gt;"&amp;$S3095)-1)))</f>
        <v/>
      </c>
      <c r="Y3095" t="b">
        <f>IF(X3095&lt;&gt;"",VLOOKUP(X3095,game_rosters!$C$43:$E$64,3,FALSE))</f>
        <v>0</v>
      </c>
      <c r="Z3095" t="e" cm="1" vm="1">
        <f t="array" aca="1" ref="Z3095" ca="1">IFERROR(IF(_xlfn._xlws.FILTER(game_rosters!$J:$J,(game_rosters!$G:$G=events!$AN3095)*(game_rosters!$J:$J=events!$X3095))&gt;0,1,""),"")</f>
        <v>#VALUE!</v>
      </c>
      <c r="AA3095">
        <f t="shared" si="271"/>
        <v>1000</v>
      </c>
      <c r="AB3095" t="str">
        <f t="shared" si="272"/>
        <v/>
      </c>
      <c r="AC3095">
        <f t="shared" si="273"/>
        <v>1000</v>
      </c>
      <c r="AD3095" s="6"/>
    </row>
    <row r="3096" spans="1:30" x14ac:dyDescent="0.2">
      <c r="A3096" t="str">
        <f t="shared" si="274"/>
        <v/>
      </c>
      <c r="X3096" t="str" cm="1">
        <f t="array" ref="X3096">IF(S3096="","",IF($I3096&lt;&gt;"",$I3096,INDEX($I$2:$I3095,ROW()-COUNTIFS($T$2:$T3095,"="&amp;$T3096,$S$2:$S3095,"&lt;&gt;"&amp;$S3096)-1)))</f>
        <v/>
      </c>
      <c r="Y3096" t="b">
        <f>IF(X3096&lt;&gt;"",VLOOKUP(X3096,game_rosters!$C$43:$E$64,3,FALSE))</f>
        <v>0</v>
      </c>
      <c r="Z3096" t="e" cm="1" vm="1">
        <f t="array" aca="1" ref="Z3096" ca="1">IFERROR(IF(_xlfn._xlws.FILTER(game_rosters!$J:$J,(game_rosters!$G:$G=events!$AN3096)*(game_rosters!$J:$J=events!$X3096))&gt;0,1,""),"")</f>
        <v>#VALUE!</v>
      </c>
      <c r="AA3096">
        <f t="shared" si="271"/>
        <v>1000</v>
      </c>
      <c r="AB3096" t="str">
        <f t="shared" si="272"/>
        <v/>
      </c>
      <c r="AC3096">
        <f t="shared" si="273"/>
        <v>1000</v>
      </c>
      <c r="AD3096" s="6"/>
    </row>
    <row r="3097" spans="1:30" x14ac:dyDescent="0.2">
      <c r="A3097" t="str">
        <f t="shared" si="274"/>
        <v/>
      </c>
      <c r="X3097" t="str" cm="1">
        <f t="array" ref="X3097">IF(S3097="","",IF($I3097&lt;&gt;"",$I3097,INDEX($I$2:$I3096,ROW()-COUNTIFS($T$2:$T3096,"="&amp;$T3097,$S$2:$S3096,"&lt;&gt;"&amp;$S3097)-1)))</f>
        <v/>
      </c>
      <c r="Y3097" t="b">
        <f>IF(X3097&lt;&gt;"",VLOOKUP(X3097,game_rosters!$C$43:$E$64,3,FALSE))</f>
        <v>0</v>
      </c>
      <c r="Z3097" t="e" cm="1" vm="1">
        <f t="array" aca="1" ref="Z3097" ca="1">IFERROR(IF(_xlfn._xlws.FILTER(game_rosters!$J:$J,(game_rosters!$G:$G=events!$AN3097)*(game_rosters!$J:$J=events!$X3097))&gt;0,1,""),"")</f>
        <v>#VALUE!</v>
      </c>
      <c r="AA3097">
        <f t="shared" si="271"/>
        <v>1000</v>
      </c>
      <c r="AB3097" t="str">
        <f t="shared" si="272"/>
        <v/>
      </c>
      <c r="AC3097">
        <f t="shared" si="273"/>
        <v>1000</v>
      </c>
      <c r="AD3097" s="6"/>
    </row>
    <row r="3098" spans="1:30" x14ac:dyDescent="0.2">
      <c r="A3098" t="str">
        <f t="shared" si="274"/>
        <v/>
      </c>
      <c r="X3098" t="str" cm="1">
        <f t="array" ref="X3098">IF(S3098="","",IF($I3098&lt;&gt;"",$I3098,INDEX($I$2:$I3097,ROW()-COUNTIFS($T$2:$T3097,"="&amp;$T3098,$S$2:$S3097,"&lt;&gt;"&amp;$S3098)-1)))</f>
        <v/>
      </c>
      <c r="Y3098" t="b">
        <f>IF(X3098&lt;&gt;"",VLOOKUP(X3098,game_rosters!$C$43:$E$64,3,FALSE))</f>
        <v>0</v>
      </c>
      <c r="Z3098" t="e" cm="1" vm="1">
        <f t="array" aca="1" ref="Z3098" ca="1">IFERROR(IF(_xlfn._xlws.FILTER(game_rosters!$J:$J,(game_rosters!$G:$G=events!$AN3098)*(game_rosters!$J:$J=events!$X3098))&gt;0,1,""),"")</f>
        <v>#VALUE!</v>
      </c>
      <c r="AA3098">
        <f t="shared" si="271"/>
        <v>1000</v>
      </c>
      <c r="AB3098" t="str">
        <f t="shared" si="272"/>
        <v/>
      </c>
      <c r="AC3098">
        <f t="shared" si="273"/>
        <v>1000</v>
      </c>
      <c r="AD3098" s="6"/>
    </row>
    <row r="3099" spans="1:30" x14ac:dyDescent="0.2">
      <c r="A3099" t="str">
        <f t="shared" si="274"/>
        <v/>
      </c>
      <c r="X3099" t="str" cm="1">
        <f t="array" ref="X3099">IF(S3099="","",IF($I3099&lt;&gt;"",$I3099,INDEX($I$2:$I3098,ROW()-COUNTIFS($T$2:$T3098,"="&amp;$T3099,$S$2:$S3098,"&lt;&gt;"&amp;$S3099)-1)))</f>
        <v/>
      </c>
      <c r="Y3099" t="b">
        <f>IF(X3099&lt;&gt;"",VLOOKUP(X3099,game_rosters!$C$43:$E$64,3,FALSE))</f>
        <v>0</v>
      </c>
      <c r="Z3099" t="e" cm="1" vm="1">
        <f t="array" aca="1" ref="Z3099" ca="1">IFERROR(IF(_xlfn._xlws.FILTER(game_rosters!$J:$J,(game_rosters!$G:$G=events!$AN3099)*(game_rosters!$J:$J=events!$X3099))&gt;0,1,""),"")</f>
        <v>#VALUE!</v>
      </c>
      <c r="AA3099">
        <f t="shared" si="271"/>
        <v>1000</v>
      </c>
      <c r="AB3099" t="str">
        <f t="shared" si="272"/>
        <v/>
      </c>
      <c r="AC3099">
        <f t="shared" si="273"/>
        <v>1000</v>
      </c>
      <c r="AD3099" s="6"/>
    </row>
    <row r="3100" spans="1:30" x14ac:dyDescent="0.2">
      <c r="A3100" t="str">
        <f t="shared" si="274"/>
        <v/>
      </c>
      <c r="X3100" t="str" cm="1">
        <f t="array" ref="X3100">IF(S3100="","",IF($I3100&lt;&gt;"",$I3100,INDEX($I$2:$I3099,ROW()-COUNTIFS($T$2:$T3099,"="&amp;$T3100,$S$2:$S3099,"&lt;&gt;"&amp;$S3100)-1)))</f>
        <v/>
      </c>
      <c r="Y3100" t="b">
        <f>IF(X3100&lt;&gt;"",VLOOKUP(X3100,game_rosters!$C$43:$E$64,3,FALSE))</f>
        <v>0</v>
      </c>
      <c r="Z3100" t="e" cm="1" vm="1">
        <f t="array" aca="1" ref="Z3100" ca="1">IFERROR(IF(_xlfn._xlws.FILTER(game_rosters!$J:$J,(game_rosters!$G:$G=events!$AN3100)*(game_rosters!$J:$J=events!$X3100))&gt;0,1,""),"")</f>
        <v>#VALUE!</v>
      </c>
      <c r="AA3100">
        <f t="shared" si="271"/>
        <v>1000</v>
      </c>
      <c r="AB3100" t="str">
        <f t="shared" si="272"/>
        <v/>
      </c>
      <c r="AC3100">
        <f t="shared" si="273"/>
        <v>1000</v>
      </c>
      <c r="AD3100" s="6"/>
    </row>
    <row r="3101" spans="1:30" x14ac:dyDescent="0.2">
      <c r="A3101" t="str">
        <f t="shared" si="274"/>
        <v/>
      </c>
      <c r="X3101" t="str" cm="1">
        <f t="array" ref="X3101">IF(S3101="","",IF($I3101&lt;&gt;"",$I3101,INDEX($I$2:$I3100,ROW()-COUNTIFS($T$2:$T3100,"="&amp;$T3101,$S$2:$S3100,"&lt;&gt;"&amp;$S3101)-1)))</f>
        <v/>
      </c>
      <c r="Y3101" t="b">
        <f>IF(X3101&lt;&gt;"",VLOOKUP(X3101,game_rosters!$C$43:$E$64,3,FALSE))</f>
        <v>0</v>
      </c>
      <c r="Z3101" t="e" cm="1" vm="1">
        <f t="array" aca="1" ref="Z3101" ca="1">IFERROR(IF(_xlfn._xlws.FILTER(game_rosters!$J:$J,(game_rosters!$G:$G=events!$AN3101)*(game_rosters!$J:$J=events!$X3101))&gt;0,1,""),"")</f>
        <v>#VALUE!</v>
      </c>
      <c r="AA3101">
        <f t="shared" ref="AA3101:AA3164" si="275">S3101+1000</f>
        <v>1000</v>
      </c>
      <c r="AB3101" t="str">
        <f t="shared" ref="AB3101:AB3164" si="276">IF(T3101&lt;&gt;"",9000+T3101,"")</f>
        <v/>
      </c>
      <c r="AC3101">
        <f t="shared" si="273"/>
        <v>1000</v>
      </c>
      <c r="AD3101" s="6"/>
    </row>
    <row r="3102" spans="1:30" x14ac:dyDescent="0.2">
      <c r="A3102" t="str">
        <f t="shared" si="274"/>
        <v/>
      </c>
      <c r="X3102" t="str" cm="1">
        <f t="array" ref="X3102">IF(S3102="","",IF($I3102&lt;&gt;"",$I3102,INDEX($I$2:$I3101,ROW()-COUNTIFS($T$2:$T3101,"="&amp;$T3102,$S$2:$S3101,"&lt;&gt;"&amp;$S3102)-1)))</f>
        <v/>
      </c>
      <c r="Y3102" t="b">
        <f>IF(X3102&lt;&gt;"",VLOOKUP(X3102,game_rosters!$C$43:$E$64,3,FALSE))</f>
        <v>0</v>
      </c>
      <c r="Z3102" t="e" cm="1" vm="1">
        <f t="array" aca="1" ref="Z3102" ca="1">IFERROR(IF(_xlfn._xlws.FILTER(game_rosters!$J:$J,(game_rosters!$G:$G=events!$AN3102)*(game_rosters!$J:$J=events!$X3102))&gt;0,1,""),"")</f>
        <v>#VALUE!</v>
      </c>
      <c r="AA3102">
        <f t="shared" si="275"/>
        <v>1000</v>
      </c>
      <c r="AB3102" t="str">
        <f t="shared" si="276"/>
        <v/>
      </c>
      <c r="AC3102">
        <f t="shared" si="273"/>
        <v>1000</v>
      </c>
      <c r="AD3102" s="6"/>
    </row>
    <row r="3103" spans="1:30" x14ac:dyDescent="0.2">
      <c r="A3103" t="str">
        <f t="shared" si="274"/>
        <v/>
      </c>
      <c r="X3103" t="str" cm="1">
        <f t="array" ref="X3103">IF(S3103="","",IF($I3103&lt;&gt;"",$I3103,INDEX($I$2:$I3102,ROW()-COUNTIFS($T$2:$T3102,"="&amp;$T3103,$S$2:$S3102,"&lt;&gt;"&amp;$S3103)-1)))</f>
        <v/>
      </c>
      <c r="Y3103" t="b">
        <f>IF(X3103&lt;&gt;"",VLOOKUP(X3103,game_rosters!$C$43:$E$64,3,FALSE))</f>
        <v>0</v>
      </c>
      <c r="Z3103" t="e" cm="1" vm="1">
        <f t="array" aca="1" ref="Z3103" ca="1">IFERROR(IF(_xlfn._xlws.FILTER(game_rosters!$J:$J,(game_rosters!$G:$G=events!$AN3103)*(game_rosters!$J:$J=events!$X3103))&gt;0,1,""),"")</f>
        <v>#VALUE!</v>
      </c>
      <c r="AA3103">
        <f t="shared" si="275"/>
        <v>1000</v>
      </c>
      <c r="AB3103" t="str">
        <f t="shared" si="276"/>
        <v/>
      </c>
      <c r="AC3103">
        <f t="shared" si="273"/>
        <v>1000</v>
      </c>
      <c r="AD3103" s="6"/>
    </row>
    <row r="3104" spans="1:30" x14ac:dyDescent="0.2">
      <c r="A3104" t="str">
        <f t="shared" si="274"/>
        <v/>
      </c>
      <c r="X3104" t="str" cm="1">
        <f t="array" ref="X3104">IF(S3104="","",IF($I3104&lt;&gt;"",$I3104,INDEX($I$2:$I3103,ROW()-COUNTIFS($T$2:$T3103,"="&amp;$T3104,$S$2:$S3103,"&lt;&gt;"&amp;$S3104)-1)))</f>
        <v/>
      </c>
      <c r="Y3104" t="b">
        <f>IF(X3104&lt;&gt;"",VLOOKUP(X3104,game_rosters!$C$43:$E$64,3,FALSE))</f>
        <v>0</v>
      </c>
      <c r="Z3104" t="e" cm="1" vm="1">
        <f t="array" aca="1" ref="Z3104" ca="1">IFERROR(IF(_xlfn._xlws.FILTER(game_rosters!$J:$J,(game_rosters!$G:$G=events!$AN3104)*(game_rosters!$J:$J=events!$X3104))&gt;0,1,""),"")</f>
        <v>#VALUE!</v>
      </c>
      <c r="AA3104">
        <f t="shared" si="275"/>
        <v>1000</v>
      </c>
      <c r="AB3104" t="str">
        <f t="shared" si="276"/>
        <v/>
      </c>
      <c r="AC3104">
        <f t="shared" si="273"/>
        <v>1000</v>
      </c>
      <c r="AD3104" s="6"/>
    </row>
    <row r="3105" spans="1:30" x14ac:dyDescent="0.2">
      <c r="A3105" t="str">
        <f t="shared" si="274"/>
        <v/>
      </c>
      <c r="X3105" t="str" cm="1">
        <f t="array" ref="X3105">IF(S3105="","",IF($I3105&lt;&gt;"",$I3105,INDEX($I$2:$I3104,ROW()-COUNTIFS($T$2:$T3104,"="&amp;$T3105,$S$2:$S3104,"&lt;&gt;"&amp;$S3105)-1)))</f>
        <v/>
      </c>
      <c r="Y3105" t="b">
        <f>IF(X3105&lt;&gt;"",VLOOKUP(X3105,game_rosters!$C$43:$E$64,3,FALSE))</f>
        <v>0</v>
      </c>
      <c r="Z3105" t="e" cm="1" vm="1">
        <f t="array" aca="1" ref="Z3105" ca="1">IFERROR(IF(_xlfn._xlws.FILTER(game_rosters!$J:$J,(game_rosters!$G:$G=events!$AN3105)*(game_rosters!$J:$J=events!$X3105))&gt;0,1,""),"")</f>
        <v>#VALUE!</v>
      </c>
      <c r="AA3105">
        <f t="shared" si="275"/>
        <v>1000</v>
      </c>
      <c r="AB3105" t="str">
        <f t="shared" si="276"/>
        <v/>
      </c>
      <c r="AC3105">
        <f t="shared" si="273"/>
        <v>1000</v>
      </c>
      <c r="AD3105" s="6"/>
    </row>
    <row r="3106" spans="1:30" x14ac:dyDescent="0.2">
      <c r="A3106" t="str">
        <f t="shared" si="274"/>
        <v/>
      </c>
      <c r="X3106" t="str" cm="1">
        <f t="array" ref="X3106">IF(S3106="","",IF($I3106&lt;&gt;"",$I3106,INDEX($I$2:$I3105,ROW()-COUNTIFS($T$2:$T3105,"="&amp;$T3106,$S$2:$S3105,"&lt;&gt;"&amp;$S3106)-1)))</f>
        <v/>
      </c>
      <c r="Y3106" t="b">
        <f>IF(X3106&lt;&gt;"",VLOOKUP(X3106,game_rosters!$C$43:$E$64,3,FALSE))</f>
        <v>0</v>
      </c>
      <c r="Z3106" t="e" cm="1" vm="1">
        <f t="array" aca="1" ref="Z3106" ca="1">IFERROR(IF(_xlfn._xlws.FILTER(game_rosters!$J:$J,(game_rosters!$G:$G=events!$AN3106)*(game_rosters!$J:$J=events!$X3106))&gt;0,1,""),"")</f>
        <v>#VALUE!</v>
      </c>
      <c r="AA3106">
        <f t="shared" si="275"/>
        <v>1000</v>
      </c>
      <c r="AB3106" t="str">
        <f t="shared" si="276"/>
        <v/>
      </c>
      <c r="AC3106">
        <f t="shared" si="273"/>
        <v>1000</v>
      </c>
      <c r="AD3106" s="6"/>
    </row>
    <row r="3107" spans="1:30" x14ac:dyDescent="0.2">
      <c r="A3107" t="str">
        <f t="shared" si="274"/>
        <v/>
      </c>
      <c r="X3107" t="str" cm="1">
        <f t="array" ref="X3107">IF(S3107="","",IF($I3107&lt;&gt;"",$I3107,INDEX($I$2:$I3106,ROW()-COUNTIFS($T$2:$T3106,"="&amp;$T3107,$S$2:$S3106,"&lt;&gt;"&amp;$S3107)-1)))</f>
        <v/>
      </c>
      <c r="Y3107" t="b">
        <f>IF(X3107&lt;&gt;"",VLOOKUP(X3107,game_rosters!$C$43:$E$64,3,FALSE))</f>
        <v>0</v>
      </c>
      <c r="Z3107" t="e" cm="1" vm="1">
        <f t="array" aca="1" ref="Z3107" ca="1">IFERROR(IF(_xlfn._xlws.FILTER(game_rosters!$J:$J,(game_rosters!$G:$G=events!$AN3107)*(game_rosters!$J:$J=events!$X3107))&gt;0,1,""),"")</f>
        <v>#VALUE!</v>
      </c>
      <c r="AA3107">
        <f t="shared" si="275"/>
        <v>1000</v>
      </c>
      <c r="AB3107" t="str">
        <f t="shared" si="276"/>
        <v/>
      </c>
      <c r="AC3107">
        <f t="shared" si="273"/>
        <v>1000</v>
      </c>
      <c r="AD3107" s="6"/>
    </row>
    <row r="3108" spans="1:30" x14ac:dyDescent="0.2">
      <c r="A3108" t="str">
        <f t="shared" si="274"/>
        <v/>
      </c>
      <c r="X3108" t="str" cm="1">
        <f t="array" ref="X3108">IF(S3108="","",IF($I3108&lt;&gt;"",$I3108,INDEX($I$2:$I3107,ROW()-COUNTIFS($T$2:$T3107,"="&amp;$T3108,$S$2:$S3107,"&lt;&gt;"&amp;$S3108)-1)))</f>
        <v/>
      </c>
      <c r="Y3108" t="b">
        <f>IF(X3108&lt;&gt;"",VLOOKUP(X3108,game_rosters!$C$43:$E$64,3,FALSE))</f>
        <v>0</v>
      </c>
      <c r="Z3108" t="e" cm="1" vm="1">
        <f t="array" aca="1" ref="Z3108" ca="1">IFERROR(IF(_xlfn._xlws.FILTER(game_rosters!$J:$J,(game_rosters!$G:$G=events!$AN3108)*(game_rosters!$J:$J=events!$X3108))&gt;0,1,""),"")</f>
        <v>#VALUE!</v>
      </c>
      <c r="AA3108">
        <f t="shared" si="275"/>
        <v>1000</v>
      </c>
      <c r="AB3108" t="str">
        <f t="shared" si="276"/>
        <v/>
      </c>
      <c r="AC3108">
        <f t="shared" si="273"/>
        <v>1000</v>
      </c>
      <c r="AD3108" s="6"/>
    </row>
    <row r="3109" spans="1:30" x14ac:dyDescent="0.2">
      <c r="A3109" t="str">
        <f t="shared" si="274"/>
        <v/>
      </c>
      <c r="X3109" t="str" cm="1">
        <f t="array" ref="X3109">IF(S3109="","",IF($I3109&lt;&gt;"",$I3109,INDEX($I$2:$I3108,ROW()-COUNTIFS($T$2:$T3108,"="&amp;$T3109,$S$2:$S3108,"&lt;&gt;"&amp;$S3109)-1)))</f>
        <v/>
      </c>
      <c r="Y3109" t="b">
        <f>IF(X3109&lt;&gt;"",VLOOKUP(X3109,game_rosters!$C$43:$E$64,3,FALSE))</f>
        <v>0</v>
      </c>
      <c r="Z3109" t="e" cm="1" vm="1">
        <f t="array" aca="1" ref="Z3109" ca="1">IFERROR(IF(_xlfn._xlws.FILTER(game_rosters!$J:$J,(game_rosters!$G:$G=events!$AN3109)*(game_rosters!$J:$J=events!$X3109))&gt;0,1,""),"")</f>
        <v>#VALUE!</v>
      </c>
      <c r="AA3109">
        <f t="shared" si="275"/>
        <v>1000</v>
      </c>
      <c r="AB3109" t="str">
        <f t="shared" si="276"/>
        <v/>
      </c>
      <c r="AC3109">
        <f t="shared" si="273"/>
        <v>1000</v>
      </c>
      <c r="AD3109" s="6"/>
    </row>
    <row r="3110" spans="1:30" x14ac:dyDescent="0.2">
      <c r="A3110" t="str">
        <f t="shared" si="274"/>
        <v/>
      </c>
      <c r="X3110" t="str" cm="1">
        <f t="array" ref="X3110">IF(S3110="","",IF($I3110&lt;&gt;"",$I3110,INDEX($I$2:$I3109,ROW()-COUNTIFS($T$2:$T3109,"="&amp;$T3110,$S$2:$S3109,"&lt;&gt;"&amp;$S3110)-1)))</f>
        <v/>
      </c>
      <c r="Y3110" t="b">
        <f>IF(X3110&lt;&gt;"",VLOOKUP(X3110,game_rosters!$C$43:$E$64,3,FALSE))</f>
        <v>0</v>
      </c>
      <c r="Z3110" t="e" cm="1" vm="1">
        <f t="array" aca="1" ref="Z3110" ca="1">IFERROR(IF(_xlfn._xlws.FILTER(game_rosters!$J:$J,(game_rosters!$G:$G=events!$AN3110)*(game_rosters!$J:$J=events!$X3110))&gt;0,1,""),"")</f>
        <v>#VALUE!</v>
      </c>
      <c r="AA3110">
        <f t="shared" si="275"/>
        <v>1000</v>
      </c>
      <c r="AB3110" t="str">
        <f t="shared" si="276"/>
        <v/>
      </c>
      <c r="AC3110">
        <f t="shared" si="273"/>
        <v>1000</v>
      </c>
      <c r="AD3110" s="6"/>
    </row>
    <row r="3111" spans="1:30" x14ac:dyDescent="0.2">
      <c r="A3111" t="str">
        <f t="shared" si="274"/>
        <v/>
      </c>
      <c r="X3111" t="str" cm="1">
        <f t="array" ref="X3111">IF(S3111="","",IF($I3111&lt;&gt;"",$I3111,INDEX($I$2:$I3110,ROW()-COUNTIFS($T$2:$T3110,"="&amp;$T3111,$S$2:$S3110,"&lt;&gt;"&amp;$S3111)-1)))</f>
        <v/>
      </c>
      <c r="Y3111" t="b">
        <f>IF(X3111&lt;&gt;"",VLOOKUP(X3111,game_rosters!$C$43:$E$64,3,FALSE))</f>
        <v>0</v>
      </c>
      <c r="Z3111" t="e" cm="1" vm="1">
        <f t="array" aca="1" ref="Z3111" ca="1">IFERROR(IF(_xlfn._xlws.FILTER(game_rosters!$J:$J,(game_rosters!$G:$G=events!$AN3111)*(game_rosters!$J:$J=events!$X3111))&gt;0,1,""),"")</f>
        <v>#VALUE!</v>
      </c>
      <c r="AA3111">
        <f t="shared" si="275"/>
        <v>1000</v>
      </c>
      <c r="AB3111" t="str">
        <f t="shared" si="276"/>
        <v/>
      </c>
      <c r="AC3111">
        <f t="shared" si="273"/>
        <v>1000</v>
      </c>
      <c r="AD3111" s="6"/>
    </row>
    <row r="3112" spans="1:30" x14ac:dyDescent="0.2">
      <c r="A3112" t="str">
        <f t="shared" si="274"/>
        <v/>
      </c>
      <c r="X3112" t="str" cm="1">
        <f t="array" ref="X3112">IF(S3112="","",IF($I3112&lt;&gt;"",$I3112,INDEX($I$2:$I3111,ROW()-COUNTIFS($T$2:$T3111,"="&amp;$T3112,$S$2:$S3111,"&lt;&gt;"&amp;$S3112)-1)))</f>
        <v/>
      </c>
      <c r="Y3112" t="b">
        <f>IF(X3112&lt;&gt;"",VLOOKUP(X3112,game_rosters!$C$43:$E$64,3,FALSE))</f>
        <v>0</v>
      </c>
      <c r="Z3112" t="e" cm="1" vm="1">
        <f t="array" aca="1" ref="Z3112" ca="1">IFERROR(IF(_xlfn._xlws.FILTER(game_rosters!$J:$J,(game_rosters!$G:$G=events!$AN3112)*(game_rosters!$J:$J=events!$X3112))&gt;0,1,""),"")</f>
        <v>#VALUE!</v>
      </c>
      <c r="AA3112">
        <f t="shared" si="275"/>
        <v>1000</v>
      </c>
      <c r="AB3112" t="str">
        <f t="shared" si="276"/>
        <v/>
      </c>
      <c r="AC3112">
        <f t="shared" si="273"/>
        <v>1000</v>
      </c>
      <c r="AD3112" s="6"/>
    </row>
    <row r="3113" spans="1:30" x14ac:dyDescent="0.2">
      <c r="A3113" t="str">
        <f t="shared" si="274"/>
        <v/>
      </c>
      <c r="X3113" t="str" cm="1">
        <f t="array" ref="X3113">IF(S3113="","",IF($I3113&lt;&gt;"",$I3113,INDEX($I$2:$I3112,ROW()-COUNTIFS($T$2:$T3112,"="&amp;$T3113,$S$2:$S3112,"&lt;&gt;"&amp;$S3113)-1)))</f>
        <v/>
      </c>
      <c r="Y3113" t="b">
        <f>IF(X3113&lt;&gt;"",VLOOKUP(X3113,game_rosters!$C$43:$E$64,3,FALSE))</f>
        <v>0</v>
      </c>
      <c r="Z3113" t="e" cm="1" vm="1">
        <f t="array" aca="1" ref="Z3113" ca="1">IFERROR(IF(_xlfn._xlws.FILTER(game_rosters!$J:$J,(game_rosters!$G:$G=events!$AN3113)*(game_rosters!$J:$J=events!$X3113))&gt;0,1,""),"")</f>
        <v>#VALUE!</v>
      </c>
      <c r="AA3113">
        <f t="shared" si="275"/>
        <v>1000</v>
      </c>
      <c r="AB3113" t="str">
        <f t="shared" si="276"/>
        <v/>
      </c>
      <c r="AC3113">
        <f t="shared" si="273"/>
        <v>1000</v>
      </c>
      <c r="AD3113" s="6"/>
    </row>
    <row r="3114" spans="1:30" x14ac:dyDescent="0.2">
      <c r="A3114" t="str">
        <f t="shared" si="274"/>
        <v/>
      </c>
      <c r="X3114" t="str" cm="1">
        <f t="array" ref="X3114">IF(S3114="","",IF($I3114&lt;&gt;"",$I3114,INDEX($I$2:$I3113,ROW()-COUNTIFS($T$2:$T3113,"="&amp;$T3114,$S$2:$S3113,"&lt;&gt;"&amp;$S3114)-1)))</f>
        <v/>
      </c>
      <c r="Y3114" t="b">
        <f>IF(X3114&lt;&gt;"",VLOOKUP(X3114,game_rosters!$C$43:$E$64,3,FALSE))</f>
        <v>0</v>
      </c>
      <c r="Z3114" t="e" cm="1" vm="1">
        <f t="array" aca="1" ref="Z3114" ca="1">IFERROR(IF(_xlfn._xlws.FILTER(game_rosters!$J:$J,(game_rosters!$G:$G=events!$AN3114)*(game_rosters!$J:$J=events!$X3114))&gt;0,1,""),"")</f>
        <v>#VALUE!</v>
      </c>
      <c r="AA3114">
        <f t="shared" si="275"/>
        <v>1000</v>
      </c>
      <c r="AB3114" t="str">
        <f t="shared" si="276"/>
        <v/>
      </c>
      <c r="AC3114">
        <f t="shared" si="273"/>
        <v>1000</v>
      </c>
      <c r="AD3114" s="6"/>
    </row>
    <row r="3115" spans="1:30" x14ac:dyDescent="0.2">
      <c r="A3115" t="str">
        <f t="shared" si="274"/>
        <v/>
      </c>
      <c r="X3115" t="str" cm="1">
        <f t="array" ref="X3115">IF(S3115="","",IF($I3115&lt;&gt;"",$I3115,INDEX($I$2:$I3114,ROW()-COUNTIFS($T$2:$T3114,"="&amp;$T3115,$S$2:$S3114,"&lt;&gt;"&amp;$S3115)-1)))</f>
        <v/>
      </c>
      <c r="Y3115" t="b">
        <f>IF(X3115&lt;&gt;"",VLOOKUP(X3115,game_rosters!$C$43:$E$64,3,FALSE))</f>
        <v>0</v>
      </c>
      <c r="Z3115" t="e" cm="1" vm="1">
        <f t="array" aca="1" ref="Z3115" ca="1">IFERROR(IF(_xlfn._xlws.FILTER(game_rosters!$J:$J,(game_rosters!$G:$G=events!$AN3115)*(game_rosters!$J:$J=events!$X3115))&gt;0,1,""),"")</f>
        <v>#VALUE!</v>
      </c>
      <c r="AA3115">
        <f t="shared" si="275"/>
        <v>1000</v>
      </c>
      <c r="AB3115" t="str">
        <f t="shared" si="276"/>
        <v/>
      </c>
      <c r="AC3115">
        <f t="shared" si="273"/>
        <v>1000</v>
      </c>
      <c r="AD3115" s="6"/>
    </row>
    <row r="3116" spans="1:30" x14ac:dyDescent="0.2">
      <c r="A3116" t="str">
        <f t="shared" si="274"/>
        <v/>
      </c>
      <c r="X3116" t="str" cm="1">
        <f t="array" ref="X3116">IF(S3116="","",IF($I3116&lt;&gt;"",$I3116,INDEX($I$2:$I3115,ROW()-COUNTIFS($T$2:$T3115,"="&amp;$T3116,$S$2:$S3115,"&lt;&gt;"&amp;$S3116)-1)))</f>
        <v/>
      </c>
      <c r="Y3116" t="b">
        <f>IF(X3116&lt;&gt;"",VLOOKUP(X3116,game_rosters!$C$43:$E$64,3,FALSE))</f>
        <v>0</v>
      </c>
      <c r="Z3116" t="e" cm="1" vm="1">
        <f t="array" aca="1" ref="Z3116" ca="1">IFERROR(IF(_xlfn._xlws.FILTER(game_rosters!$J:$J,(game_rosters!$G:$G=events!$AN3116)*(game_rosters!$J:$J=events!$X3116))&gt;0,1,""),"")</f>
        <v>#VALUE!</v>
      </c>
      <c r="AA3116">
        <f t="shared" si="275"/>
        <v>1000</v>
      </c>
      <c r="AB3116" t="str">
        <f t="shared" si="276"/>
        <v/>
      </c>
      <c r="AC3116">
        <f t="shared" si="273"/>
        <v>1000</v>
      </c>
      <c r="AD3116" s="6"/>
    </row>
    <row r="3117" spans="1:30" x14ac:dyDescent="0.2">
      <c r="A3117" t="str">
        <f t="shared" si="274"/>
        <v/>
      </c>
      <c r="X3117" t="str" cm="1">
        <f t="array" ref="X3117">IF(S3117="","",IF($I3117&lt;&gt;"",$I3117,INDEX($I$2:$I3116,ROW()-COUNTIFS($T$2:$T3116,"="&amp;$T3117,$S$2:$S3116,"&lt;&gt;"&amp;$S3117)-1)))</f>
        <v/>
      </c>
      <c r="Y3117" t="b">
        <f>IF(X3117&lt;&gt;"",VLOOKUP(X3117,game_rosters!$C$43:$E$64,3,FALSE))</f>
        <v>0</v>
      </c>
      <c r="Z3117" t="e" cm="1" vm="1">
        <f t="array" aca="1" ref="Z3117" ca="1">IFERROR(IF(_xlfn._xlws.FILTER(game_rosters!$J:$J,(game_rosters!$G:$G=events!$AN3117)*(game_rosters!$J:$J=events!$X3117))&gt;0,1,""),"")</f>
        <v>#VALUE!</v>
      </c>
      <c r="AA3117">
        <f t="shared" si="275"/>
        <v>1000</v>
      </c>
      <c r="AB3117" t="str">
        <f t="shared" si="276"/>
        <v/>
      </c>
      <c r="AC3117">
        <f t="shared" si="273"/>
        <v>1000</v>
      </c>
      <c r="AD3117" s="6"/>
    </row>
    <row r="3118" spans="1:30" x14ac:dyDescent="0.2">
      <c r="A3118" t="str">
        <f t="shared" si="274"/>
        <v/>
      </c>
      <c r="X3118" t="str" cm="1">
        <f t="array" ref="X3118">IF(S3118="","",IF($I3118&lt;&gt;"",$I3118,INDEX($I$2:$I3117,ROW()-COUNTIFS($T$2:$T3117,"="&amp;$T3118,$S$2:$S3117,"&lt;&gt;"&amp;$S3118)-1)))</f>
        <v/>
      </c>
      <c r="Y3118" t="b">
        <f>IF(X3118&lt;&gt;"",VLOOKUP(X3118,game_rosters!$C$43:$E$64,3,FALSE))</f>
        <v>0</v>
      </c>
      <c r="Z3118" t="e" cm="1" vm="1">
        <f t="array" aca="1" ref="Z3118" ca="1">IFERROR(IF(_xlfn._xlws.FILTER(game_rosters!$J:$J,(game_rosters!$G:$G=events!$AN3118)*(game_rosters!$J:$J=events!$X3118))&gt;0,1,""),"")</f>
        <v>#VALUE!</v>
      </c>
      <c r="AA3118">
        <f t="shared" si="275"/>
        <v>1000</v>
      </c>
      <c r="AB3118" t="str">
        <f t="shared" si="276"/>
        <v/>
      </c>
      <c r="AC3118">
        <f t="shared" si="273"/>
        <v>1000</v>
      </c>
      <c r="AD3118" s="6"/>
    </row>
    <row r="3119" spans="1:30" x14ac:dyDescent="0.2">
      <c r="A3119" t="str">
        <f t="shared" si="274"/>
        <v/>
      </c>
      <c r="X3119" t="str" cm="1">
        <f t="array" ref="X3119">IF(S3119="","",IF($I3119&lt;&gt;"",$I3119,INDEX($I$2:$I3118,ROW()-COUNTIFS($T$2:$T3118,"="&amp;$T3119,$S$2:$S3118,"&lt;&gt;"&amp;$S3119)-1)))</f>
        <v/>
      </c>
      <c r="Y3119" t="b">
        <f>IF(X3119&lt;&gt;"",VLOOKUP(X3119,game_rosters!$C$43:$E$64,3,FALSE))</f>
        <v>0</v>
      </c>
      <c r="Z3119" t="e" cm="1" vm="1">
        <f t="array" aca="1" ref="Z3119" ca="1">IFERROR(IF(_xlfn._xlws.FILTER(game_rosters!$J:$J,(game_rosters!$G:$G=events!$AN3119)*(game_rosters!$J:$J=events!$X3119))&gt;0,1,""),"")</f>
        <v>#VALUE!</v>
      </c>
      <c r="AA3119">
        <f t="shared" si="275"/>
        <v>1000</v>
      </c>
      <c r="AB3119" t="str">
        <f t="shared" si="276"/>
        <v/>
      </c>
      <c r="AC3119">
        <f t="shared" si="273"/>
        <v>1000</v>
      </c>
      <c r="AD3119" s="6"/>
    </row>
    <row r="3120" spans="1:30" x14ac:dyDescent="0.2">
      <c r="A3120" t="str">
        <f t="shared" si="274"/>
        <v/>
      </c>
      <c r="X3120" t="str" cm="1">
        <f t="array" ref="X3120">IF(S3120="","",IF($I3120&lt;&gt;"",$I3120,INDEX($I$2:$I3119,ROW()-COUNTIFS($T$2:$T3119,"="&amp;$T3120,$S$2:$S3119,"&lt;&gt;"&amp;$S3120)-1)))</f>
        <v/>
      </c>
      <c r="Y3120" t="b">
        <f>IF(X3120&lt;&gt;"",VLOOKUP(X3120,game_rosters!$C$43:$E$64,3,FALSE))</f>
        <v>0</v>
      </c>
      <c r="Z3120" t="e" cm="1" vm="1">
        <f t="array" aca="1" ref="Z3120" ca="1">IFERROR(IF(_xlfn._xlws.FILTER(game_rosters!$J:$J,(game_rosters!$G:$G=events!$AN3120)*(game_rosters!$J:$J=events!$X3120))&gt;0,1,""),"")</f>
        <v>#VALUE!</v>
      </c>
      <c r="AA3120">
        <f t="shared" si="275"/>
        <v>1000</v>
      </c>
      <c r="AB3120" t="str">
        <f t="shared" si="276"/>
        <v/>
      </c>
      <c r="AC3120">
        <f t="shared" si="273"/>
        <v>1000</v>
      </c>
      <c r="AD3120" s="6"/>
    </row>
    <row r="3121" spans="1:30" x14ac:dyDescent="0.2">
      <c r="A3121" t="str">
        <f t="shared" si="274"/>
        <v/>
      </c>
      <c r="X3121" t="str" cm="1">
        <f t="array" ref="X3121">IF(S3121="","",IF($I3121&lt;&gt;"",$I3121,INDEX($I$2:$I3120,ROW()-COUNTIFS($T$2:$T3120,"="&amp;$T3121,$S$2:$S3120,"&lt;&gt;"&amp;$S3121)-1)))</f>
        <v/>
      </c>
      <c r="Y3121" t="b">
        <f>IF(X3121&lt;&gt;"",VLOOKUP(X3121,game_rosters!$C$43:$E$64,3,FALSE))</f>
        <v>0</v>
      </c>
      <c r="Z3121" t="e" cm="1" vm="1">
        <f t="array" aca="1" ref="Z3121" ca="1">IFERROR(IF(_xlfn._xlws.FILTER(game_rosters!$J:$J,(game_rosters!$G:$G=events!$AN3121)*(game_rosters!$J:$J=events!$X3121))&gt;0,1,""),"")</f>
        <v>#VALUE!</v>
      </c>
      <c r="AA3121">
        <f t="shared" si="275"/>
        <v>1000</v>
      </c>
      <c r="AB3121" t="str">
        <f t="shared" si="276"/>
        <v/>
      </c>
      <c r="AC3121">
        <f t="shared" si="273"/>
        <v>1000</v>
      </c>
      <c r="AD3121" s="6"/>
    </row>
    <row r="3122" spans="1:30" x14ac:dyDescent="0.2">
      <c r="A3122" t="str">
        <f t="shared" si="274"/>
        <v/>
      </c>
      <c r="X3122" t="str" cm="1">
        <f t="array" ref="X3122">IF(S3122="","",IF($I3122&lt;&gt;"",$I3122,INDEX($I$2:$I3121,ROW()-COUNTIFS($T$2:$T3121,"="&amp;$T3122,$S$2:$S3121,"&lt;&gt;"&amp;$S3122)-1)))</f>
        <v/>
      </c>
      <c r="Y3122" t="b">
        <f>IF(X3122&lt;&gt;"",VLOOKUP(X3122,game_rosters!$C$43:$E$64,3,FALSE))</f>
        <v>0</v>
      </c>
      <c r="Z3122" t="e" cm="1" vm="1">
        <f t="array" aca="1" ref="Z3122" ca="1">IFERROR(IF(_xlfn._xlws.FILTER(game_rosters!$J:$J,(game_rosters!$G:$G=events!$AN3122)*(game_rosters!$J:$J=events!$X3122))&gt;0,1,""),"")</f>
        <v>#VALUE!</v>
      </c>
      <c r="AA3122">
        <f t="shared" si="275"/>
        <v>1000</v>
      </c>
      <c r="AB3122" t="str">
        <f t="shared" si="276"/>
        <v/>
      </c>
      <c r="AC3122">
        <f t="shared" si="273"/>
        <v>1000</v>
      </c>
      <c r="AD3122" s="6"/>
    </row>
    <row r="3123" spans="1:30" x14ac:dyDescent="0.2">
      <c r="A3123" t="str">
        <f t="shared" si="274"/>
        <v/>
      </c>
      <c r="X3123" t="str" cm="1">
        <f t="array" ref="X3123">IF(S3123="","",IF($I3123&lt;&gt;"",$I3123,INDEX($I$2:$I3122,ROW()-COUNTIFS($T$2:$T3122,"="&amp;$T3123,$S$2:$S3122,"&lt;&gt;"&amp;$S3123)-1)))</f>
        <v/>
      </c>
      <c r="Y3123" t="b">
        <f>IF(X3123&lt;&gt;"",VLOOKUP(X3123,game_rosters!$C$43:$E$64,3,FALSE))</f>
        <v>0</v>
      </c>
      <c r="Z3123" t="e" cm="1" vm="1">
        <f t="array" aca="1" ref="Z3123" ca="1">IFERROR(IF(_xlfn._xlws.FILTER(game_rosters!$J:$J,(game_rosters!$G:$G=events!$AN3123)*(game_rosters!$J:$J=events!$X3123))&gt;0,1,""),"")</f>
        <v>#VALUE!</v>
      </c>
      <c r="AA3123">
        <f t="shared" si="275"/>
        <v>1000</v>
      </c>
      <c r="AB3123" t="str">
        <f t="shared" si="276"/>
        <v/>
      </c>
      <c r="AC3123">
        <f t="shared" si="273"/>
        <v>1000</v>
      </c>
      <c r="AD3123" s="6"/>
    </row>
    <row r="3124" spans="1:30" x14ac:dyDescent="0.2">
      <c r="A3124" t="str">
        <f t="shared" si="274"/>
        <v/>
      </c>
      <c r="X3124" t="str" cm="1">
        <f t="array" ref="X3124">IF(S3124="","",IF($I3124&lt;&gt;"",$I3124,INDEX($I$2:$I3123,ROW()-COUNTIFS($T$2:$T3123,"="&amp;$T3124,$S$2:$S3123,"&lt;&gt;"&amp;$S3124)-1)))</f>
        <v/>
      </c>
      <c r="Y3124" t="b">
        <f>IF(X3124&lt;&gt;"",VLOOKUP(X3124,game_rosters!$C$43:$E$64,3,FALSE))</f>
        <v>0</v>
      </c>
      <c r="Z3124" t="e" cm="1" vm="1">
        <f t="array" aca="1" ref="Z3124" ca="1">IFERROR(IF(_xlfn._xlws.FILTER(game_rosters!$J:$J,(game_rosters!$G:$G=events!$AN3124)*(game_rosters!$J:$J=events!$X3124))&gt;0,1,""),"")</f>
        <v>#VALUE!</v>
      </c>
      <c r="AA3124">
        <f t="shared" si="275"/>
        <v>1000</v>
      </c>
      <c r="AB3124" t="str">
        <f t="shared" si="276"/>
        <v/>
      </c>
      <c r="AC3124">
        <f t="shared" si="273"/>
        <v>1000</v>
      </c>
      <c r="AD3124" s="6"/>
    </row>
    <row r="3125" spans="1:30" x14ac:dyDescent="0.2">
      <c r="A3125" t="str">
        <f t="shared" si="274"/>
        <v/>
      </c>
      <c r="X3125" t="str" cm="1">
        <f t="array" ref="X3125">IF(S3125="","",IF($I3125&lt;&gt;"",$I3125,INDEX($I$2:$I3124,ROW()-COUNTIFS($T$2:$T3124,"="&amp;$T3125,$S$2:$S3124,"&lt;&gt;"&amp;$S3125)-1)))</f>
        <v/>
      </c>
      <c r="Y3125" t="b">
        <f>IF(X3125&lt;&gt;"",VLOOKUP(X3125,game_rosters!$C$43:$E$64,3,FALSE))</f>
        <v>0</v>
      </c>
      <c r="Z3125" t="e" cm="1" vm="1">
        <f t="array" aca="1" ref="Z3125" ca="1">IFERROR(IF(_xlfn._xlws.FILTER(game_rosters!$J:$J,(game_rosters!$G:$G=events!$AN3125)*(game_rosters!$J:$J=events!$X3125))&gt;0,1,""),"")</f>
        <v>#VALUE!</v>
      </c>
      <c r="AA3125">
        <f t="shared" si="275"/>
        <v>1000</v>
      </c>
      <c r="AB3125" t="str">
        <f t="shared" si="276"/>
        <v/>
      </c>
      <c r="AC3125">
        <f t="shared" si="273"/>
        <v>1000</v>
      </c>
      <c r="AD3125" s="6"/>
    </row>
    <row r="3126" spans="1:30" x14ac:dyDescent="0.2">
      <c r="A3126" t="str">
        <f t="shared" si="274"/>
        <v/>
      </c>
      <c r="X3126" t="str" cm="1">
        <f t="array" ref="X3126">IF(S3126="","",IF($I3126&lt;&gt;"",$I3126,INDEX($I$2:$I3125,ROW()-COUNTIFS($T$2:$T3125,"="&amp;$T3126,$S$2:$S3125,"&lt;&gt;"&amp;$S3126)-1)))</f>
        <v/>
      </c>
      <c r="Y3126" t="b">
        <f>IF(X3126&lt;&gt;"",VLOOKUP(X3126,game_rosters!$C$43:$E$64,3,FALSE))</f>
        <v>0</v>
      </c>
      <c r="Z3126" t="e" cm="1" vm="1">
        <f t="array" aca="1" ref="Z3126" ca="1">IFERROR(IF(_xlfn._xlws.FILTER(game_rosters!$J:$J,(game_rosters!$G:$G=events!$AN3126)*(game_rosters!$J:$J=events!$X3126))&gt;0,1,""),"")</f>
        <v>#VALUE!</v>
      </c>
      <c r="AA3126">
        <f t="shared" si="275"/>
        <v>1000</v>
      </c>
      <c r="AB3126" t="str">
        <f t="shared" si="276"/>
        <v/>
      </c>
      <c r="AC3126">
        <f t="shared" si="273"/>
        <v>1000</v>
      </c>
      <c r="AD3126" s="6"/>
    </row>
    <row r="3127" spans="1:30" x14ac:dyDescent="0.2">
      <c r="A3127" t="str">
        <f t="shared" si="274"/>
        <v/>
      </c>
      <c r="X3127" t="str" cm="1">
        <f t="array" ref="X3127">IF(S3127="","",IF($I3127&lt;&gt;"",$I3127,INDEX($I$2:$I3126,ROW()-COUNTIFS($T$2:$T3126,"="&amp;$T3127,$S$2:$S3126,"&lt;&gt;"&amp;$S3127)-1)))</f>
        <v/>
      </c>
      <c r="Y3127" t="b">
        <f>IF(X3127&lt;&gt;"",VLOOKUP(X3127,game_rosters!$C$43:$E$64,3,FALSE))</f>
        <v>0</v>
      </c>
      <c r="Z3127" t="e" cm="1" vm="1">
        <f t="array" aca="1" ref="Z3127" ca="1">IFERROR(IF(_xlfn._xlws.FILTER(game_rosters!$J:$J,(game_rosters!$G:$G=events!$AN3127)*(game_rosters!$J:$J=events!$X3127))&gt;0,1,""),"")</f>
        <v>#VALUE!</v>
      </c>
      <c r="AA3127">
        <f t="shared" si="275"/>
        <v>1000</v>
      </c>
      <c r="AB3127" t="str">
        <f t="shared" si="276"/>
        <v/>
      </c>
      <c r="AC3127">
        <f t="shared" si="273"/>
        <v>1000</v>
      </c>
      <c r="AD3127" s="6"/>
    </row>
    <row r="3128" spans="1:30" x14ac:dyDescent="0.2">
      <c r="A3128" t="str">
        <f t="shared" si="274"/>
        <v/>
      </c>
      <c r="X3128" t="str" cm="1">
        <f t="array" ref="X3128">IF(S3128="","",IF($I3128&lt;&gt;"",$I3128,INDEX($I$2:$I3127,ROW()-COUNTIFS($T$2:$T3127,"="&amp;$T3128,$S$2:$S3127,"&lt;&gt;"&amp;$S3128)-1)))</f>
        <v/>
      </c>
      <c r="Y3128" t="b">
        <f>IF(X3128&lt;&gt;"",VLOOKUP(X3128,game_rosters!$C$43:$E$64,3,FALSE))</f>
        <v>0</v>
      </c>
      <c r="Z3128" t="e" cm="1" vm="1">
        <f t="array" aca="1" ref="Z3128" ca="1">IFERROR(IF(_xlfn._xlws.FILTER(game_rosters!$J:$J,(game_rosters!$G:$G=events!$AN3128)*(game_rosters!$J:$J=events!$X3128))&gt;0,1,""),"")</f>
        <v>#VALUE!</v>
      </c>
      <c r="AA3128">
        <f t="shared" si="275"/>
        <v>1000</v>
      </c>
      <c r="AB3128" t="str">
        <f t="shared" si="276"/>
        <v/>
      </c>
      <c r="AC3128">
        <f t="shared" si="273"/>
        <v>1000</v>
      </c>
      <c r="AD3128" s="6"/>
    </row>
    <row r="3129" spans="1:30" x14ac:dyDescent="0.2">
      <c r="A3129" t="str">
        <f t="shared" si="274"/>
        <v/>
      </c>
      <c r="X3129" t="str" cm="1">
        <f t="array" ref="X3129">IF(S3129="","",IF($I3129&lt;&gt;"",$I3129,INDEX($I$2:$I3128,ROW()-COUNTIFS($T$2:$T3128,"="&amp;$T3129,$S$2:$S3128,"&lt;&gt;"&amp;$S3129)-1)))</f>
        <v/>
      </c>
      <c r="Y3129" t="b">
        <f>IF(X3129&lt;&gt;"",VLOOKUP(X3129,game_rosters!$C$43:$E$64,3,FALSE))</f>
        <v>0</v>
      </c>
      <c r="Z3129" t="e" cm="1" vm="1">
        <f t="array" aca="1" ref="Z3129" ca="1">IFERROR(IF(_xlfn._xlws.FILTER(game_rosters!$J:$J,(game_rosters!$G:$G=events!$AN3129)*(game_rosters!$J:$J=events!$X3129))&gt;0,1,""),"")</f>
        <v>#VALUE!</v>
      </c>
      <c r="AA3129">
        <f t="shared" si="275"/>
        <v>1000</v>
      </c>
      <c r="AB3129" t="str">
        <f t="shared" si="276"/>
        <v/>
      </c>
      <c r="AC3129">
        <f t="shared" si="273"/>
        <v>1000</v>
      </c>
      <c r="AD3129" s="6"/>
    </row>
    <row r="3130" spans="1:30" x14ac:dyDescent="0.2">
      <c r="A3130" t="str">
        <f t="shared" si="274"/>
        <v/>
      </c>
      <c r="X3130" t="str" cm="1">
        <f t="array" ref="X3130">IF(S3130="","",IF($I3130&lt;&gt;"",$I3130,INDEX($I$2:$I3129,ROW()-COUNTIFS($T$2:$T3129,"="&amp;$T3130,$S$2:$S3129,"&lt;&gt;"&amp;$S3130)-1)))</f>
        <v/>
      </c>
      <c r="Y3130" t="b">
        <f>IF(X3130&lt;&gt;"",VLOOKUP(X3130,game_rosters!$C$43:$E$64,3,FALSE))</f>
        <v>0</v>
      </c>
      <c r="Z3130" t="e" cm="1" vm="1">
        <f t="array" aca="1" ref="Z3130" ca="1">IFERROR(IF(_xlfn._xlws.FILTER(game_rosters!$J:$J,(game_rosters!$G:$G=events!$AN3130)*(game_rosters!$J:$J=events!$X3130))&gt;0,1,""),"")</f>
        <v>#VALUE!</v>
      </c>
      <c r="AA3130">
        <f t="shared" si="275"/>
        <v>1000</v>
      </c>
      <c r="AB3130" t="str">
        <f t="shared" si="276"/>
        <v/>
      </c>
      <c r="AC3130">
        <f t="shared" si="273"/>
        <v>1000</v>
      </c>
      <c r="AD3130" s="6"/>
    </row>
    <row r="3131" spans="1:30" x14ac:dyDescent="0.2">
      <c r="A3131" t="str">
        <f t="shared" si="274"/>
        <v/>
      </c>
      <c r="X3131" t="str" cm="1">
        <f t="array" ref="X3131">IF(S3131="","",IF($I3131&lt;&gt;"",$I3131,INDEX($I$2:$I3130,ROW()-COUNTIFS($T$2:$T3130,"="&amp;$T3131,$S$2:$S3130,"&lt;&gt;"&amp;$S3131)-1)))</f>
        <v/>
      </c>
      <c r="Y3131" t="b">
        <f>IF(X3131&lt;&gt;"",VLOOKUP(X3131,game_rosters!$C$43:$E$64,3,FALSE))</f>
        <v>0</v>
      </c>
      <c r="Z3131" t="e" cm="1" vm="1">
        <f t="array" aca="1" ref="Z3131" ca="1">IFERROR(IF(_xlfn._xlws.FILTER(game_rosters!$J:$J,(game_rosters!$G:$G=events!$AN3131)*(game_rosters!$J:$J=events!$X3131))&gt;0,1,""),"")</f>
        <v>#VALUE!</v>
      </c>
      <c r="AA3131">
        <f t="shared" si="275"/>
        <v>1000</v>
      </c>
      <c r="AB3131" t="str">
        <f t="shared" si="276"/>
        <v/>
      </c>
      <c r="AC3131">
        <f t="shared" si="273"/>
        <v>1000</v>
      </c>
      <c r="AD3131" s="6"/>
    </row>
    <row r="3132" spans="1:30" x14ac:dyDescent="0.2">
      <c r="A3132" t="str">
        <f t="shared" si="274"/>
        <v/>
      </c>
      <c r="X3132" t="str" cm="1">
        <f t="array" ref="X3132">IF(S3132="","",IF($I3132&lt;&gt;"",$I3132,INDEX($I$2:$I3131,ROW()-COUNTIFS($T$2:$T3131,"="&amp;$T3132,$S$2:$S3131,"&lt;&gt;"&amp;$S3132)-1)))</f>
        <v/>
      </c>
      <c r="Y3132" t="b">
        <f>IF(X3132&lt;&gt;"",VLOOKUP(X3132,game_rosters!$C$43:$E$64,3,FALSE))</f>
        <v>0</v>
      </c>
      <c r="Z3132" t="e" cm="1" vm="1">
        <f t="array" aca="1" ref="Z3132" ca="1">IFERROR(IF(_xlfn._xlws.FILTER(game_rosters!$J:$J,(game_rosters!$G:$G=events!$AN3132)*(game_rosters!$J:$J=events!$X3132))&gt;0,1,""),"")</f>
        <v>#VALUE!</v>
      </c>
      <c r="AA3132">
        <f t="shared" si="275"/>
        <v>1000</v>
      </c>
      <c r="AB3132" t="str">
        <f t="shared" si="276"/>
        <v/>
      </c>
      <c r="AC3132">
        <f t="shared" si="273"/>
        <v>1000</v>
      </c>
      <c r="AD3132" s="6"/>
    </row>
    <row r="3133" spans="1:30" x14ac:dyDescent="0.2">
      <c r="A3133" t="str">
        <f t="shared" si="274"/>
        <v/>
      </c>
      <c r="X3133" t="str" cm="1">
        <f t="array" ref="X3133">IF(S3133="","",IF($I3133&lt;&gt;"",$I3133,INDEX($I$2:$I3132,ROW()-COUNTIFS($T$2:$T3132,"="&amp;$T3133,$S$2:$S3132,"&lt;&gt;"&amp;$S3133)-1)))</f>
        <v/>
      </c>
      <c r="Y3133" t="b">
        <f>IF(X3133&lt;&gt;"",VLOOKUP(X3133,game_rosters!$C$43:$E$64,3,FALSE))</f>
        <v>0</v>
      </c>
      <c r="Z3133" t="e" cm="1" vm="1">
        <f t="array" aca="1" ref="Z3133" ca="1">IFERROR(IF(_xlfn._xlws.FILTER(game_rosters!$J:$J,(game_rosters!$G:$G=events!$AN3133)*(game_rosters!$J:$J=events!$X3133))&gt;0,1,""),"")</f>
        <v>#VALUE!</v>
      </c>
      <c r="AA3133">
        <f t="shared" si="275"/>
        <v>1000</v>
      </c>
      <c r="AB3133" t="str">
        <f t="shared" si="276"/>
        <v/>
      </c>
      <c r="AC3133">
        <f t="shared" si="273"/>
        <v>1000</v>
      </c>
      <c r="AD3133" s="6"/>
    </row>
    <row r="3134" spans="1:30" x14ac:dyDescent="0.2">
      <c r="A3134" t="str">
        <f t="shared" si="274"/>
        <v/>
      </c>
      <c r="X3134" t="str" cm="1">
        <f t="array" ref="X3134">IF(S3134="","",IF($I3134&lt;&gt;"",$I3134,INDEX($I$2:$I3133,ROW()-COUNTIFS($T$2:$T3133,"="&amp;$T3134,$S$2:$S3133,"&lt;&gt;"&amp;$S3134)-1)))</f>
        <v/>
      </c>
      <c r="Y3134" t="b">
        <f>IF(X3134&lt;&gt;"",VLOOKUP(X3134,game_rosters!$C$43:$E$64,3,FALSE))</f>
        <v>0</v>
      </c>
      <c r="Z3134" t="e" cm="1" vm="1">
        <f t="array" aca="1" ref="Z3134" ca="1">IFERROR(IF(_xlfn._xlws.FILTER(game_rosters!$J:$J,(game_rosters!$G:$G=events!$AN3134)*(game_rosters!$J:$J=events!$X3134))&gt;0,1,""),"")</f>
        <v>#VALUE!</v>
      </c>
      <c r="AA3134">
        <f t="shared" si="275"/>
        <v>1000</v>
      </c>
      <c r="AB3134" t="str">
        <f t="shared" si="276"/>
        <v/>
      </c>
      <c r="AC3134">
        <f t="shared" si="273"/>
        <v>1000</v>
      </c>
      <c r="AD3134" s="6"/>
    </row>
    <row r="3135" spans="1:30" x14ac:dyDescent="0.2">
      <c r="A3135" t="str">
        <f t="shared" si="274"/>
        <v/>
      </c>
      <c r="X3135" t="str" cm="1">
        <f t="array" ref="X3135">IF(S3135="","",IF($I3135&lt;&gt;"",$I3135,INDEX($I$2:$I3134,ROW()-COUNTIFS($T$2:$T3134,"="&amp;$T3135,$S$2:$S3134,"&lt;&gt;"&amp;$S3135)-1)))</f>
        <v/>
      </c>
      <c r="Y3135" t="b">
        <f>IF(X3135&lt;&gt;"",VLOOKUP(X3135,game_rosters!$C$43:$E$64,3,FALSE))</f>
        <v>0</v>
      </c>
      <c r="Z3135" t="e" cm="1" vm="1">
        <f t="array" aca="1" ref="Z3135" ca="1">IFERROR(IF(_xlfn._xlws.FILTER(game_rosters!$J:$J,(game_rosters!$G:$G=events!$AN3135)*(game_rosters!$J:$J=events!$X3135))&gt;0,1,""),"")</f>
        <v>#VALUE!</v>
      </c>
      <c r="AA3135">
        <f t="shared" si="275"/>
        <v>1000</v>
      </c>
      <c r="AB3135" t="str">
        <f t="shared" si="276"/>
        <v/>
      </c>
      <c r="AC3135">
        <f t="shared" si="273"/>
        <v>1000</v>
      </c>
      <c r="AD3135" s="6"/>
    </row>
    <row r="3136" spans="1:30" x14ac:dyDescent="0.2">
      <c r="A3136" t="str">
        <f t="shared" si="274"/>
        <v/>
      </c>
      <c r="X3136" t="str" cm="1">
        <f t="array" ref="X3136">IF(S3136="","",IF($I3136&lt;&gt;"",$I3136,INDEX($I$2:$I3135,ROW()-COUNTIFS($T$2:$T3135,"="&amp;$T3136,$S$2:$S3135,"&lt;&gt;"&amp;$S3136)-1)))</f>
        <v/>
      </c>
      <c r="Y3136" t="b">
        <f>IF(X3136&lt;&gt;"",VLOOKUP(X3136,game_rosters!$C$43:$E$64,3,FALSE))</f>
        <v>0</v>
      </c>
      <c r="Z3136" t="e" cm="1" vm="1">
        <f t="array" aca="1" ref="Z3136" ca="1">IFERROR(IF(_xlfn._xlws.FILTER(game_rosters!$J:$J,(game_rosters!$G:$G=events!$AN3136)*(game_rosters!$J:$J=events!$X3136))&gt;0,1,""),"")</f>
        <v>#VALUE!</v>
      </c>
      <c r="AA3136">
        <f t="shared" si="275"/>
        <v>1000</v>
      </c>
      <c r="AB3136" t="str">
        <f t="shared" si="276"/>
        <v/>
      </c>
      <c r="AC3136">
        <f t="shared" si="273"/>
        <v>1000</v>
      </c>
      <c r="AD3136" s="6"/>
    </row>
    <row r="3137" spans="1:30" x14ac:dyDescent="0.2">
      <c r="A3137" t="str">
        <f t="shared" si="274"/>
        <v/>
      </c>
      <c r="X3137" t="str" cm="1">
        <f t="array" ref="X3137">IF(S3137="","",IF($I3137&lt;&gt;"",$I3137,INDEX($I$2:$I3136,ROW()-COUNTIFS($T$2:$T3136,"="&amp;$T3137,$S$2:$S3136,"&lt;&gt;"&amp;$S3137)-1)))</f>
        <v/>
      </c>
      <c r="Y3137" t="b">
        <f>IF(X3137&lt;&gt;"",VLOOKUP(X3137,game_rosters!$C$43:$E$64,3,FALSE))</f>
        <v>0</v>
      </c>
      <c r="Z3137" t="e" cm="1" vm="1">
        <f t="array" aca="1" ref="Z3137" ca="1">IFERROR(IF(_xlfn._xlws.FILTER(game_rosters!$J:$J,(game_rosters!$G:$G=events!$AN3137)*(game_rosters!$J:$J=events!$X3137))&gt;0,1,""),"")</f>
        <v>#VALUE!</v>
      </c>
      <c r="AA3137">
        <f t="shared" si="275"/>
        <v>1000</v>
      </c>
      <c r="AB3137" t="str">
        <f t="shared" si="276"/>
        <v/>
      </c>
      <c r="AC3137">
        <f t="shared" si="273"/>
        <v>1000</v>
      </c>
      <c r="AD3137" s="6"/>
    </row>
    <row r="3138" spans="1:30" x14ac:dyDescent="0.2">
      <c r="A3138" t="str">
        <f t="shared" si="274"/>
        <v/>
      </c>
      <c r="X3138" t="str" cm="1">
        <f t="array" ref="X3138">IF(S3138="","",IF($I3138&lt;&gt;"",$I3138,INDEX($I$2:$I3137,ROW()-COUNTIFS($T$2:$T3137,"="&amp;$T3138,$S$2:$S3137,"&lt;&gt;"&amp;$S3138)-1)))</f>
        <v/>
      </c>
      <c r="Y3138" t="b">
        <f>IF(X3138&lt;&gt;"",VLOOKUP(X3138,game_rosters!$C$43:$E$64,3,FALSE))</f>
        <v>0</v>
      </c>
      <c r="Z3138" t="e" cm="1" vm="1">
        <f t="array" aca="1" ref="Z3138" ca="1">IFERROR(IF(_xlfn._xlws.FILTER(game_rosters!$J:$J,(game_rosters!$G:$G=events!$AN3138)*(game_rosters!$J:$J=events!$X3138))&gt;0,1,""),"")</f>
        <v>#VALUE!</v>
      </c>
      <c r="AA3138">
        <f t="shared" si="275"/>
        <v>1000</v>
      </c>
      <c r="AB3138" t="str">
        <f t="shared" si="276"/>
        <v/>
      </c>
      <c r="AC3138">
        <f t="shared" ref="AC3138:AC3201" si="277">IF(AB3138&lt;&gt;"",AB3138,S3138+1000)</f>
        <v>1000</v>
      </c>
      <c r="AD3138" s="6"/>
    </row>
    <row r="3139" spans="1:30" x14ac:dyDescent="0.2">
      <c r="A3139" t="str">
        <f t="shared" si="274"/>
        <v/>
      </c>
      <c r="X3139" t="str" cm="1">
        <f t="array" ref="X3139">IF(S3139="","",IF($I3139&lt;&gt;"",$I3139,INDEX($I$2:$I3138,ROW()-COUNTIFS($T$2:$T3138,"="&amp;$T3139,$S$2:$S3138,"&lt;&gt;"&amp;$S3139)-1)))</f>
        <v/>
      </c>
      <c r="Y3139" t="b">
        <f>IF(X3139&lt;&gt;"",VLOOKUP(X3139,game_rosters!$C$43:$E$64,3,FALSE))</f>
        <v>0</v>
      </c>
      <c r="Z3139" t="e" cm="1" vm="1">
        <f t="array" aca="1" ref="Z3139" ca="1">IFERROR(IF(_xlfn._xlws.FILTER(game_rosters!$J:$J,(game_rosters!$G:$G=events!$AN3139)*(game_rosters!$J:$J=events!$X3139))&gt;0,1,""),"")</f>
        <v>#VALUE!</v>
      </c>
      <c r="AA3139">
        <f t="shared" si="275"/>
        <v>1000</v>
      </c>
      <c r="AB3139" t="str">
        <f t="shared" si="276"/>
        <v/>
      </c>
      <c r="AC3139">
        <f t="shared" si="277"/>
        <v>1000</v>
      </c>
      <c r="AD3139" s="6"/>
    </row>
    <row r="3140" spans="1:30" x14ac:dyDescent="0.2">
      <c r="A3140" t="str">
        <f t="shared" si="274"/>
        <v/>
      </c>
      <c r="X3140" t="str" cm="1">
        <f t="array" ref="X3140">IF(S3140="","",IF($I3140&lt;&gt;"",$I3140,INDEX($I$2:$I3139,ROW()-COUNTIFS($T$2:$T3139,"="&amp;$T3140,$S$2:$S3139,"&lt;&gt;"&amp;$S3140)-1)))</f>
        <v/>
      </c>
      <c r="Y3140" t="b">
        <f>IF(X3140&lt;&gt;"",VLOOKUP(X3140,game_rosters!$C$43:$E$64,3,FALSE))</f>
        <v>0</v>
      </c>
      <c r="Z3140" t="e" cm="1" vm="1">
        <f t="array" aca="1" ref="Z3140" ca="1">IFERROR(IF(_xlfn._xlws.FILTER(game_rosters!$J:$J,(game_rosters!$G:$G=events!$AN3140)*(game_rosters!$J:$J=events!$X3140))&gt;0,1,""),"")</f>
        <v>#VALUE!</v>
      </c>
      <c r="AA3140">
        <f t="shared" si="275"/>
        <v>1000</v>
      </c>
      <c r="AB3140" t="str">
        <f t="shared" si="276"/>
        <v/>
      </c>
      <c r="AC3140">
        <f t="shared" si="277"/>
        <v>1000</v>
      </c>
      <c r="AD3140" s="6"/>
    </row>
    <row r="3141" spans="1:30" x14ac:dyDescent="0.2">
      <c r="A3141" t="str">
        <f t="shared" ref="A3141:A3204" si="278">IF(K3141&lt;&gt;"",1,IF(D3141="x","x",""))</f>
        <v/>
      </c>
      <c r="X3141" t="str" cm="1">
        <f t="array" ref="X3141">IF(S3141="","",IF($I3141&lt;&gt;"",$I3141,INDEX($I$2:$I3140,ROW()-COUNTIFS($T$2:$T3140,"="&amp;$T3141,$S$2:$S3140,"&lt;&gt;"&amp;$S3141)-1)))</f>
        <v/>
      </c>
      <c r="Y3141" t="b">
        <f>IF(X3141&lt;&gt;"",VLOOKUP(X3141,game_rosters!$C$43:$E$64,3,FALSE))</f>
        <v>0</v>
      </c>
      <c r="Z3141" t="e" cm="1" vm="1">
        <f t="array" aca="1" ref="Z3141" ca="1">IFERROR(IF(_xlfn._xlws.FILTER(game_rosters!$J:$J,(game_rosters!$G:$G=events!$AN3141)*(game_rosters!$J:$J=events!$X3141))&gt;0,1,""),"")</f>
        <v>#VALUE!</v>
      </c>
      <c r="AA3141">
        <f t="shared" si="275"/>
        <v>1000</v>
      </c>
      <c r="AB3141" t="str">
        <f t="shared" si="276"/>
        <v/>
      </c>
      <c r="AC3141">
        <f t="shared" si="277"/>
        <v>1000</v>
      </c>
      <c r="AD3141" s="6"/>
    </row>
    <row r="3142" spans="1:30" x14ac:dyDescent="0.2">
      <c r="A3142" t="str">
        <f t="shared" si="278"/>
        <v/>
      </c>
      <c r="X3142" t="str" cm="1">
        <f t="array" ref="X3142">IF(S3142="","",IF($I3142&lt;&gt;"",$I3142,INDEX($I$2:$I3141,ROW()-COUNTIFS($T$2:$T3141,"="&amp;$T3142,$S$2:$S3141,"&lt;&gt;"&amp;$S3142)-1)))</f>
        <v/>
      </c>
      <c r="Y3142" t="b">
        <f>IF(X3142&lt;&gt;"",VLOOKUP(X3142,game_rosters!$C$43:$E$64,3,FALSE))</f>
        <v>0</v>
      </c>
      <c r="Z3142" t="e" cm="1" vm="1">
        <f t="array" aca="1" ref="Z3142" ca="1">IFERROR(IF(_xlfn._xlws.FILTER(game_rosters!$J:$J,(game_rosters!$G:$G=events!$AN3142)*(game_rosters!$J:$J=events!$X3142))&gt;0,1,""),"")</f>
        <v>#VALUE!</v>
      </c>
      <c r="AA3142">
        <f t="shared" si="275"/>
        <v>1000</v>
      </c>
      <c r="AB3142" t="str">
        <f t="shared" si="276"/>
        <v/>
      </c>
      <c r="AC3142">
        <f t="shared" si="277"/>
        <v>1000</v>
      </c>
      <c r="AD3142" s="6"/>
    </row>
    <row r="3143" spans="1:30" x14ac:dyDescent="0.2">
      <c r="A3143" t="str">
        <f t="shared" si="278"/>
        <v/>
      </c>
      <c r="X3143" t="str" cm="1">
        <f t="array" ref="X3143">IF(S3143="","",IF($I3143&lt;&gt;"",$I3143,INDEX($I$2:$I3142,ROW()-COUNTIFS($T$2:$T3142,"="&amp;$T3143,$S$2:$S3142,"&lt;&gt;"&amp;$S3143)-1)))</f>
        <v/>
      </c>
      <c r="Y3143" t="b">
        <f>IF(X3143&lt;&gt;"",VLOOKUP(X3143,game_rosters!$C$43:$E$64,3,FALSE))</f>
        <v>0</v>
      </c>
      <c r="Z3143" t="e" cm="1" vm="1">
        <f t="array" aca="1" ref="Z3143" ca="1">IFERROR(IF(_xlfn._xlws.FILTER(game_rosters!$J:$J,(game_rosters!$G:$G=events!$AN3143)*(game_rosters!$J:$J=events!$X3143))&gt;0,1,""),"")</f>
        <v>#VALUE!</v>
      </c>
      <c r="AA3143">
        <f t="shared" si="275"/>
        <v>1000</v>
      </c>
      <c r="AB3143" t="str">
        <f t="shared" si="276"/>
        <v/>
      </c>
      <c r="AC3143">
        <f t="shared" si="277"/>
        <v>1000</v>
      </c>
      <c r="AD3143" s="6"/>
    </row>
    <row r="3144" spans="1:30" x14ac:dyDescent="0.2">
      <c r="A3144" t="str">
        <f t="shared" si="278"/>
        <v/>
      </c>
      <c r="X3144" t="str" cm="1">
        <f t="array" ref="X3144">IF(S3144="","",IF($I3144&lt;&gt;"",$I3144,INDEX($I$2:$I3143,ROW()-COUNTIFS($T$2:$T3143,"="&amp;$T3144,$S$2:$S3143,"&lt;&gt;"&amp;$S3144)-1)))</f>
        <v/>
      </c>
      <c r="Y3144" t="b">
        <f>IF(X3144&lt;&gt;"",VLOOKUP(X3144,game_rosters!$C$43:$E$64,3,FALSE))</f>
        <v>0</v>
      </c>
      <c r="Z3144" t="e" cm="1" vm="1">
        <f t="array" aca="1" ref="Z3144" ca="1">IFERROR(IF(_xlfn._xlws.FILTER(game_rosters!$J:$J,(game_rosters!$G:$G=events!$AN3144)*(game_rosters!$J:$J=events!$X3144))&gt;0,1,""),"")</f>
        <v>#VALUE!</v>
      </c>
      <c r="AA3144">
        <f t="shared" si="275"/>
        <v>1000</v>
      </c>
      <c r="AB3144" t="str">
        <f t="shared" si="276"/>
        <v/>
      </c>
      <c r="AC3144">
        <f t="shared" si="277"/>
        <v>1000</v>
      </c>
      <c r="AD3144" s="6"/>
    </row>
    <row r="3145" spans="1:30" x14ac:dyDescent="0.2">
      <c r="A3145" t="str">
        <f t="shared" si="278"/>
        <v/>
      </c>
      <c r="X3145" t="str" cm="1">
        <f t="array" ref="X3145">IF(S3145="","",IF($I3145&lt;&gt;"",$I3145,INDEX($I$2:$I3144,ROW()-COUNTIFS($T$2:$T3144,"="&amp;$T3145,$S$2:$S3144,"&lt;&gt;"&amp;$S3145)-1)))</f>
        <v/>
      </c>
      <c r="Y3145" t="b">
        <f>IF(X3145&lt;&gt;"",VLOOKUP(X3145,game_rosters!$C$43:$E$64,3,FALSE))</f>
        <v>0</v>
      </c>
      <c r="Z3145" t="e" cm="1" vm="1">
        <f t="array" aca="1" ref="Z3145" ca="1">IFERROR(IF(_xlfn._xlws.FILTER(game_rosters!$J:$J,(game_rosters!$G:$G=events!$AN3145)*(game_rosters!$J:$J=events!$X3145))&gt;0,1,""),"")</f>
        <v>#VALUE!</v>
      </c>
      <c r="AA3145">
        <f t="shared" si="275"/>
        <v>1000</v>
      </c>
      <c r="AB3145" t="str">
        <f t="shared" si="276"/>
        <v/>
      </c>
      <c r="AC3145">
        <f t="shared" si="277"/>
        <v>1000</v>
      </c>
      <c r="AD3145" s="6"/>
    </row>
    <row r="3146" spans="1:30" x14ac:dyDescent="0.2">
      <c r="A3146" t="str">
        <f t="shared" si="278"/>
        <v/>
      </c>
      <c r="X3146" t="str" cm="1">
        <f t="array" ref="X3146">IF(S3146="","",IF($I3146&lt;&gt;"",$I3146,INDEX($I$2:$I3145,ROW()-COUNTIFS($T$2:$T3145,"="&amp;$T3146,$S$2:$S3145,"&lt;&gt;"&amp;$S3146)-1)))</f>
        <v/>
      </c>
      <c r="Y3146" t="b">
        <f>IF(X3146&lt;&gt;"",VLOOKUP(X3146,game_rosters!$C$43:$E$64,3,FALSE))</f>
        <v>0</v>
      </c>
      <c r="Z3146" t="e" cm="1" vm="1">
        <f t="array" aca="1" ref="Z3146" ca="1">IFERROR(IF(_xlfn._xlws.FILTER(game_rosters!$J:$J,(game_rosters!$G:$G=events!$AN3146)*(game_rosters!$J:$J=events!$X3146))&gt;0,1,""),"")</f>
        <v>#VALUE!</v>
      </c>
      <c r="AA3146">
        <f t="shared" si="275"/>
        <v>1000</v>
      </c>
      <c r="AB3146" t="str">
        <f t="shared" si="276"/>
        <v/>
      </c>
      <c r="AC3146">
        <f t="shared" si="277"/>
        <v>1000</v>
      </c>
      <c r="AD3146" s="6"/>
    </row>
    <row r="3147" spans="1:30" x14ac:dyDescent="0.2">
      <c r="A3147" t="str">
        <f t="shared" si="278"/>
        <v/>
      </c>
      <c r="X3147" t="str" cm="1">
        <f t="array" ref="X3147">IF(S3147="","",IF($I3147&lt;&gt;"",$I3147,INDEX($I$2:$I3146,ROW()-COUNTIFS($T$2:$T3146,"="&amp;$T3147,$S$2:$S3146,"&lt;&gt;"&amp;$S3147)-1)))</f>
        <v/>
      </c>
      <c r="Y3147" t="b">
        <f>IF(X3147&lt;&gt;"",VLOOKUP(X3147,game_rosters!$C$43:$E$64,3,FALSE))</f>
        <v>0</v>
      </c>
      <c r="Z3147" t="e" cm="1" vm="1">
        <f t="array" aca="1" ref="Z3147" ca="1">IFERROR(IF(_xlfn._xlws.FILTER(game_rosters!$J:$J,(game_rosters!$G:$G=events!$AN3147)*(game_rosters!$J:$J=events!$X3147))&gt;0,1,""),"")</f>
        <v>#VALUE!</v>
      </c>
      <c r="AA3147">
        <f t="shared" si="275"/>
        <v>1000</v>
      </c>
      <c r="AB3147" t="str">
        <f t="shared" si="276"/>
        <v/>
      </c>
      <c r="AC3147">
        <f t="shared" si="277"/>
        <v>1000</v>
      </c>
      <c r="AD3147" s="6"/>
    </row>
    <row r="3148" spans="1:30" x14ac:dyDescent="0.2">
      <c r="A3148" t="str">
        <f t="shared" si="278"/>
        <v/>
      </c>
      <c r="X3148" t="str" cm="1">
        <f t="array" ref="X3148">IF(S3148="","",IF($I3148&lt;&gt;"",$I3148,INDEX($I$2:$I3147,ROW()-COUNTIFS($T$2:$T3147,"="&amp;$T3148,$S$2:$S3147,"&lt;&gt;"&amp;$S3148)-1)))</f>
        <v/>
      </c>
      <c r="Y3148" t="b">
        <f>IF(X3148&lt;&gt;"",VLOOKUP(X3148,game_rosters!$C$43:$E$64,3,FALSE))</f>
        <v>0</v>
      </c>
      <c r="Z3148" t="e" cm="1" vm="1">
        <f t="array" aca="1" ref="Z3148" ca="1">IFERROR(IF(_xlfn._xlws.FILTER(game_rosters!$J:$J,(game_rosters!$G:$G=events!$AN3148)*(game_rosters!$J:$J=events!$X3148))&gt;0,1,""),"")</f>
        <v>#VALUE!</v>
      </c>
      <c r="AA3148">
        <f t="shared" si="275"/>
        <v>1000</v>
      </c>
      <c r="AB3148" t="str">
        <f t="shared" si="276"/>
        <v/>
      </c>
      <c r="AC3148">
        <f t="shared" si="277"/>
        <v>1000</v>
      </c>
      <c r="AD3148" s="6"/>
    </row>
    <row r="3149" spans="1:30" x14ac:dyDescent="0.2">
      <c r="A3149" t="str">
        <f t="shared" si="278"/>
        <v/>
      </c>
      <c r="X3149" t="str" cm="1">
        <f t="array" ref="X3149">IF(S3149="","",IF($I3149&lt;&gt;"",$I3149,INDEX($I$2:$I3148,ROW()-COUNTIFS($T$2:$T3148,"="&amp;$T3149,$S$2:$S3148,"&lt;&gt;"&amp;$S3149)-1)))</f>
        <v/>
      </c>
      <c r="Y3149" t="b">
        <f>IF(X3149&lt;&gt;"",VLOOKUP(X3149,game_rosters!$C$43:$E$64,3,FALSE))</f>
        <v>0</v>
      </c>
      <c r="Z3149" t="e" cm="1" vm="1">
        <f t="array" aca="1" ref="Z3149" ca="1">IFERROR(IF(_xlfn._xlws.FILTER(game_rosters!$J:$J,(game_rosters!$G:$G=events!$AN3149)*(game_rosters!$J:$J=events!$X3149))&gt;0,1,""),"")</f>
        <v>#VALUE!</v>
      </c>
      <c r="AA3149">
        <f t="shared" si="275"/>
        <v>1000</v>
      </c>
      <c r="AB3149" t="str">
        <f t="shared" si="276"/>
        <v/>
      </c>
      <c r="AC3149">
        <f t="shared" si="277"/>
        <v>1000</v>
      </c>
      <c r="AD3149" s="6"/>
    </row>
    <row r="3150" spans="1:30" x14ac:dyDescent="0.2">
      <c r="A3150" t="str">
        <f t="shared" si="278"/>
        <v/>
      </c>
      <c r="X3150" t="str" cm="1">
        <f t="array" ref="X3150">IF(S3150="","",IF($I3150&lt;&gt;"",$I3150,INDEX($I$2:$I3149,ROW()-COUNTIFS($T$2:$T3149,"="&amp;$T3150,$S$2:$S3149,"&lt;&gt;"&amp;$S3150)-1)))</f>
        <v/>
      </c>
      <c r="Y3150" t="b">
        <f>IF(X3150&lt;&gt;"",VLOOKUP(X3150,game_rosters!$C$43:$E$64,3,FALSE))</f>
        <v>0</v>
      </c>
      <c r="Z3150" t="e" cm="1" vm="1">
        <f t="array" aca="1" ref="Z3150" ca="1">IFERROR(IF(_xlfn._xlws.FILTER(game_rosters!$J:$J,(game_rosters!$G:$G=events!$AN3150)*(game_rosters!$J:$J=events!$X3150))&gt;0,1,""),"")</f>
        <v>#VALUE!</v>
      </c>
      <c r="AA3150">
        <f t="shared" si="275"/>
        <v>1000</v>
      </c>
      <c r="AB3150" t="str">
        <f t="shared" si="276"/>
        <v/>
      </c>
      <c r="AC3150">
        <f t="shared" si="277"/>
        <v>1000</v>
      </c>
      <c r="AD3150" s="6"/>
    </row>
    <row r="3151" spans="1:30" x14ac:dyDescent="0.2">
      <c r="A3151" t="str">
        <f t="shared" si="278"/>
        <v/>
      </c>
      <c r="X3151" t="str" cm="1">
        <f t="array" ref="X3151">IF(S3151="","",IF($I3151&lt;&gt;"",$I3151,INDEX($I$2:$I3150,ROW()-COUNTIFS($T$2:$T3150,"="&amp;$T3151,$S$2:$S3150,"&lt;&gt;"&amp;$S3151)-1)))</f>
        <v/>
      </c>
      <c r="Y3151" t="b">
        <f>IF(X3151&lt;&gt;"",VLOOKUP(X3151,game_rosters!$C$43:$E$64,3,FALSE))</f>
        <v>0</v>
      </c>
      <c r="Z3151" t="e" cm="1" vm="1">
        <f t="array" aca="1" ref="Z3151" ca="1">IFERROR(IF(_xlfn._xlws.FILTER(game_rosters!$J:$J,(game_rosters!$G:$G=events!$AN3151)*(game_rosters!$J:$J=events!$X3151))&gt;0,1,""),"")</f>
        <v>#VALUE!</v>
      </c>
      <c r="AA3151">
        <f t="shared" si="275"/>
        <v>1000</v>
      </c>
      <c r="AB3151" t="str">
        <f t="shared" si="276"/>
        <v/>
      </c>
      <c r="AC3151">
        <f t="shared" si="277"/>
        <v>1000</v>
      </c>
      <c r="AD3151" s="6"/>
    </row>
    <row r="3152" spans="1:30" x14ac:dyDescent="0.2">
      <c r="A3152" t="str">
        <f t="shared" si="278"/>
        <v/>
      </c>
      <c r="X3152" t="str" cm="1">
        <f t="array" ref="X3152">IF(S3152="","",IF($I3152&lt;&gt;"",$I3152,INDEX($I$2:$I3151,ROW()-COUNTIFS($T$2:$T3151,"="&amp;$T3152,$S$2:$S3151,"&lt;&gt;"&amp;$S3152)-1)))</f>
        <v/>
      </c>
      <c r="Y3152" t="b">
        <f>IF(X3152&lt;&gt;"",VLOOKUP(X3152,game_rosters!$C$43:$E$64,3,FALSE))</f>
        <v>0</v>
      </c>
      <c r="Z3152" t="e" cm="1" vm="1">
        <f t="array" aca="1" ref="Z3152" ca="1">IFERROR(IF(_xlfn._xlws.FILTER(game_rosters!$J:$J,(game_rosters!$G:$G=events!$AN3152)*(game_rosters!$J:$J=events!$X3152))&gt;0,1,""),"")</f>
        <v>#VALUE!</v>
      </c>
      <c r="AA3152">
        <f t="shared" si="275"/>
        <v>1000</v>
      </c>
      <c r="AB3152" t="str">
        <f t="shared" si="276"/>
        <v/>
      </c>
      <c r="AC3152">
        <f t="shared" si="277"/>
        <v>1000</v>
      </c>
      <c r="AD3152" s="6"/>
    </row>
    <row r="3153" spans="1:30" x14ac:dyDescent="0.2">
      <c r="A3153" t="str">
        <f t="shared" si="278"/>
        <v/>
      </c>
      <c r="X3153" t="str" cm="1">
        <f t="array" ref="X3153">IF(S3153="","",IF($I3153&lt;&gt;"",$I3153,INDEX($I$2:$I3152,ROW()-COUNTIFS($T$2:$T3152,"="&amp;$T3153,$S$2:$S3152,"&lt;&gt;"&amp;$S3153)-1)))</f>
        <v/>
      </c>
      <c r="Y3153" t="b">
        <f>IF(X3153&lt;&gt;"",VLOOKUP(X3153,game_rosters!$C$43:$E$64,3,FALSE))</f>
        <v>0</v>
      </c>
      <c r="Z3153" t="e" cm="1" vm="1">
        <f t="array" aca="1" ref="Z3153" ca="1">IFERROR(IF(_xlfn._xlws.FILTER(game_rosters!$J:$J,(game_rosters!$G:$G=events!$AN3153)*(game_rosters!$J:$J=events!$X3153))&gt;0,1,""),"")</f>
        <v>#VALUE!</v>
      </c>
      <c r="AA3153">
        <f t="shared" si="275"/>
        <v>1000</v>
      </c>
      <c r="AB3153" t="str">
        <f t="shared" si="276"/>
        <v/>
      </c>
      <c r="AC3153">
        <f t="shared" si="277"/>
        <v>1000</v>
      </c>
      <c r="AD3153" s="6"/>
    </row>
    <row r="3154" spans="1:30" x14ac:dyDescent="0.2">
      <c r="A3154" t="str">
        <f t="shared" si="278"/>
        <v/>
      </c>
      <c r="X3154" t="str" cm="1">
        <f t="array" ref="X3154">IF(S3154="","",IF($I3154&lt;&gt;"",$I3154,INDEX($I$2:$I3153,ROW()-COUNTIFS($T$2:$T3153,"="&amp;$T3154,$S$2:$S3153,"&lt;&gt;"&amp;$S3154)-1)))</f>
        <v/>
      </c>
      <c r="Y3154" t="b">
        <f>IF(X3154&lt;&gt;"",VLOOKUP(X3154,game_rosters!$C$43:$E$64,3,FALSE))</f>
        <v>0</v>
      </c>
      <c r="Z3154" t="e" cm="1" vm="1">
        <f t="array" aca="1" ref="Z3154" ca="1">IFERROR(IF(_xlfn._xlws.FILTER(game_rosters!$J:$J,(game_rosters!$G:$G=events!$AN3154)*(game_rosters!$J:$J=events!$X3154))&gt;0,1,""),"")</f>
        <v>#VALUE!</v>
      </c>
      <c r="AA3154">
        <f t="shared" si="275"/>
        <v>1000</v>
      </c>
      <c r="AB3154" t="str">
        <f t="shared" si="276"/>
        <v/>
      </c>
      <c r="AC3154">
        <f t="shared" si="277"/>
        <v>1000</v>
      </c>
      <c r="AD3154" s="6"/>
    </row>
    <row r="3155" spans="1:30" x14ac:dyDescent="0.2">
      <c r="A3155" t="str">
        <f t="shared" si="278"/>
        <v/>
      </c>
      <c r="X3155" t="str" cm="1">
        <f t="array" ref="X3155">IF(S3155="","",IF($I3155&lt;&gt;"",$I3155,INDEX($I$2:$I3154,ROW()-COUNTIFS($T$2:$T3154,"="&amp;$T3155,$S$2:$S3154,"&lt;&gt;"&amp;$S3155)-1)))</f>
        <v/>
      </c>
      <c r="Y3155" t="b">
        <f>IF(X3155&lt;&gt;"",VLOOKUP(X3155,game_rosters!$C$43:$E$64,3,FALSE))</f>
        <v>0</v>
      </c>
      <c r="Z3155" t="e" cm="1" vm="1">
        <f t="array" aca="1" ref="Z3155" ca="1">IFERROR(IF(_xlfn._xlws.FILTER(game_rosters!$J:$J,(game_rosters!$G:$G=events!$AN3155)*(game_rosters!$J:$J=events!$X3155))&gt;0,1,""),"")</f>
        <v>#VALUE!</v>
      </c>
      <c r="AA3155">
        <f t="shared" si="275"/>
        <v>1000</v>
      </c>
      <c r="AB3155" t="str">
        <f t="shared" si="276"/>
        <v/>
      </c>
      <c r="AC3155">
        <f t="shared" si="277"/>
        <v>1000</v>
      </c>
      <c r="AD3155" s="6"/>
    </row>
    <row r="3156" spans="1:30" x14ac:dyDescent="0.2">
      <c r="A3156" t="str">
        <f t="shared" si="278"/>
        <v/>
      </c>
      <c r="X3156" t="str" cm="1">
        <f t="array" ref="X3156">IF(S3156="","",IF($I3156&lt;&gt;"",$I3156,INDEX($I$2:$I3155,ROW()-COUNTIFS($T$2:$T3155,"="&amp;$T3156,$S$2:$S3155,"&lt;&gt;"&amp;$S3156)-1)))</f>
        <v/>
      </c>
      <c r="Y3156" t="b">
        <f>IF(X3156&lt;&gt;"",VLOOKUP(X3156,game_rosters!$C$43:$E$64,3,FALSE))</f>
        <v>0</v>
      </c>
      <c r="Z3156" t="e" cm="1" vm="1">
        <f t="array" aca="1" ref="Z3156" ca="1">IFERROR(IF(_xlfn._xlws.FILTER(game_rosters!$J:$J,(game_rosters!$G:$G=events!$AN3156)*(game_rosters!$J:$J=events!$X3156))&gt;0,1,""),"")</f>
        <v>#VALUE!</v>
      </c>
      <c r="AA3156">
        <f t="shared" si="275"/>
        <v>1000</v>
      </c>
      <c r="AB3156" t="str">
        <f t="shared" si="276"/>
        <v/>
      </c>
      <c r="AC3156">
        <f t="shared" si="277"/>
        <v>1000</v>
      </c>
      <c r="AD3156" s="6"/>
    </row>
    <row r="3157" spans="1:30" x14ac:dyDescent="0.2">
      <c r="A3157" t="str">
        <f t="shared" si="278"/>
        <v/>
      </c>
      <c r="X3157" t="str" cm="1">
        <f t="array" ref="X3157">IF(S3157="","",IF($I3157&lt;&gt;"",$I3157,INDEX($I$2:$I3156,ROW()-COUNTIFS($T$2:$T3156,"="&amp;$T3157,$S$2:$S3156,"&lt;&gt;"&amp;$S3157)-1)))</f>
        <v/>
      </c>
      <c r="Y3157" t="b">
        <f>IF(X3157&lt;&gt;"",VLOOKUP(X3157,game_rosters!$C$43:$E$64,3,FALSE))</f>
        <v>0</v>
      </c>
      <c r="Z3157" t="e" cm="1" vm="1">
        <f t="array" aca="1" ref="Z3157" ca="1">IFERROR(IF(_xlfn._xlws.FILTER(game_rosters!$J:$J,(game_rosters!$G:$G=events!$AN3157)*(game_rosters!$J:$J=events!$X3157))&gt;0,1,""),"")</f>
        <v>#VALUE!</v>
      </c>
      <c r="AA3157">
        <f t="shared" si="275"/>
        <v>1000</v>
      </c>
      <c r="AB3157" t="str">
        <f t="shared" si="276"/>
        <v/>
      </c>
      <c r="AC3157">
        <f t="shared" si="277"/>
        <v>1000</v>
      </c>
      <c r="AD3157" s="6"/>
    </row>
    <row r="3158" spans="1:30" x14ac:dyDescent="0.2">
      <c r="A3158" t="str">
        <f t="shared" si="278"/>
        <v/>
      </c>
      <c r="X3158" t="str" cm="1">
        <f t="array" ref="X3158">IF(S3158="","",IF($I3158&lt;&gt;"",$I3158,INDEX($I$2:$I3157,ROW()-COUNTIFS($T$2:$T3157,"="&amp;$T3158,$S$2:$S3157,"&lt;&gt;"&amp;$S3158)-1)))</f>
        <v/>
      </c>
      <c r="Y3158" t="b">
        <f>IF(X3158&lt;&gt;"",VLOOKUP(X3158,game_rosters!$C$43:$E$64,3,FALSE))</f>
        <v>0</v>
      </c>
      <c r="Z3158" t="e" cm="1" vm="1">
        <f t="array" aca="1" ref="Z3158" ca="1">IFERROR(IF(_xlfn._xlws.FILTER(game_rosters!$J:$J,(game_rosters!$G:$G=events!$AN3158)*(game_rosters!$J:$J=events!$X3158))&gt;0,1,""),"")</f>
        <v>#VALUE!</v>
      </c>
      <c r="AA3158">
        <f t="shared" si="275"/>
        <v>1000</v>
      </c>
      <c r="AB3158" t="str">
        <f t="shared" si="276"/>
        <v/>
      </c>
      <c r="AC3158">
        <f t="shared" si="277"/>
        <v>1000</v>
      </c>
      <c r="AD3158" s="6"/>
    </row>
    <row r="3159" spans="1:30" x14ac:dyDescent="0.2">
      <c r="A3159" t="str">
        <f t="shared" si="278"/>
        <v/>
      </c>
      <c r="X3159" t="str" cm="1">
        <f t="array" ref="X3159">IF(S3159="","",IF($I3159&lt;&gt;"",$I3159,INDEX($I$2:$I3158,ROW()-COUNTIFS($T$2:$T3158,"="&amp;$T3159,$S$2:$S3158,"&lt;&gt;"&amp;$S3159)-1)))</f>
        <v/>
      </c>
      <c r="Y3159" t="b">
        <f>IF(X3159&lt;&gt;"",VLOOKUP(X3159,game_rosters!$C$43:$E$64,3,FALSE))</f>
        <v>0</v>
      </c>
      <c r="Z3159" t="e" cm="1" vm="1">
        <f t="array" aca="1" ref="Z3159" ca="1">IFERROR(IF(_xlfn._xlws.FILTER(game_rosters!$J:$J,(game_rosters!$G:$G=events!$AN3159)*(game_rosters!$J:$J=events!$X3159))&gt;0,1,""),"")</f>
        <v>#VALUE!</v>
      </c>
      <c r="AA3159">
        <f t="shared" si="275"/>
        <v>1000</v>
      </c>
      <c r="AB3159" t="str">
        <f t="shared" si="276"/>
        <v/>
      </c>
      <c r="AC3159">
        <f t="shared" si="277"/>
        <v>1000</v>
      </c>
      <c r="AD3159" s="6"/>
    </row>
    <row r="3160" spans="1:30" x14ac:dyDescent="0.2">
      <c r="A3160" t="str">
        <f t="shared" si="278"/>
        <v/>
      </c>
      <c r="X3160" t="str" cm="1">
        <f t="array" ref="X3160">IF(S3160="","",IF($I3160&lt;&gt;"",$I3160,INDEX($I$2:$I3159,ROW()-COUNTIFS($T$2:$T3159,"="&amp;$T3160,$S$2:$S3159,"&lt;&gt;"&amp;$S3160)-1)))</f>
        <v/>
      </c>
      <c r="Y3160" t="b">
        <f>IF(X3160&lt;&gt;"",VLOOKUP(X3160,game_rosters!$C$43:$E$64,3,FALSE))</f>
        <v>0</v>
      </c>
      <c r="Z3160" t="e" cm="1" vm="1">
        <f t="array" aca="1" ref="Z3160" ca="1">IFERROR(IF(_xlfn._xlws.FILTER(game_rosters!$J:$J,(game_rosters!$G:$G=events!$AN3160)*(game_rosters!$J:$J=events!$X3160))&gt;0,1,""),"")</f>
        <v>#VALUE!</v>
      </c>
      <c r="AA3160">
        <f t="shared" si="275"/>
        <v>1000</v>
      </c>
      <c r="AB3160" t="str">
        <f t="shared" si="276"/>
        <v/>
      </c>
      <c r="AC3160">
        <f t="shared" si="277"/>
        <v>1000</v>
      </c>
      <c r="AD3160" s="6"/>
    </row>
    <row r="3161" spans="1:30" x14ac:dyDescent="0.2">
      <c r="A3161" t="str">
        <f t="shared" si="278"/>
        <v/>
      </c>
      <c r="X3161" t="str" cm="1">
        <f t="array" ref="X3161">IF(S3161="","",IF($I3161&lt;&gt;"",$I3161,INDEX($I$2:$I3160,ROW()-COUNTIFS($T$2:$T3160,"="&amp;$T3161,$S$2:$S3160,"&lt;&gt;"&amp;$S3161)-1)))</f>
        <v/>
      </c>
      <c r="Y3161" t="b">
        <f>IF(X3161&lt;&gt;"",VLOOKUP(X3161,game_rosters!$C$43:$E$64,3,FALSE))</f>
        <v>0</v>
      </c>
      <c r="Z3161" t="e" cm="1" vm="1">
        <f t="array" aca="1" ref="Z3161" ca="1">IFERROR(IF(_xlfn._xlws.FILTER(game_rosters!$J:$J,(game_rosters!$G:$G=events!$AN3161)*(game_rosters!$J:$J=events!$X3161))&gt;0,1,""),"")</f>
        <v>#VALUE!</v>
      </c>
      <c r="AA3161">
        <f t="shared" si="275"/>
        <v>1000</v>
      </c>
      <c r="AB3161" t="str">
        <f t="shared" si="276"/>
        <v/>
      </c>
      <c r="AC3161">
        <f t="shared" si="277"/>
        <v>1000</v>
      </c>
      <c r="AD3161" s="6"/>
    </row>
    <row r="3162" spans="1:30" x14ac:dyDescent="0.2">
      <c r="A3162" t="str">
        <f t="shared" si="278"/>
        <v/>
      </c>
      <c r="X3162" t="str" cm="1">
        <f t="array" ref="X3162">IF(S3162="","",IF($I3162&lt;&gt;"",$I3162,INDEX($I$2:$I3161,ROW()-COUNTIFS($T$2:$T3161,"="&amp;$T3162,$S$2:$S3161,"&lt;&gt;"&amp;$S3162)-1)))</f>
        <v/>
      </c>
      <c r="Y3162" t="b">
        <f>IF(X3162&lt;&gt;"",VLOOKUP(X3162,game_rosters!$C$43:$E$64,3,FALSE))</f>
        <v>0</v>
      </c>
      <c r="Z3162" t="e" cm="1" vm="1">
        <f t="array" aca="1" ref="Z3162" ca="1">IFERROR(IF(_xlfn._xlws.FILTER(game_rosters!$J:$J,(game_rosters!$G:$G=events!$AN3162)*(game_rosters!$J:$J=events!$X3162))&gt;0,1,""),"")</f>
        <v>#VALUE!</v>
      </c>
      <c r="AA3162">
        <f t="shared" si="275"/>
        <v>1000</v>
      </c>
      <c r="AB3162" t="str">
        <f t="shared" si="276"/>
        <v/>
      </c>
      <c r="AC3162">
        <f t="shared" si="277"/>
        <v>1000</v>
      </c>
      <c r="AD3162" s="6"/>
    </row>
    <row r="3163" spans="1:30" x14ac:dyDescent="0.2">
      <c r="A3163" t="str">
        <f t="shared" si="278"/>
        <v/>
      </c>
      <c r="X3163" t="str" cm="1">
        <f t="array" ref="X3163">IF(S3163="","",IF($I3163&lt;&gt;"",$I3163,INDEX($I$2:$I3162,ROW()-COUNTIFS($T$2:$T3162,"="&amp;$T3163,$S$2:$S3162,"&lt;&gt;"&amp;$S3163)-1)))</f>
        <v/>
      </c>
      <c r="Y3163" t="b">
        <f>IF(X3163&lt;&gt;"",VLOOKUP(X3163,game_rosters!$C$43:$E$64,3,FALSE))</f>
        <v>0</v>
      </c>
      <c r="Z3163" t="e" cm="1" vm="1">
        <f t="array" aca="1" ref="Z3163" ca="1">IFERROR(IF(_xlfn._xlws.FILTER(game_rosters!$J:$J,(game_rosters!$G:$G=events!$AN3163)*(game_rosters!$J:$J=events!$X3163))&gt;0,1,""),"")</f>
        <v>#VALUE!</v>
      </c>
      <c r="AA3163">
        <f t="shared" si="275"/>
        <v>1000</v>
      </c>
      <c r="AB3163" t="str">
        <f t="shared" si="276"/>
        <v/>
      </c>
      <c r="AC3163">
        <f t="shared" si="277"/>
        <v>1000</v>
      </c>
      <c r="AD3163" s="6"/>
    </row>
    <row r="3164" spans="1:30" x14ac:dyDescent="0.2">
      <c r="A3164" t="str">
        <f t="shared" si="278"/>
        <v/>
      </c>
      <c r="X3164" t="str" cm="1">
        <f t="array" ref="X3164">IF(S3164="","",IF($I3164&lt;&gt;"",$I3164,INDEX($I$2:$I3163,ROW()-COUNTIFS($T$2:$T3163,"="&amp;$T3164,$S$2:$S3163,"&lt;&gt;"&amp;$S3164)-1)))</f>
        <v/>
      </c>
      <c r="Y3164" t="b">
        <f>IF(X3164&lt;&gt;"",VLOOKUP(X3164,game_rosters!$C$43:$E$64,3,FALSE))</f>
        <v>0</v>
      </c>
      <c r="Z3164" t="e" cm="1" vm="1">
        <f t="array" aca="1" ref="Z3164" ca="1">IFERROR(IF(_xlfn._xlws.FILTER(game_rosters!$J:$J,(game_rosters!$G:$G=events!$AN3164)*(game_rosters!$J:$J=events!$X3164))&gt;0,1,""),"")</f>
        <v>#VALUE!</v>
      </c>
      <c r="AA3164">
        <f t="shared" si="275"/>
        <v>1000</v>
      </c>
      <c r="AB3164" t="str">
        <f t="shared" si="276"/>
        <v/>
      </c>
      <c r="AC3164">
        <f t="shared" si="277"/>
        <v>1000</v>
      </c>
      <c r="AD3164" s="6"/>
    </row>
    <row r="3165" spans="1:30" x14ac:dyDescent="0.2">
      <c r="A3165" t="str">
        <f t="shared" si="278"/>
        <v/>
      </c>
      <c r="X3165" t="str" cm="1">
        <f t="array" ref="X3165">IF(S3165="","",IF($I3165&lt;&gt;"",$I3165,INDEX($I$2:$I3164,ROW()-COUNTIFS($T$2:$T3164,"="&amp;$T3165,$S$2:$S3164,"&lt;&gt;"&amp;$S3165)-1)))</f>
        <v/>
      </c>
      <c r="Y3165" t="b">
        <f>IF(X3165&lt;&gt;"",VLOOKUP(X3165,game_rosters!$C$43:$E$64,3,FALSE))</f>
        <v>0</v>
      </c>
      <c r="Z3165" t="e" cm="1" vm="1">
        <f t="array" aca="1" ref="Z3165" ca="1">IFERROR(IF(_xlfn._xlws.FILTER(game_rosters!$J:$J,(game_rosters!$G:$G=events!$AN3165)*(game_rosters!$J:$J=events!$X3165))&gt;0,1,""),"")</f>
        <v>#VALUE!</v>
      </c>
      <c r="AA3165">
        <f t="shared" ref="AA3165:AA3228" si="279">S3165+1000</f>
        <v>1000</v>
      </c>
      <c r="AB3165" t="str">
        <f t="shared" ref="AB3165:AB3228" si="280">IF(T3165&lt;&gt;"",9000+T3165,"")</f>
        <v/>
      </c>
      <c r="AC3165">
        <f t="shared" si="277"/>
        <v>1000</v>
      </c>
      <c r="AD3165" s="6"/>
    </row>
    <row r="3166" spans="1:30" x14ac:dyDescent="0.2">
      <c r="A3166" t="str">
        <f t="shared" si="278"/>
        <v/>
      </c>
      <c r="X3166" t="str" cm="1">
        <f t="array" ref="X3166">IF(S3166="","",IF($I3166&lt;&gt;"",$I3166,INDEX($I$2:$I3165,ROW()-COUNTIFS($T$2:$T3165,"="&amp;$T3166,$S$2:$S3165,"&lt;&gt;"&amp;$S3166)-1)))</f>
        <v/>
      </c>
      <c r="Y3166" t="b">
        <f>IF(X3166&lt;&gt;"",VLOOKUP(X3166,game_rosters!$C$43:$E$64,3,FALSE))</f>
        <v>0</v>
      </c>
      <c r="Z3166" t="e" cm="1" vm="1">
        <f t="array" aca="1" ref="Z3166" ca="1">IFERROR(IF(_xlfn._xlws.FILTER(game_rosters!$J:$J,(game_rosters!$G:$G=events!$AN3166)*(game_rosters!$J:$J=events!$X3166))&gt;0,1,""),"")</f>
        <v>#VALUE!</v>
      </c>
      <c r="AA3166">
        <f t="shared" si="279"/>
        <v>1000</v>
      </c>
      <c r="AB3166" t="str">
        <f t="shared" si="280"/>
        <v/>
      </c>
      <c r="AC3166">
        <f t="shared" si="277"/>
        <v>1000</v>
      </c>
      <c r="AD3166" s="6"/>
    </row>
    <row r="3167" spans="1:30" x14ac:dyDescent="0.2">
      <c r="A3167" t="str">
        <f t="shared" si="278"/>
        <v/>
      </c>
      <c r="X3167" t="str" cm="1">
        <f t="array" ref="X3167">IF(S3167="","",IF($I3167&lt;&gt;"",$I3167,INDEX($I$2:$I3166,ROW()-COUNTIFS($T$2:$T3166,"="&amp;$T3167,$S$2:$S3166,"&lt;&gt;"&amp;$S3167)-1)))</f>
        <v/>
      </c>
      <c r="Y3167" t="b">
        <f>IF(X3167&lt;&gt;"",VLOOKUP(X3167,game_rosters!$C$43:$E$64,3,FALSE))</f>
        <v>0</v>
      </c>
      <c r="Z3167" t="e" cm="1" vm="1">
        <f t="array" aca="1" ref="Z3167" ca="1">IFERROR(IF(_xlfn._xlws.FILTER(game_rosters!$J:$J,(game_rosters!$G:$G=events!$AN3167)*(game_rosters!$J:$J=events!$X3167))&gt;0,1,""),"")</f>
        <v>#VALUE!</v>
      </c>
      <c r="AA3167">
        <f t="shared" si="279"/>
        <v>1000</v>
      </c>
      <c r="AB3167" t="str">
        <f t="shared" si="280"/>
        <v/>
      </c>
      <c r="AC3167">
        <f t="shared" si="277"/>
        <v>1000</v>
      </c>
      <c r="AD3167" s="6"/>
    </row>
    <row r="3168" spans="1:30" x14ac:dyDescent="0.2">
      <c r="A3168" t="str">
        <f t="shared" si="278"/>
        <v/>
      </c>
      <c r="X3168" t="str" cm="1">
        <f t="array" ref="X3168">IF(S3168="","",IF($I3168&lt;&gt;"",$I3168,INDEX($I$2:$I3167,ROW()-COUNTIFS($T$2:$T3167,"="&amp;$T3168,$S$2:$S3167,"&lt;&gt;"&amp;$S3168)-1)))</f>
        <v/>
      </c>
      <c r="Y3168" t="b">
        <f>IF(X3168&lt;&gt;"",VLOOKUP(X3168,game_rosters!$C$43:$E$64,3,FALSE))</f>
        <v>0</v>
      </c>
      <c r="Z3168" t="e" cm="1" vm="1">
        <f t="array" aca="1" ref="Z3168" ca="1">IFERROR(IF(_xlfn._xlws.FILTER(game_rosters!$J:$J,(game_rosters!$G:$G=events!$AN3168)*(game_rosters!$J:$J=events!$X3168))&gt;0,1,""),"")</f>
        <v>#VALUE!</v>
      </c>
      <c r="AA3168">
        <f t="shared" si="279"/>
        <v>1000</v>
      </c>
      <c r="AB3168" t="str">
        <f t="shared" si="280"/>
        <v/>
      </c>
      <c r="AC3168">
        <f t="shared" si="277"/>
        <v>1000</v>
      </c>
      <c r="AD3168" s="6"/>
    </row>
    <row r="3169" spans="1:30" x14ac:dyDescent="0.2">
      <c r="A3169" t="str">
        <f t="shared" si="278"/>
        <v/>
      </c>
      <c r="X3169" t="str" cm="1">
        <f t="array" ref="X3169">IF(S3169="","",IF($I3169&lt;&gt;"",$I3169,INDEX($I$2:$I3168,ROW()-COUNTIFS($T$2:$T3168,"="&amp;$T3169,$S$2:$S3168,"&lt;&gt;"&amp;$S3169)-1)))</f>
        <v/>
      </c>
      <c r="Y3169" t="b">
        <f>IF(X3169&lt;&gt;"",VLOOKUP(X3169,game_rosters!$C$43:$E$64,3,FALSE))</f>
        <v>0</v>
      </c>
      <c r="Z3169" t="e" cm="1" vm="1">
        <f t="array" aca="1" ref="Z3169" ca="1">IFERROR(IF(_xlfn._xlws.FILTER(game_rosters!$J:$J,(game_rosters!$G:$G=events!$AN3169)*(game_rosters!$J:$J=events!$X3169))&gt;0,1,""),"")</f>
        <v>#VALUE!</v>
      </c>
      <c r="AA3169">
        <f t="shared" si="279"/>
        <v>1000</v>
      </c>
      <c r="AB3169" t="str">
        <f t="shared" si="280"/>
        <v/>
      </c>
      <c r="AC3169">
        <f t="shared" si="277"/>
        <v>1000</v>
      </c>
      <c r="AD3169" s="6"/>
    </row>
    <row r="3170" spans="1:30" x14ac:dyDescent="0.2">
      <c r="A3170" t="str">
        <f t="shared" si="278"/>
        <v/>
      </c>
      <c r="X3170" t="str" cm="1">
        <f t="array" ref="X3170">IF(S3170="","",IF($I3170&lt;&gt;"",$I3170,INDEX($I$2:$I3169,ROW()-COUNTIFS($T$2:$T3169,"="&amp;$T3170,$S$2:$S3169,"&lt;&gt;"&amp;$S3170)-1)))</f>
        <v/>
      </c>
      <c r="Y3170" t="b">
        <f>IF(X3170&lt;&gt;"",VLOOKUP(X3170,game_rosters!$C$43:$E$64,3,FALSE))</f>
        <v>0</v>
      </c>
      <c r="Z3170" t="e" cm="1" vm="1">
        <f t="array" aca="1" ref="Z3170" ca="1">IFERROR(IF(_xlfn._xlws.FILTER(game_rosters!$J:$J,(game_rosters!$G:$G=events!$AN3170)*(game_rosters!$J:$J=events!$X3170))&gt;0,1,""),"")</f>
        <v>#VALUE!</v>
      </c>
      <c r="AA3170">
        <f t="shared" si="279"/>
        <v>1000</v>
      </c>
      <c r="AB3170" t="str">
        <f t="shared" si="280"/>
        <v/>
      </c>
      <c r="AC3170">
        <f t="shared" si="277"/>
        <v>1000</v>
      </c>
      <c r="AD3170" s="6"/>
    </row>
    <row r="3171" spans="1:30" x14ac:dyDescent="0.2">
      <c r="A3171" t="str">
        <f t="shared" si="278"/>
        <v/>
      </c>
      <c r="X3171" t="str" cm="1">
        <f t="array" ref="X3171">IF(S3171="","",IF($I3171&lt;&gt;"",$I3171,INDEX($I$2:$I3170,ROW()-COUNTIFS($T$2:$T3170,"="&amp;$T3171,$S$2:$S3170,"&lt;&gt;"&amp;$S3171)-1)))</f>
        <v/>
      </c>
      <c r="Y3171" t="b">
        <f>IF(X3171&lt;&gt;"",VLOOKUP(X3171,game_rosters!$C$43:$E$64,3,FALSE))</f>
        <v>0</v>
      </c>
      <c r="Z3171" t="e" cm="1" vm="1">
        <f t="array" aca="1" ref="Z3171" ca="1">IFERROR(IF(_xlfn._xlws.FILTER(game_rosters!$J:$J,(game_rosters!$G:$G=events!$AN3171)*(game_rosters!$J:$J=events!$X3171))&gt;0,1,""),"")</f>
        <v>#VALUE!</v>
      </c>
      <c r="AA3171">
        <f t="shared" si="279"/>
        <v>1000</v>
      </c>
      <c r="AB3171" t="str">
        <f t="shared" si="280"/>
        <v/>
      </c>
      <c r="AC3171">
        <f t="shared" si="277"/>
        <v>1000</v>
      </c>
      <c r="AD3171" s="6"/>
    </row>
    <row r="3172" spans="1:30" x14ac:dyDescent="0.2">
      <c r="A3172" t="str">
        <f t="shared" si="278"/>
        <v/>
      </c>
      <c r="X3172" t="str" cm="1">
        <f t="array" ref="X3172">IF(S3172="","",IF($I3172&lt;&gt;"",$I3172,INDEX($I$2:$I3171,ROW()-COUNTIFS($T$2:$T3171,"="&amp;$T3172,$S$2:$S3171,"&lt;&gt;"&amp;$S3172)-1)))</f>
        <v/>
      </c>
      <c r="Y3172" t="b">
        <f>IF(X3172&lt;&gt;"",VLOOKUP(X3172,game_rosters!$C$43:$E$64,3,FALSE))</f>
        <v>0</v>
      </c>
      <c r="Z3172" t="e" cm="1" vm="1">
        <f t="array" aca="1" ref="Z3172" ca="1">IFERROR(IF(_xlfn._xlws.FILTER(game_rosters!$J:$J,(game_rosters!$G:$G=events!$AN3172)*(game_rosters!$J:$J=events!$X3172))&gt;0,1,""),"")</f>
        <v>#VALUE!</v>
      </c>
      <c r="AA3172">
        <f t="shared" si="279"/>
        <v>1000</v>
      </c>
      <c r="AB3172" t="str">
        <f t="shared" si="280"/>
        <v/>
      </c>
      <c r="AC3172">
        <f t="shared" si="277"/>
        <v>1000</v>
      </c>
      <c r="AD3172" s="6"/>
    </row>
    <row r="3173" spans="1:30" x14ac:dyDescent="0.2">
      <c r="A3173" t="str">
        <f t="shared" si="278"/>
        <v/>
      </c>
      <c r="X3173" t="str" cm="1">
        <f t="array" ref="X3173">IF(S3173="","",IF($I3173&lt;&gt;"",$I3173,INDEX($I$2:$I3172,ROW()-COUNTIFS($T$2:$T3172,"="&amp;$T3173,$S$2:$S3172,"&lt;&gt;"&amp;$S3173)-1)))</f>
        <v/>
      </c>
      <c r="Y3173" t="b">
        <f>IF(X3173&lt;&gt;"",VLOOKUP(X3173,game_rosters!$C$43:$E$64,3,FALSE))</f>
        <v>0</v>
      </c>
      <c r="Z3173" t="e" cm="1" vm="1">
        <f t="array" aca="1" ref="Z3173" ca="1">IFERROR(IF(_xlfn._xlws.FILTER(game_rosters!$J:$J,(game_rosters!$G:$G=events!$AN3173)*(game_rosters!$J:$J=events!$X3173))&gt;0,1,""),"")</f>
        <v>#VALUE!</v>
      </c>
      <c r="AA3173">
        <f t="shared" si="279"/>
        <v>1000</v>
      </c>
      <c r="AB3173" t="str">
        <f t="shared" si="280"/>
        <v/>
      </c>
      <c r="AC3173">
        <f t="shared" si="277"/>
        <v>1000</v>
      </c>
      <c r="AD3173" s="6"/>
    </row>
    <row r="3174" spans="1:30" x14ac:dyDescent="0.2">
      <c r="A3174" t="str">
        <f t="shared" si="278"/>
        <v/>
      </c>
      <c r="X3174" t="str" cm="1">
        <f t="array" ref="X3174">IF(S3174="","",IF($I3174&lt;&gt;"",$I3174,INDEX($I$2:$I3173,ROW()-COUNTIFS($T$2:$T3173,"="&amp;$T3174,$S$2:$S3173,"&lt;&gt;"&amp;$S3174)-1)))</f>
        <v/>
      </c>
      <c r="Y3174" t="b">
        <f>IF(X3174&lt;&gt;"",VLOOKUP(X3174,game_rosters!$C$43:$E$64,3,FALSE))</f>
        <v>0</v>
      </c>
      <c r="Z3174" t="e" cm="1" vm="1">
        <f t="array" aca="1" ref="Z3174" ca="1">IFERROR(IF(_xlfn._xlws.FILTER(game_rosters!$J:$J,(game_rosters!$G:$G=events!$AN3174)*(game_rosters!$J:$J=events!$X3174))&gt;0,1,""),"")</f>
        <v>#VALUE!</v>
      </c>
      <c r="AA3174">
        <f t="shared" si="279"/>
        <v>1000</v>
      </c>
      <c r="AB3174" t="str">
        <f t="shared" si="280"/>
        <v/>
      </c>
      <c r="AC3174">
        <f t="shared" si="277"/>
        <v>1000</v>
      </c>
      <c r="AD3174" s="6"/>
    </row>
    <row r="3175" spans="1:30" x14ac:dyDescent="0.2">
      <c r="A3175" t="str">
        <f t="shared" si="278"/>
        <v/>
      </c>
      <c r="X3175" t="str" cm="1">
        <f t="array" ref="X3175">IF(S3175="","",IF($I3175&lt;&gt;"",$I3175,INDEX($I$2:$I3174,ROW()-COUNTIFS($T$2:$T3174,"="&amp;$T3175,$S$2:$S3174,"&lt;&gt;"&amp;$S3175)-1)))</f>
        <v/>
      </c>
      <c r="Y3175" t="b">
        <f>IF(X3175&lt;&gt;"",VLOOKUP(X3175,game_rosters!$C$43:$E$64,3,FALSE))</f>
        <v>0</v>
      </c>
      <c r="Z3175" t="e" cm="1" vm="1">
        <f t="array" aca="1" ref="Z3175" ca="1">IFERROR(IF(_xlfn._xlws.FILTER(game_rosters!$J:$J,(game_rosters!$G:$G=events!$AN3175)*(game_rosters!$J:$J=events!$X3175))&gt;0,1,""),"")</f>
        <v>#VALUE!</v>
      </c>
      <c r="AA3175">
        <f t="shared" si="279"/>
        <v>1000</v>
      </c>
      <c r="AB3175" t="str">
        <f t="shared" si="280"/>
        <v/>
      </c>
      <c r="AC3175">
        <f t="shared" si="277"/>
        <v>1000</v>
      </c>
      <c r="AD3175" s="6"/>
    </row>
    <row r="3176" spans="1:30" x14ac:dyDescent="0.2">
      <c r="A3176" t="str">
        <f t="shared" si="278"/>
        <v/>
      </c>
      <c r="X3176" t="str" cm="1">
        <f t="array" ref="X3176">IF(S3176="","",IF($I3176&lt;&gt;"",$I3176,INDEX($I$2:$I3175,ROW()-COUNTIFS($T$2:$T3175,"="&amp;$T3176,$S$2:$S3175,"&lt;&gt;"&amp;$S3176)-1)))</f>
        <v/>
      </c>
      <c r="Y3176" t="b">
        <f>IF(X3176&lt;&gt;"",VLOOKUP(X3176,game_rosters!$C$43:$E$64,3,FALSE))</f>
        <v>0</v>
      </c>
      <c r="Z3176" t="e" cm="1" vm="1">
        <f t="array" aca="1" ref="Z3176" ca="1">IFERROR(IF(_xlfn._xlws.FILTER(game_rosters!$J:$J,(game_rosters!$G:$G=events!$AN3176)*(game_rosters!$J:$J=events!$X3176))&gt;0,1,""),"")</f>
        <v>#VALUE!</v>
      </c>
      <c r="AA3176">
        <f t="shared" si="279"/>
        <v>1000</v>
      </c>
      <c r="AB3176" t="str">
        <f t="shared" si="280"/>
        <v/>
      </c>
      <c r="AC3176">
        <f t="shared" si="277"/>
        <v>1000</v>
      </c>
      <c r="AD3176" s="6"/>
    </row>
    <row r="3177" spans="1:30" x14ac:dyDescent="0.2">
      <c r="A3177" t="str">
        <f t="shared" si="278"/>
        <v/>
      </c>
      <c r="X3177" t="str" cm="1">
        <f t="array" ref="X3177">IF(S3177="","",IF($I3177&lt;&gt;"",$I3177,INDEX($I$2:$I3176,ROW()-COUNTIFS($T$2:$T3176,"="&amp;$T3177,$S$2:$S3176,"&lt;&gt;"&amp;$S3177)-1)))</f>
        <v/>
      </c>
      <c r="Y3177" t="b">
        <f>IF(X3177&lt;&gt;"",VLOOKUP(X3177,game_rosters!$C$43:$E$64,3,FALSE))</f>
        <v>0</v>
      </c>
      <c r="Z3177" t="e" cm="1" vm="1">
        <f t="array" aca="1" ref="Z3177" ca="1">IFERROR(IF(_xlfn._xlws.FILTER(game_rosters!$J:$J,(game_rosters!$G:$G=events!$AN3177)*(game_rosters!$J:$J=events!$X3177))&gt;0,1,""),"")</f>
        <v>#VALUE!</v>
      </c>
      <c r="AA3177">
        <f t="shared" si="279"/>
        <v>1000</v>
      </c>
      <c r="AB3177" t="str">
        <f t="shared" si="280"/>
        <v/>
      </c>
      <c r="AC3177">
        <f t="shared" si="277"/>
        <v>1000</v>
      </c>
      <c r="AD3177" s="6"/>
    </row>
    <row r="3178" spans="1:30" x14ac:dyDescent="0.2">
      <c r="A3178" t="str">
        <f t="shared" si="278"/>
        <v/>
      </c>
      <c r="X3178" t="str" cm="1">
        <f t="array" ref="X3178">IF(S3178="","",IF($I3178&lt;&gt;"",$I3178,INDEX($I$2:$I3177,ROW()-COUNTIFS($T$2:$T3177,"="&amp;$T3178,$S$2:$S3177,"&lt;&gt;"&amp;$S3178)-1)))</f>
        <v/>
      </c>
      <c r="Y3178" t="b">
        <f>IF(X3178&lt;&gt;"",VLOOKUP(X3178,game_rosters!$C$43:$E$64,3,FALSE))</f>
        <v>0</v>
      </c>
      <c r="Z3178" t="e" cm="1" vm="1">
        <f t="array" aca="1" ref="Z3178" ca="1">IFERROR(IF(_xlfn._xlws.FILTER(game_rosters!$J:$J,(game_rosters!$G:$G=events!$AN3178)*(game_rosters!$J:$J=events!$X3178))&gt;0,1,""),"")</f>
        <v>#VALUE!</v>
      </c>
      <c r="AA3178">
        <f t="shared" si="279"/>
        <v>1000</v>
      </c>
      <c r="AB3178" t="str">
        <f t="shared" si="280"/>
        <v/>
      </c>
      <c r="AC3178">
        <f t="shared" si="277"/>
        <v>1000</v>
      </c>
      <c r="AD3178" s="6"/>
    </row>
    <row r="3179" spans="1:30" x14ac:dyDescent="0.2">
      <c r="A3179" t="str">
        <f t="shared" si="278"/>
        <v/>
      </c>
      <c r="X3179" t="str" cm="1">
        <f t="array" ref="X3179">IF(S3179="","",IF($I3179&lt;&gt;"",$I3179,INDEX($I$2:$I3178,ROW()-COUNTIFS($T$2:$T3178,"="&amp;$T3179,$S$2:$S3178,"&lt;&gt;"&amp;$S3179)-1)))</f>
        <v/>
      </c>
      <c r="Y3179" t="b">
        <f>IF(X3179&lt;&gt;"",VLOOKUP(X3179,game_rosters!$C$43:$E$64,3,FALSE))</f>
        <v>0</v>
      </c>
      <c r="Z3179" t="e" cm="1" vm="1">
        <f t="array" aca="1" ref="Z3179" ca="1">IFERROR(IF(_xlfn._xlws.FILTER(game_rosters!$J:$J,(game_rosters!$G:$G=events!$AN3179)*(game_rosters!$J:$J=events!$X3179))&gt;0,1,""),"")</f>
        <v>#VALUE!</v>
      </c>
      <c r="AA3179">
        <f t="shared" si="279"/>
        <v>1000</v>
      </c>
      <c r="AB3179" t="str">
        <f t="shared" si="280"/>
        <v/>
      </c>
      <c r="AC3179">
        <f t="shared" si="277"/>
        <v>1000</v>
      </c>
      <c r="AD3179" s="6"/>
    </row>
    <row r="3180" spans="1:30" x14ac:dyDescent="0.2">
      <c r="A3180" t="str">
        <f t="shared" si="278"/>
        <v/>
      </c>
      <c r="X3180" t="str" cm="1">
        <f t="array" ref="X3180">IF(S3180="","",IF($I3180&lt;&gt;"",$I3180,INDEX($I$2:$I3179,ROW()-COUNTIFS($T$2:$T3179,"="&amp;$T3180,$S$2:$S3179,"&lt;&gt;"&amp;$S3180)-1)))</f>
        <v/>
      </c>
      <c r="Y3180" t="b">
        <f>IF(X3180&lt;&gt;"",VLOOKUP(X3180,game_rosters!$C$43:$E$64,3,FALSE))</f>
        <v>0</v>
      </c>
      <c r="Z3180" t="e" cm="1" vm="1">
        <f t="array" aca="1" ref="Z3180" ca="1">IFERROR(IF(_xlfn._xlws.FILTER(game_rosters!$J:$J,(game_rosters!$G:$G=events!$AN3180)*(game_rosters!$J:$J=events!$X3180))&gt;0,1,""),"")</f>
        <v>#VALUE!</v>
      </c>
      <c r="AA3180">
        <f t="shared" si="279"/>
        <v>1000</v>
      </c>
      <c r="AB3180" t="str">
        <f t="shared" si="280"/>
        <v/>
      </c>
      <c r="AC3180">
        <f t="shared" si="277"/>
        <v>1000</v>
      </c>
      <c r="AD3180" s="6"/>
    </row>
    <row r="3181" spans="1:30" x14ac:dyDescent="0.2">
      <c r="A3181" t="str">
        <f t="shared" si="278"/>
        <v/>
      </c>
      <c r="X3181" t="str" cm="1">
        <f t="array" ref="X3181">IF(S3181="","",IF($I3181&lt;&gt;"",$I3181,INDEX($I$2:$I3180,ROW()-COUNTIFS($T$2:$T3180,"="&amp;$T3181,$S$2:$S3180,"&lt;&gt;"&amp;$S3181)-1)))</f>
        <v/>
      </c>
      <c r="Y3181" t="b">
        <f>IF(X3181&lt;&gt;"",VLOOKUP(X3181,game_rosters!$C$43:$E$64,3,FALSE))</f>
        <v>0</v>
      </c>
      <c r="Z3181" t="e" cm="1" vm="1">
        <f t="array" aca="1" ref="Z3181" ca="1">IFERROR(IF(_xlfn._xlws.FILTER(game_rosters!$J:$J,(game_rosters!$G:$G=events!$AN3181)*(game_rosters!$J:$J=events!$X3181))&gt;0,1,""),"")</f>
        <v>#VALUE!</v>
      </c>
      <c r="AA3181">
        <f t="shared" si="279"/>
        <v>1000</v>
      </c>
      <c r="AB3181" t="str">
        <f t="shared" si="280"/>
        <v/>
      </c>
      <c r="AC3181">
        <f t="shared" si="277"/>
        <v>1000</v>
      </c>
      <c r="AD3181" s="6"/>
    </row>
    <row r="3182" spans="1:30" x14ac:dyDescent="0.2">
      <c r="A3182" t="str">
        <f t="shared" si="278"/>
        <v/>
      </c>
      <c r="X3182" t="str" cm="1">
        <f t="array" ref="X3182">IF(S3182="","",IF($I3182&lt;&gt;"",$I3182,INDEX($I$2:$I3181,ROW()-COUNTIFS($T$2:$T3181,"="&amp;$T3182,$S$2:$S3181,"&lt;&gt;"&amp;$S3182)-1)))</f>
        <v/>
      </c>
      <c r="Y3182" t="b">
        <f>IF(X3182&lt;&gt;"",VLOOKUP(X3182,game_rosters!$C$43:$E$64,3,FALSE))</f>
        <v>0</v>
      </c>
      <c r="Z3182" t="e" cm="1" vm="1">
        <f t="array" aca="1" ref="Z3182" ca="1">IFERROR(IF(_xlfn._xlws.FILTER(game_rosters!$J:$J,(game_rosters!$G:$G=events!$AN3182)*(game_rosters!$J:$J=events!$X3182))&gt;0,1,""),"")</f>
        <v>#VALUE!</v>
      </c>
      <c r="AA3182">
        <f t="shared" si="279"/>
        <v>1000</v>
      </c>
      <c r="AB3182" t="str">
        <f t="shared" si="280"/>
        <v/>
      </c>
      <c r="AC3182">
        <f t="shared" si="277"/>
        <v>1000</v>
      </c>
      <c r="AD3182" s="6"/>
    </row>
    <row r="3183" spans="1:30" x14ac:dyDescent="0.2">
      <c r="A3183" t="str">
        <f t="shared" si="278"/>
        <v/>
      </c>
      <c r="X3183" t="str" cm="1">
        <f t="array" ref="X3183">IF(S3183="","",IF($I3183&lt;&gt;"",$I3183,INDEX($I$2:$I3182,ROW()-COUNTIFS($T$2:$T3182,"="&amp;$T3183,$S$2:$S3182,"&lt;&gt;"&amp;$S3183)-1)))</f>
        <v/>
      </c>
      <c r="Y3183" t="b">
        <f>IF(X3183&lt;&gt;"",VLOOKUP(X3183,game_rosters!$C$43:$E$64,3,FALSE))</f>
        <v>0</v>
      </c>
      <c r="Z3183" t="e" cm="1" vm="1">
        <f t="array" aca="1" ref="Z3183" ca="1">IFERROR(IF(_xlfn._xlws.FILTER(game_rosters!$J:$J,(game_rosters!$G:$G=events!$AN3183)*(game_rosters!$J:$J=events!$X3183))&gt;0,1,""),"")</f>
        <v>#VALUE!</v>
      </c>
      <c r="AA3183">
        <f t="shared" si="279"/>
        <v>1000</v>
      </c>
      <c r="AB3183" t="str">
        <f t="shared" si="280"/>
        <v/>
      </c>
      <c r="AC3183">
        <f t="shared" si="277"/>
        <v>1000</v>
      </c>
      <c r="AD3183" s="6"/>
    </row>
    <row r="3184" spans="1:30" x14ac:dyDescent="0.2">
      <c r="A3184" t="str">
        <f t="shared" si="278"/>
        <v/>
      </c>
      <c r="X3184" t="str" cm="1">
        <f t="array" ref="X3184">IF(S3184="","",IF($I3184&lt;&gt;"",$I3184,INDEX($I$2:$I3183,ROW()-COUNTIFS($T$2:$T3183,"="&amp;$T3184,$S$2:$S3183,"&lt;&gt;"&amp;$S3184)-1)))</f>
        <v/>
      </c>
      <c r="Y3184" t="b">
        <f>IF(X3184&lt;&gt;"",VLOOKUP(X3184,game_rosters!$C$43:$E$64,3,FALSE))</f>
        <v>0</v>
      </c>
      <c r="Z3184" t="e" cm="1" vm="1">
        <f t="array" aca="1" ref="Z3184" ca="1">IFERROR(IF(_xlfn._xlws.FILTER(game_rosters!$J:$J,(game_rosters!$G:$G=events!$AN3184)*(game_rosters!$J:$J=events!$X3184))&gt;0,1,""),"")</f>
        <v>#VALUE!</v>
      </c>
      <c r="AA3184">
        <f t="shared" si="279"/>
        <v>1000</v>
      </c>
      <c r="AB3184" t="str">
        <f t="shared" si="280"/>
        <v/>
      </c>
      <c r="AC3184">
        <f t="shared" si="277"/>
        <v>1000</v>
      </c>
      <c r="AD3184" s="6"/>
    </row>
    <row r="3185" spans="1:30" x14ac:dyDescent="0.2">
      <c r="A3185" t="str">
        <f t="shared" si="278"/>
        <v/>
      </c>
      <c r="X3185" t="str" cm="1">
        <f t="array" ref="X3185">IF(S3185="","",IF($I3185&lt;&gt;"",$I3185,INDEX($I$2:$I3184,ROW()-COUNTIFS($T$2:$T3184,"="&amp;$T3185,$S$2:$S3184,"&lt;&gt;"&amp;$S3185)-1)))</f>
        <v/>
      </c>
      <c r="Y3185" t="b">
        <f>IF(X3185&lt;&gt;"",VLOOKUP(X3185,game_rosters!$C$43:$E$64,3,FALSE))</f>
        <v>0</v>
      </c>
      <c r="Z3185" t="e" cm="1" vm="1">
        <f t="array" aca="1" ref="Z3185" ca="1">IFERROR(IF(_xlfn._xlws.FILTER(game_rosters!$J:$J,(game_rosters!$G:$G=events!$AN3185)*(game_rosters!$J:$J=events!$X3185))&gt;0,1,""),"")</f>
        <v>#VALUE!</v>
      </c>
      <c r="AA3185">
        <f t="shared" si="279"/>
        <v>1000</v>
      </c>
      <c r="AB3185" t="str">
        <f t="shared" si="280"/>
        <v/>
      </c>
      <c r="AC3185">
        <f t="shared" si="277"/>
        <v>1000</v>
      </c>
      <c r="AD3185" s="6"/>
    </row>
    <row r="3186" spans="1:30" x14ac:dyDescent="0.2">
      <c r="A3186" t="str">
        <f t="shared" si="278"/>
        <v/>
      </c>
      <c r="X3186" t="str" cm="1">
        <f t="array" ref="X3186">IF(S3186="","",IF($I3186&lt;&gt;"",$I3186,INDEX($I$2:$I3185,ROW()-COUNTIFS($T$2:$T3185,"="&amp;$T3186,$S$2:$S3185,"&lt;&gt;"&amp;$S3186)-1)))</f>
        <v/>
      </c>
      <c r="Y3186" t="b">
        <f>IF(X3186&lt;&gt;"",VLOOKUP(X3186,game_rosters!$C$43:$E$64,3,FALSE))</f>
        <v>0</v>
      </c>
      <c r="Z3186" t="e" cm="1" vm="1">
        <f t="array" aca="1" ref="Z3186" ca="1">IFERROR(IF(_xlfn._xlws.FILTER(game_rosters!$J:$J,(game_rosters!$G:$G=events!$AN3186)*(game_rosters!$J:$J=events!$X3186))&gt;0,1,""),"")</f>
        <v>#VALUE!</v>
      </c>
      <c r="AA3186">
        <f t="shared" si="279"/>
        <v>1000</v>
      </c>
      <c r="AB3186" t="str">
        <f t="shared" si="280"/>
        <v/>
      </c>
      <c r="AC3186">
        <f t="shared" si="277"/>
        <v>1000</v>
      </c>
      <c r="AD3186" s="6"/>
    </row>
    <row r="3187" spans="1:30" x14ac:dyDescent="0.2">
      <c r="A3187" t="str">
        <f t="shared" si="278"/>
        <v/>
      </c>
      <c r="X3187" t="str" cm="1">
        <f t="array" ref="X3187">IF(S3187="","",IF($I3187&lt;&gt;"",$I3187,INDEX($I$2:$I3186,ROW()-COUNTIFS($T$2:$T3186,"="&amp;$T3187,$S$2:$S3186,"&lt;&gt;"&amp;$S3187)-1)))</f>
        <v/>
      </c>
      <c r="Y3187" t="b">
        <f>IF(X3187&lt;&gt;"",VLOOKUP(X3187,game_rosters!$C$43:$E$64,3,FALSE))</f>
        <v>0</v>
      </c>
      <c r="Z3187" t="e" cm="1" vm="1">
        <f t="array" aca="1" ref="Z3187" ca="1">IFERROR(IF(_xlfn._xlws.FILTER(game_rosters!$J:$J,(game_rosters!$G:$G=events!$AN3187)*(game_rosters!$J:$J=events!$X3187))&gt;0,1,""),"")</f>
        <v>#VALUE!</v>
      </c>
      <c r="AA3187">
        <f t="shared" si="279"/>
        <v>1000</v>
      </c>
      <c r="AB3187" t="str">
        <f t="shared" si="280"/>
        <v/>
      </c>
      <c r="AC3187">
        <f t="shared" si="277"/>
        <v>1000</v>
      </c>
      <c r="AD3187" s="6"/>
    </row>
    <row r="3188" spans="1:30" x14ac:dyDescent="0.2">
      <c r="A3188" t="str">
        <f t="shared" si="278"/>
        <v/>
      </c>
      <c r="X3188" t="str" cm="1">
        <f t="array" ref="X3188">IF(S3188="","",IF($I3188&lt;&gt;"",$I3188,INDEX($I$2:$I3187,ROW()-COUNTIFS($T$2:$T3187,"="&amp;$T3188,$S$2:$S3187,"&lt;&gt;"&amp;$S3188)-1)))</f>
        <v/>
      </c>
      <c r="Y3188" t="b">
        <f>IF(X3188&lt;&gt;"",VLOOKUP(X3188,game_rosters!$C$43:$E$64,3,FALSE))</f>
        <v>0</v>
      </c>
      <c r="Z3188" t="e" cm="1" vm="1">
        <f t="array" aca="1" ref="Z3188" ca="1">IFERROR(IF(_xlfn._xlws.FILTER(game_rosters!$J:$J,(game_rosters!$G:$G=events!$AN3188)*(game_rosters!$J:$J=events!$X3188))&gt;0,1,""),"")</f>
        <v>#VALUE!</v>
      </c>
      <c r="AA3188">
        <f t="shared" si="279"/>
        <v>1000</v>
      </c>
      <c r="AB3188" t="str">
        <f t="shared" si="280"/>
        <v/>
      </c>
      <c r="AC3188">
        <f t="shared" si="277"/>
        <v>1000</v>
      </c>
      <c r="AD3188" s="6"/>
    </row>
    <row r="3189" spans="1:30" x14ac:dyDescent="0.2">
      <c r="A3189" t="str">
        <f t="shared" si="278"/>
        <v/>
      </c>
      <c r="X3189" t="str" cm="1">
        <f t="array" ref="X3189">IF(S3189="","",IF($I3189&lt;&gt;"",$I3189,INDEX($I$2:$I3188,ROW()-COUNTIFS($T$2:$T3188,"="&amp;$T3189,$S$2:$S3188,"&lt;&gt;"&amp;$S3189)-1)))</f>
        <v/>
      </c>
      <c r="Y3189" t="b">
        <f>IF(X3189&lt;&gt;"",VLOOKUP(X3189,game_rosters!$C$43:$E$64,3,FALSE))</f>
        <v>0</v>
      </c>
      <c r="Z3189" t="e" cm="1" vm="1">
        <f t="array" aca="1" ref="Z3189" ca="1">IFERROR(IF(_xlfn._xlws.FILTER(game_rosters!$J:$J,(game_rosters!$G:$G=events!$AN3189)*(game_rosters!$J:$J=events!$X3189))&gt;0,1,""),"")</f>
        <v>#VALUE!</v>
      </c>
      <c r="AA3189">
        <f t="shared" si="279"/>
        <v>1000</v>
      </c>
      <c r="AB3189" t="str">
        <f t="shared" si="280"/>
        <v/>
      </c>
      <c r="AC3189">
        <f t="shared" si="277"/>
        <v>1000</v>
      </c>
      <c r="AD3189" s="6"/>
    </row>
    <row r="3190" spans="1:30" x14ac:dyDescent="0.2">
      <c r="A3190" t="str">
        <f t="shared" si="278"/>
        <v/>
      </c>
      <c r="X3190" t="str" cm="1">
        <f t="array" ref="X3190">IF(S3190="","",IF($I3190&lt;&gt;"",$I3190,INDEX($I$2:$I3189,ROW()-COUNTIFS($T$2:$T3189,"="&amp;$T3190,$S$2:$S3189,"&lt;&gt;"&amp;$S3190)-1)))</f>
        <v/>
      </c>
      <c r="Y3190" t="b">
        <f>IF(X3190&lt;&gt;"",VLOOKUP(X3190,game_rosters!$C$43:$E$64,3,FALSE))</f>
        <v>0</v>
      </c>
      <c r="Z3190" t="e" cm="1" vm="1">
        <f t="array" aca="1" ref="Z3190" ca="1">IFERROR(IF(_xlfn._xlws.FILTER(game_rosters!$J:$J,(game_rosters!$G:$G=events!$AN3190)*(game_rosters!$J:$J=events!$X3190))&gt;0,1,""),"")</f>
        <v>#VALUE!</v>
      </c>
      <c r="AA3190">
        <f t="shared" si="279"/>
        <v>1000</v>
      </c>
      <c r="AB3190" t="str">
        <f t="shared" si="280"/>
        <v/>
      </c>
      <c r="AC3190">
        <f t="shared" si="277"/>
        <v>1000</v>
      </c>
      <c r="AD3190" s="6"/>
    </row>
    <row r="3191" spans="1:30" x14ac:dyDescent="0.2">
      <c r="A3191" t="str">
        <f t="shared" si="278"/>
        <v/>
      </c>
      <c r="X3191" t="str" cm="1">
        <f t="array" ref="X3191">IF(S3191="","",IF($I3191&lt;&gt;"",$I3191,INDEX($I$2:$I3190,ROW()-COUNTIFS($T$2:$T3190,"="&amp;$T3191,$S$2:$S3190,"&lt;&gt;"&amp;$S3191)-1)))</f>
        <v/>
      </c>
      <c r="Y3191" t="b">
        <f>IF(X3191&lt;&gt;"",VLOOKUP(X3191,game_rosters!$C$43:$E$64,3,FALSE))</f>
        <v>0</v>
      </c>
      <c r="Z3191" t="e" cm="1" vm="1">
        <f t="array" aca="1" ref="Z3191" ca="1">IFERROR(IF(_xlfn._xlws.FILTER(game_rosters!$J:$J,(game_rosters!$G:$G=events!$AN3191)*(game_rosters!$J:$J=events!$X3191))&gt;0,1,""),"")</f>
        <v>#VALUE!</v>
      </c>
      <c r="AA3191">
        <f t="shared" si="279"/>
        <v>1000</v>
      </c>
      <c r="AB3191" t="str">
        <f t="shared" si="280"/>
        <v/>
      </c>
      <c r="AC3191">
        <f t="shared" si="277"/>
        <v>1000</v>
      </c>
      <c r="AD3191" s="6"/>
    </row>
    <row r="3192" spans="1:30" x14ac:dyDescent="0.2">
      <c r="A3192" t="str">
        <f t="shared" si="278"/>
        <v/>
      </c>
      <c r="X3192" t="str" cm="1">
        <f t="array" ref="X3192">IF(S3192="","",IF($I3192&lt;&gt;"",$I3192,INDEX($I$2:$I3191,ROW()-COUNTIFS($T$2:$T3191,"="&amp;$T3192,$S$2:$S3191,"&lt;&gt;"&amp;$S3192)-1)))</f>
        <v/>
      </c>
      <c r="Y3192" t="b">
        <f>IF(X3192&lt;&gt;"",VLOOKUP(X3192,game_rosters!$C$43:$E$64,3,FALSE))</f>
        <v>0</v>
      </c>
      <c r="Z3192" t="e" cm="1" vm="1">
        <f t="array" aca="1" ref="Z3192" ca="1">IFERROR(IF(_xlfn._xlws.FILTER(game_rosters!$J:$J,(game_rosters!$G:$G=events!$AN3192)*(game_rosters!$J:$J=events!$X3192))&gt;0,1,""),"")</f>
        <v>#VALUE!</v>
      </c>
      <c r="AA3192">
        <f t="shared" si="279"/>
        <v>1000</v>
      </c>
      <c r="AB3192" t="str">
        <f t="shared" si="280"/>
        <v/>
      </c>
      <c r="AC3192">
        <f t="shared" si="277"/>
        <v>1000</v>
      </c>
      <c r="AD3192" s="6"/>
    </row>
    <row r="3193" spans="1:30" x14ac:dyDescent="0.2">
      <c r="A3193" t="str">
        <f t="shared" si="278"/>
        <v/>
      </c>
      <c r="X3193" t="str" cm="1">
        <f t="array" ref="X3193">IF(S3193="","",IF($I3193&lt;&gt;"",$I3193,INDEX($I$2:$I3192,ROW()-COUNTIFS($T$2:$T3192,"="&amp;$T3193,$S$2:$S3192,"&lt;&gt;"&amp;$S3193)-1)))</f>
        <v/>
      </c>
      <c r="Y3193" t="b">
        <f>IF(X3193&lt;&gt;"",VLOOKUP(X3193,game_rosters!$C$43:$E$64,3,FALSE))</f>
        <v>0</v>
      </c>
      <c r="Z3193" t="e" cm="1" vm="1">
        <f t="array" aca="1" ref="Z3193" ca="1">IFERROR(IF(_xlfn._xlws.FILTER(game_rosters!$J:$J,(game_rosters!$G:$G=events!$AN3193)*(game_rosters!$J:$J=events!$X3193))&gt;0,1,""),"")</f>
        <v>#VALUE!</v>
      </c>
      <c r="AA3193">
        <f t="shared" si="279"/>
        <v>1000</v>
      </c>
      <c r="AB3193" t="str">
        <f t="shared" si="280"/>
        <v/>
      </c>
      <c r="AC3193">
        <f t="shared" si="277"/>
        <v>1000</v>
      </c>
      <c r="AD3193" s="6"/>
    </row>
    <row r="3194" spans="1:30" x14ac:dyDescent="0.2">
      <c r="A3194" t="str">
        <f t="shared" si="278"/>
        <v/>
      </c>
      <c r="X3194" t="str" cm="1">
        <f t="array" ref="X3194">IF(S3194="","",IF($I3194&lt;&gt;"",$I3194,INDEX($I$2:$I3193,ROW()-COUNTIFS($T$2:$T3193,"="&amp;$T3194,$S$2:$S3193,"&lt;&gt;"&amp;$S3194)-1)))</f>
        <v/>
      </c>
      <c r="Y3194" t="b">
        <f>IF(X3194&lt;&gt;"",VLOOKUP(X3194,game_rosters!$C$43:$E$64,3,FALSE))</f>
        <v>0</v>
      </c>
      <c r="Z3194" t="e" cm="1" vm="1">
        <f t="array" aca="1" ref="Z3194" ca="1">IFERROR(IF(_xlfn._xlws.FILTER(game_rosters!$J:$J,(game_rosters!$G:$G=events!$AN3194)*(game_rosters!$J:$J=events!$X3194))&gt;0,1,""),"")</f>
        <v>#VALUE!</v>
      </c>
      <c r="AA3194">
        <f t="shared" si="279"/>
        <v>1000</v>
      </c>
      <c r="AB3194" t="str">
        <f t="shared" si="280"/>
        <v/>
      </c>
      <c r="AC3194">
        <f t="shared" si="277"/>
        <v>1000</v>
      </c>
      <c r="AD3194" s="6"/>
    </row>
    <row r="3195" spans="1:30" x14ac:dyDescent="0.2">
      <c r="A3195" t="str">
        <f t="shared" si="278"/>
        <v/>
      </c>
      <c r="X3195" t="str" cm="1">
        <f t="array" ref="X3195">IF(S3195="","",IF($I3195&lt;&gt;"",$I3195,INDEX($I$2:$I3194,ROW()-COUNTIFS($T$2:$T3194,"="&amp;$T3195,$S$2:$S3194,"&lt;&gt;"&amp;$S3195)-1)))</f>
        <v/>
      </c>
      <c r="Y3195" t="b">
        <f>IF(X3195&lt;&gt;"",VLOOKUP(X3195,game_rosters!$C$43:$E$64,3,FALSE))</f>
        <v>0</v>
      </c>
      <c r="Z3195" t="e" cm="1" vm="1">
        <f t="array" aca="1" ref="Z3195" ca="1">IFERROR(IF(_xlfn._xlws.FILTER(game_rosters!$J:$J,(game_rosters!$G:$G=events!$AN3195)*(game_rosters!$J:$J=events!$X3195))&gt;0,1,""),"")</f>
        <v>#VALUE!</v>
      </c>
      <c r="AA3195">
        <f t="shared" si="279"/>
        <v>1000</v>
      </c>
      <c r="AB3195" t="str">
        <f t="shared" si="280"/>
        <v/>
      </c>
      <c r="AC3195">
        <f t="shared" si="277"/>
        <v>1000</v>
      </c>
      <c r="AD3195" s="6"/>
    </row>
    <row r="3196" spans="1:30" x14ac:dyDescent="0.2">
      <c r="A3196" t="str">
        <f t="shared" si="278"/>
        <v/>
      </c>
      <c r="X3196" t="str" cm="1">
        <f t="array" ref="X3196">IF(S3196="","",IF($I3196&lt;&gt;"",$I3196,INDEX($I$2:$I3195,ROW()-COUNTIFS($T$2:$T3195,"="&amp;$T3196,$S$2:$S3195,"&lt;&gt;"&amp;$S3196)-1)))</f>
        <v/>
      </c>
      <c r="Y3196" t="b">
        <f>IF(X3196&lt;&gt;"",VLOOKUP(X3196,game_rosters!$C$43:$E$64,3,FALSE))</f>
        <v>0</v>
      </c>
      <c r="Z3196" t="e" cm="1" vm="1">
        <f t="array" aca="1" ref="Z3196" ca="1">IFERROR(IF(_xlfn._xlws.FILTER(game_rosters!$J:$J,(game_rosters!$G:$G=events!$AN3196)*(game_rosters!$J:$J=events!$X3196))&gt;0,1,""),"")</f>
        <v>#VALUE!</v>
      </c>
      <c r="AA3196">
        <f t="shared" si="279"/>
        <v>1000</v>
      </c>
      <c r="AB3196" t="str">
        <f t="shared" si="280"/>
        <v/>
      </c>
      <c r="AC3196">
        <f t="shared" si="277"/>
        <v>1000</v>
      </c>
      <c r="AD3196" s="6"/>
    </row>
    <row r="3197" spans="1:30" x14ac:dyDescent="0.2">
      <c r="A3197" t="str">
        <f t="shared" si="278"/>
        <v/>
      </c>
      <c r="X3197" t="str" cm="1">
        <f t="array" ref="X3197">IF(S3197="","",IF($I3197&lt;&gt;"",$I3197,INDEX($I$2:$I3196,ROW()-COUNTIFS($T$2:$T3196,"="&amp;$T3197,$S$2:$S3196,"&lt;&gt;"&amp;$S3197)-1)))</f>
        <v/>
      </c>
      <c r="Y3197" t="b">
        <f>IF(X3197&lt;&gt;"",VLOOKUP(X3197,game_rosters!$C$43:$E$64,3,FALSE))</f>
        <v>0</v>
      </c>
      <c r="Z3197" t="e" cm="1" vm="1">
        <f t="array" aca="1" ref="Z3197" ca="1">IFERROR(IF(_xlfn._xlws.FILTER(game_rosters!$J:$J,(game_rosters!$G:$G=events!$AN3197)*(game_rosters!$J:$J=events!$X3197))&gt;0,1,""),"")</f>
        <v>#VALUE!</v>
      </c>
      <c r="AA3197">
        <f t="shared" si="279"/>
        <v>1000</v>
      </c>
      <c r="AB3197" t="str">
        <f t="shared" si="280"/>
        <v/>
      </c>
      <c r="AC3197">
        <f t="shared" si="277"/>
        <v>1000</v>
      </c>
      <c r="AD3197" s="6"/>
    </row>
    <row r="3198" spans="1:30" x14ac:dyDescent="0.2">
      <c r="A3198" t="str">
        <f t="shared" si="278"/>
        <v/>
      </c>
      <c r="X3198" t="str" cm="1">
        <f t="array" ref="X3198">IF(S3198="","",IF($I3198&lt;&gt;"",$I3198,INDEX($I$2:$I3197,ROW()-COUNTIFS($T$2:$T3197,"="&amp;$T3198,$S$2:$S3197,"&lt;&gt;"&amp;$S3198)-1)))</f>
        <v/>
      </c>
      <c r="Y3198" t="b">
        <f>IF(X3198&lt;&gt;"",VLOOKUP(X3198,game_rosters!$C$43:$E$64,3,FALSE))</f>
        <v>0</v>
      </c>
      <c r="Z3198" t="e" cm="1" vm="1">
        <f t="array" aca="1" ref="Z3198" ca="1">IFERROR(IF(_xlfn._xlws.FILTER(game_rosters!$J:$J,(game_rosters!$G:$G=events!$AN3198)*(game_rosters!$J:$J=events!$X3198))&gt;0,1,""),"")</f>
        <v>#VALUE!</v>
      </c>
      <c r="AA3198">
        <f t="shared" si="279"/>
        <v>1000</v>
      </c>
      <c r="AB3198" t="str">
        <f t="shared" si="280"/>
        <v/>
      </c>
      <c r="AC3198">
        <f t="shared" si="277"/>
        <v>1000</v>
      </c>
      <c r="AD3198" s="6"/>
    </row>
    <row r="3199" spans="1:30" x14ac:dyDescent="0.2">
      <c r="A3199" t="str">
        <f t="shared" si="278"/>
        <v/>
      </c>
      <c r="X3199" t="str" cm="1">
        <f t="array" ref="X3199">IF(S3199="","",IF($I3199&lt;&gt;"",$I3199,INDEX($I$2:$I3198,ROW()-COUNTIFS($T$2:$T3198,"="&amp;$T3199,$S$2:$S3198,"&lt;&gt;"&amp;$S3199)-1)))</f>
        <v/>
      </c>
      <c r="Y3199" t="b">
        <f>IF(X3199&lt;&gt;"",VLOOKUP(X3199,game_rosters!$C$43:$E$64,3,FALSE))</f>
        <v>0</v>
      </c>
      <c r="Z3199" t="e" cm="1" vm="1">
        <f t="array" aca="1" ref="Z3199" ca="1">IFERROR(IF(_xlfn._xlws.FILTER(game_rosters!$J:$J,(game_rosters!$G:$G=events!$AN3199)*(game_rosters!$J:$J=events!$X3199))&gt;0,1,""),"")</f>
        <v>#VALUE!</v>
      </c>
      <c r="AA3199">
        <f t="shared" si="279"/>
        <v>1000</v>
      </c>
      <c r="AB3199" t="str">
        <f t="shared" si="280"/>
        <v/>
      </c>
      <c r="AC3199">
        <f t="shared" si="277"/>
        <v>1000</v>
      </c>
      <c r="AD3199" s="6"/>
    </row>
    <row r="3200" spans="1:30" x14ac:dyDescent="0.2">
      <c r="A3200" t="str">
        <f t="shared" si="278"/>
        <v/>
      </c>
      <c r="X3200" t="str" cm="1">
        <f t="array" ref="X3200">IF(S3200="","",IF($I3200&lt;&gt;"",$I3200,INDEX($I$2:$I3199,ROW()-COUNTIFS($T$2:$T3199,"="&amp;$T3200,$S$2:$S3199,"&lt;&gt;"&amp;$S3200)-1)))</f>
        <v/>
      </c>
      <c r="Y3200" t="b">
        <f>IF(X3200&lt;&gt;"",VLOOKUP(X3200,game_rosters!$C$43:$E$64,3,FALSE))</f>
        <v>0</v>
      </c>
      <c r="Z3200" t="e" cm="1" vm="1">
        <f t="array" aca="1" ref="Z3200" ca="1">IFERROR(IF(_xlfn._xlws.FILTER(game_rosters!$J:$J,(game_rosters!$G:$G=events!$AN3200)*(game_rosters!$J:$J=events!$X3200))&gt;0,1,""),"")</f>
        <v>#VALUE!</v>
      </c>
      <c r="AA3200">
        <f t="shared" si="279"/>
        <v>1000</v>
      </c>
      <c r="AB3200" t="str">
        <f t="shared" si="280"/>
        <v/>
      </c>
      <c r="AC3200">
        <f t="shared" si="277"/>
        <v>1000</v>
      </c>
      <c r="AD3200" s="6"/>
    </row>
    <row r="3201" spans="1:30" x14ac:dyDescent="0.2">
      <c r="A3201" t="str">
        <f t="shared" si="278"/>
        <v/>
      </c>
      <c r="X3201" t="str" cm="1">
        <f t="array" ref="X3201">IF(S3201="","",IF($I3201&lt;&gt;"",$I3201,INDEX($I$2:$I3200,ROW()-COUNTIFS($T$2:$T3200,"="&amp;$T3201,$S$2:$S3200,"&lt;&gt;"&amp;$S3201)-1)))</f>
        <v/>
      </c>
      <c r="Y3201" t="b">
        <f>IF(X3201&lt;&gt;"",VLOOKUP(X3201,game_rosters!$C$43:$E$64,3,FALSE))</f>
        <v>0</v>
      </c>
      <c r="Z3201" t="e" cm="1" vm="1">
        <f t="array" aca="1" ref="Z3201" ca="1">IFERROR(IF(_xlfn._xlws.FILTER(game_rosters!$J:$J,(game_rosters!$G:$G=events!$AN3201)*(game_rosters!$J:$J=events!$X3201))&gt;0,1,""),"")</f>
        <v>#VALUE!</v>
      </c>
      <c r="AA3201">
        <f t="shared" si="279"/>
        <v>1000</v>
      </c>
      <c r="AB3201" t="str">
        <f t="shared" si="280"/>
        <v/>
      </c>
      <c r="AC3201">
        <f t="shared" si="277"/>
        <v>1000</v>
      </c>
      <c r="AD3201" s="6"/>
    </row>
    <row r="3202" spans="1:30" x14ac:dyDescent="0.2">
      <c r="A3202" t="str">
        <f t="shared" si="278"/>
        <v/>
      </c>
      <c r="X3202" t="str" cm="1">
        <f t="array" ref="X3202">IF(S3202="","",IF($I3202&lt;&gt;"",$I3202,INDEX($I$2:$I3201,ROW()-COUNTIFS($T$2:$T3201,"="&amp;$T3202,$S$2:$S3201,"&lt;&gt;"&amp;$S3202)-1)))</f>
        <v/>
      </c>
      <c r="Y3202" t="b">
        <f>IF(X3202&lt;&gt;"",VLOOKUP(X3202,game_rosters!$C$43:$E$64,3,FALSE))</f>
        <v>0</v>
      </c>
      <c r="Z3202" t="e" cm="1" vm="1">
        <f t="array" aca="1" ref="Z3202" ca="1">IFERROR(IF(_xlfn._xlws.FILTER(game_rosters!$J:$J,(game_rosters!$G:$G=events!$AN3202)*(game_rosters!$J:$J=events!$X3202))&gt;0,1,""),"")</f>
        <v>#VALUE!</v>
      </c>
      <c r="AA3202">
        <f t="shared" si="279"/>
        <v>1000</v>
      </c>
      <c r="AB3202" t="str">
        <f t="shared" si="280"/>
        <v/>
      </c>
      <c r="AC3202">
        <f t="shared" ref="AC3202:AC3265" si="281">IF(AB3202&lt;&gt;"",AB3202,S3202+1000)</f>
        <v>1000</v>
      </c>
      <c r="AD3202" s="6"/>
    </row>
    <row r="3203" spans="1:30" x14ac:dyDescent="0.2">
      <c r="A3203" t="str">
        <f t="shared" si="278"/>
        <v/>
      </c>
      <c r="X3203" t="str" cm="1">
        <f t="array" ref="X3203">IF(S3203="","",IF($I3203&lt;&gt;"",$I3203,INDEX($I$2:$I3202,ROW()-COUNTIFS($T$2:$T3202,"="&amp;$T3203,$S$2:$S3202,"&lt;&gt;"&amp;$S3203)-1)))</f>
        <v/>
      </c>
      <c r="Y3203" t="b">
        <f>IF(X3203&lt;&gt;"",VLOOKUP(X3203,game_rosters!$C$43:$E$64,3,FALSE))</f>
        <v>0</v>
      </c>
      <c r="Z3203" t="e" cm="1" vm="1">
        <f t="array" aca="1" ref="Z3203" ca="1">IFERROR(IF(_xlfn._xlws.FILTER(game_rosters!$J:$J,(game_rosters!$G:$G=events!$AN3203)*(game_rosters!$J:$J=events!$X3203))&gt;0,1,""),"")</f>
        <v>#VALUE!</v>
      </c>
      <c r="AA3203">
        <f t="shared" si="279"/>
        <v>1000</v>
      </c>
      <c r="AB3203" t="str">
        <f t="shared" si="280"/>
        <v/>
      </c>
      <c r="AC3203">
        <f t="shared" si="281"/>
        <v>1000</v>
      </c>
      <c r="AD3203" s="6"/>
    </row>
    <row r="3204" spans="1:30" x14ac:dyDescent="0.2">
      <c r="A3204" t="str">
        <f t="shared" si="278"/>
        <v/>
      </c>
      <c r="X3204" t="str" cm="1">
        <f t="array" ref="X3204">IF(S3204="","",IF($I3204&lt;&gt;"",$I3204,INDEX($I$2:$I3203,ROW()-COUNTIFS($T$2:$T3203,"="&amp;$T3204,$S$2:$S3203,"&lt;&gt;"&amp;$S3204)-1)))</f>
        <v/>
      </c>
      <c r="Y3204" t="b">
        <f>IF(X3204&lt;&gt;"",VLOOKUP(X3204,game_rosters!$C$43:$E$64,3,FALSE))</f>
        <v>0</v>
      </c>
      <c r="Z3204" t="e" cm="1" vm="1">
        <f t="array" aca="1" ref="Z3204" ca="1">IFERROR(IF(_xlfn._xlws.FILTER(game_rosters!$J:$J,(game_rosters!$G:$G=events!$AN3204)*(game_rosters!$J:$J=events!$X3204))&gt;0,1,""),"")</f>
        <v>#VALUE!</v>
      </c>
      <c r="AA3204">
        <f t="shared" si="279"/>
        <v>1000</v>
      </c>
      <c r="AB3204" t="str">
        <f t="shared" si="280"/>
        <v/>
      </c>
      <c r="AC3204">
        <f t="shared" si="281"/>
        <v>1000</v>
      </c>
      <c r="AD3204" s="6"/>
    </row>
    <row r="3205" spans="1:30" x14ac:dyDescent="0.2">
      <c r="A3205" t="str">
        <f t="shared" ref="A3205:A3268" si="282">IF(K3205&lt;&gt;"",1,IF(D3205="x","x",""))</f>
        <v/>
      </c>
      <c r="X3205" t="str" cm="1">
        <f t="array" ref="X3205">IF(S3205="","",IF($I3205&lt;&gt;"",$I3205,INDEX($I$2:$I3204,ROW()-COUNTIFS($T$2:$T3204,"="&amp;$T3205,$S$2:$S3204,"&lt;&gt;"&amp;$S3205)-1)))</f>
        <v/>
      </c>
      <c r="Y3205" t="b">
        <f>IF(X3205&lt;&gt;"",VLOOKUP(X3205,game_rosters!$C$43:$E$64,3,FALSE))</f>
        <v>0</v>
      </c>
      <c r="Z3205" t="e" cm="1" vm="1">
        <f t="array" aca="1" ref="Z3205" ca="1">IFERROR(IF(_xlfn._xlws.FILTER(game_rosters!$J:$J,(game_rosters!$G:$G=events!$AN3205)*(game_rosters!$J:$J=events!$X3205))&gt;0,1,""),"")</f>
        <v>#VALUE!</v>
      </c>
      <c r="AA3205">
        <f t="shared" si="279"/>
        <v>1000</v>
      </c>
      <c r="AB3205" t="str">
        <f t="shared" si="280"/>
        <v/>
      </c>
      <c r="AC3205">
        <f t="shared" si="281"/>
        <v>1000</v>
      </c>
      <c r="AD3205" s="6"/>
    </row>
    <row r="3206" spans="1:30" x14ac:dyDescent="0.2">
      <c r="A3206" t="str">
        <f t="shared" si="282"/>
        <v/>
      </c>
      <c r="X3206" t="str" cm="1">
        <f t="array" ref="X3206">IF(S3206="","",IF($I3206&lt;&gt;"",$I3206,INDEX($I$2:$I3205,ROW()-COUNTIFS($T$2:$T3205,"="&amp;$T3206,$S$2:$S3205,"&lt;&gt;"&amp;$S3206)-1)))</f>
        <v/>
      </c>
      <c r="Y3206" t="b">
        <f>IF(X3206&lt;&gt;"",VLOOKUP(X3206,game_rosters!$C$43:$E$64,3,FALSE))</f>
        <v>0</v>
      </c>
      <c r="Z3206" t="e" cm="1" vm="1">
        <f t="array" aca="1" ref="Z3206" ca="1">IFERROR(IF(_xlfn._xlws.FILTER(game_rosters!$J:$J,(game_rosters!$G:$G=events!$AN3206)*(game_rosters!$J:$J=events!$X3206))&gt;0,1,""),"")</f>
        <v>#VALUE!</v>
      </c>
      <c r="AA3206">
        <f t="shared" si="279"/>
        <v>1000</v>
      </c>
      <c r="AB3206" t="str">
        <f t="shared" si="280"/>
        <v/>
      </c>
      <c r="AC3206">
        <f t="shared" si="281"/>
        <v>1000</v>
      </c>
      <c r="AD3206" s="6"/>
    </row>
    <row r="3207" spans="1:30" x14ac:dyDescent="0.2">
      <c r="A3207" t="str">
        <f t="shared" si="282"/>
        <v/>
      </c>
      <c r="X3207" t="str" cm="1">
        <f t="array" ref="X3207">IF(S3207="","",IF($I3207&lt;&gt;"",$I3207,INDEX($I$2:$I3206,ROW()-COUNTIFS($T$2:$T3206,"="&amp;$T3207,$S$2:$S3206,"&lt;&gt;"&amp;$S3207)-1)))</f>
        <v/>
      </c>
      <c r="Y3207" t="b">
        <f>IF(X3207&lt;&gt;"",VLOOKUP(X3207,game_rosters!$C$43:$E$64,3,FALSE))</f>
        <v>0</v>
      </c>
      <c r="Z3207" t="e" cm="1" vm="1">
        <f t="array" aca="1" ref="Z3207" ca="1">IFERROR(IF(_xlfn._xlws.FILTER(game_rosters!$J:$J,(game_rosters!$G:$G=events!$AN3207)*(game_rosters!$J:$J=events!$X3207))&gt;0,1,""),"")</f>
        <v>#VALUE!</v>
      </c>
      <c r="AA3207">
        <f t="shared" si="279"/>
        <v>1000</v>
      </c>
      <c r="AB3207" t="str">
        <f t="shared" si="280"/>
        <v/>
      </c>
      <c r="AC3207">
        <f t="shared" si="281"/>
        <v>1000</v>
      </c>
      <c r="AD3207" s="6"/>
    </row>
    <row r="3208" spans="1:30" x14ac:dyDescent="0.2">
      <c r="A3208" t="str">
        <f t="shared" si="282"/>
        <v/>
      </c>
      <c r="X3208" t="str" cm="1">
        <f t="array" ref="X3208">IF(S3208="","",IF($I3208&lt;&gt;"",$I3208,INDEX($I$2:$I3207,ROW()-COUNTIFS($T$2:$T3207,"="&amp;$T3208,$S$2:$S3207,"&lt;&gt;"&amp;$S3208)-1)))</f>
        <v/>
      </c>
      <c r="Y3208" t="b">
        <f>IF(X3208&lt;&gt;"",VLOOKUP(X3208,game_rosters!$C$43:$E$64,3,FALSE))</f>
        <v>0</v>
      </c>
      <c r="Z3208" t="e" cm="1" vm="1">
        <f t="array" aca="1" ref="Z3208" ca="1">IFERROR(IF(_xlfn._xlws.FILTER(game_rosters!$J:$J,(game_rosters!$G:$G=events!$AN3208)*(game_rosters!$J:$J=events!$X3208))&gt;0,1,""),"")</f>
        <v>#VALUE!</v>
      </c>
      <c r="AA3208">
        <f t="shared" si="279"/>
        <v>1000</v>
      </c>
      <c r="AB3208" t="str">
        <f t="shared" si="280"/>
        <v/>
      </c>
      <c r="AC3208">
        <f t="shared" si="281"/>
        <v>1000</v>
      </c>
      <c r="AD3208" s="6"/>
    </row>
    <row r="3209" spans="1:30" x14ac:dyDescent="0.2">
      <c r="A3209" t="str">
        <f t="shared" si="282"/>
        <v/>
      </c>
      <c r="X3209" t="str" cm="1">
        <f t="array" ref="X3209">IF(S3209="","",IF($I3209&lt;&gt;"",$I3209,INDEX($I$2:$I3208,ROW()-COUNTIFS($T$2:$T3208,"="&amp;$T3209,$S$2:$S3208,"&lt;&gt;"&amp;$S3209)-1)))</f>
        <v/>
      </c>
      <c r="Y3209" t="b">
        <f>IF(X3209&lt;&gt;"",VLOOKUP(X3209,game_rosters!$C$43:$E$64,3,FALSE))</f>
        <v>0</v>
      </c>
      <c r="Z3209" t="e" cm="1" vm="1">
        <f t="array" aca="1" ref="Z3209" ca="1">IFERROR(IF(_xlfn._xlws.FILTER(game_rosters!$J:$J,(game_rosters!$G:$G=events!$AN3209)*(game_rosters!$J:$J=events!$X3209))&gt;0,1,""),"")</f>
        <v>#VALUE!</v>
      </c>
      <c r="AA3209">
        <f t="shared" si="279"/>
        <v>1000</v>
      </c>
      <c r="AB3209" t="str">
        <f t="shared" si="280"/>
        <v/>
      </c>
      <c r="AC3209">
        <f t="shared" si="281"/>
        <v>1000</v>
      </c>
      <c r="AD3209" s="6"/>
    </row>
    <row r="3210" spans="1:30" x14ac:dyDescent="0.2">
      <c r="A3210" t="str">
        <f t="shared" si="282"/>
        <v/>
      </c>
      <c r="X3210" t="str" cm="1">
        <f t="array" ref="X3210">IF(S3210="","",IF($I3210&lt;&gt;"",$I3210,INDEX($I$2:$I3209,ROW()-COUNTIFS($T$2:$T3209,"="&amp;$T3210,$S$2:$S3209,"&lt;&gt;"&amp;$S3210)-1)))</f>
        <v/>
      </c>
      <c r="Y3210" t="b">
        <f>IF(X3210&lt;&gt;"",VLOOKUP(X3210,game_rosters!$C$43:$E$64,3,FALSE))</f>
        <v>0</v>
      </c>
      <c r="Z3210" t="e" cm="1" vm="1">
        <f t="array" aca="1" ref="Z3210" ca="1">IFERROR(IF(_xlfn._xlws.FILTER(game_rosters!$J:$J,(game_rosters!$G:$G=events!$AN3210)*(game_rosters!$J:$J=events!$X3210))&gt;0,1,""),"")</f>
        <v>#VALUE!</v>
      </c>
      <c r="AA3210">
        <f t="shared" si="279"/>
        <v>1000</v>
      </c>
      <c r="AB3210" t="str">
        <f t="shared" si="280"/>
        <v/>
      </c>
      <c r="AC3210">
        <f t="shared" si="281"/>
        <v>1000</v>
      </c>
      <c r="AD3210" s="6"/>
    </row>
    <row r="3211" spans="1:30" x14ac:dyDescent="0.2">
      <c r="A3211" t="str">
        <f t="shared" si="282"/>
        <v/>
      </c>
      <c r="X3211" t="str" cm="1">
        <f t="array" ref="X3211">IF(S3211="","",IF($I3211&lt;&gt;"",$I3211,INDEX($I$2:$I3210,ROW()-COUNTIFS($T$2:$T3210,"="&amp;$T3211,$S$2:$S3210,"&lt;&gt;"&amp;$S3211)-1)))</f>
        <v/>
      </c>
      <c r="Y3211" t="b">
        <f>IF(X3211&lt;&gt;"",VLOOKUP(X3211,game_rosters!$C$43:$E$64,3,FALSE))</f>
        <v>0</v>
      </c>
      <c r="Z3211" t="e" cm="1" vm="1">
        <f t="array" aca="1" ref="Z3211" ca="1">IFERROR(IF(_xlfn._xlws.FILTER(game_rosters!$J:$J,(game_rosters!$G:$G=events!$AN3211)*(game_rosters!$J:$J=events!$X3211))&gt;0,1,""),"")</f>
        <v>#VALUE!</v>
      </c>
      <c r="AA3211">
        <f t="shared" si="279"/>
        <v>1000</v>
      </c>
      <c r="AB3211" t="str">
        <f t="shared" si="280"/>
        <v/>
      </c>
      <c r="AC3211">
        <f t="shared" si="281"/>
        <v>1000</v>
      </c>
      <c r="AD3211" s="6"/>
    </row>
    <row r="3212" spans="1:30" x14ac:dyDescent="0.2">
      <c r="A3212" t="str">
        <f t="shared" si="282"/>
        <v/>
      </c>
      <c r="X3212" t="str" cm="1">
        <f t="array" ref="X3212">IF(S3212="","",IF($I3212&lt;&gt;"",$I3212,INDEX($I$2:$I3211,ROW()-COUNTIFS($T$2:$T3211,"="&amp;$T3212,$S$2:$S3211,"&lt;&gt;"&amp;$S3212)-1)))</f>
        <v/>
      </c>
      <c r="Y3212" t="b">
        <f>IF(X3212&lt;&gt;"",VLOOKUP(X3212,game_rosters!$C$43:$E$64,3,FALSE))</f>
        <v>0</v>
      </c>
      <c r="Z3212" t="e" cm="1" vm="1">
        <f t="array" aca="1" ref="Z3212" ca="1">IFERROR(IF(_xlfn._xlws.FILTER(game_rosters!$J:$J,(game_rosters!$G:$G=events!$AN3212)*(game_rosters!$J:$J=events!$X3212))&gt;0,1,""),"")</f>
        <v>#VALUE!</v>
      </c>
      <c r="AA3212">
        <f t="shared" si="279"/>
        <v>1000</v>
      </c>
      <c r="AB3212" t="str">
        <f t="shared" si="280"/>
        <v/>
      </c>
      <c r="AC3212">
        <f t="shared" si="281"/>
        <v>1000</v>
      </c>
      <c r="AD3212" s="6"/>
    </row>
    <row r="3213" spans="1:30" x14ac:dyDescent="0.2">
      <c r="A3213" t="str">
        <f t="shared" si="282"/>
        <v/>
      </c>
      <c r="X3213" t="str" cm="1">
        <f t="array" ref="X3213">IF(S3213="","",IF($I3213&lt;&gt;"",$I3213,INDEX($I$2:$I3212,ROW()-COUNTIFS($T$2:$T3212,"="&amp;$T3213,$S$2:$S3212,"&lt;&gt;"&amp;$S3213)-1)))</f>
        <v/>
      </c>
      <c r="Y3213" t="b">
        <f>IF(X3213&lt;&gt;"",VLOOKUP(X3213,game_rosters!$C$43:$E$64,3,FALSE))</f>
        <v>0</v>
      </c>
      <c r="Z3213" t="e" cm="1" vm="1">
        <f t="array" aca="1" ref="Z3213" ca="1">IFERROR(IF(_xlfn._xlws.FILTER(game_rosters!$J:$J,(game_rosters!$G:$G=events!$AN3213)*(game_rosters!$J:$J=events!$X3213))&gt;0,1,""),"")</f>
        <v>#VALUE!</v>
      </c>
      <c r="AA3213">
        <f t="shared" si="279"/>
        <v>1000</v>
      </c>
      <c r="AB3213" t="str">
        <f t="shared" si="280"/>
        <v/>
      </c>
      <c r="AC3213">
        <f t="shared" si="281"/>
        <v>1000</v>
      </c>
      <c r="AD3213" s="6"/>
    </row>
    <row r="3214" spans="1:30" x14ac:dyDescent="0.2">
      <c r="A3214" t="str">
        <f t="shared" si="282"/>
        <v/>
      </c>
      <c r="X3214" t="str" cm="1">
        <f t="array" ref="X3214">IF(S3214="","",IF($I3214&lt;&gt;"",$I3214,INDEX($I$2:$I3213,ROW()-COUNTIFS($T$2:$T3213,"="&amp;$T3214,$S$2:$S3213,"&lt;&gt;"&amp;$S3214)-1)))</f>
        <v/>
      </c>
      <c r="Y3214" t="b">
        <f>IF(X3214&lt;&gt;"",VLOOKUP(X3214,game_rosters!$C$43:$E$64,3,FALSE))</f>
        <v>0</v>
      </c>
      <c r="Z3214" t="e" cm="1" vm="1">
        <f t="array" aca="1" ref="Z3214" ca="1">IFERROR(IF(_xlfn._xlws.FILTER(game_rosters!$J:$J,(game_rosters!$G:$G=events!$AN3214)*(game_rosters!$J:$J=events!$X3214))&gt;0,1,""),"")</f>
        <v>#VALUE!</v>
      </c>
      <c r="AA3214">
        <f t="shared" si="279"/>
        <v>1000</v>
      </c>
      <c r="AB3214" t="str">
        <f t="shared" si="280"/>
        <v/>
      </c>
      <c r="AC3214">
        <f t="shared" si="281"/>
        <v>1000</v>
      </c>
      <c r="AD3214" s="6"/>
    </row>
    <row r="3215" spans="1:30" x14ac:dyDescent="0.2">
      <c r="A3215" t="str">
        <f t="shared" si="282"/>
        <v/>
      </c>
      <c r="X3215" t="str" cm="1">
        <f t="array" ref="X3215">IF(S3215="","",IF($I3215&lt;&gt;"",$I3215,INDEX($I$2:$I3214,ROW()-COUNTIFS($T$2:$T3214,"="&amp;$T3215,$S$2:$S3214,"&lt;&gt;"&amp;$S3215)-1)))</f>
        <v/>
      </c>
      <c r="Y3215" t="b">
        <f>IF(X3215&lt;&gt;"",VLOOKUP(X3215,game_rosters!$C$43:$E$64,3,FALSE))</f>
        <v>0</v>
      </c>
      <c r="Z3215" t="e" cm="1" vm="1">
        <f t="array" aca="1" ref="Z3215" ca="1">IFERROR(IF(_xlfn._xlws.FILTER(game_rosters!$J:$J,(game_rosters!$G:$G=events!$AN3215)*(game_rosters!$J:$J=events!$X3215))&gt;0,1,""),"")</f>
        <v>#VALUE!</v>
      </c>
      <c r="AA3215">
        <f t="shared" si="279"/>
        <v>1000</v>
      </c>
      <c r="AB3215" t="str">
        <f t="shared" si="280"/>
        <v/>
      </c>
      <c r="AC3215">
        <f t="shared" si="281"/>
        <v>1000</v>
      </c>
      <c r="AD3215" s="6"/>
    </row>
    <row r="3216" spans="1:30" x14ac:dyDescent="0.2">
      <c r="A3216" t="str">
        <f t="shared" si="282"/>
        <v/>
      </c>
      <c r="X3216" t="str" cm="1">
        <f t="array" ref="X3216">IF(S3216="","",IF($I3216&lt;&gt;"",$I3216,INDEX($I$2:$I3215,ROW()-COUNTIFS($T$2:$T3215,"="&amp;$T3216,$S$2:$S3215,"&lt;&gt;"&amp;$S3216)-1)))</f>
        <v/>
      </c>
      <c r="Y3216" t="b">
        <f>IF(X3216&lt;&gt;"",VLOOKUP(X3216,game_rosters!$C$43:$E$64,3,FALSE))</f>
        <v>0</v>
      </c>
      <c r="Z3216" t="e" cm="1" vm="1">
        <f t="array" aca="1" ref="Z3216" ca="1">IFERROR(IF(_xlfn._xlws.FILTER(game_rosters!$J:$J,(game_rosters!$G:$G=events!$AN3216)*(game_rosters!$J:$J=events!$X3216))&gt;0,1,""),"")</f>
        <v>#VALUE!</v>
      </c>
      <c r="AA3216">
        <f t="shared" si="279"/>
        <v>1000</v>
      </c>
      <c r="AB3216" t="str">
        <f t="shared" si="280"/>
        <v/>
      </c>
      <c r="AC3216">
        <f t="shared" si="281"/>
        <v>1000</v>
      </c>
      <c r="AD3216" s="6"/>
    </row>
    <row r="3217" spans="1:30" x14ac:dyDescent="0.2">
      <c r="A3217" t="str">
        <f t="shared" si="282"/>
        <v/>
      </c>
      <c r="X3217" t="str" cm="1">
        <f t="array" ref="X3217">IF(S3217="","",IF($I3217&lt;&gt;"",$I3217,INDEX($I$2:$I3216,ROW()-COUNTIFS($T$2:$T3216,"="&amp;$T3217,$S$2:$S3216,"&lt;&gt;"&amp;$S3217)-1)))</f>
        <v/>
      </c>
      <c r="Y3217" t="b">
        <f>IF(X3217&lt;&gt;"",VLOOKUP(X3217,game_rosters!$C$43:$E$64,3,FALSE))</f>
        <v>0</v>
      </c>
      <c r="Z3217" t="e" cm="1" vm="1">
        <f t="array" aca="1" ref="Z3217" ca="1">IFERROR(IF(_xlfn._xlws.FILTER(game_rosters!$J:$J,(game_rosters!$G:$G=events!$AN3217)*(game_rosters!$J:$J=events!$X3217))&gt;0,1,""),"")</f>
        <v>#VALUE!</v>
      </c>
      <c r="AA3217">
        <f t="shared" si="279"/>
        <v>1000</v>
      </c>
      <c r="AB3217" t="str">
        <f t="shared" si="280"/>
        <v/>
      </c>
      <c r="AC3217">
        <f t="shared" si="281"/>
        <v>1000</v>
      </c>
      <c r="AD3217" s="6"/>
    </row>
    <row r="3218" spans="1:30" x14ac:dyDescent="0.2">
      <c r="A3218" t="str">
        <f t="shared" si="282"/>
        <v/>
      </c>
      <c r="X3218" t="str" cm="1">
        <f t="array" ref="X3218">IF(S3218="","",IF($I3218&lt;&gt;"",$I3218,INDEX($I$2:$I3217,ROW()-COUNTIFS($T$2:$T3217,"="&amp;$T3218,$S$2:$S3217,"&lt;&gt;"&amp;$S3218)-1)))</f>
        <v/>
      </c>
      <c r="Y3218" t="b">
        <f>IF(X3218&lt;&gt;"",VLOOKUP(X3218,game_rosters!$C$43:$E$64,3,FALSE))</f>
        <v>0</v>
      </c>
      <c r="Z3218" t="e" cm="1" vm="1">
        <f t="array" aca="1" ref="Z3218" ca="1">IFERROR(IF(_xlfn._xlws.FILTER(game_rosters!$J:$J,(game_rosters!$G:$G=events!$AN3218)*(game_rosters!$J:$J=events!$X3218))&gt;0,1,""),"")</f>
        <v>#VALUE!</v>
      </c>
      <c r="AA3218">
        <f t="shared" si="279"/>
        <v>1000</v>
      </c>
      <c r="AB3218" t="str">
        <f t="shared" si="280"/>
        <v/>
      </c>
      <c r="AC3218">
        <f t="shared" si="281"/>
        <v>1000</v>
      </c>
      <c r="AD3218" s="6"/>
    </row>
    <row r="3219" spans="1:30" x14ac:dyDescent="0.2">
      <c r="A3219" t="str">
        <f t="shared" si="282"/>
        <v/>
      </c>
      <c r="X3219" t="str" cm="1">
        <f t="array" ref="X3219">IF(S3219="","",IF($I3219&lt;&gt;"",$I3219,INDEX($I$2:$I3218,ROW()-COUNTIFS($T$2:$T3218,"="&amp;$T3219,$S$2:$S3218,"&lt;&gt;"&amp;$S3219)-1)))</f>
        <v/>
      </c>
      <c r="Y3219" t="b">
        <f>IF(X3219&lt;&gt;"",VLOOKUP(X3219,game_rosters!$C$43:$E$64,3,FALSE))</f>
        <v>0</v>
      </c>
      <c r="Z3219" t="e" cm="1" vm="1">
        <f t="array" aca="1" ref="Z3219" ca="1">IFERROR(IF(_xlfn._xlws.FILTER(game_rosters!$J:$J,(game_rosters!$G:$G=events!$AN3219)*(game_rosters!$J:$J=events!$X3219))&gt;0,1,""),"")</f>
        <v>#VALUE!</v>
      </c>
      <c r="AA3219">
        <f t="shared" si="279"/>
        <v>1000</v>
      </c>
      <c r="AB3219" t="str">
        <f t="shared" si="280"/>
        <v/>
      </c>
      <c r="AC3219">
        <f t="shared" si="281"/>
        <v>1000</v>
      </c>
      <c r="AD3219" s="6"/>
    </row>
    <row r="3220" spans="1:30" x14ac:dyDescent="0.2">
      <c r="A3220" t="str">
        <f t="shared" si="282"/>
        <v/>
      </c>
      <c r="X3220" t="str" cm="1">
        <f t="array" ref="X3220">IF(S3220="","",IF($I3220&lt;&gt;"",$I3220,INDEX($I$2:$I3219,ROW()-COUNTIFS($T$2:$T3219,"="&amp;$T3220,$S$2:$S3219,"&lt;&gt;"&amp;$S3220)-1)))</f>
        <v/>
      </c>
      <c r="Y3220" t="b">
        <f>IF(X3220&lt;&gt;"",VLOOKUP(X3220,game_rosters!$C$43:$E$64,3,FALSE))</f>
        <v>0</v>
      </c>
      <c r="Z3220" t="e" cm="1" vm="1">
        <f t="array" aca="1" ref="Z3220" ca="1">IFERROR(IF(_xlfn._xlws.FILTER(game_rosters!$J:$J,(game_rosters!$G:$G=events!$AN3220)*(game_rosters!$J:$J=events!$X3220))&gt;0,1,""),"")</f>
        <v>#VALUE!</v>
      </c>
      <c r="AA3220">
        <f t="shared" si="279"/>
        <v>1000</v>
      </c>
      <c r="AB3220" t="str">
        <f t="shared" si="280"/>
        <v/>
      </c>
      <c r="AC3220">
        <f t="shared" si="281"/>
        <v>1000</v>
      </c>
      <c r="AD3220" s="6"/>
    </row>
    <row r="3221" spans="1:30" x14ac:dyDescent="0.2">
      <c r="A3221" t="str">
        <f t="shared" si="282"/>
        <v/>
      </c>
      <c r="X3221" t="str" cm="1">
        <f t="array" ref="X3221">IF(S3221="","",IF($I3221&lt;&gt;"",$I3221,INDEX($I$2:$I3220,ROW()-COUNTIFS($T$2:$T3220,"="&amp;$T3221,$S$2:$S3220,"&lt;&gt;"&amp;$S3221)-1)))</f>
        <v/>
      </c>
      <c r="Y3221" t="b">
        <f>IF(X3221&lt;&gt;"",VLOOKUP(X3221,game_rosters!$C$43:$E$64,3,FALSE))</f>
        <v>0</v>
      </c>
      <c r="Z3221" t="e" cm="1" vm="1">
        <f t="array" aca="1" ref="Z3221" ca="1">IFERROR(IF(_xlfn._xlws.FILTER(game_rosters!$J:$J,(game_rosters!$G:$G=events!$AN3221)*(game_rosters!$J:$J=events!$X3221))&gt;0,1,""),"")</f>
        <v>#VALUE!</v>
      </c>
      <c r="AA3221">
        <f t="shared" si="279"/>
        <v>1000</v>
      </c>
      <c r="AB3221" t="str">
        <f t="shared" si="280"/>
        <v/>
      </c>
      <c r="AC3221">
        <f t="shared" si="281"/>
        <v>1000</v>
      </c>
      <c r="AD3221" s="6"/>
    </row>
    <row r="3222" spans="1:30" x14ac:dyDescent="0.2">
      <c r="A3222" t="str">
        <f t="shared" si="282"/>
        <v/>
      </c>
      <c r="X3222" t="str" cm="1">
        <f t="array" ref="X3222">IF(S3222="","",IF($I3222&lt;&gt;"",$I3222,INDEX($I$2:$I3221,ROW()-COUNTIFS($T$2:$T3221,"="&amp;$T3222,$S$2:$S3221,"&lt;&gt;"&amp;$S3222)-1)))</f>
        <v/>
      </c>
      <c r="Y3222" t="b">
        <f>IF(X3222&lt;&gt;"",VLOOKUP(X3222,game_rosters!$C$43:$E$64,3,FALSE))</f>
        <v>0</v>
      </c>
      <c r="Z3222" t="e" cm="1" vm="1">
        <f t="array" aca="1" ref="Z3222" ca="1">IFERROR(IF(_xlfn._xlws.FILTER(game_rosters!$J:$J,(game_rosters!$G:$G=events!$AN3222)*(game_rosters!$J:$J=events!$X3222))&gt;0,1,""),"")</f>
        <v>#VALUE!</v>
      </c>
      <c r="AA3222">
        <f t="shared" si="279"/>
        <v>1000</v>
      </c>
      <c r="AB3222" t="str">
        <f t="shared" si="280"/>
        <v/>
      </c>
      <c r="AC3222">
        <f t="shared" si="281"/>
        <v>1000</v>
      </c>
      <c r="AD3222" s="6"/>
    </row>
    <row r="3223" spans="1:30" x14ac:dyDescent="0.2">
      <c r="A3223" t="str">
        <f t="shared" si="282"/>
        <v/>
      </c>
      <c r="X3223" t="str" cm="1">
        <f t="array" ref="X3223">IF(S3223="","",IF($I3223&lt;&gt;"",$I3223,INDEX($I$2:$I3222,ROW()-COUNTIFS($T$2:$T3222,"="&amp;$T3223,$S$2:$S3222,"&lt;&gt;"&amp;$S3223)-1)))</f>
        <v/>
      </c>
      <c r="Y3223" t="b">
        <f>IF(X3223&lt;&gt;"",VLOOKUP(X3223,game_rosters!$C$43:$E$64,3,FALSE))</f>
        <v>0</v>
      </c>
      <c r="Z3223" t="e" cm="1" vm="1">
        <f t="array" aca="1" ref="Z3223" ca="1">IFERROR(IF(_xlfn._xlws.FILTER(game_rosters!$J:$J,(game_rosters!$G:$G=events!$AN3223)*(game_rosters!$J:$J=events!$X3223))&gt;0,1,""),"")</f>
        <v>#VALUE!</v>
      </c>
      <c r="AA3223">
        <f t="shared" si="279"/>
        <v>1000</v>
      </c>
      <c r="AB3223" t="str">
        <f t="shared" si="280"/>
        <v/>
      </c>
      <c r="AC3223">
        <f t="shared" si="281"/>
        <v>1000</v>
      </c>
      <c r="AD3223" s="6"/>
    </row>
    <row r="3224" spans="1:30" x14ac:dyDescent="0.2">
      <c r="A3224" t="str">
        <f t="shared" si="282"/>
        <v/>
      </c>
      <c r="X3224" t="str" cm="1">
        <f t="array" ref="X3224">IF(S3224="","",IF($I3224&lt;&gt;"",$I3224,INDEX($I$2:$I3223,ROW()-COUNTIFS($T$2:$T3223,"="&amp;$T3224,$S$2:$S3223,"&lt;&gt;"&amp;$S3224)-1)))</f>
        <v/>
      </c>
      <c r="Y3224" t="b">
        <f>IF(X3224&lt;&gt;"",VLOOKUP(X3224,game_rosters!$C$43:$E$64,3,FALSE))</f>
        <v>0</v>
      </c>
      <c r="Z3224" t="e" cm="1" vm="1">
        <f t="array" aca="1" ref="Z3224" ca="1">IFERROR(IF(_xlfn._xlws.FILTER(game_rosters!$J:$J,(game_rosters!$G:$G=events!$AN3224)*(game_rosters!$J:$J=events!$X3224))&gt;0,1,""),"")</f>
        <v>#VALUE!</v>
      </c>
      <c r="AA3224">
        <f t="shared" si="279"/>
        <v>1000</v>
      </c>
      <c r="AB3224" t="str">
        <f t="shared" si="280"/>
        <v/>
      </c>
      <c r="AC3224">
        <f t="shared" si="281"/>
        <v>1000</v>
      </c>
      <c r="AD3224" s="6"/>
    </row>
    <row r="3225" spans="1:30" x14ac:dyDescent="0.2">
      <c r="A3225" t="str">
        <f t="shared" si="282"/>
        <v/>
      </c>
      <c r="X3225" t="str" cm="1">
        <f t="array" ref="X3225">IF(S3225="","",IF($I3225&lt;&gt;"",$I3225,INDEX($I$2:$I3224,ROW()-COUNTIFS($T$2:$T3224,"="&amp;$T3225,$S$2:$S3224,"&lt;&gt;"&amp;$S3225)-1)))</f>
        <v/>
      </c>
      <c r="Y3225" t="b">
        <f>IF(X3225&lt;&gt;"",VLOOKUP(X3225,game_rosters!$C$43:$E$64,3,FALSE))</f>
        <v>0</v>
      </c>
      <c r="Z3225" t="e" cm="1" vm="1">
        <f t="array" aca="1" ref="Z3225" ca="1">IFERROR(IF(_xlfn._xlws.FILTER(game_rosters!$J:$J,(game_rosters!$G:$G=events!$AN3225)*(game_rosters!$J:$J=events!$X3225))&gt;0,1,""),"")</f>
        <v>#VALUE!</v>
      </c>
      <c r="AA3225">
        <f t="shared" si="279"/>
        <v>1000</v>
      </c>
      <c r="AB3225" t="str">
        <f t="shared" si="280"/>
        <v/>
      </c>
      <c r="AC3225">
        <f t="shared" si="281"/>
        <v>1000</v>
      </c>
      <c r="AD3225" s="6"/>
    </row>
    <row r="3226" spans="1:30" x14ac:dyDescent="0.2">
      <c r="A3226" t="str">
        <f t="shared" si="282"/>
        <v/>
      </c>
      <c r="X3226" t="str" cm="1">
        <f t="array" ref="X3226">IF(S3226="","",IF($I3226&lt;&gt;"",$I3226,INDEX($I$2:$I3225,ROW()-COUNTIFS($T$2:$T3225,"="&amp;$T3226,$S$2:$S3225,"&lt;&gt;"&amp;$S3226)-1)))</f>
        <v/>
      </c>
      <c r="Y3226" t="b">
        <f>IF(X3226&lt;&gt;"",VLOOKUP(X3226,game_rosters!$C$43:$E$64,3,FALSE))</f>
        <v>0</v>
      </c>
      <c r="Z3226" t="e" cm="1" vm="1">
        <f t="array" aca="1" ref="Z3226" ca="1">IFERROR(IF(_xlfn._xlws.FILTER(game_rosters!$J:$J,(game_rosters!$G:$G=events!$AN3226)*(game_rosters!$J:$J=events!$X3226))&gt;0,1,""),"")</f>
        <v>#VALUE!</v>
      </c>
      <c r="AA3226">
        <f t="shared" si="279"/>
        <v>1000</v>
      </c>
      <c r="AB3226" t="str">
        <f t="shared" si="280"/>
        <v/>
      </c>
      <c r="AC3226">
        <f t="shared" si="281"/>
        <v>1000</v>
      </c>
      <c r="AD3226" s="6"/>
    </row>
    <row r="3227" spans="1:30" x14ac:dyDescent="0.2">
      <c r="A3227" t="str">
        <f t="shared" si="282"/>
        <v/>
      </c>
      <c r="X3227" t="str" cm="1">
        <f t="array" ref="X3227">IF(S3227="","",IF($I3227&lt;&gt;"",$I3227,INDEX($I$2:$I3226,ROW()-COUNTIFS($T$2:$T3226,"="&amp;$T3227,$S$2:$S3226,"&lt;&gt;"&amp;$S3227)-1)))</f>
        <v/>
      </c>
      <c r="Y3227" t="b">
        <f>IF(X3227&lt;&gt;"",VLOOKUP(X3227,game_rosters!$C$43:$E$64,3,FALSE))</f>
        <v>0</v>
      </c>
      <c r="Z3227" t="e" cm="1" vm="1">
        <f t="array" aca="1" ref="Z3227" ca="1">IFERROR(IF(_xlfn._xlws.FILTER(game_rosters!$J:$J,(game_rosters!$G:$G=events!$AN3227)*(game_rosters!$J:$J=events!$X3227))&gt;0,1,""),"")</f>
        <v>#VALUE!</v>
      </c>
      <c r="AA3227">
        <f t="shared" si="279"/>
        <v>1000</v>
      </c>
      <c r="AB3227" t="str">
        <f t="shared" si="280"/>
        <v/>
      </c>
      <c r="AC3227">
        <f t="shared" si="281"/>
        <v>1000</v>
      </c>
      <c r="AD3227" s="6"/>
    </row>
    <row r="3228" spans="1:30" x14ac:dyDescent="0.2">
      <c r="A3228" t="str">
        <f t="shared" si="282"/>
        <v/>
      </c>
      <c r="X3228" t="str" cm="1">
        <f t="array" ref="X3228">IF(S3228="","",IF($I3228&lt;&gt;"",$I3228,INDEX($I$2:$I3227,ROW()-COUNTIFS($T$2:$T3227,"="&amp;$T3228,$S$2:$S3227,"&lt;&gt;"&amp;$S3228)-1)))</f>
        <v/>
      </c>
      <c r="Y3228" t="b">
        <f>IF(X3228&lt;&gt;"",VLOOKUP(X3228,game_rosters!$C$43:$E$64,3,FALSE))</f>
        <v>0</v>
      </c>
      <c r="Z3228" t="e" cm="1" vm="1">
        <f t="array" aca="1" ref="Z3228" ca="1">IFERROR(IF(_xlfn._xlws.FILTER(game_rosters!$J:$J,(game_rosters!$G:$G=events!$AN3228)*(game_rosters!$J:$J=events!$X3228))&gt;0,1,""),"")</f>
        <v>#VALUE!</v>
      </c>
      <c r="AA3228">
        <f t="shared" si="279"/>
        <v>1000</v>
      </c>
      <c r="AB3228" t="str">
        <f t="shared" si="280"/>
        <v/>
      </c>
      <c r="AC3228">
        <f t="shared" si="281"/>
        <v>1000</v>
      </c>
      <c r="AD3228" s="6"/>
    </row>
    <row r="3229" spans="1:30" x14ac:dyDescent="0.2">
      <c r="A3229" t="str">
        <f t="shared" si="282"/>
        <v/>
      </c>
      <c r="X3229" t="str" cm="1">
        <f t="array" ref="X3229">IF(S3229="","",IF($I3229&lt;&gt;"",$I3229,INDEX($I$2:$I3228,ROW()-COUNTIFS($T$2:$T3228,"="&amp;$T3229,$S$2:$S3228,"&lt;&gt;"&amp;$S3229)-1)))</f>
        <v/>
      </c>
      <c r="Y3229" t="b">
        <f>IF(X3229&lt;&gt;"",VLOOKUP(X3229,game_rosters!$C$43:$E$64,3,FALSE))</f>
        <v>0</v>
      </c>
      <c r="Z3229" t="e" cm="1" vm="1">
        <f t="array" aca="1" ref="Z3229" ca="1">IFERROR(IF(_xlfn._xlws.FILTER(game_rosters!$J:$J,(game_rosters!$G:$G=events!$AN3229)*(game_rosters!$J:$J=events!$X3229))&gt;0,1,""),"")</f>
        <v>#VALUE!</v>
      </c>
      <c r="AA3229">
        <f t="shared" ref="AA3229:AA3292" si="283">S3229+1000</f>
        <v>1000</v>
      </c>
      <c r="AB3229" t="str">
        <f t="shared" ref="AB3229:AB3292" si="284">IF(T3229&lt;&gt;"",9000+T3229,"")</f>
        <v/>
      </c>
      <c r="AC3229">
        <f t="shared" si="281"/>
        <v>1000</v>
      </c>
      <c r="AD3229" s="6"/>
    </row>
    <row r="3230" spans="1:30" x14ac:dyDescent="0.2">
      <c r="A3230" t="str">
        <f t="shared" si="282"/>
        <v/>
      </c>
      <c r="X3230" t="str" cm="1">
        <f t="array" ref="X3230">IF(S3230="","",IF($I3230&lt;&gt;"",$I3230,INDEX($I$2:$I3229,ROW()-COUNTIFS($T$2:$T3229,"="&amp;$T3230,$S$2:$S3229,"&lt;&gt;"&amp;$S3230)-1)))</f>
        <v/>
      </c>
      <c r="Y3230" t="b">
        <f>IF(X3230&lt;&gt;"",VLOOKUP(X3230,game_rosters!$C$43:$E$64,3,FALSE))</f>
        <v>0</v>
      </c>
      <c r="Z3230" t="e" cm="1" vm="1">
        <f t="array" aca="1" ref="Z3230" ca="1">IFERROR(IF(_xlfn._xlws.FILTER(game_rosters!$J:$J,(game_rosters!$G:$G=events!$AN3230)*(game_rosters!$J:$J=events!$X3230))&gt;0,1,""),"")</f>
        <v>#VALUE!</v>
      </c>
      <c r="AA3230">
        <f t="shared" si="283"/>
        <v>1000</v>
      </c>
      <c r="AB3230" t="str">
        <f t="shared" si="284"/>
        <v/>
      </c>
      <c r="AC3230">
        <f t="shared" si="281"/>
        <v>1000</v>
      </c>
      <c r="AD3230" s="6"/>
    </row>
    <row r="3231" spans="1:30" x14ac:dyDescent="0.2">
      <c r="A3231" t="str">
        <f t="shared" si="282"/>
        <v/>
      </c>
      <c r="X3231" t="str" cm="1">
        <f t="array" ref="X3231">IF(S3231="","",IF($I3231&lt;&gt;"",$I3231,INDEX($I$2:$I3230,ROW()-COUNTIFS($T$2:$T3230,"="&amp;$T3231,$S$2:$S3230,"&lt;&gt;"&amp;$S3231)-1)))</f>
        <v/>
      </c>
      <c r="Y3231" t="b">
        <f>IF(X3231&lt;&gt;"",VLOOKUP(X3231,game_rosters!$C$43:$E$64,3,FALSE))</f>
        <v>0</v>
      </c>
      <c r="Z3231" t="e" cm="1" vm="1">
        <f t="array" aca="1" ref="Z3231" ca="1">IFERROR(IF(_xlfn._xlws.FILTER(game_rosters!$J:$J,(game_rosters!$G:$G=events!$AN3231)*(game_rosters!$J:$J=events!$X3231))&gt;0,1,""),"")</f>
        <v>#VALUE!</v>
      </c>
      <c r="AA3231">
        <f t="shared" si="283"/>
        <v>1000</v>
      </c>
      <c r="AB3231" t="str">
        <f t="shared" si="284"/>
        <v/>
      </c>
      <c r="AC3231">
        <f t="shared" si="281"/>
        <v>1000</v>
      </c>
      <c r="AD3231" s="6"/>
    </row>
    <row r="3232" spans="1:30" x14ac:dyDescent="0.2">
      <c r="A3232" t="str">
        <f t="shared" si="282"/>
        <v/>
      </c>
      <c r="X3232" t="str" cm="1">
        <f t="array" ref="X3232">IF(S3232="","",IF($I3232&lt;&gt;"",$I3232,INDEX($I$2:$I3231,ROW()-COUNTIFS($T$2:$T3231,"="&amp;$T3232,$S$2:$S3231,"&lt;&gt;"&amp;$S3232)-1)))</f>
        <v/>
      </c>
      <c r="Y3232" t="b">
        <f>IF(X3232&lt;&gt;"",VLOOKUP(X3232,game_rosters!$C$43:$E$64,3,FALSE))</f>
        <v>0</v>
      </c>
      <c r="Z3232" t="e" cm="1" vm="1">
        <f t="array" aca="1" ref="Z3232" ca="1">IFERROR(IF(_xlfn._xlws.FILTER(game_rosters!$J:$J,(game_rosters!$G:$G=events!$AN3232)*(game_rosters!$J:$J=events!$X3232))&gt;0,1,""),"")</f>
        <v>#VALUE!</v>
      </c>
      <c r="AA3232">
        <f t="shared" si="283"/>
        <v>1000</v>
      </c>
      <c r="AB3232" t="str">
        <f t="shared" si="284"/>
        <v/>
      </c>
      <c r="AC3232">
        <f t="shared" si="281"/>
        <v>1000</v>
      </c>
      <c r="AD3232" s="6"/>
    </row>
    <row r="3233" spans="1:30" x14ac:dyDescent="0.2">
      <c r="A3233" t="str">
        <f t="shared" si="282"/>
        <v/>
      </c>
      <c r="X3233" t="str" cm="1">
        <f t="array" ref="X3233">IF(S3233="","",IF($I3233&lt;&gt;"",$I3233,INDEX($I$2:$I3232,ROW()-COUNTIFS($T$2:$T3232,"="&amp;$T3233,$S$2:$S3232,"&lt;&gt;"&amp;$S3233)-1)))</f>
        <v/>
      </c>
      <c r="Y3233" t="b">
        <f>IF(X3233&lt;&gt;"",VLOOKUP(X3233,game_rosters!$C$43:$E$64,3,FALSE))</f>
        <v>0</v>
      </c>
      <c r="Z3233" t="e" cm="1" vm="1">
        <f t="array" aca="1" ref="Z3233" ca="1">IFERROR(IF(_xlfn._xlws.FILTER(game_rosters!$J:$J,(game_rosters!$G:$G=events!$AN3233)*(game_rosters!$J:$J=events!$X3233))&gt;0,1,""),"")</f>
        <v>#VALUE!</v>
      </c>
      <c r="AA3233">
        <f t="shared" si="283"/>
        <v>1000</v>
      </c>
      <c r="AB3233" t="str">
        <f t="shared" si="284"/>
        <v/>
      </c>
      <c r="AC3233">
        <f t="shared" si="281"/>
        <v>1000</v>
      </c>
      <c r="AD3233" s="6"/>
    </row>
    <row r="3234" spans="1:30" x14ac:dyDescent="0.2">
      <c r="A3234" t="str">
        <f t="shared" si="282"/>
        <v/>
      </c>
      <c r="X3234" t="str" cm="1">
        <f t="array" ref="X3234">IF(S3234="","",IF($I3234&lt;&gt;"",$I3234,INDEX($I$2:$I3233,ROW()-COUNTIFS($T$2:$T3233,"="&amp;$T3234,$S$2:$S3233,"&lt;&gt;"&amp;$S3234)-1)))</f>
        <v/>
      </c>
      <c r="Y3234" t="b">
        <f>IF(X3234&lt;&gt;"",VLOOKUP(X3234,game_rosters!$C$43:$E$64,3,FALSE))</f>
        <v>0</v>
      </c>
      <c r="Z3234" t="e" cm="1" vm="1">
        <f t="array" aca="1" ref="Z3234" ca="1">IFERROR(IF(_xlfn._xlws.FILTER(game_rosters!$J:$J,(game_rosters!$G:$G=events!$AN3234)*(game_rosters!$J:$J=events!$X3234))&gt;0,1,""),"")</f>
        <v>#VALUE!</v>
      </c>
      <c r="AA3234">
        <f t="shared" si="283"/>
        <v>1000</v>
      </c>
      <c r="AB3234" t="str">
        <f t="shared" si="284"/>
        <v/>
      </c>
      <c r="AC3234">
        <f t="shared" si="281"/>
        <v>1000</v>
      </c>
      <c r="AD3234" s="6"/>
    </row>
    <row r="3235" spans="1:30" x14ac:dyDescent="0.2">
      <c r="A3235" t="str">
        <f t="shared" si="282"/>
        <v/>
      </c>
      <c r="X3235" t="str" cm="1">
        <f t="array" ref="X3235">IF(S3235="","",IF($I3235&lt;&gt;"",$I3235,INDEX($I$2:$I3234,ROW()-COUNTIFS($T$2:$T3234,"="&amp;$T3235,$S$2:$S3234,"&lt;&gt;"&amp;$S3235)-1)))</f>
        <v/>
      </c>
      <c r="Y3235" t="b">
        <f>IF(X3235&lt;&gt;"",VLOOKUP(X3235,game_rosters!$C$43:$E$64,3,FALSE))</f>
        <v>0</v>
      </c>
      <c r="Z3235" t="e" cm="1" vm="1">
        <f t="array" aca="1" ref="Z3235" ca="1">IFERROR(IF(_xlfn._xlws.FILTER(game_rosters!$J:$J,(game_rosters!$G:$G=events!$AN3235)*(game_rosters!$J:$J=events!$X3235))&gt;0,1,""),"")</f>
        <v>#VALUE!</v>
      </c>
      <c r="AA3235">
        <f t="shared" si="283"/>
        <v>1000</v>
      </c>
      <c r="AB3235" t="str">
        <f t="shared" si="284"/>
        <v/>
      </c>
      <c r="AC3235">
        <f t="shared" si="281"/>
        <v>1000</v>
      </c>
      <c r="AD3235" s="6"/>
    </row>
    <row r="3236" spans="1:30" x14ac:dyDescent="0.2">
      <c r="A3236" t="str">
        <f t="shared" si="282"/>
        <v/>
      </c>
      <c r="X3236" t="str" cm="1">
        <f t="array" ref="X3236">IF(S3236="","",IF($I3236&lt;&gt;"",$I3236,INDEX($I$2:$I3235,ROW()-COUNTIFS($T$2:$T3235,"="&amp;$T3236,$S$2:$S3235,"&lt;&gt;"&amp;$S3236)-1)))</f>
        <v/>
      </c>
      <c r="Y3236" t="b">
        <f>IF(X3236&lt;&gt;"",VLOOKUP(X3236,game_rosters!$C$43:$E$64,3,FALSE))</f>
        <v>0</v>
      </c>
      <c r="Z3236" t="e" cm="1" vm="1">
        <f t="array" aca="1" ref="Z3236" ca="1">IFERROR(IF(_xlfn._xlws.FILTER(game_rosters!$J:$J,(game_rosters!$G:$G=events!$AN3236)*(game_rosters!$J:$J=events!$X3236))&gt;0,1,""),"")</f>
        <v>#VALUE!</v>
      </c>
      <c r="AA3236">
        <f t="shared" si="283"/>
        <v>1000</v>
      </c>
      <c r="AB3236" t="str">
        <f t="shared" si="284"/>
        <v/>
      </c>
      <c r="AC3236">
        <f t="shared" si="281"/>
        <v>1000</v>
      </c>
      <c r="AD3236" s="6"/>
    </row>
    <row r="3237" spans="1:30" x14ac:dyDescent="0.2">
      <c r="A3237" t="str">
        <f t="shared" si="282"/>
        <v/>
      </c>
      <c r="X3237" t="str" cm="1">
        <f t="array" ref="X3237">IF(S3237="","",IF($I3237&lt;&gt;"",$I3237,INDEX($I$2:$I3236,ROW()-COUNTIFS($T$2:$T3236,"="&amp;$T3237,$S$2:$S3236,"&lt;&gt;"&amp;$S3237)-1)))</f>
        <v/>
      </c>
      <c r="Y3237" t="b">
        <f>IF(X3237&lt;&gt;"",VLOOKUP(X3237,game_rosters!$C$43:$E$64,3,FALSE))</f>
        <v>0</v>
      </c>
      <c r="Z3237" t="e" cm="1" vm="1">
        <f t="array" aca="1" ref="Z3237" ca="1">IFERROR(IF(_xlfn._xlws.FILTER(game_rosters!$J:$J,(game_rosters!$G:$G=events!$AN3237)*(game_rosters!$J:$J=events!$X3237))&gt;0,1,""),"")</f>
        <v>#VALUE!</v>
      </c>
      <c r="AA3237">
        <f t="shared" si="283"/>
        <v>1000</v>
      </c>
      <c r="AB3237" t="str">
        <f t="shared" si="284"/>
        <v/>
      </c>
      <c r="AC3237">
        <f t="shared" si="281"/>
        <v>1000</v>
      </c>
      <c r="AD3237" s="6"/>
    </row>
    <row r="3238" spans="1:30" x14ac:dyDescent="0.2">
      <c r="A3238" t="str">
        <f t="shared" si="282"/>
        <v/>
      </c>
      <c r="X3238" t="str" cm="1">
        <f t="array" ref="X3238">IF(S3238="","",IF($I3238&lt;&gt;"",$I3238,INDEX($I$2:$I3237,ROW()-COUNTIFS($T$2:$T3237,"="&amp;$T3238,$S$2:$S3237,"&lt;&gt;"&amp;$S3238)-1)))</f>
        <v/>
      </c>
      <c r="Y3238" t="b">
        <f>IF(X3238&lt;&gt;"",VLOOKUP(X3238,game_rosters!$C$43:$E$64,3,FALSE))</f>
        <v>0</v>
      </c>
      <c r="Z3238" t="e" cm="1" vm="1">
        <f t="array" aca="1" ref="Z3238" ca="1">IFERROR(IF(_xlfn._xlws.FILTER(game_rosters!$J:$J,(game_rosters!$G:$G=events!$AN3238)*(game_rosters!$J:$J=events!$X3238))&gt;0,1,""),"")</f>
        <v>#VALUE!</v>
      </c>
      <c r="AA3238">
        <f t="shared" si="283"/>
        <v>1000</v>
      </c>
      <c r="AB3238" t="str">
        <f t="shared" si="284"/>
        <v/>
      </c>
      <c r="AC3238">
        <f t="shared" si="281"/>
        <v>1000</v>
      </c>
      <c r="AD3238" s="6"/>
    </row>
    <row r="3239" spans="1:30" x14ac:dyDescent="0.2">
      <c r="A3239" t="str">
        <f t="shared" si="282"/>
        <v/>
      </c>
      <c r="X3239" t="str" cm="1">
        <f t="array" ref="X3239">IF(S3239="","",IF($I3239&lt;&gt;"",$I3239,INDEX($I$2:$I3238,ROW()-COUNTIFS($T$2:$T3238,"="&amp;$T3239,$S$2:$S3238,"&lt;&gt;"&amp;$S3239)-1)))</f>
        <v/>
      </c>
      <c r="Y3239" t="b">
        <f>IF(X3239&lt;&gt;"",VLOOKUP(X3239,game_rosters!$C$43:$E$64,3,FALSE))</f>
        <v>0</v>
      </c>
      <c r="Z3239" t="e" cm="1" vm="1">
        <f t="array" aca="1" ref="Z3239" ca="1">IFERROR(IF(_xlfn._xlws.FILTER(game_rosters!$J:$J,(game_rosters!$G:$G=events!$AN3239)*(game_rosters!$J:$J=events!$X3239))&gt;0,1,""),"")</f>
        <v>#VALUE!</v>
      </c>
      <c r="AA3239">
        <f t="shared" si="283"/>
        <v>1000</v>
      </c>
      <c r="AB3239" t="str">
        <f t="shared" si="284"/>
        <v/>
      </c>
      <c r="AC3239">
        <f t="shared" si="281"/>
        <v>1000</v>
      </c>
      <c r="AD3239" s="6"/>
    </row>
    <row r="3240" spans="1:30" x14ac:dyDescent="0.2">
      <c r="A3240" t="str">
        <f t="shared" si="282"/>
        <v/>
      </c>
      <c r="X3240" t="str" cm="1">
        <f t="array" ref="X3240">IF(S3240="","",IF($I3240&lt;&gt;"",$I3240,INDEX($I$2:$I3239,ROW()-COUNTIFS($T$2:$T3239,"="&amp;$T3240,$S$2:$S3239,"&lt;&gt;"&amp;$S3240)-1)))</f>
        <v/>
      </c>
      <c r="Y3240" t="b">
        <f>IF(X3240&lt;&gt;"",VLOOKUP(X3240,game_rosters!$C$43:$E$64,3,FALSE))</f>
        <v>0</v>
      </c>
      <c r="Z3240" t="e" cm="1" vm="1">
        <f t="array" aca="1" ref="Z3240" ca="1">IFERROR(IF(_xlfn._xlws.FILTER(game_rosters!$J:$J,(game_rosters!$G:$G=events!$AN3240)*(game_rosters!$J:$J=events!$X3240))&gt;0,1,""),"")</f>
        <v>#VALUE!</v>
      </c>
      <c r="AA3240">
        <f t="shared" si="283"/>
        <v>1000</v>
      </c>
      <c r="AB3240" t="str">
        <f t="shared" si="284"/>
        <v/>
      </c>
      <c r="AC3240">
        <f t="shared" si="281"/>
        <v>1000</v>
      </c>
      <c r="AD3240" s="6"/>
    </row>
    <row r="3241" spans="1:30" x14ac:dyDescent="0.2">
      <c r="A3241" t="str">
        <f t="shared" si="282"/>
        <v/>
      </c>
      <c r="X3241" t="str" cm="1">
        <f t="array" ref="X3241">IF(S3241="","",IF($I3241&lt;&gt;"",$I3241,INDEX($I$2:$I3240,ROW()-COUNTIFS($T$2:$T3240,"="&amp;$T3241,$S$2:$S3240,"&lt;&gt;"&amp;$S3241)-1)))</f>
        <v/>
      </c>
      <c r="Y3241" t="b">
        <f>IF(X3241&lt;&gt;"",VLOOKUP(X3241,game_rosters!$C$43:$E$64,3,FALSE))</f>
        <v>0</v>
      </c>
      <c r="Z3241" t="e" cm="1" vm="1">
        <f t="array" aca="1" ref="Z3241" ca="1">IFERROR(IF(_xlfn._xlws.FILTER(game_rosters!$J:$J,(game_rosters!$G:$G=events!$AN3241)*(game_rosters!$J:$J=events!$X3241))&gt;0,1,""),"")</f>
        <v>#VALUE!</v>
      </c>
      <c r="AA3241">
        <f t="shared" si="283"/>
        <v>1000</v>
      </c>
      <c r="AB3241" t="str">
        <f t="shared" si="284"/>
        <v/>
      </c>
      <c r="AC3241">
        <f t="shared" si="281"/>
        <v>1000</v>
      </c>
      <c r="AD3241" s="6"/>
    </row>
    <row r="3242" spans="1:30" x14ac:dyDescent="0.2">
      <c r="A3242" t="str">
        <f t="shared" si="282"/>
        <v/>
      </c>
      <c r="X3242" t="str" cm="1">
        <f t="array" ref="X3242">IF(S3242="","",IF($I3242&lt;&gt;"",$I3242,INDEX($I$2:$I3241,ROW()-COUNTIFS($T$2:$T3241,"="&amp;$T3242,$S$2:$S3241,"&lt;&gt;"&amp;$S3242)-1)))</f>
        <v/>
      </c>
      <c r="Y3242" t="b">
        <f>IF(X3242&lt;&gt;"",VLOOKUP(X3242,game_rosters!$C$43:$E$64,3,FALSE))</f>
        <v>0</v>
      </c>
      <c r="Z3242" t="e" cm="1" vm="1">
        <f t="array" aca="1" ref="Z3242" ca="1">IFERROR(IF(_xlfn._xlws.FILTER(game_rosters!$J:$J,(game_rosters!$G:$G=events!$AN3242)*(game_rosters!$J:$J=events!$X3242))&gt;0,1,""),"")</f>
        <v>#VALUE!</v>
      </c>
      <c r="AA3242">
        <f t="shared" si="283"/>
        <v>1000</v>
      </c>
      <c r="AB3242" t="str">
        <f t="shared" si="284"/>
        <v/>
      </c>
      <c r="AC3242">
        <f t="shared" si="281"/>
        <v>1000</v>
      </c>
      <c r="AD3242" s="6"/>
    </row>
    <row r="3243" spans="1:30" x14ac:dyDescent="0.2">
      <c r="A3243" t="str">
        <f t="shared" si="282"/>
        <v/>
      </c>
      <c r="X3243" t="str" cm="1">
        <f t="array" ref="X3243">IF(S3243="","",IF($I3243&lt;&gt;"",$I3243,INDEX($I$2:$I3242,ROW()-COUNTIFS($T$2:$T3242,"="&amp;$T3243,$S$2:$S3242,"&lt;&gt;"&amp;$S3243)-1)))</f>
        <v/>
      </c>
      <c r="Y3243" t="b">
        <f>IF(X3243&lt;&gt;"",VLOOKUP(X3243,game_rosters!$C$43:$E$64,3,FALSE))</f>
        <v>0</v>
      </c>
      <c r="Z3243" t="e" cm="1" vm="1">
        <f t="array" aca="1" ref="Z3243" ca="1">IFERROR(IF(_xlfn._xlws.FILTER(game_rosters!$J:$J,(game_rosters!$G:$G=events!$AN3243)*(game_rosters!$J:$J=events!$X3243))&gt;0,1,""),"")</f>
        <v>#VALUE!</v>
      </c>
      <c r="AA3243">
        <f t="shared" si="283"/>
        <v>1000</v>
      </c>
      <c r="AB3243" t="str">
        <f t="shared" si="284"/>
        <v/>
      </c>
      <c r="AC3243">
        <f t="shared" si="281"/>
        <v>1000</v>
      </c>
      <c r="AD3243" s="6"/>
    </row>
    <row r="3244" spans="1:30" x14ac:dyDescent="0.2">
      <c r="A3244" t="str">
        <f t="shared" si="282"/>
        <v/>
      </c>
      <c r="X3244" t="str" cm="1">
        <f t="array" ref="X3244">IF(S3244="","",IF($I3244&lt;&gt;"",$I3244,INDEX($I$2:$I3243,ROW()-COUNTIFS($T$2:$T3243,"="&amp;$T3244,$S$2:$S3243,"&lt;&gt;"&amp;$S3244)-1)))</f>
        <v/>
      </c>
      <c r="Y3244" t="b">
        <f>IF(X3244&lt;&gt;"",VLOOKUP(X3244,game_rosters!$C$43:$E$64,3,FALSE))</f>
        <v>0</v>
      </c>
      <c r="Z3244" t="e" cm="1" vm="1">
        <f t="array" aca="1" ref="Z3244" ca="1">IFERROR(IF(_xlfn._xlws.FILTER(game_rosters!$J:$J,(game_rosters!$G:$G=events!$AN3244)*(game_rosters!$J:$J=events!$X3244))&gt;0,1,""),"")</f>
        <v>#VALUE!</v>
      </c>
      <c r="AA3244">
        <f t="shared" si="283"/>
        <v>1000</v>
      </c>
      <c r="AB3244" t="str">
        <f t="shared" si="284"/>
        <v/>
      </c>
      <c r="AC3244">
        <f t="shared" si="281"/>
        <v>1000</v>
      </c>
      <c r="AD3244" s="6"/>
    </row>
    <row r="3245" spans="1:30" x14ac:dyDescent="0.2">
      <c r="A3245" t="str">
        <f t="shared" si="282"/>
        <v/>
      </c>
      <c r="X3245" t="str" cm="1">
        <f t="array" ref="X3245">IF(S3245="","",IF($I3245&lt;&gt;"",$I3245,INDEX($I$2:$I3244,ROW()-COUNTIFS($T$2:$T3244,"="&amp;$T3245,$S$2:$S3244,"&lt;&gt;"&amp;$S3245)-1)))</f>
        <v/>
      </c>
      <c r="Y3245" t="b">
        <f>IF(X3245&lt;&gt;"",VLOOKUP(X3245,game_rosters!$C$43:$E$64,3,FALSE))</f>
        <v>0</v>
      </c>
      <c r="Z3245" t="e" cm="1" vm="1">
        <f t="array" aca="1" ref="Z3245" ca="1">IFERROR(IF(_xlfn._xlws.FILTER(game_rosters!$J:$J,(game_rosters!$G:$G=events!$AN3245)*(game_rosters!$J:$J=events!$X3245))&gt;0,1,""),"")</f>
        <v>#VALUE!</v>
      </c>
      <c r="AA3245">
        <f t="shared" si="283"/>
        <v>1000</v>
      </c>
      <c r="AB3245" t="str">
        <f t="shared" si="284"/>
        <v/>
      </c>
      <c r="AC3245">
        <f t="shared" si="281"/>
        <v>1000</v>
      </c>
      <c r="AD3245" s="6"/>
    </row>
    <row r="3246" spans="1:30" x14ac:dyDescent="0.2">
      <c r="A3246" t="str">
        <f t="shared" si="282"/>
        <v/>
      </c>
      <c r="X3246" t="str" cm="1">
        <f t="array" ref="X3246">IF(S3246="","",IF($I3246&lt;&gt;"",$I3246,INDEX($I$2:$I3245,ROW()-COUNTIFS($T$2:$T3245,"="&amp;$T3246,$S$2:$S3245,"&lt;&gt;"&amp;$S3246)-1)))</f>
        <v/>
      </c>
      <c r="Y3246" t="b">
        <f>IF(X3246&lt;&gt;"",VLOOKUP(X3246,game_rosters!$C$43:$E$64,3,FALSE))</f>
        <v>0</v>
      </c>
      <c r="Z3246" t="e" cm="1" vm="1">
        <f t="array" aca="1" ref="Z3246" ca="1">IFERROR(IF(_xlfn._xlws.FILTER(game_rosters!$J:$J,(game_rosters!$G:$G=events!$AN3246)*(game_rosters!$J:$J=events!$X3246))&gt;0,1,""),"")</f>
        <v>#VALUE!</v>
      </c>
      <c r="AA3246">
        <f t="shared" si="283"/>
        <v>1000</v>
      </c>
      <c r="AB3246" t="str">
        <f t="shared" si="284"/>
        <v/>
      </c>
      <c r="AC3246">
        <f t="shared" si="281"/>
        <v>1000</v>
      </c>
      <c r="AD3246" s="6"/>
    </row>
    <row r="3247" spans="1:30" x14ac:dyDescent="0.2">
      <c r="A3247" t="str">
        <f t="shared" si="282"/>
        <v/>
      </c>
      <c r="X3247" t="str" cm="1">
        <f t="array" ref="X3247">IF(S3247="","",IF($I3247&lt;&gt;"",$I3247,INDEX($I$2:$I3246,ROW()-COUNTIFS($T$2:$T3246,"="&amp;$T3247,$S$2:$S3246,"&lt;&gt;"&amp;$S3247)-1)))</f>
        <v/>
      </c>
      <c r="Y3247" t="b">
        <f>IF(X3247&lt;&gt;"",VLOOKUP(X3247,game_rosters!$C$43:$E$64,3,FALSE))</f>
        <v>0</v>
      </c>
      <c r="Z3247" t="e" cm="1" vm="1">
        <f t="array" aca="1" ref="Z3247" ca="1">IFERROR(IF(_xlfn._xlws.FILTER(game_rosters!$J:$J,(game_rosters!$G:$G=events!$AN3247)*(game_rosters!$J:$J=events!$X3247))&gt;0,1,""),"")</f>
        <v>#VALUE!</v>
      </c>
      <c r="AA3247">
        <f t="shared" si="283"/>
        <v>1000</v>
      </c>
      <c r="AB3247" t="str">
        <f t="shared" si="284"/>
        <v/>
      </c>
      <c r="AC3247">
        <f t="shared" si="281"/>
        <v>1000</v>
      </c>
      <c r="AD3247" s="6"/>
    </row>
    <row r="3248" spans="1:30" x14ac:dyDescent="0.2">
      <c r="A3248" t="str">
        <f t="shared" si="282"/>
        <v/>
      </c>
      <c r="X3248" t="str" cm="1">
        <f t="array" ref="X3248">IF(S3248="","",IF($I3248&lt;&gt;"",$I3248,INDEX($I$2:$I3247,ROW()-COUNTIFS($T$2:$T3247,"="&amp;$T3248,$S$2:$S3247,"&lt;&gt;"&amp;$S3248)-1)))</f>
        <v/>
      </c>
      <c r="Y3248" t="b">
        <f>IF(X3248&lt;&gt;"",VLOOKUP(X3248,game_rosters!$C$43:$E$64,3,FALSE))</f>
        <v>0</v>
      </c>
      <c r="Z3248" t="e" cm="1" vm="1">
        <f t="array" aca="1" ref="Z3248" ca="1">IFERROR(IF(_xlfn._xlws.FILTER(game_rosters!$J:$J,(game_rosters!$G:$G=events!$AN3248)*(game_rosters!$J:$J=events!$X3248))&gt;0,1,""),"")</f>
        <v>#VALUE!</v>
      </c>
      <c r="AA3248">
        <f t="shared" si="283"/>
        <v>1000</v>
      </c>
      <c r="AB3248" t="str">
        <f t="shared" si="284"/>
        <v/>
      </c>
      <c r="AC3248">
        <f t="shared" si="281"/>
        <v>1000</v>
      </c>
      <c r="AD3248" s="6"/>
    </row>
    <row r="3249" spans="1:30" x14ac:dyDescent="0.2">
      <c r="A3249" t="str">
        <f t="shared" si="282"/>
        <v/>
      </c>
      <c r="X3249" t="str" cm="1">
        <f t="array" ref="X3249">IF(S3249="","",IF($I3249&lt;&gt;"",$I3249,INDEX($I$2:$I3248,ROW()-COUNTIFS($T$2:$T3248,"="&amp;$T3249,$S$2:$S3248,"&lt;&gt;"&amp;$S3249)-1)))</f>
        <v/>
      </c>
      <c r="Y3249" t="b">
        <f>IF(X3249&lt;&gt;"",VLOOKUP(X3249,game_rosters!$C$43:$E$64,3,FALSE))</f>
        <v>0</v>
      </c>
      <c r="Z3249" t="e" cm="1" vm="1">
        <f t="array" aca="1" ref="Z3249" ca="1">IFERROR(IF(_xlfn._xlws.FILTER(game_rosters!$J:$J,(game_rosters!$G:$G=events!$AN3249)*(game_rosters!$J:$J=events!$X3249))&gt;0,1,""),"")</f>
        <v>#VALUE!</v>
      </c>
      <c r="AA3249">
        <f t="shared" si="283"/>
        <v>1000</v>
      </c>
      <c r="AB3249" t="str">
        <f t="shared" si="284"/>
        <v/>
      </c>
      <c r="AC3249">
        <f t="shared" si="281"/>
        <v>1000</v>
      </c>
      <c r="AD3249" s="6"/>
    </row>
    <row r="3250" spans="1:30" x14ac:dyDescent="0.2">
      <c r="A3250" t="str">
        <f t="shared" si="282"/>
        <v/>
      </c>
      <c r="X3250" t="str" cm="1">
        <f t="array" ref="X3250">IF(S3250="","",IF($I3250&lt;&gt;"",$I3250,INDEX($I$2:$I3249,ROW()-COUNTIFS($T$2:$T3249,"="&amp;$T3250,$S$2:$S3249,"&lt;&gt;"&amp;$S3250)-1)))</f>
        <v/>
      </c>
      <c r="Y3250" t="b">
        <f>IF(X3250&lt;&gt;"",VLOOKUP(X3250,game_rosters!$C$43:$E$64,3,FALSE))</f>
        <v>0</v>
      </c>
      <c r="Z3250" t="e" cm="1" vm="1">
        <f t="array" aca="1" ref="Z3250" ca="1">IFERROR(IF(_xlfn._xlws.FILTER(game_rosters!$J:$J,(game_rosters!$G:$G=events!$AN3250)*(game_rosters!$J:$J=events!$X3250))&gt;0,1,""),"")</f>
        <v>#VALUE!</v>
      </c>
      <c r="AA3250">
        <f t="shared" si="283"/>
        <v>1000</v>
      </c>
      <c r="AB3250" t="str">
        <f t="shared" si="284"/>
        <v/>
      </c>
      <c r="AC3250">
        <f t="shared" si="281"/>
        <v>1000</v>
      </c>
      <c r="AD3250" s="6"/>
    </row>
    <row r="3251" spans="1:30" x14ac:dyDescent="0.2">
      <c r="A3251" t="str">
        <f t="shared" si="282"/>
        <v/>
      </c>
      <c r="X3251" t="str" cm="1">
        <f t="array" ref="X3251">IF(S3251="","",IF($I3251&lt;&gt;"",$I3251,INDEX($I$2:$I3250,ROW()-COUNTIFS($T$2:$T3250,"="&amp;$T3251,$S$2:$S3250,"&lt;&gt;"&amp;$S3251)-1)))</f>
        <v/>
      </c>
      <c r="Y3251" t="b">
        <f>IF(X3251&lt;&gt;"",VLOOKUP(X3251,game_rosters!$C$43:$E$64,3,FALSE))</f>
        <v>0</v>
      </c>
      <c r="Z3251" t="e" cm="1" vm="1">
        <f t="array" aca="1" ref="Z3251" ca="1">IFERROR(IF(_xlfn._xlws.FILTER(game_rosters!$J:$J,(game_rosters!$G:$G=events!$AN3251)*(game_rosters!$J:$J=events!$X3251))&gt;0,1,""),"")</f>
        <v>#VALUE!</v>
      </c>
      <c r="AA3251">
        <f t="shared" si="283"/>
        <v>1000</v>
      </c>
      <c r="AB3251" t="str">
        <f t="shared" si="284"/>
        <v/>
      </c>
      <c r="AC3251">
        <f t="shared" si="281"/>
        <v>1000</v>
      </c>
      <c r="AD3251" s="6"/>
    </row>
    <row r="3252" spans="1:30" x14ac:dyDescent="0.2">
      <c r="A3252" t="str">
        <f t="shared" si="282"/>
        <v/>
      </c>
      <c r="X3252" t="str" cm="1">
        <f t="array" ref="X3252">IF(S3252="","",IF($I3252&lt;&gt;"",$I3252,INDEX($I$2:$I3251,ROW()-COUNTIFS($T$2:$T3251,"="&amp;$T3252,$S$2:$S3251,"&lt;&gt;"&amp;$S3252)-1)))</f>
        <v/>
      </c>
      <c r="Y3252" t="b">
        <f>IF(X3252&lt;&gt;"",VLOOKUP(X3252,game_rosters!$C$43:$E$64,3,FALSE))</f>
        <v>0</v>
      </c>
      <c r="Z3252" t="e" cm="1" vm="1">
        <f t="array" aca="1" ref="Z3252" ca="1">IFERROR(IF(_xlfn._xlws.FILTER(game_rosters!$J:$J,(game_rosters!$G:$G=events!$AN3252)*(game_rosters!$J:$J=events!$X3252))&gt;0,1,""),"")</f>
        <v>#VALUE!</v>
      </c>
      <c r="AA3252">
        <f t="shared" si="283"/>
        <v>1000</v>
      </c>
      <c r="AB3252" t="str">
        <f t="shared" si="284"/>
        <v/>
      </c>
      <c r="AC3252">
        <f t="shared" si="281"/>
        <v>1000</v>
      </c>
      <c r="AD3252" s="6"/>
    </row>
    <row r="3253" spans="1:30" x14ac:dyDescent="0.2">
      <c r="A3253" t="str">
        <f t="shared" si="282"/>
        <v/>
      </c>
      <c r="X3253" t="str" cm="1">
        <f t="array" ref="X3253">IF(S3253="","",IF($I3253&lt;&gt;"",$I3253,INDEX($I$2:$I3252,ROW()-COUNTIFS($T$2:$T3252,"="&amp;$T3253,$S$2:$S3252,"&lt;&gt;"&amp;$S3253)-1)))</f>
        <v/>
      </c>
      <c r="Y3253" t="b">
        <f>IF(X3253&lt;&gt;"",VLOOKUP(X3253,game_rosters!$C$43:$E$64,3,FALSE))</f>
        <v>0</v>
      </c>
      <c r="Z3253" t="e" cm="1" vm="1">
        <f t="array" aca="1" ref="Z3253" ca="1">IFERROR(IF(_xlfn._xlws.FILTER(game_rosters!$J:$J,(game_rosters!$G:$G=events!$AN3253)*(game_rosters!$J:$J=events!$X3253))&gt;0,1,""),"")</f>
        <v>#VALUE!</v>
      </c>
      <c r="AA3253">
        <f t="shared" si="283"/>
        <v>1000</v>
      </c>
      <c r="AB3253" t="str">
        <f t="shared" si="284"/>
        <v/>
      </c>
      <c r="AC3253">
        <f t="shared" si="281"/>
        <v>1000</v>
      </c>
      <c r="AD3253" s="6"/>
    </row>
    <row r="3254" spans="1:30" x14ac:dyDescent="0.2">
      <c r="A3254" t="str">
        <f t="shared" si="282"/>
        <v/>
      </c>
      <c r="X3254" t="str" cm="1">
        <f t="array" ref="X3254">IF(S3254="","",IF($I3254&lt;&gt;"",$I3254,INDEX($I$2:$I3253,ROW()-COUNTIFS($T$2:$T3253,"="&amp;$T3254,$S$2:$S3253,"&lt;&gt;"&amp;$S3254)-1)))</f>
        <v/>
      </c>
      <c r="Y3254" t="b">
        <f>IF(X3254&lt;&gt;"",VLOOKUP(X3254,game_rosters!$C$43:$E$64,3,FALSE))</f>
        <v>0</v>
      </c>
      <c r="Z3254" t="e" cm="1" vm="1">
        <f t="array" aca="1" ref="Z3254" ca="1">IFERROR(IF(_xlfn._xlws.FILTER(game_rosters!$J:$J,(game_rosters!$G:$G=events!$AN3254)*(game_rosters!$J:$J=events!$X3254))&gt;0,1,""),"")</f>
        <v>#VALUE!</v>
      </c>
      <c r="AA3254">
        <f t="shared" si="283"/>
        <v>1000</v>
      </c>
      <c r="AB3254" t="str">
        <f t="shared" si="284"/>
        <v/>
      </c>
      <c r="AC3254">
        <f t="shared" si="281"/>
        <v>1000</v>
      </c>
      <c r="AD3254" s="6"/>
    </row>
    <row r="3255" spans="1:30" x14ac:dyDescent="0.2">
      <c r="A3255" t="str">
        <f t="shared" si="282"/>
        <v/>
      </c>
      <c r="X3255" t="str" cm="1">
        <f t="array" ref="X3255">IF(S3255="","",IF($I3255&lt;&gt;"",$I3255,INDEX($I$2:$I3254,ROW()-COUNTIFS($T$2:$T3254,"="&amp;$T3255,$S$2:$S3254,"&lt;&gt;"&amp;$S3255)-1)))</f>
        <v/>
      </c>
      <c r="Y3255" t="b">
        <f>IF(X3255&lt;&gt;"",VLOOKUP(X3255,game_rosters!$C$43:$E$64,3,FALSE))</f>
        <v>0</v>
      </c>
      <c r="Z3255" t="e" cm="1" vm="1">
        <f t="array" aca="1" ref="Z3255" ca="1">IFERROR(IF(_xlfn._xlws.FILTER(game_rosters!$J:$J,(game_rosters!$G:$G=events!$AN3255)*(game_rosters!$J:$J=events!$X3255))&gt;0,1,""),"")</f>
        <v>#VALUE!</v>
      </c>
      <c r="AA3255">
        <f t="shared" si="283"/>
        <v>1000</v>
      </c>
      <c r="AB3255" t="str">
        <f t="shared" si="284"/>
        <v/>
      </c>
      <c r="AC3255">
        <f t="shared" si="281"/>
        <v>1000</v>
      </c>
      <c r="AD3255" s="6"/>
    </row>
    <row r="3256" spans="1:30" x14ac:dyDescent="0.2">
      <c r="A3256" t="str">
        <f t="shared" si="282"/>
        <v/>
      </c>
      <c r="X3256" t="str" cm="1">
        <f t="array" ref="X3256">IF(S3256="","",IF($I3256&lt;&gt;"",$I3256,INDEX($I$2:$I3255,ROW()-COUNTIFS($T$2:$T3255,"="&amp;$T3256,$S$2:$S3255,"&lt;&gt;"&amp;$S3256)-1)))</f>
        <v/>
      </c>
      <c r="Y3256" t="b">
        <f>IF(X3256&lt;&gt;"",VLOOKUP(X3256,game_rosters!$C$43:$E$64,3,FALSE))</f>
        <v>0</v>
      </c>
      <c r="Z3256" t="e" cm="1" vm="1">
        <f t="array" aca="1" ref="Z3256" ca="1">IFERROR(IF(_xlfn._xlws.FILTER(game_rosters!$J:$J,(game_rosters!$G:$G=events!$AN3256)*(game_rosters!$J:$J=events!$X3256))&gt;0,1,""),"")</f>
        <v>#VALUE!</v>
      </c>
      <c r="AA3256">
        <f t="shared" si="283"/>
        <v>1000</v>
      </c>
      <c r="AB3256" t="str">
        <f t="shared" si="284"/>
        <v/>
      </c>
      <c r="AC3256">
        <f t="shared" si="281"/>
        <v>1000</v>
      </c>
      <c r="AD3256" s="6"/>
    </row>
    <row r="3257" spans="1:30" x14ac:dyDescent="0.2">
      <c r="A3257" t="str">
        <f t="shared" si="282"/>
        <v/>
      </c>
      <c r="X3257" t="str" cm="1">
        <f t="array" ref="X3257">IF(S3257="","",IF($I3257&lt;&gt;"",$I3257,INDEX($I$2:$I3256,ROW()-COUNTIFS($T$2:$T3256,"="&amp;$T3257,$S$2:$S3256,"&lt;&gt;"&amp;$S3257)-1)))</f>
        <v/>
      </c>
      <c r="Y3257" t="b">
        <f>IF(X3257&lt;&gt;"",VLOOKUP(X3257,game_rosters!$C$43:$E$64,3,FALSE))</f>
        <v>0</v>
      </c>
      <c r="Z3257" t="e" cm="1" vm="1">
        <f t="array" aca="1" ref="Z3257" ca="1">IFERROR(IF(_xlfn._xlws.FILTER(game_rosters!$J:$J,(game_rosters!$G:$G=events!$AN3257)*(game_rosters!$J:$J=events!$X3257))&gt;0,1,""),"")</f>
        <v>#VALUE!</v>
      </c>
      <c r="AA3257">
        <f t="shared" si="283"/>
        <v>1000</v>
      </c>
      <c r="AB3257" t="str">
        <f t="shared" si="284"/>
        <v/>
      </c>
      <c r="AC3257">
        <f t="shared" si="281"/>
        <v>1000</v>
      </c>
      <c r="AD3257" s="6"/>
    </row>
    <row r="3258" spans="1:30" x14ac:dyDescent="0.2">
      <c r="A3258" t="str">
        <f t="shared" si="282"/>
        <v/>
      </c>
      <c r="X3258" t="str" cm="1">
        <f t="array" ref="X3258">IF(S3258="","",IF($I3258&lt;&gt;"",$I3258,INDEX($I$2:$I3257,ROW()-COUNTIFS($T$2:$T3257,"="&amp;$T3258,$S$2:$S3257,"&lt;&gt;"&amp;$S3258)-1)))</f>
        <v/>
      </c>
      <c r="Y3258" t="b">
        <f>IF(X3258&lt;&gt;"",VLOOKUP(X3258,game_rosters!$C$43:$E$64,3,FALSE))</f>
        <v>0</v>
      </c>
      <c r="Z3258" t="e" cm="1" vm="1">
        <f t="array" aca="1" ref="Z3258" ca="1">IFERROR(IF(_xlfn._xlws.FILTER(game_rosters!$J:$J,(game_rosters!$G:$G=events!$AN3258)*(game_rosters!$J:$J=events!$X3258))&gt;0,1,""),"")</f>
        <v>#VALUE!</v>
      </c>
      <c r="AA3258">
        <f t="shared" si="283"/>
        <v>1000</v>
      </c>
      <c r="AB3258" t="str">
        <f t="shared" si="284"/>
        <v/>
      </c>
      <c r="AC3258">
        <f t="shared" si="281"/>
        <v>1000</v>
      </c>
      <c r="AD3258" s="6"/>
    </row>
    <row r="3259" spans="1:30" x14ac:dyDescent="0.2">
      <c r="A3259" t="str">
        <f t="shared" si="282"/>
        <v/>
      </c>
      <c r="X3259" t="str" cm="1">
        <f t="array" ref="X3259">IF(S3259="","",IF($I3259&lt;&gt;"",$I3259,INDEX($I$2:$I3258,ROW()-COUNTIFS($T$2:$T3258,"="&amp;$T3259,$S$2:$S3258,"&lt;&gt;"&amp;$S3259)-1)))</f>
        <v/>
      </c>
      <c r="Y3259" t="b">
        <f>IF(X3259&lt;&gt;"",VLOOKUP(X3259,game_rosters!$C$43:$E$64,3,FALSE))</f>
        <v>0</v>
      </c>
      <c r="Z3259" t="e" cm="1" vm="1">
        <f t="array" aca="1" ref="Z3259" ca="1">IFERROR(IF(_xlfn._xlws.FILTER(game_rosters!$J:$J,(game_rosters!$G:$G=events!$AN3259)*(game_rosters!$J:$J=events!$X3259))&gt;0,1,""),"")</f>
        <v>#VALUE!</v>
      </c>
      <c r="AA3259">
        <f t="shared" si="283"/>
        <v>1000</v>
      </c>
      <c r="AB3259" t="str">
        <f t="shared" si="284"/>
        <v/>
      </c>
      <c r="AC3259">
        <f t="shared" si="281"/>
        <v>1000</v>
      </c>
      <c r="AD3259" s="6"/>
    </row>
    <row r="3260" spans="1:30" x14ac:dyDescent="0.2">
      <c r="A3260" t="str">
        <f t="shared" si="282"/>
        <v/>
      </c>
      <c r="X3260" t="str" cm="1">
        <f t="array" ref="X3260">IF(S3260="","",IF($I3260&lt;&gt;"",$I3260,INDEX($I$2:$I3259,ROW()-COUNTIFS($T$2:$T3259,"="&amp;$T3260,$S$2:$S3259,"&lt;&gt;"&amp;$S3260)-1)))</f>
        <v/>
      </c>
      <c r="Y3260" t="b">
        <f>IF(X3260&lt;&gt;"",VLOOKUP(X3260,game_rosters!$C$43:$E$64,3,FALSE))</f>
        <v>0</v>
      </c>
      <c r="Z3260" t="e" cm="1" vm="1">
        <f t="array" aca="1" ref="Z3260" ca="1">IFERROR(IF(_xlfn._xlws.FILTER(game_rosters!$J:$J,(game_rosters!$G:$G=events!$AN3260)*(game_rosters!$J:$J=events!$X3260))&gt;0,1,""),"")</f>
        <v>#VALUE!</v>
      </c>
      <c r="AA3260">
        <f t="shared" si="283"/>
        <v>1000</v>
      </c>
      <c r="AB3260" t="str">
        <f t="shared" si="284"/>
        <v/>
      </c>
      <c r="AC3260">
        <f t="shared" si="281"/>
        <v>1000</v>
      </c>
      <c r="AD3260" s="6"/>
    </row>
    <row r="3261" spans="1:30" x14ac:dyDescent="0.2">
      <c r="A3261" t="str">
        <f t="shared" si="282"/>
        <v/>
      </c>
      <c r="X3261" t="str" cm="1">
        <f t="array" ref="X3261">IF(S3261="","",IF($I3261&lt;&gt;"",$I3261,INDEX($I$2:$I3260,ROW()-COUNTIFS($T$2:$T3260,"="&amp;$T3261,$S$2:$S3260,"&lt;&gt;"&amp;$S3261)-1)))</f>
        <v/>
      </c>
      <c r="Y3261" t="b">
        <f>IF(X3261&lt;&gt;"",VLOOKUP(X3261,game_rosters!$C$43:$E$64,3,FALSE))</f>
        <v>0</v>
      </c>
      <c r="Z3261" t="e" cm="1" vm="1">
        <f t="array" aca="1" ref="Z3261" ca="1">IFERROR(IF(_xlfn._xlws.FILTER(game_rosters!$J:$J,(game_rosters!$G:$G=events!$AN3261)*(game_rosters!$J:$J=events!$X3261))&gt;0,1,""),"")</f>
        <v>#VALUE!</v>
      </c>
      <c r="AA3261">
        <f t="shared" si="283"/>
        <v>1000</v>
      </c>
      <c r="AB3261" t="str">
        <f t="shared" si="284"/>
        <v/>
      </c>
      <c r="AC3261">
        <f t="shared" si="281"/>
        <v>1000</v>
      </c>
      <c r="AD3261" s="6"/>
    </row>
    <row r="3262" spans="1:30" x14ac:dyDescent="0.2">
      <c r="A3262" t="str">
        <f t="shared" si="282"/>
        <v/>
      </c>
      <c r="X3262" t="str" cm="1">
        <f t="array" ref="X3262">IF(S3262="","",IF($I3262&lt;&gt;"",$I3262,INDEX($I$2:$I3261,ROW()-COUNTIFS($T$2:$T3261,"="&amp;$T3262,$S$2:$S3261,"&lt;&gt;"&amp;$S3262)-1)))</f>
        <v/>
      </c>
      <c r="Y3262" t="b">
        <f>IF(X3262&lt;&gt;"",VLOOKUP(X3262,game_rosters!$C$43:$E$64,3,FALSE))</f>
        <v>0</v>
      </c>
      <c r="Z3262" t="e" cm="1" vm="1">
        <f t="array" aca="1" ref="Z3262" ca="1">IFERROR(IF(_xlfn._xlws.FILTER(game_rosters!$J:$J,(game_rosters!$G:$G=events!$AN3262)*(game_rosters!$J:$J=events!$X3262))&gt;0,1,""),"")</f>
        <v>#VALUE!</v>
      </c>
      <c r="AA3262">
        <f t="shared" si="283"/>
        <v>1000</v>
      </c>
      <c r="AB3262" t="str">
        <f t="shared" si="284"/>
        <v/>
      </c>
      <c r="AC3262">
        <f t="shared" si="281"/>
        <v>1000</v>
      </c>
      <c r="AD3262" s="6"/>
    </row>
    <row r="3263" spans="1:30" x14ac:dyDescent="0.2">
      <c r="A3263" t="str">
        <f t="shared" si="282"/>
        <v/>
      </c>
      <c r="X3263" t="str" cm="1">
        <f t="array" ref="X3263">IF(S3263="","",IF($I3263&lt;&gt;"",$I3263,INDEX($I$2:$I3262,ROW()-COUNTIFS($T$2:$T3262,"="&amp;$T3263,$S$2:$S3262,"&lt;&gt;"&amp;$S3263)-1)))</f>
        <v/>
      </c>
      <c r="Y3263" t="b">
        <f>IF(X3263&lt;&gt;"",VLOOKUP(X3263,game_rosters!$C$43:$E$64,3,FALSE))</f>
        <v>0</v>
      </c>
      <c r="Z3263" t="e" cm="1" vm="1">
        <f t="array" aca="1" ref="Z3263" ca="1">IFERROR(IF(_xlfn._xlws.FILTER(game_rosters!$J:$J,(game_rosters!$G:$G=events!$AN3263)*(game_rosters!$J:$J=events!$X3263))&gt;0,1,""),"")</f>
        <v>#VALUE!</v>
      </c>
      <c r="AA3263">
        <f t="shared" si="283"/>
        <v>1000</v>
      </c>
      <c r="AB3263" t="str">
        <f t="shared" si="284"/>
        <v/>
      </c>
      <c r="AC3263">
        <f t="shared" si="281"/>
        <v>1000</v>
      </c>
      <c r="AD3263" s="6"/>
    </row>
    <row r="3264" spans="1:30" x14ac:dyDescent="0.2">
      <c r="A3264" t="str">
        <f t="shared" si="282"/>
        <v/>
      </c>
      <c r="X3264" t="str" cm="1">
        <f t="array" ref="X3264">IF(S3264="","",IF($I3264&lt;&gt;"",$I3264,INDEX($I$2:$I3263,ROW()-COUNTIFS($T$2:$T3263,"="&amp;$T3264,$S$2:$S3263,"&lt;&gt;"&amp;$S3264)-1)))</f>
        <v/>
      </c>
      <c r="Y3264" t="b">
        <f>IF(X3264&lt;&gt;"",VLOOKUP(X3264,game_rosters!$C$43:$E$64,3,FALSE))</f>
        <v>0</v>
      </c>
      <c r="Z3264" t="e" cm="1" vm="1">
        <f t="array" aca="1" ref="Z3264" ca="1">IFERROR(IF(_xlfn._xlws.FILTER(game_rosters!$J:$J,(game_rosters!$G:$G=events!$AN3264)*(game_rosters!$J:$J=events!$X3264))&gt;0,1,""),"")</f>
        <v>#VALUE!</v>
      </c>
      <c r="AA3264">
        <f t="shared" si="283"/>
        <v>1000</v>
      </c>
      <c r="AB3264" t="str">
        <f t="shared" si="284"/>
        <v/>
      </c>
      <c r="AC3264">
        <f t="shared" si="281"/>
        <v>1000</v>
      </c>
      <c r="AD3264" s="6"/>
    </row>
    <row r="3265" spans="1:30" x14ac:dyDescent="0.2">
      <c r="A3265" t="str">
        <f t="shared" si="282"/>
        <v/>
      </c>
      <c r="X3265" t="str" cm="1">
        <f t="array" ref="X3265">IF(S3265="","",IF($I3265&lt;&gt;"",$I3265,INDEX($I$2:$I3264,ROW()-COUNTIFS($T$2:$T3264,"="&amp;$T3265,$S$2:$S3264,"&lt;&gt;"&amp;$S3265)-1)))</f>
        <v/>
      </c>
      <c r="Y3265" t="b">
        <f>IF(X3265&lt;&gt;"",VLOOKUP(X3265,game_rosters!$C$43:$E$64,3,FALSE))</f>
        <v>0</v>
      </c>
      <c r="Z3265" t="e" cm="1" vm="1">
        <f t="array" aca="1" ref="Z3265" ca="1">IFERROR(IF(_xlfn._xlws.FILTER(game_rosters!$J:$J,(game_rosters!$G:$G=events!$AN3265)*(game_rosters!$J:$J=events!$X3265))&gt;0,1,""),"")</f>
        <v>#VALUE!</v>
      </c>
      <c r="AA3265">
        <f t="shared" si="283"/>
        <v>1000</v>
      </c>
      <c r="AB3265" t="str">
        <f t="shared" si="284"/>
        <v/>
      </c>
      <c r="AC3265">
        <f t="shared" si="281"/>
        <v>1000</v>
      </c>
      <c r="AD3265" s="6"/>
    </row>
    <row r="3266" spans="1:30" x14ac:dyDescent="0.2">
      <c r="A3266" t="str">
        <f t="shared" si="282"/>
        <v/>
      </c>
      <c r="X3266" t="str" cm="1">
        <f t="array" ref="X3266">IF(S3266="","",IF($I3266&lt;&gt;"",$I3266,INDEX($I$2:$I3265,ROW()-COUNTIFS($T$2:$T3265,"="&amp;$T3266,$S$2:$S3265,"&lt;&gt;"&amp;$S3266)-1)))</f>
        <v/>
      </c>
      <c r="Y3266" t="b">
        <f>IF(X3266&lt;&gt;"",VLOOKUP(X3266,game_rosters!$C$43:$E$64,3,FALSE))</f>
        <v>0</v>
      </c>
      <c r="Z3266" t="e" cm="1" vm="1">
        <f t="array" aca="1" ref="Z3266" ca="1">IFERROR(IF(_xlfn._xlws.FILTER(game_rosters!$J:$J,(game_rosters!$G:$G=events!$AN3266)*(game_rosters!$J:$J=events!$X3266))&gt;0,1,""),"")</f>
        <v>#VALUE!</v>
      </c>
      <c r="AA3266">
        <f t="shared" si="283"/>
        <v>1000</v>
      </c>
      <c r="AB3266" t="str">
        <f t="shared" si="284"/>
        <v/>
      </c>
      <c r="AC3266">
        <f t="shared" ref="AC3266:AC3329" si="285">IF(AB3266&lt;&gt;"",AB3266,S3266+1000)</f>
        <v>1000</v>
      </c>
      <c r="AD3266" s="6"/>
    </row>
    <row r="3267" spans="1:30" x14ac:dyDescent="0.2">
      <c r="A3267" t="str">
        <f t="shared" si="282"/>
        <v/>
      </c>
      <c r="X3267" t="str" cm="1">
        <f t="array" ref="X3267">IF(S3267="","",IF($I3267&lt;&gt;"",$I3267,INDEX($I$2:$I3266,ROW()-COUNTIFS($T$2:$T3266,"="&amp;$T3267,$S$2:$S3266,"&lt;&gt;"&amp;$S3267)-1)))</f>
        <v/>
      </c>
      <c r="Y3267" t="b">
        <f>IF(X3267&lt;&gt;"",VLOOKUP(X3267,game_rosters!$C$43:$E$64,3,FALSE))</f>
        <v>0</v>
      </c>
      <c r="Z3267" t="e" cm="1" vm="1">
        <f t="array" aca="1" ref="Z3267" ca="1">IFERROR(IF(_xlfn._xlws.FILTER(game_rosters!$J:$J,(game_rosters!$G:$G=events!$AN3267)*(game_rosters!$J:$J=events!$X3267))&gt;0,1,""),"")</f>
        <v>#VALUE!</v>
      </c>
      <c r="AA3267">
        <f t="shared" si="283"/>
        <v>1000</v>
      </c>
      <c r="AB3267" t="str">
        <f t="shared" si="284"/>
        <v/>
      </c>
      <c r="AC3267">
        <f t="shared" si="285"/>
        <v>1000</v>
      </c>
      <c r="AD3267" s="6"/>
    </row>
    <row r="3268" spans="1:30" x14ac:dyDescent="0.2">
      <c r="A3268" t="str">
        <f t="shared" si="282"/>
        <v/>
      </c>
      <c r="X3268" t="str" cm="1">
        <f t="array" ref="X3268">IF(S3268="","",IF($I3268&lt;&gt;"",$I3268,INDEX($I$2:$I3267,ROW()-COUNTIFS($T$2:$T3267,"="&amp;$T3268,$S$2:$S3267,"&lt;&gt;"&amp;$S3268)-1)))</f>
        <v/>
      </c>
      <c r="Y3268" t="b">
        <f>IF(X3268&lt;&gt;"",VLOOKUP(X3268,game_rosters!$C$43:$E$64,3,FALSE))</f>
        <v>0</v>
      </c>
      <c r="Z3268" t="e" cm="1" vm="1">
        <f t="array" aca="1" ref="Z3268" ca="1">IFERROR(IF(_xlfn._xlws.FILTER(game_rosters!$J:$J,(game_rosters!$G:$G=events!$AN3268)*(game_rosters!$J:$J=events!$X3268))&gt;0,1,""),"")</f>
        <v>#VALUE!</v>
      </c>
      <c r="AA3268">
        <f t="shared" si="283"/>
        <v>1000</v>
      </c>
      <c r="AB3268" t="str">
        <f t="shared" si="284"/>
        <v/>
      </c>
      <c r="AC3268">
        <f t="shared" si="285"/>
        <v>1000</v>
      </c>
      <c r="AD3268" s="6"/>
    </row>
    <row r="3269" spans="1:30" x14ac:dyDescent="0.2">
      <c r="A3269" t="str">
        <f t="shared" ref="A3269:A3332" si="286">IF(K3269&lt;&gt;"",1,IF(D3269="x","x",""))</f>
        <v/>
      </c>
      <c r="X3269" t="str" cm="1">
        <f t="array" ref="X3269">IF(S3269="","",IF($I3269&lt;&gt;"",$I3269,INDEX($I$2:$I3268,ROW()-COUNTIFS($T$2:$T3268,"="&amp;$T3269,$S$2:$S3268,"&lt;&gt;"&amp;$S3269)-1)))</f>
        <v/>
      </c>
      <c r="Y3269" t="b">
        <f>IF(X3269&lt;&gt;"",VLOOKUP(X3269,game_rosters!$C$43:$E$64,3,FALSE))</f>
        <v>0</v>
      </c>
      <c r="Z3269" t="e" cm="1" vm="1">
        <f t="array" aca="1" ref="Z3269" ca="1">IFERROR(IF(_xlfn._xlws.FILTER(game_rosters!$J:$J,(game_rosters!$G:$G=events!$AN3269)*(game_rosters!$J:$J=events!$X3269))&gt;0,1,""),"")</f>
        <v>#VALUE!</v>
      </c>
      <c r="AA3269">
        <f t="shared" si="283"/>
        <v>1000</v>
      </c>
      <c r="AB3269" t="str">
        <f t="shared" si="284"/>
        <v/>
      </c>
      <c r="AC3269">
        <f t="shared" si="285"/>
        <v>1000</v>
      </c>
      <c r="AD3269" s="6"/>
    </row>
    <row r="3270" spans="1:30" x14ac:dyDescent="0.2">
      <c r="A3270" t="str">
        <f t="shared" si="286"/>
        <v/>
      </c>
      <c r="X3270" t="str" cm="1">
        <f t="array" ref="X3270">IF(S3270="","",IF($I3270&lt;&gt;"",$I3270,INDEX($I$2:$I3269,ROW()-COUNTIFS($T$2:$T3269,"="&amp;$T3270,$S$2:$S3269,"&lt;&gt;"&amp;$S3270)-1)))</f>
        <v/>
      </c>
      <c r="Y3270" t="b">
        <f>IF(X3270&lt;&gt;"",VLOOKUP(X3270,game_rosters!$C$43:$E$64,3,FALSE))</f>
        <v>0</v>
      </c>
      <c r="Z3270" t="e" cm="1" vm="1">
        <f t="array" aca="1" ref="Z3270" ca="1">IFERROR(IF(_xlfn._xlws.FILTER(game_rosters!$J:$J,(game_rosters!$G:$G=events!$AN3270)*(game_rosters!$J:$J=events!$X3270))&gt;0,1,""),"")</f>
        <v>#VALUE!</v>
      </c>
      <c r="AA3270">
        <f t="shared" si="283"/>
        <v>1000</v>
      </c>
      <c r="AB3270" t="str">
        <f t="shared" si="284"/>
        <v/>
      </c>
      <c r="AC3270">
        <f t="shared" si="285"/>
        <v>1000</v>
      </c>
      <c r="AD3270" s="6"/>
    </row>
    <row r="3271" spans="1:30" x14ac:dyDescent="0.2">
      <c r="A3271" t="str">
        <f t="shared" si="286"/>
        <v/>
      </c>
      <c r="X3271" t="str" cm="1">
        <f t="array" ref="X3271">IF(S3271="","",IF($I3271&lt;&gt;"",$I3271,INDEX($I$2:$I3270,ROW()-COUNTIFS($T$2:$T3270,"="&amp;$T3271,$S$2:$S3270,"&lt;&gt;"&amp;$S3271)-1)))</f>
        <v/>
      </c>
      <c r="Y3271" t="b">
        <f>IF(X3271&lt;&gt;"",VLOOKUP(X3271,game_rosters!$C$43:$E$64,3,FALSE))</f>
        <v>0</v>
      </c>
      <c r="Z3271" t="e" cm="1" vm="1">
        <f t="array" aca="1" ref="Z3271" ca="1">IFERROR(IF(_xlfn._xlws.FILTER(game_rosters!$J:$J,(game_rosters!$G:$G=events!$AN3271)*(game_rosters!$J:$J=events!$X3271))&gt;0,1,""),"")</f>
        <v>#VALUE!</v>
      </c>
      <c r="AA3271">
        <f t="shared" si="283"/>
        <v>1000</v>
      </c>
      <c r="AB3271" t="str">
        <f t="shared" si="284"/>
        <v/>
      </c>
      <c r="AC3271">
        <f t="shared" si="285"/>
        <v>1000</v>
      </c>
      <c r="AD3271" s="6"/>
    </row>
    <row r="3272" spans="1:30" x14ac:dyDescent="0.2">
      <c r="A3272" t="str">
        <f t="shared" si="286"/>
        <v/>
      </c>
      <c r="X3272" t="str" cm="1">
        <f t="array" ref="X3272">IF(S3272="","",IF($I3272&lt;&gt;"",$I3272,INDEX($I$2:$I3271,ROW()-COUNTIFS($T$2:$T3271,"="&amp;$T3272,$S$2:$S3271,"&lt;&gt;"&amp;$S3272)-1)))</f>
        <v/>
      </c>
      <c r="Y3272" t="b">
        <f>IF(X3272&lt;&gt;"",VLOOKUP(X3272,game_rosters!$C$43:$E$64,3,FALSE))</f>
        <v>0</v>
      </c>
      <c r="Z3272" t="e" cm="1" vm="1">
        <f t="array" aca="1" ref="Z3272" ca="1">IFERROR(IF(_xlfn._xlws.FILTER(game_rosters!$J:$J,(game_rosters!$G:$G=events!$AN3272)*(game_rosters!$J:$J=events!$X3272))&gt;0,1,""),"")</f>
        <v>#VALUE!</v>
      </c>
      <c r="AA3272">
        <f t="shared" si="283"/>
        <v>1000</v>
      </c>
      <c r="AB3272" t="str">
        <f t="shared" si="284"/>
        <v/>
      </c>
      <c r="AC3272">
        <f t="shared" si="285"/>
        <v>1000</v>
      </c>
      <c r="AD3272" s="6"/>
    </row>
    <row r="3273" spans="1:30" x14ac:dyDescent="0.2">
      <c r="A3273" t="str">
        <f t="shared" si="286"/>
        <v/>
      </c>
      <c r="X3273" t="str" cm="1">
        <f t="array" ref="X3273">IF(S3273="","",IF($I3273&lt;&gt;"",$I3273,INDEX($I$2:$I3272,ROW()-COUNTIFS($T$2:$T3272,"="&amp;$T3273,$S$2:$S3272,"&lt;&gt;"&amp;$S3273)-1)))</f>
        <v/>
      </c>
      <c r="Y3273" t="b">
        <f>IF(X3273&lt;&gt;"",VLOOKUP(X3273,game_rosters!$C$43:$E$64,3,FALSE))</f>
        <v>0</v>
      </c>
      <c r="Z3273" t="e" cm="1" vm="1">
        <f t="array" aca="1" ref="Z3273" ca="1">IFERROR(IF(_xlfn._xlws.FILTER(game_rosters!$J:$J,(game_rosters!$G:$G=events!$AN3273)*(game_rosters!$J:$J=events!$X3273))&gt;0,1,""),"")</f>
        <v>#VALUE!</v>
      </c>
      <c r="AA3273">
        <f t="shared" si="283"/>
        <v>1000</v>
      </c>
      <c r="AB3273" t="str">
        <f t="shared" si="284"/>
        <v/>
      </c>
      <c r="AC3273">
        <f t="shared" si="285"/>
        <v>1000</v>
      </c>
      <c r="AD3273" s="6"/>
    </row>
    <row r="3274" spans="1:30" x14ac:dyDescent="0.2">
      <c r="A3274" t="str">
        <f t="shared" si="286"/>
        <v/>
      </c>
      <c r="X3274" t="str" cm="1">
        <f t="array" ref="X3274">IF(S3274="","",IF($I3274&lt;&gt;"",$I3274,INDEX($I$2:$I3273,ROW()-COUNTIFS($T$2:$T3273,"="&amp;$T3274,$S$2:$S3273,"&lt;&gt;"&amp;$S3274)-1)))</f>
        <v/>
      </c>
      <c r="Y3274" t="b">
        <f>IF(X3274&lt;&gt;"",VLOOKUP(X3274,game_rosters!$C$43:$E$64,3,FALSE))</f>
        <v>0</v>
      </c>
      <c r="Z3274" t="e" cm="1" vm="1">
        <f t="array" aca="1" ref="Z3274" ca="1">IFERROR(IF(_xlfn._xlws.FILTER(game_rosters!$J:$J,(game_rosters!$G:$G=events!$AN3274)*(game_rosters!$J:$J=events!$X3274))&gt;0,1,""),"")</f>
        <v>#VALUE!</v>
      </c>
      <c r="AA3274">
        <f t="shared" si="283"/>
        <v>1000</v>
      </c>
      <c r="AB3274" t="str">
        <f t="shared" si="284"/>
        <v/>
      </c>
      <c r="AC3274">
        <f t="shared" si="285"/>
        <v>1000</v>
      </c>
      <c r="AD3274" s="6"/>
    </row>
    <row r="3275" spans="1:30" x14ac:dyDescent="0.2">
      <c r="A3275" t="str">
        <f t="shared" si="286"/>
        <v/>
      </c>
      <c r="X3275" t="str" cm="1">
        <f t="array" ref="X3275">IF(S3275="","",IF($I3275&lt;&gt;"",$I3275,INDEX($I$2:$I3274,ROW()-COUNTIFS($T$2:$T3274,"="&amp;$T3275,$S$2:$S3274,"&lt;&gt;"&amp;$S3275)-1)))</f>
        <v/>
      </c>
      <c r="Y3275" t="b">
        <f>IF(X3275&lt;&gt;"",VLOOKUP(X3275,game_rosters!$C$43:$E$64,3,FALSE))</f>
        <v>0</v>
      </c>
      <c r="Z3275" t="e" cm="1" vm="1">
        <f t="array" aca="1" ref="Z3275" ca="1">IFERROR(IF(_xlfn._xlws.FILTER(game_rosters!$J:$J,(game_rosters!$G:$G=events!$AN3275)*(game_rosters!$J:$J=events!$X3275))&gt;0,1,""),"")</f>
        <v>#VALUE!</v>
      </c>
      <c r="AA3275">
        <f t="shared" si="283"/>
        <v>1000</v>
      </c>
      <c r="AB3275" t="str">
        <f t="shared" si="284"/>
        <v/>
      </c>
      <c r="AC3275">
        <f t="shared" si="285"/>
        <v>1000</v>
      </c>
      <c r="AD3275" s="6"/>
    </row>
    <row r="3276" spans="1:30" x14ac:dyDescent="0.2">
      <c r="A3276" t="str">
        <f t="shared" si="286"/>
        <v/>
      </c>
      <c r="X3276" t="str" cm="1">
        <f t="array" ref="X3276">IF(S3276="","",IF($I3276&lt;&gt;"",$I3276,INDEX($I$2:$I3275,ROW()-COUNTIFS($T$2:$T3275,"="&amp;$T3276,$S$2:$S3275,"&lt;&gt;"&amp;$S3276)-1)))</f>
        <v/>
      </c>
      <c r="Y3276" t="b">
        <f>IF(X3276&lt;&gt;"",VLOOKUP(X3276,game_rosters!$C$43:$E$64,3,FALSE))</f>
        <v>0</v>
      </c>
      <c r="Z3276" t="e" cm="1" vm="1">
        <f t="array" aca="1" ref="Z3276" ca="1">IFERROR(IF(_xlfn._xlws.FILTER(game_rosters!$J:$J,(game_rosters!$G:$G=events!$AN3276)*(game_rosters!$J:$J=events!$X3276))&gt;0,1,""),"")</f>
        <v>#VALUE!</v>
      </c>
      <c r="AA3276">
        <f t="shared" si="283"/>
        <v>1000</v>
      </c>
      <c r="AB3276" t="str">
        <f t="shared" si="284"/>
        <v/>
      </c>
      <c r="AC3276">
        <f t="shared" si="285"/>
        <v>1000</v>
      </c>
      <c r="AD3276" s="6"/>
    </row>
    <row r="3277" spans="1:30" x14ac:dyDescent="0.2">
      <c r="A3277" t="str">
        <f t="shared" si="286"/>
        <v/>
      </c>
      <c r="X3277" t="str" cm="1">
        <f t="array" ref="X3277">IF(S3277="","",IF($I3277&lt;&gt;"",$I3277,INDEX($I$2:$I3276,ROW()-COUNTIFS($T$2:$T3276,"="&amp;$T3277,$S$2:$S3276,"&lt;&gt;"&amp;$S3277)-1)))</f>
        <v/>
      </c>
      <c r="Y3277" t="b">
        <f>IF(X3277&lt;&gt;"",VLOOKUP(X3277,game_rosters!$C$43:$E$64,3,FALSE))</f>
        <v>0</v>
      </c>
      <c r="Z3277" t="e" cm="1" vm="1">
        <f t="array" aca="1" ref="Z3277" ca="1">IFERROR(IF(_xlfn._xlws.FILTER(game_rosters!$J:$J,(game_rosters!$G:$G=events!$AN3277)*(game_rosters!$J:$J=events!$X3277))&gt;0,1,""),"")</f>
        <v>#VALUE!</v>
      </c>
      <c r="AA3277">
        <f t="shared" si="283"/>
        <v>1000</v>
      </c>
      <c r="AB3277" t="str">
        <f t="shared" si="284"/>
        <v/>
      </c>
      <c r="AC3277">
        <f t="shared" si="285"/>
        <v>1000</v>
      </c>
      <c r="AD3277" s="6"/>
    </row>
    <row r="3278" spans="1:30" x14ac:dyDescent="0.2">
      <c r="A3278" t="str">
        <f t="shared" si="286"/>
        <v/>
      </c>
      <c r="X3278" t="str" cm="1">
        <f t="array" ref="X3278">IF(S3278="","",IF($I3278&lt;&gt;"",$I3278,INDEX($I$2:$I3277,ROW()-COUNTIFS($T$2:$T3277,"="&amp;$T3278,$S$2:$S3277,"&lt;&gt;"&amp;$S3278)-1)))</f>
        <v/>
      </c>
      <c r="Y3278" t="b">
        <f>IF(X3278&lt;&gt;"",VLOOKUP(X3278,game_rosters!$C$43:$E$64,3,FALSE))</f>
        <v>0</v>
      </c>
      <c r="Z3278" t="e" cm="1" vm="1">
        <f t="array" aca="1" ref="Z3278" ca="1">IFERROR(IF(_xlfn._xlws.FILTER(game_rosters!$J:$J,(game_rosters!$G:$G=events!$AN3278)*(game_rosters!$J:$J=events!$X3278))&gt;0,1,""),"")</f>
        <v>#VALUE!</v>
      </c>
      <c r="AA3278">
        <f t="shared" si="283"/>
        <v>1000</v>
      </c>
      <c r="AB3278" t="str">
        <f t="shared" si="284"/>
        <v/>
      </c>
      <c r="AC3278">
        <f t="shared" si="285"/>
        <v>1000</v>
      </c>
      <c r="AD3278" s="6"/>
    </row>
    <row r="3279" spans="1:30" x14ac:dyDescent="0.2">
      <c r="A3279" t="str">
        <f t="shared" si="286"/>
        <v/>
      </c>
      <c r="X3279" t="str" cm="1">
        <f t="array" ref="X3279">IF(S3279="","",IF($I3279&lt;&gt;"",$I3279,INDEX($I$2:$I3278,ROW()-COUNTIFS($T$2:$T3278,"="&amp;$T3279,$S$2:$S3278,"&lt;&gt;"&amp;$S3279)-1)))</f>
        <v/>
      </c>
      <c r="Y3279" t="b">
        <f>IF(X3279&lt;&gt;"",VLOOKUP(X3279,game_rosters!$C$43:$E$64,3,FALSE))</f>
        <v>0</v>
      </c>
      <c r="Z3279" t="e" cm="1" vm="1">
        <f t="array" aca="1" ref="Z3279" ca="1">IFERROR(IF(_xlfn._xlws.FILTER(game_rosters!$J:$J,(game_rosters!$G:$G=events!$AN3279)*(game_rosters!$J:$J=events!$X3279))&gt;0,1,""),"")</f>
        <v>#VALUE!</v>
      </c>
      <c r="AA3279">
        <f t="shared" si="283"/>
        <v>1000</v>
      </c>
      <c r="AB3279" t="str">
        <f t="shared" si="284"/>
        <v/>
      </c>
      <c r="AC3279">
        <f t="shared" si="285"/>
        <v>1000</v>
      </c>
      <c r="AD3279" s="6"/>
    </row>
    <row r="3280" spans="1:30" x14ac:dyDescent="0.2">
      <c r="A3280" t="str">
        <f t="shared" si="286"/>
        <v/>
      </c>
      <c r="X3280" t="str" cm="1">
        <f t="array" ref="X3280">IF(S3280="","",IF($I3280&lt;&gt;"",$I3280,INDEX($I$2:$I3279,ROW()-COUNTIFS($T$2:$T3279,"="&amp;$T3280,$S$2:$S3279,"&lt;&gt;"&amp;$S3280)-1)))</f>
        <v/>
      </c>
      <c r="Y3280" t="b">
        <f>IF(X3280&lt;&gt;"",VLOOKUP(X3280,game_rosters!$C$43:$E$64,3,FALSE))</f>
        <v>0</v>
      </c>
      <c r="Z3280" t="e" cm="1" vm="1">
        <f t="array" aca="1" ref="Z3280" ca="1">IFERROR(IF(_xlfn._xlws.FILTER(game_rosters!$J:$J,(game_rosters!$G:$G=events!$AN3280)*(game_rosters!$J:$J=events!$X3280))&gt;0,1,""),"")</f>
        <v>#VALUE!</v>
      </c>
      <c r="AA3280">
        <f t="shared" si="283"/>
        <v>1000</v>
      </c>
      <c r="AB3280" t="str">
        <f t="shared" si="284"/>
        <v/>
      </c>
      <c r="AC3280">
        <f t="shared" si="285"/>
        <v>1000</v>
      </c>
      <c r="AD3280" s="6"/>
    </row>
    <row r="3281" spans="1:30" x14ac:dyDescent="0.2">
      <c r="A3281" t="str">
        <f t="shared" si="286"/>
        <v/>
      </c>
      <c r="X3281" t="str" cm="1">
        <f t="array" ref="X3281">IF(S3281="","",IF($I3281&lt;&gt;"",$I3281,INDEX($I$2:$I3280,ROW()-COUNTIFS($T$2:$T3280,"="&amp;$T3281,$S$2:$S3280,"&lt;&gt;"&amp;$S3281)-1)))</f>
        <v/>
      </c>
      <c r="Y3281" t="b">
        <f>IF(X3281&lt;&gt;"",VLOOKUP(X3281,game_rosters!$C$43:$E$64,3,FALSE))</f>
        <v>0</v>
      </c>
      <c r="Z3281" t="e" cm="1" vm="1">
        <f t="array" aca="1" ref="Z3281" ca="1">IFERROR(IF(_xlfn._xlws.FILTER(game_rosters!$J:$J,(game_rosters!$G:$G=events!$AN3281)*(game_rosters!$J:$J=events!$X3281))&gt;0,1,""),"")</f>
        <v>#VALUE!</v>
      </c>
      <c r="AA3281">
        <f t="shared" si="283"/>
        <v>1000</v>
      </c>
      <c r="AB3281" t="str">
        <f t="shared" si="284"/>
        <v/>
      </c>
      <c r="AC3281">
        <f t="shared" si="285"/>
        <v>1000</v>
      </c>
      <c r="AD3281" s="6"/>
    </row>
    <row r="3282" spans="1:30" x14ac:dyDescent="0.2">
      <c r="A3282" t="str">
        <f t="shared" si="286"/>
        <v/>
      </c>
      <c r="X3282" t="str" cm="1">
        <f t="array" ref="X3282">IF(S3282="","",IF($I3282&lt;&gt;"",$I3282,INDEX($I$2:$I3281,ROW()-COUNTIFS($T$2:$T3281,"="&amp;$T3282,$S$2:$S3281,"&lt;&gt;"&amp;$S3282)-1)))</f>
        <v/>
      </c>
      <c r="Y3282" t="b">
        <f>IF(X3282&lt;&gt;"",VLOOKUP(X3282,game_rosters!$C$43:$E$64,3,FALSE))</f>
        <v>0</v>
      </c>
      <c r="Z3282" t="e" cm="1" vm="1">
        <f t="array" aca="1" ref="Z3282" ca="1">IFERROR(IF(_xlfn._xlws.FILTER(game_rosters!$J:$J,(game_rosters!$G:$G=events!$AN3282)*(game_rosters!$J:$J=events!$X3282))&gt;0,1,""),"")</f>
        <v>#VALUE!</v>
      </c>
      <c r="AA3282">
        <f t="shared" si="283"/>
        <v>1000</v>
      </c>
      <c r="AB3282" t="str">
        <f t="shared" si="284"/>
        <v/>
      </c>
      <c r="AC3282">
        <f t="shared" si="285"/>
        <v>1000</v>
      </c>
      <c r="AD3282" s="6"/>
    </row>
    <row r="3283" spans="1:30" x14ac:dyDescent="0.2">
      <c r="A3283" t="str">
        <f t="shared" si="286"/>
        <v/>
      </c>
      <c r="X3283" t="str" cm="1">
        <f t="array" ref="X3283">IF(S3283="","",IF($I3283&lt;&gt;"",$I3283,INDEX($I$2:$I3282,ROW()-COUNTIFS($T$2:$T3282,"="&amp;$T3283,$S$2:$S3282,"&lt;&gt;"&amp;$S3283)-1)))</f>
        <v/>
      </c>
      <c r="Y3283" t="b">
        <f>IF(X3283&lt;&gt;"",VLOOKUP(X3283,game_rosters!$C$43:$E$64,3,FALSE))</f>
        <v>0</v>
      </c>
      <c r="Z3283" t="e" cm="1" vm="1">
        <f t="array" aca="1" ref="Z3283" ca="1">IFERROR(IF(_xlfn._xlws.FILTER(game_rosters!$J:$J,(game_rosters!$G:$G=events!$AN3283)*(game_rosters!$J:$J=events!$X3283))&gt;0,1,""),"")</f>
        <v>#VALUE!</v>
      </c>
      <c r="AA3283">
        <f t="shared" si="283"/>
        <v>1000</v>
      </c>
      <c r="AB3283" t="str">
        <f t="shared" si="284"/>
        <v/>
      </c>
      <c r="AC3283">
        <f t="shared" si="285"/>
        <v>1000</v>
      </c>
      <c r="AD3283" s="6"/>
    </row>
    <row r="3284" spans="1:30" x14ac:dyDescent="0.2">
      <c r="A3284" t="str">
        <f t="shared" si="286"/>
        <v/>
      </c>
      <c r="X3284" t="str" cm="1">
        <f t="array" ref="X3284">IF(S3284="","",IF($I3284&lt;&gt;"",$I3284,INDEX($I$2:$I3283,ROW()-COUNTIFS($T$2:$T3283,"="&amp;$T3284,$S$2:$S3283,"&lt;&gt;"&amp;$S3284)-1)))</f>
        <v/>
      </c>
      <c r="Y3284" t="b">
        <f>IF(X3284&lt;&gt;"",VLOOKUP(X3284,game_rosters!$C$43:$E$64,3,FALSE))</f>
        <v>0</v>
      </c>
      <c r="Z3284" t="e" cm="1" vm="1">
        <f t="array" aca="1" ref="Z3284" ca="1">IFERROR(IF(_xlfn._xlws.FILTER(game_rosters!$J:$J,(game_rosters!$G:$G=events!$AN3284)*(game_rosters!$J:$J=events!$X3284))&gt;0,1,""),"")</f>
        <v>#VALUE!</v>
      </c>
      <c r="AA3284">
        <f t="shared" si="283"/>
        <v>1000</v>
      </c>
      <c r="AB3284" t="str">
        <f t="shared" si="284"/>
        <v/>
      </c>
      <c r="AC3284">
        <f t="shared" si="285"/>
        <v>1000</v>
      </c>
      <c r="AD3284" s="6"/>
    </row>
    <row r="3285" spans="1:30" x14ac:dyDescent="0.2">
      <c r="A3285" t="str">
        <f t="shared" si="286"/>
        <v/>
      </c>
      <c r="X3285" t="str" cm="1">
        <f t="array" ref="X3285">IF(S3285="","",IF($I3285&lt;&gt;"",$I3285,INDEX($I$2:$I3284,ROW()-COUNTIFS($T$2:$T3284,"="&amp;$T3285,$S$2:$S3284,"&lt;&gt;"&amp;$S3285)-1)))</f>
        <v/>
      </c>
      <c r="Y3285" t="b">
        <f>IF(X3285&lt;&gt;"",VLOOKUP(X3285,game_rosters!$C$43:$E$64,3,FALSE))</f>
        <v>0</v>
      </c>
      <c r="Z3285" t="e" cm="1" vm="1">
        <f t="array" aca="1" ref="Z3285" ca="1">IFERROR(IF(_xlfn._xlws.FILTER(game_rosters!$J:$J,(game_rosters!$G:$G=events!$AN3285)*(game_rosters!$J:$J=events!$X3285))&gt;0,1,""),"")</f>
        <v>#VALUE!</v>
      </c>
      <c r="AA3285">
        <f t="shared" si="283"/>
        <v>1000</v>
      </c>
      <c r="AB3285" t="str">
        <f t="shared" si="284"/>
        <v/>
      </c>
      <c r="AC3285">
        <f t="shared" si="285"/>
        <v>1000</v>
      </c>
      <c r="AD3285" s="6"/>
    </row>
    <row r="3286" spans="1:30" x14ac:dyDescent="0.2">
      <c r="A3286" t="str">
        <f t="shared" si="286"/>
        <v/>
      </c>
      <c r="X3286" t="str" cm="1">
        <f t="array" ref="X3286">IF(S3286="","",IF($I3286&lt;&gt;"",$I3286,INDEX($I$2:$I3285,ROW()-COUNTIFS($T$2:$T3285,"="&amp;$T3286,$S$2:$S3285,"&lt;&gt;"&amp;$S3286)-1)))</f>
        <v/>
      </c>
      <c r="Y3286" t="b">
        <f>IF(X3286&lt;&gt;"",VLOOKUP(X3286,game_rosters!$C$43:$E$64,3,FALSE))</f>
        <v>0</v>
      </c>
      <c r="Z3286" t="e" cm="1" vm="1">
        <f t="array" aca="1" ref="Z3286" ca="1">IFERROR(IF(_xlfn._xlws.FILTER(game_rosters!$J:$J,(game_rosters!$G:$G=events!$AN3286)*(game_rosters!$J:$J=events!$X3286))&gt;0,1,""),"")</f>
        <v>#VALUE!</v>
      </c>
      <c r="AA3286">
        <f t="shared" si="283"/>
        <v>1000</v>
      </c>
      <c r="AB3286" t="str">
        <f t="shared" si="284"/>
        <v/>
      </c>
      <c r="AC3286">
        <f t="shared" si="285"/>
        <v>1000</v>
      </c>
      <c r="AD3286" s="6"/>
    </row>
    <row r="3287" spans="1:30" x14ac:dyDescent="0.2">
      <c r="A3287" t="str">
        <f t="shared" si="286"/>
        <v/>
      </c>
      <c r="X3287" t="str" cm="1">
        <f t="array" ref="X3287">IF(S3287="","",IF($I3287&lt;&gt;"",$I3287,INDEX($I$2:$I3286,ROW()-COUNTIFS($T$2:$T3286,"="&amp;$T3287,$S$2:$S3286,"&lt;&gt;"&amp;$S3287)-1)))</f>
        <v/>
      </c>
      <c r="Y3287" t="b">
        <f>IF(X3287&lt;&gt;"",VLOOKUP(X3287,game_rosters!$C$43:$E$64,3,FALSE))</f>
        <v>0</v>
      </c>
      <c r="Z3287" t="e" cm="1" vm="1">
        <f t="array" aca="1" ref="Z3287" ca="1">IFERROR(IF(_xlfn._xlws.FILTER(game_rosters!$J:$J,(game_rosters!$G:$G=events!$AN3287)*(game_rosters!$J:$J=events!$X3287))&gt;0,1,""),"")</f>
        <v>#VALUE!</v>
      </c>
      <c r="AA3287">
        <f t="shared" si="283"/>
        <v>1000</v>
      </c>
      <c r="AB3287" t="str">
        <f t="shared" si="284"/>
        <v/>
      </c>
      <c r="AC3287">
        <f t="shared" si="285"/>
        <v>1000</v>
      </c>
      <c r="AD3287" s="6"/>
    </row>
    <row r="3288" spans="1:30" x14ac:dyDescent="0.2">
      <c r="A3288" t="str">
        <f t="shared" si="286"/>
        <v/>
      </c>
      <c r="X3288" t="str" cm="1">
        <f t="array" ref="X3288">IF(S3288="","",IF($I3288&lt;&gt;"",$I3288,INDEX($I$2:$I3287,ROW()-COUNTIFS($T$2:$T3287,"="&amp;$T3288,$S$2:$S3287,"&lt;&gt;"&amp;$S3288)-1)))</f>
        <v/>
      </c>
      <c r="Y3288" t="b">
        <f>IF(X3288&lt;&gt;"",VLOOKUP(X3288,game_rosters!$C$43:$E$64,3,FALSE))</f>
        <v>0</v>
      </c>
      <c r="Z3288" t="e" cm="1" vm="1">
        <f t="array" aca="1" ref="Z3288" ca="1">IFERROR(IF(_xlfn._xlws.FILTER(game_rosters!$J:$J,(game_rosters!$G:$G=events!$AN3288)*(game_rosters!$J:$J=events!$X3288))&gt;0,1,""),"")</f>
        <v>#VALUE!</v>
      </c>
      <c r="AA3288">
        <f t="shared" si="283"/>
        <v>1000</v>
      </c>
      <c r="AB3288" t="str">
        <f t="shared" si="284"/>
        <v/>
      </c>
      <c r="AC3288">
        <f t="shared" si="285"/>
        <v>1000</v>
      </c>
      <c r="AD3288" s="6"/>
    </row>
    <row r="3289" spans="1:30" x14ac:dyDescent="0.2">
      <c r="A3289" t="str">
        <f t="shared" si="286"/>
        <v/>
      </c>
      <c r="X3289" t="str" cm="1">
        <f t="array" ref="X3289">IF(S3289="","",IF($I3289&lt;&gt;"",$I3289,INDEX($I$2:$I3288,ROW()-COUNTIFS($T$2:$T3288,"="&amp;$T3289,$S$2:$S3288,"&lt;&gt;"&amp;$S3289)-1)))</f>
        <v/>
      </c>
      <c r="Y3289" t="b">
        <f>IF(X3289&lt;&gt;"",VLOOKUP(X3289,game_rosters!$C$43:$E$64,3,FALSE))</f>
        <v>0</v>
      </c>
      <c r="Z3289" t="e" cm="1" vm="1">
        <f t="array" aca="1" ref="Z3289" ca="1">IFERROR(IF(_xlfn._xlws.FILTER(game_rosters!$J:$J,(game_rosters!$G:$G=events!$AN3289)*(game_rosters!$J:$J=events!$X3289))&gt;0,1,""),"")</f>
        <v>#VALUE!</v>
      </c>
      <c r="AA3289">
        <f t="shared" si="283"/>
        <v>1000</v>
      </c>
      <c r="AB3289" t="str">
        <f t="shared" si="284"/>
        <v/>
      </c>
      <c r="AC3289">
        <f t="shared" si="285"/>
        <v>1000</v>
      </c>
      <c r="AD3289" s="6"/>
    </row>
    <row r="3290" spans="1:30" x14ac:dyDescent="0.2">
      <c r="A3290" t="str">
        <f t="shared" si="286"/>
        <v/>
      </c>
      <c r="X3290" t="str" cm="1">
        <f t="array" ref="X3290">IF(S3290="","",IF($I3290&lt;&gt;"",$I3290,INDEX($I$2:$I3289,ROW()-COUNTIFS($T$2:$T3289,"="&amp;$T3290,$S$2:$S3289,"&lt;&gt;"&amp;$S3290)-1)))</f>
        <v/>
      </c>
      <c r="Y3290" t="b">
        <f>IF(X3290&lt;&gt;"",VLOOKUP(X3290,game_rosters!$C$43:$E$64,3,FALSE))</f>
        <v>0</v>
      </c>
      <c r="Z3290" t="e" cm="1" vm="1">
        <f t="array" aca="1" ref="Z3290" ca="1">IFERROR(IF(_xlfn._xlws.FILTER(game_rosters!$J:$J,(game_rosters!$G:$G=events!$AN3290)*(game_rosters!$J:$J=events!$X3290))&gt;0,1,""),"")</f>
        <v>#VALUE!</v>
      </c>
      <c r="AA3290">
        <f t="shared" si="283"/>
        <v>1000</v>
      </c>
      <c r="AB3290" t="str">
        <f t="shared" si="284"/>
        <v/>
      </c>
      <c r="AC3290">
        <f t="shared" si="285"/>
        <v>1000</v>
      </c>
      <c r="AD3290" s="6"/>
    </row>
    <row r="3291" spans="1:30" x14ac:dyDescent="0.2">
      <c r="A3291" t="str">
        <f t="shared" si="286"/>
        <v/>
      </c>
      <c r="X3291" t="str" cm="1">
        <f t="array" ref="X3291">IF(S3291="","",IF($I3291&lt;&gt;"",$I3291,INDEX($I$2:$I3290,ROW()-COUNTIFS($T$2:$T3290,"="&amp;$T3291,$S$2:$S3290,"&lt;&gt;"&amp;$S3291)-1)))</f>
        <v/>
      </c>
      <c r="Y3291" t="b">
        <f>IF(X3291&lt;&gt;"",VLOOKUP(X3291,game_rosters!$C$43:$E$64,3,FALSE))</f>
        <v>0</v>
      </c>
      <c r="Z3291" t="e" cm="1" vm="1">
        <f t="array" aca="1" ref="Z3291" ca="1">IFERROR(IF(_xlfn._xlws.FILTER(game_rosters!$J:$J,(game_rosters!$G:$G=events!$AN3291)*(game_rosters!$J:$J=events!$X3291))&gt;0,1,""),"")</f>
        <v>#VALUE!</v>
      </c>
      <c r="AA3291">
        <f t="shared" si="283"/>
        <v>1000</v>
      </c>
      <c r="AB3291" t="str">
        <f t="shared" si="284"/>
        <v/>
      </c>
      <c r="AC3291">
        <f t="shared" si="285"/>
        <v>1000</v>
      </c>
      <c r="AD3291" s="6"/>
    </row>
    <row r="3292" spans="1:30" x14ac:dyDescent="0.2">
      <c r="A3292" t="str">
        <f t="shared" si="286"/>
        <v/>
      </c>
      <c r="X3292" t="str" cm="1">
        <f t="array" ref="X3292">IF(S3292="","",IF($I3292&lt;&gt;"",$I3292,INDEX($I$2:$I3291,ROW()-COUNTIFS($T$2:$T3291,"="&amp;$T3292,$S$2:$S3291,"&lt;&gt;"&amp;$S3292)-1)))</f>
        <v/>
      </c>
      <c r="Y3292" t="b">
        <f>IF(X3292&lt;&gt;"",VLOOKUP(X3292,game_rosters!$C$43:$E$64,3,FALSE))</f>
        <v>0</v>
      </c>
      <c r="Z3292" t="e" cm="1" vm="1">
        <f t="array" aca="1" ref="Z3292" ca="1">IFERROR(IF(_xlfn._xlws.FILTER(game_rosters!$J:$J,(game_rosters!$G:$G=events!$AN3292)*(game_rosters!$J:$J=events!$X3292))&gt;0,1,""),"")</f>
        <v>#VALUE!</v>
      </c>
      <c r="AA3292">
        <f t="shared" si="283"/>
        <v>1000</v>
      </c>
      <c r="AB3292" t="str">
        <f t="shared" si="284"/>
        <v/>
      </c>
      <c r="AC3292">
        <f t="shared" si="285"/>
        <v>1000</v>
      </c>
      <c r="AD3292" s="6"/>
    </row>
    <row r="3293" spans="1:30" x14ac:dyDescent="0.2">
      <c r="A3293" t="str">
        <f t="shared" si="286"/>
        <v/>
      </c>
      <c r="X3293" t="str" cm="1">
        <f t="array" ref="X3293">IF(S3293="","",IF($I3293&lt;&gt;"",$I3293,INDEX($I$2:$I3292,ROW()-COUNTIFS($T$2:$T3292,"="&amp;$T3293,$S$2:$S3292,"&lt;&gt;"&amp;$S3293)-1)))</f>
        <v/>
      </c>
      <c r="Y3293" t="b">
        <f>IF(X3293&lt;&gt;"",VLOOKUP(X3293,game_rosters!$C$43:$E$64,3,FALSE))</f>
        <v>0</v>
      </c>
      <c r="Z3293" t="e" cm="1" vm="1">
        <f t="array" aca="1" ref="Z3293" ca="1">IFERROR(IF(_xlfn._xlws.FILTER(game_rosters!$J:$J,(game_rosters!$G:$G=events!$AN3293)*(game_rosters!$J:$J=events!$X3293))&gt;0,1,""),"")</f>
        <v>#VALUE!</v>
      </c>
      <c r="AA3293">
        <f t="shared" ref="AA3293:AA3356" si="287">S3293+1000</f>
        <v>1000</v>
      </c>
      <c r="AB3293" t="str">
        <f t="shared" ref="AB3293:AB3356" si="288">IF(T3293&lt;&gt;"",9000+T3293,"")</f>
        <v/>
      </c>
      <c r="AC3293">
        <f t="shared" si="285"/>
        <v>1000</v>
      </c>
      <c r="AD3293" s="6"/>
    </row>
    <row r="3294" spans="1:30" x14ac:dyDescent="0.2">
      <c r="A3294" t="str">
        <f t="shared" si="286"/>
        <v/>
      </c>
      <c r="X3294" t="str" cm="1">
        <f t="array" ref="X3294">IF(S3294="","",IF($I3294&lt;&gt;"",$I3294,INDEX($I$2:$I3293,ROW()-COUNTIFS($T$2:$T3293,"="&amp;$T3294,$S$2:$S3293,"&lt;&gt;"&amp;$S3294)-1)))</f>
        <v/>
      </c>
      <c r="Y3294" t="b">
        <f>IF(X3294&lt;&gt;"",VLOOKUP(X3294,game_rosters!$C$43:$E$64,3,FALSE))</f>
        <v>0</v>
      </c>
      <c r="Z3294" t="e" cm="1" vm="1">
        <f t="array" aca="1" ref="Z3294" ca="1">IFERROR(IF(_xlfn._xlws.FILTER(game_rosters!$J:$J,(game_rosters!$G:$G=events!$AN3294)*(game_rosters!$J:$J=events!$X3294))&gt;0,1,""),"")</f>
        <v>#VALUE!</v>
      </c>
      <c r="AA3294">
        <f t="shared" si="287"/>
        <v>1000</v>
      </c>
      <c r="AB3294" t="str">
        <f t="shared" si="288"/>
        <v/>
      </c>
      <c r="AC3294">
        <f t="shared" si="285"/>
        <v>1000</v>
      </c>
      <c r="AD3294" s="6"/>
    </row>
    <row r="3295" spans="1:30" x14ac:dyDescent="0.2">
      <c r="A3295" t="str">
        <f t="shared" si="286"/>
        <v/>
      </c>
      <c r="X3295" t="str" cm="1">
        <f t="array" ref="X3295">IF(S3295="","",IF($I3295&lt;&gt;"",$I3295,INDEX($I$2:$I3294,ROW()-COUNTIFS($T$2:$T3294,"="&amp;$T3295,$S$2:$S3294,"&lt;&gt;"&amp;$S3295)-1)))</f>
        <v/>
      </c>
      <c r="Y3295" t="b">
        <f>IF(X3295&lt;&gt;"",VLOOKUP(X3295,game_rosters!$C$43:$E$64,3,FALSE))</f>
        <v>0</v>
      </c>
      <c r="Z3295" t="e" cm="1" vm="1">
        <f t="array" aca="1" ref="Z3295" ca="1">IFERROR(IF(_xlfn._xlws.FILTER(game_rosters!$J:$J,(game_rosters!$G:$G=events!$AN3295)*(game_rosters!$J:$J=events!$X3295))&gt;0,1,""),"")</f>
        <v>#VALUE!</v>
      </c>
      <c r="AA3295">
        <f t="shared" si="287"/>
        <v>1000</v>
      </c>
      <c r="AB3295" t="str">
        <f t="shared" si="288"/>
        <v/>
      </c>
      <c r="AC3295">
        <f t="shared" si="285"/>
        <v>1000</v>
      </c>
      <c r="AD3295" s="6"/>
    </row>
    <row r="3296" spans="1:30" x14ac:dyDescent="0.2">
      <c r="A3296" t="str">
        <f t="shared" si="286"/>
        <v/>
      </c>
      <c r="X3296" t="str" cm="1">
        <f t="array" ref="X3296">IF(S3296="","",IF($I3296&lt;&gt;"",$I3296,INDEX($I$2:$I3295,ROW()-COUNTIFS($T$2:$T3295,"="&amp;$T3296,$S$2:$S3295,"&lt;&gt;"&amp;$S3296)-1)))</f>
        <v/>
      </c>
      <c r="Y3296" t="b">
        <f>IF(X3296&lt;&gt;"",VLOOKUP(X3296,game_rosters!$C$43:$E$64,3,FALSE))</f>
        <v>0</v>
      </c>
      <c r="Z3296" t="e" cm="1" vm="1">
        <f t="array" aca="1" ref="Z3296" ca="1">IFERROR(IF(_xlfn._xlws.FILTER(game_rosters!$J:$J,(game_rosters!$G:$G=events!$AN3296)*(game_rosters!$J:$J=events!$X3296))&gt;0,1,""),"")</f>
        <v>#VALUE!</v>
      </c>
      <c r="AA3296">
        <f t="shared" si="287"/>
        <v>1000</v>
      </c>
      <c r="AB3296" t="str">
        <f t="shared" si="288"/>
        <v/>
      </c>
      <c r="AC3296">
        <f t="shared" si="285"/>
        <v>1000</v>
      </c>
      <c r="AD3296" s="6"/>
    </row>
    <row r="3297" spans="1:30" x14ac:dyDescent="0.2">
      <c r="A3297" t="str">
        <f t="shared" si="286"/>
        <v/>
      </c>
      <c r="X3297" t="str" cm="1">
        <f t="array" ref="X3297">IF(S3297="","",IF($I3297&lt;&gt;"",$I3297,INDEX($I$2:$I3296,ROW()-COUNTIFS($T$2:$T3296,"="&amp;$T3297,$S$2:$S3296,"&lt;&gt;"&amp;$S3297)-1)))</f>
        <v/>
      </c>
      <c r="Y3297" t="b">
        <f>IF(X3297&lt;&gt;"",VLOOKUP(X3297,game_rosters!$C$43:$E$64,3,FALSE))</f>
        <v>0</v>
      </c>
      <c r="Z3297" t="e" cm="1" vm="1">
        <f t="array" aca="1" ref="Z3297" ca="1">IFERROR(IF(_xlfn._xlws.FILTER(game_rosters!$J:$J,(game_rosters!$G:$G=events!$AN3297)*(game_rosters!$J:$J=events!$X3297))&gt;0,1,""),"")</f>
        <v>#VALUE!</v>
      </c>
      <c r="AA3297">
        <f t="shared" si="287"/>
        <v>1000</v>
      </c>
      <c r="AB3297" t="str">
        <f t="shared" si="288"/>
        <v/>
      </c>
      <c r="AC3297">
        <f t="shared" si="285"/>
        <v>1000</v>
      </c>
      <c r="AD3297" s="6"/>
    </row>
    <row r="3298" spans="1:30" x14ac:dyDescent="0.2">
      <c r="A3298" t="str">
        <f t="shared" si="286"/>
        <v/>
      </c>
      <c r="X3298" t="str" cm="1">
        <f t="array" ref="X3298">IF(S3298="","",IF($I3298&lt;&gt;"",$I3298,INDEX($I$2:$I3297,ROW()-COUNTIFS($T$2:$T3297,"="&amp;$T3298,$S$2:$S3297,"&lt;&gt;"&amp;$S3298)-1)))</f>
        <v/>
      </c>
      <c r="Y3298" t="b">
        <f>IF(X3298&lt;&gt;"",VLOOKUP(X3298,game_rosters!$C$43:$E$64,3,FALSE))</f>
        <v>0</v>
      </c>
      <c r="Z3298" t="e" cm="1" vm="1">
        <f t="array" aca="1" ref="Z3298" ca="1">IFERROR(IF(_xlfn._xlws.FILTER(game_rosters!$J:$J,(game_rosters!$G:$G=events!$AN3298)*(game_rosters!$J:$J=events!$X3298))&gt;0,1,""),"")</f>
        <v>#VALUE!</v>
      </c>
      <c r="AA3298">
        <f t="shared" si="287"/>
        <v>1000</v>
      </c>
      <c r="AB3298" t="str">
        <f t="shared" si="288"/>
        <v/>
      </c>
      <c r="AC3298">
        <f t="shared" si="285"/>
        <v>1000</v>
      </c>
      <c r="AD3298" s="6"/>
    </row>
    <row r="3299" spans="1:30" x14ac:dyDescent="0.2">
      <c r="A3299" t="str">
        <f t="shared" si="286"/>
        <v/>
      </c>
      <c r="X3299" t="str" cm="1">
        <f t="array" ref="X3299">IF(S3299="","",IF($I3299&lt;&gt;"",$I3299,INDEX($I$2:$I3298,ROW()-COUNTIFS($T$2:$T3298,"="&amp;$T3299,$S$2:$S3298,"&lt;&gt;"&amp;$S3299)-1)))</f>
        <v/>
      </c>
      <c r="Y3299" t="b">
        <f>IF(X3299&lt;&gt;"",VLOOKUP(X3299,game_rosters!$C$43:$E$64,3,FALSE))</f>
        <v>0</v>
      </c>
      <c r="Z3299" t="e" cm="1" vm="1">
        <f t="array" aca="1" ref="Z3299" ca="1">IFERROR(IF(_xlfn._xlws.FILTER(game_rosters!$J:$J,(game_rosters!$G:$G=events!$AN3299)*(game_rosters!$J:$J=events!$X3299))&gt;0,1,""),"")</f>
        <v>#VALUE!</v>
      </c>
      <c r="AA3299">
        <f t="shared" si="287"/>
        <v>1000</v>
      </c>
      <c r="AB3299" t="str">
        <f t="shared" si="288"/>
        <v/>
      </c>
      <c r="AC3299">
        <f t="shared" si="285"/>
        <v>1000</v>
      </c>
      <c r="AD3299" s="6"/>
    </row>
    <row r="3300" spans="1:30" x14ac:dyDescent="0.2">
      <c r="A3300" t="str">
        <f t="shared" si="286"/>
        <v/>
      </c>
      <c r="X3300" t="str" cm="1">
        <f t="array" ref="X3300">IF(S3300="","",IF($I3300&lt;&gt;"",$I3300,INDEX($I$2:$I3299,ROW()-COUNTIFS($T$2:$T3299,"="&amp;$T3300,$S$2:$S3299,"&lt;&gt;"&amp;$S3300)-1)))</f>
        <v/>
      </c>
      <c r="Y3300" t="b">
        <f>IF(X3300&lt;&gt;"",VLOOKUP(X3300,game_rosters!$C$43:$E$64,3,FALSE))</f>
        <v>0</v>
      </c>
      <c r="Z3300" t="e" cm="1" vm="1">
        <f t="array" aca="1" ref="Z3300" ca="1">IFERROR(IF(_xlfn._xlws.FILTER(game_rosters!$J:$J,(game_rosters!$G:$G=events!$AN3300)*(game_rosters!$J:$J=events!$X3300))&gt;0,1,""),"")</f>
        <v>#VALUE!</v>
      </c>
      <c r="AA3300">
        <f t="shared" si="287"/>
        <v>1000</v>
      </c>
      <c r="AB3300" t="str">
        <f t="shared" si="288"/>
        <v/>
      </c>
      <c r="AC3300">
        <f t="shared" si="285"/>
        <v>1000</v>
      </c>
      <c r="AD3300" s="6"/>
    </row>
    <row r="3301" spans="1:30" x14ac:dyDescent="0.2">
      <c r="A3301" t="str">
        <f t="shared" si="286"/>
        <v/>
      </c>
      <c r="X3301" t="str" cm="1">
        <f t="array" ref="X3301">IF(S3301="","",IF($I3301&lt;&gt;"",$I3301,INDEX($I$2:$I3300,ROW()-COUNTIFS($T$2:$T3300,"="&amp;$T3301,$S$2:$S3300,"&lt;&gt;"&amp;$S3301)-1)))</f>
        <v/>
      </c>
      <c r="Y3301" t="b">
        <f>IF(X3301&lt;&gt;"",VLOOKUP(X3301,game_rosters!$C$43:$E$64,3,FALSE))</f>
        <v>0</v>
      </c>
      <c r="Z3301" t="e" cm="1" vm="1">
        <f t="array" aca="1" ref="Z3301" ca="1">IFERROR(IF(_xlfn._xlws.FILTER(game_rosters!$J:$J,(game_rosters!$G:$G=events!$AN3301)*(game_rosters!$J:$J=events!$X3301))&gt;0,1,""),"")</f>
        <v>#VALUE!</v>
      </c>
      <c r="AA3301">
        <f t="shared" si="287"/>
        <v>1000</v>
      </c>
      <c r="AB3301" t="str">
        <f t="shared" si="288"/>
        <v/>
      </c>
      <c r="AC3301">
        <f t="shared" si="285"/>
        <v>1000</v>
      </c>
      <c r="AD3301" s="6"/>
    </row>
    <row r="3302" spans="1:30" x14ac:dyDescent="0.2">
      <c r="A3302" t="str">
        <f t="shared" si="286"/>
        <v/>
      </c>
      <c r="X3302" t="str" cm="1">
        <f t="array" ref="X3302">IF(S3302="","",IF($I3302&lt;&gt;"",$I3302,INDEX($I$2:$I3301,ROW()-COUNTIFS($T$2:$T3301,"="&amp;$T3302,$S$2:$S3301,"&lt;&gt;"&amp;$S3302)-1)))</f>
        <v/>
      </c>
      <c r="Y3302" t="b">
        <f>IF(X3302&lt;&gt;"",VLOOKUP(X3302,game_rosters!$C$43:$E$64,3,FALSE))</f>
        <v>0</v>
      </c>
      <c r="Z3302" t="e" cm="1" vm="1">
        <f t="array" aca="1" ref="Z3302" ca="1">IFERROR(IF(_xlfn._xlws.FILTER(game_rosters!$J:$J,(game_rosters!$G:$G=events!$AN3302)*(game_rosters!$J:$J=events!$X3302))&gt;0,1,""),"")</f>
        <v>#VALUE!</v>
      </c>
      <c r="AA3302">
        <f t="shared" si="287"/>
        <v>1000</v>
      </c>
      <c r="AB3302" t="str">
        <f t="shared" si="288"/>
        <v/>
      </c>
      <c r="AC3302">
        <f t="shared" si="285"/>
        <v>1000</v>
      </c>
      <c r="AD3302" s="6"/>
    </row>
    <row r="3303" spans="1:30" x14ac:dyDescent="0.2">
      <c r="A3303" t="str">
        <f t="shared" si="286"/>
        <v/>
      </c>
      <c r="X3303" t="str" cm="1">
        <f t="array" ref="X3303">IF(S3303="","",IF($I3303&lt;&gt;"",$I3303,INDEX($I$2:$I3302,ROW()-COUNTIFS($T$2:$T3302,"="&amp;$T3303,$S$2:$S3302,"&lt;&gt;"&amp;$S3303)-1)))</f>
        <v/>
      </c>
      <c r="Y3303" t="b">
        <f>IF(X3303&lt;&gt;"",VLOOKUP(X3303,game_rosters!$C$43:$E$64,3,FALSE))</f>
        <v>0</v>
      </c>
      <c r="Z3303" t="e" cm="1" vm="1">
        <f t="array" aca="1" ref="Z3303" ca="1">IFERROR(IF(_xlfn._xlws.FILTER(game_rosters!$J:$J,(game_rosters!$G:$G=events!$AN3303)*(game_rosters!$J:$J=events!$X3303))&gt;0,1,""),"")</f>
        <v>#VALUE!</v>
      </c>
      <c r="AA3303">
        <f t="shared" si="287"/>
        <v>1000</v>
      </c>
      <c r="AB3303" t="str">
        <f t="shared" si="288"/>
        <v/>
      </c>
      <c r="AC3303">
        <f t="shared" si="285"/>
        <v>1000</v>
      </c>
      <c r="AD3303" s="6"/>
    </row>
    <row r="3304" spans="1:30" x14ac:dyDescent="0.2">
      <c r="A3304" t="str">
        <f t="shared" si="286"/>
        <v/>
      </c>
      <c r="X3304" t="str" cm="1">
        <f t="array" ref="X3304">IF(S3304="","",IF($I3304&lt;&gt;"",$I3304,INDEX($I$2:$I3303,ROW()-COUNTIFS($T$2:$T3303,"="&amp;$T3304,$S$2:$S3303,"&lt;&gt;"&amp;$S3304)-1)))</f>
        <v/>
      </c>
      <c r="Y3304" t="b">
        <f>IF(X3304&lt;&gt;"",VLOOKUP(X3304,game_rosters!$C$43:$E$64,3,FALSE))</f>
        <v>0</v>
      </c>
      <c r="Z3304" t="e" cm="1" vm="1">
        <f t="array" aca="1" ref="Z3304" ca="1">IFERROR(IF(_xlfn._xlws.FILTER(game_rosters!$J:$J,(game_rosters!$G:$G=events!$AN3304)*(game_rosters!$J:$J=events!$X3304))&gt;0,1,""),"")</f>
        <v>#VALUE!</v>
      </c>
      <c r="AA3304">
        <f t="shared" si="287"/>
        <v>1000</v>
      </c>
      <c r="AB3304" t="str">
        <f t="shared" si="288"/>
        <v/>
      </c>
      <c r="AC3304">
        <f t="shared" si="285"/>
        <v>1000</v>
      </c>
      <c r="AD3304" s="6"/>
    </row>
    <row r="3305" spans="1:30" x14ac:dyDescent="0.2">
      <c r="A3305" t="str">
        <f t="shared" si="286"/>
        <v/>
      </c>
      <c r="X3305" t="str" cm="1">
        <f t="array" ref="X3305">IF(S3305="","",IF($I3305&lt;&gt;"",$I3305,INDEX($I$2:$I3304,ROW()-COUNTIFS($T$2:$T3304,"="&amp;$T3305,$S$2:$S3304,"&lt;&gt;"&amp;$S3305)-1)))</f>
        <v/>
      </c>
      <c r="Y3305" t="b">
        <f>IF(X3305&lt;&gt;"",VLOOKUP(X3305,game_rosters!$C$43:$E$64,3,FALSE))</f>
        <v>0</v>
      </c>
      <c r="Z3305" t="e" cm="1" vm="1">
        <f t="array" aca="1" ref="Z3305" ca="1">IFERROR(IF(_xlfn._xlws.FILTER(game_rosters!$J:$J,(game_rosters!$G:$G=events!$AN3305)*(game_rosters!$J:$J=events!$X3305))&gt;0,1,""),"")</f>
        <v>#VALUE!</v>
      </c>
      <c r="AA3305">
        <f t="shared" si="287"/>
        <v>1000</v>
      </c>
      <c r="AB3305" t="str">
        <f t="shared" si="288"/>
        <v/>
      </c>
      <c r="AC3305">
        <f t="shared" si="285"/>
        <v>1000</v>
      </c>
      <c r="AD3305" s="6"/>
    </row>
    <row r="3306" spans="1:30" x14ac:dyDescent="0.2">
      <c r="A3306" t="str">
        <f t="shared" si="286"/>
        <v/>
      </c>
      <c r="X3306" t="str" cm="1">
        <f t="array" ref="X3306">IF(S3306="","",IF($I3306&lt;&gt;"",$I3306,INDEX($I$2:$I3305,ROW()-COUNTIFS($T$2:$T3305,"="&amp;$T3306,$S$2:$S3305,"&lt;&gt;"&amp;$S3306)-1)))</f>
        <v/>
      </c>
      <c r="Y3306" t="b">
        <f>IF(X3306&lt;&gt;"",VLOOKUP(X3306,game_rosters!$C$43:$E$64,3,FALSE))</f>
        <v>0</v>
      </c>
      <c r="Z3306" t="e" cm="1" vm="1">
        <f t="array" aca="1" ref="Z3306" ca="1">IFERROR(IF(_xlfn._xlws.FILTER(game_rosters!$J:$J,(game_rosters!$G:$G=events!$AN3306)*(game_rosters!$J:$J=events!$X3306))&gt;0,1,""),"")</f>
        <v>#VALUE!</v>
      </c>
      <c r="AA3306">
        <f t="shared" si="287"/>
        <v>1000</v>
      </c>
      <c r="AB3306" t="str">
        <f t="shared" si="288"/>
        <v/>
      </c>
      <c r="AC3306">
        <f t="shared" si="285"/>
        <v>1000</v>
      </c>
      <c r="AD3306" s="6"/>
    </row>
    <row r="3307" spans="1:30" x14ac:dyDescent="0.2">
      <c r="A3307" t="str">
        <f t="shared" si="286"/>
        <v/>
      </c>
      <c r="X3307" t="str" cm="1">
        <f t="array" ref="X3307">IF(S3307="","",IF($I3307&lt;&gt;"",$I3307,INDEX($I$2:$I3306,ROW()-COUNTIFS($T$2:$T3306,"="&amp;$T3307,$S$2:$S3306,"&lt;&gt;"&amp;$S3307)-1)))</f>
        <v/>
      </c>
      <c r="Y3307" t="b">
        <f>IF(X3307&lt;&gt;"",VLOOKUP(X3307,game_rosters!$C$43:$E$64,3,FALSE))</f>
        <v>0</v>
      </c>
      <c r="Z3307" t="e" cm="1" vm="1">
        <f t="array" aca="1" ref="Z3307" ca="1">IFERROR(IF(_xlfn._xlws.FILTER(game_rosters!$J:$J,(game_rosters!$G:$G=events!$AN3307)*(game_rosters!$J:$J=events!$X3307))&gt;0,1,""),"")</f>
        <v>#VALUE!</v>
      </c>
      <c r="AA3307">
        <f t="shared" si="287"/>
        <v>1000</v>
      </c>
      <c r="AB3307" t="str">
        <f t="shared" si="288"/>
        <v/>
      </c>
      <c r="AC3307">
        <f t="shared" si="285"/>
        <v>1000</v>
      </c>
      <c r="AD3307" s="6"/>
    </row>
    <row r="3308" spans="1:30" x14ac:dyDescent="0.2">
      <c r="A3308" t="str">
        <f t="shared" si="286"/>
        <v/>
      </c>
      <c r="X3308" t="str" cm="1">
        <f t="array" ref="X3308">IF(S3308="","",IF($I3308&lt;&gt;"",$I3308,INDEX($I$2:$I3307,ROW()-COUNTIFS($T$2:$T3307,"="&amp;$T3308,$S$2:$S3307,"&lt;&gt;"&amp;$S3308)-1)))</f>
        <v/>
      </c>
      <c r="Y3308" t="b">
        <f>IF(X3308&lt;&gt;"",VLOOKUP(X3308,game_rosters!$C$43:$E$64,3,FALSE))</f>
        <v>0</v>
      </c>
      <c r="Z3308" t="e" cm="1" vm="1">
        <f t="array" aca="1" ref="Z3308" ca="1">IFERROR(IF(_xlfn._xlws.FILTER(game_rosters!$J:$J,(game_rosters!$G:$G=events!$AN3308)*(game_rosters!$J:$J=events!$X3308))&gt;0,1,""),"")</f>
        <v>#VALUE!</v>
      </c>
      <c r="AA3308">
        <f t="shared" si="287"/>
        <v>1000</v>
      </c>
      <c r="AB3308" t="str">
        <f t="shared" si="288"/>
        <v/>
      </c>
      <c r="AC3308">
        <f t="shared" si="285"/>
        <v>1000</v>
      </c>
      <c r="AD3308" s="6"/>
    </row>
    <row r="3309" spans="1:30" x14ac:dyDescent="0.2">
      <c r="A3309" t="str">
        <f t="shared" si="286"/>
        <v/>
      </c>
      <c r="X3309" t="str" cm="1">
        <f t="array" ref="X3309">IF(S3309="","",IF($I3309&lt;&gt;"",$I3309,INDEX($I$2:$I3308,ROW()-COUNTIFS($T$2:$T3308,"="&amp;$T3309,$S$2:$S3308,"&lt;&gt;"&amp;$S3309)-1)))</f>
        <v/>
      </c>
      <c r="Y3309" t="b">
        <f>IF(X3309&lt;&gt;"",VLOOKUP(X3309,game_rosters!$C$43:$E$64,3,FALSE))</f>
        <v>0</v>
      </c>
      <c r="Z3309" t="e" cm="1" vm="1">
        <f t="array" aca="1" ref="Z3309" ca="1">IFERROR(IF(_xlfn._xlws.FILTER(game_rosters!$J:$J,(game_rosters!$G:$G=events!$AN3309)*(game_rosters!$J:$J=events!$X3309))&gt;0,1,""),"")</f>
        <v>#VALUE!</v>
      </c>
      <c r="AA3309">
        <f t="shared" si="287"/>
        <v>1000</v>
      </c>
      <c r="AB3309" t="str">
        <f t="shared" si="288"/>
        <v/>
      </c>
      <c r="AC3309">
        <f t="shared" si="285"/>
        <v>1000</v>
      </c>
      <c r="AD3309" s="6"/>
    </row>
    <row r="3310" spans="1:30" x14ac:dyDescent="0.2">
      <c r="A3310" t="str">
        <f t="shared" si="286"/>
        <v/>
      </c>
      <c r="X3310" t="str" cm="1">
        <f t="array" ref="X3310">IF(S3310="","",IF($I3310&lt;&gt;"",$I3310,INDEX($I$2:$I3309,ROW()-COUNTIFS($T$2:$T3309,"="&amp;$T3310,$S$2:$S3309,"&lt;&gt;"&amp;$S3310)-1)))</f>
        <v/>
      </c>
      <c r="Y3310" t="b">
        <f>IF(X3310&lt;&gt;"",VLOOKUP(X3310,game_rosters!$C$43:$E$64,3,FALSE))</f>
        <v>0</v>
      </c>
      <c r="Z3310" t="e" cm="1" vm="1">
        <f t="array" aca="1" ref="Z3310" ca="1">IFERROR(IF(_xlfn._xlws.FILTER(game_rosters!$J:$J,(game_rosters!$G:$G=events!$AN3310)*(game_rosters!$J:$J=events!$X3310))&gt;0,1,""),"")</f>
        <v>#VALUE!</v>
      </c>
      <c r="AA3310">
        <f t="shared" si="287"/>
        <v>1000</v>
      </c>
      <c r="AB3310" t="str">
        <f t="shared" si="288"/>
        <v/>
      </c>
      <c r="AC3310">
        <f t="shared" si="285"/>
        <v>1000</v>
      </c>
      <c r="AD3310" s="6"/>
    </row>
    <row r="3311" spans="1:30" x14ac:dyDescent="0.2">
      <c r="A3311" t="str">
        <f t="shared" si="286"/>
        <v/>
      </c>
      <c r="X3311" t="str" cm="1">
        <f t="array" ref="X3311">IF(S3311="","",IF($I3311&lt;&gt;"",$I3311,INDEX($I$2:$I3310,ROW()-COUNTIFS($T$2:$T3310,"="&amp;$T3311,$S$2:$S3310,"&lt;&gt;"&amp;$S3311)-1)))</f>
        <v/>
      </c>
      <c r="Y3311" t="b">
        <f>IF(X3311&lt;&gt;"",VLOOKUP(X3311,game_rosters!$C$43:$E$64,3,FALSE))</f>
        <v>0</v>
      </c>
      <c r="Z3311" t="e" cm="1" vm="1">
        <f t="array" aca="1" ref="Z3311" ca="1">IFERROR(IF(_xlfn._xlws.FILTER(game_rosters!$J:$J,(game_rosters!$G:$G=events!$AN3311)*(game_rosters!$J:$J=events!$X3311))&gt;0,1,""),"")</f>
        <v>#VALUE!</v>
      </c>
      <c r="AA3311">
        <f t="shared" si="287"/>
        <v>1000</v>
      </c>
      <c r="AB3311" t="str">
        <f t="shared" si="288"/>
        <v/>
      </c>
      <c r="AC3311">
        <f t="shared" si="285"/>
        <v>1000</v>
      </c>
      <c r="AD3311" s="6"/>
    </row>
    <row r="3312" spans="1:30" x14ac:dyDescent="0.2">
      <c r="A3312" t="str">
        <f t="shared" si="286"/>
        <v/>
      </c>
      <c r="X3312" t="str" cm="1">
        <f t="array" ref="X3312">IF(S3312="","",IF($I3312&lt;&gt;"",$I3312,INDEX($I$2:$I3311,ROW()-COUNTIFS($T$2:$T3311,"="&amp;$T3312,$S$2:$S3311,"&lt;&gt;"&amp;$S3312)-1)))</f>
        <v/>
      </c>
      <c r="Y3312" t="b">
        <f>IF(X3312&lt;&gt;"",VLOOKUP(X3312,game_rosters!$C$43:$E$64,3,FALSE))</f>
        <v>0</v>
      </c>
      <c r="Z3312" t="e" cm="1" vm="1">
        <f t="array" aca="1" ref="Z3312" ca="1">IFERROR(IF(_xlfn._xlws.FILTER(game_rosters!$J:$J,(game_rosters!$G:$G=events!$AN3312)*(game_rosters!$J:$J=events!$X3312))&gt;0,1,""),"")</f>
        <v>#VALUE!</v>
      </c>
      <c r="AA3312">
        <f t="shared" si="287"/>
        <v>1000</v>
      </c>
      <c r="AB3312" t="str">
        <f t="shared" si="288"/>
        <v/>
      </c>
      <c r="AC3312">
        <f t="shared" si="285"/>
        <v>1000</v>
      </c>
      <c r="AD3312" s="6"/>
    </row>
    <row r="3313" spans="1:30" x14ac:dyDescent="0.2">
      <c r="A3313" t="str">
        <f t="shared" si="286"/>
        <v/>
      </c>
      <c r="X3313" t="str" cm="1">
        <f t="array" ref="X3313">IF(S3313="","",IF($I3313&lt;&gt;"",$I3313,INDEX($I$2:$I3312,ROW()-COUNTIFS($T$2:$T3312,"="&amp;$T3313,$S$2:$S3312,"&lt;&gt;"&amp;$S3313)-1)))</f>
        <v/>
      </c>
      <c r="Y3313" t="b">
        <f>IF(X3313&lt;&gt;"",VLOOKUP(X3313,game_rosters!$C$43:$E$64,3,FALSE))</f>
        <v>0</v>
      </c>
      <c r="Z3313" t="e" cm="1" vm="1">
        <f t="array" aca="1" ref="Z3313" ca="1">IFERROR(IF(_xlfn._xlws.FILTER(game_rosters!$J:$J,(game_rosters!$G:$G=events!$AN3313)*(game_rosters!$J:$J=events!$X3313))&gt;0,1,""),"")</f>
        <v>#VALUE!</v>
      </c>
      <c r="AA3313">
        <f t="shared" si="287"/>
        <v>1000</v>
      </c>
      <c r="AB3313" t="str">
        <f t="shared" si="288"/>
        <v/>
      </c>
      <c r="AC3313">
        <f t="shared" si="285"/>
        <v>1000</v>
      </c>
      <c r="AD3313" s="6"/>
    </row>
    <row r="3314" spans="1:30" x14ac:dyDescent="0.2">
      <c r="A3314" t="str">
        <f t="shared" si="286"/>
        <v/>
      </c>
      <c r="X3314" t="str" cm="1">
        <f t="array" ref="X3314">IF(S3314="","",IF($I3314&lt;&gt;"",$I3314,INDEX($I$2:$I3313,ROW()-COUNTIFS($T$2:$T3313,"="&amp;$T3314,$S$2:$S3313,"&lt;&gt;"&amp;$S3314)-1)))</f>
        <v/>
      </c>
      <c r="Y3314" t="b">
        <f>IF(X3314&lt;&gt;"",VLOOKUP(X3314,game_rosters!$C$43:$E$64,3,FALSE))</f>
        <v>0</v>
      </c>
      <c r="Z3314" t="e" cm="1" vm="1">
        <f t="array" aca="1" ref="Z3314" ca="1">IFERROR(IF(_xlfn._xlws.FILTER(game_rosters!$J:$J,(game_rosters!$G:$G=events!$AN3314)*(game_rosters!$J:$J=events!$X3314))&gt;0,1,""),"")</f>
        <v>#VALUE!</v>
      </c>
      <c r="AA3314">
        <f t="shared" si="287"/>
        <v>1000</v>
      </c>
      <c r="AB3314" t="str">
        <f t="shared" si="288"/>
        <v/>
      </c>
      <c r="AC3314">
        <f t="shared" si="285"/>
        <v>1000</v>
      </c>
      <c r="AD3314" s="6"/>
    </row>
    <row r="3315" spans="1:30" x14ac:dyDescent="0.2">
      <c r="A3315" t="str">
        <f t="shared" si="286"/>
        <v/>
      </c>
      <c r="X3315" t="str" cm="1">
        <f t="array" ref="X3315">IF(S3315="","",IF($I3315&lt;&gt;"",$I3315,INDEX($I$2:$I3314,ROW()-COUNTIFS($T$2:$T3314,"="&amp;$T3315,$S$2:$S3314,"&lt;&gt;"&amp;$S3315)-1)))</f>
        <v/>
      </c>
      <c r="Y3315" t="b">
        <f>IF(X3315&lt;&gt;"",VLOOKUP(X3315,game_rosters!$C$43:$E$64,3,FALSE))</f>
        <v>0</v>
      </c>
      <c r="Z3315" t="e" cm="1" vm="1">
        <f t="array" aca="1" ref="Z3315" ca="1">IFERROR(IF(_xlfn._xlws.FILTER(game_rosters!$J:$J,(game_rosters!$G:$G=events!$AN3315)*(game_rosters!$J:$J=events!$X3315))&gt;0,1,""),"")</f>
        <v>#VALUE!</v>
      </c>
      <c r="AA3315">
        <f t="shared" si="287"/>
        <v>1000</v>
      </c>
      <c r="AB3315" t="str">
        <f t="shared" si="288"/>
        <v/>
      </c>
      <c r="AC3315">
        <f t="shared" si="285"/>
        <v>1000</v>
      </c>
      <c r="AD3315" s="6"/>
    </row>
    <row r="3316" spans="1:30" x14ac:dyDescent="0.2">
      <c r="A3316" t="str">
        <f t="shared" si="286"/>
        <v/>
      </c>
      <c r="X3316" t="str" cm="1">
        <f t="array" ref="X3316">IF(S3316="","",IF($I3316&lt;&gt;"",$I3316,INDEX($I$2:$I3315,ROW()-COUNTIFS($T$2:$T3315,"="&amp;$T3316,$S$2:$S3315,"&lt;&gt;"&amp;$S3316)-1)))</f>
        <v/>
      </c>
      <c r="Y3316" t="b">
        <f>IF(X3316&lt;&gt;"",VLOOKUP(X3316,game_rosters!$C$43:$E$64,3,FALSE))</f>
        <v>0</v>
      </c>
      <c r="Z3316" t="e" cm="1" vm="1">
        <f t="array" aca="1" ref="Z3316" ca="1">IFERROR(IF(_xlfn._xlws.FILTER(game_rosters!$J:$J,(game_rosters!$G:$G=events!$AN3316)*(game_rosters!$J:$J=events!$X3316))&gt;0,1,""),"")</f>
        <v>#VALUE!</v>
      </c>
      <c r="AA3316">
        <f t="shared" si="287"/>
        <v>1000</v>
      </c>
      <c r="AB3316" t="str">
        <f t="shared" si="288"/>
        <v/>
      </c>
      <c r="AC3316">
        <f t="shared" si="285"/>
        <v>1000</v>
      </c>
      <c r="AD3316" s="6"/>
    </row>
    <row r="3317" spans="1:30" x14ac:dyDescent="0.2">
      <c r="A3317" t="str">
        <f t="shared" si="286"/>
        <v/>
      </c>
      <c r="X3317" t="str" cm="1">
        <f t="array" ref="X3317">IF(S3317="","",IF($I3317&lt;&gt;"",$I3317,INDEX($I$2:$I3316,ROW()-COUNTIFS($T$2:$T3316,"="&amp;$T3317,$S$2:$S3316,"&lt;&gt;"&amp;$S3317)-1)))</f>
        <v/>
      </c>
      <c r="Y3317" t="b">
        <f>IF(X3317&lt;&gt;"",VLOOKUP(X3317,game_rosters!$C$43:$E$64,3,FALSE))</f>
        <v>0</v>
      </c>
      <c r="Z3317" t="e" cm="1" vm="1">
        <f t="array" aca="1" ref="Z3317" ca="1">IFERROR(IF(_xlfn._xlws.FILTER(game_rosters!$J:$J,(game_rosters!$G:$G=events!$AN3317)*(game_rosters!$J:$J=events!$X3317))&gt;0,1,""),"")</f>
        <v>#VALUE!</v>
      </c>
      <c r="AA3317">
        <f t="shared" si="287"/>
        <v>1000</v>
      </c>
      <c r="AB3317" t="str">
        <f t="shared" si="288"/>
        <v/>
      </c>
      <c r="AC3317">
        <f t="shared" si="285"/>
        <v>1000</v>
      </c>
      <c r="AD3317" s="6"/>
    </row>
    <row r="3318" spans="1:30" x14ac:dyDescent="0.2">
      <c r="A3318" t="str">
        <f t="shared" si="286"/>
        <v/>
      </c>
      <c r="X3318" t="str" cm="1">
        <f t="array" ref="X3318">IF(S3318="","",IF($I3318&lt;&gt;"",$I3318,INDEX($I$2:$I3317,ROW()-COUNTIFS($T$2:$T3317,"="&amp;$T3318,$S$2:$S3317,"&lt;&gt;"&amp;$S3318)-1)))</f>
        <v/>
      </c>
      <c r="Y3318" t="b">
        <f>IF(X3318&lt;&gt;"",VLOOKUP(X3318,game_rosters!$C$43:$E$64,3,FALSE))</f>
        <v>0</v>
      </c>
      <c r="Z3318" t="e" cm="1" vm="1">
        <f t="array" aca="1" ref="Z3318" ca="1">IFERROR(IF(_xlfn._xlws.FILTER(game_rosters!$J:$J,(game_rosters!$G:$G=events!$AN3318)*(game_rosters!$J:$J=events!$X3318))&gt;0,1,""),"")</f>
        <v>#VALUE!</v>
      </c>
      <c r="AA3318">
        <f t="shared" si="287"/>
        <v>1000</v>
      </c>
      <c r="AB3318" t="str">
        <f t="shared" si="288"/>
        <v/>
      </c>
      <c r="AC3318">
        <f t="shared" si="285"/>
        <v>1000</v>
      </c>
      <c r="AD3318" s="6"/>
    </row>
    <row r="3319" spans="1:30" x14ac:dyDescent="0.2">
      <c r="A3319" t="str">
        <f t="shared" si="286"/>
        <v/>
      </c>
      <c r="X3319" t="str" cm="1">
        <f t="array" ref="X3319">IF(S3319="","",IF($I3319&lt;&gt;"",$I3319,INDEX($I$2:$I3318,ROW()-COUNTIFS($T$2:$T3318,"="&amp;$T3319,$S$2:$S3318,"&lt;&gt;"&amp;$S3319)-1)))</f>
        <v/>
      </c>
      <c r="Y3319" t="b">
        <f>IF(X3319&lt;&gt;"",VLOOKUP(X3319,game_rosters!$C$43:$E$64,3,FALSE))</f>
        <v>0</v>
      </c>
      <c r="Z3319" t="e" cm="1" vm="1">
        <f t="array" aca="1" ref="Z3319" ca="1">IFERROR(IF(_xlfn._xlws.FILTER(game_rosters!$J:$J,(game_rosters!$G:$G=events!$AN3319)*(game_rosters!$J:$J=events!$X3319))&gt;0,1,""),"")</f>
        <v>#VALUE!</v>
      </c>
      <c r="AA3319">
        <f t="shared" si="287"/>
        <v>1000</v>
      </c>
      <c r="AB3319" t="str">
        <f t="shared" si="288"/>
        <v/>
      </c>
      <c r="AC3319">
        <f t="shared" si="285"/>
        <v>1000</v>
      </c>
      <c r="AD3319" s="6"/>
    </row>
    <row r="3320" spans="1:30" x14ac:dyDescent="0.2">
      <c r="A3320" t="str">
        <f t="shared" si="286"/>
        <v/>
      </c>
      <c r="X3320" t="str" cm="1">
        <f t="array" ref="X3320">IF(S3320="","",IF($I3320&lt;&gt;"",$I3320,INDEX($I$2:$I3319,ROW()-COUNTIFS($T$2:$T3319,"="&amp;$T3320,$S$2:$S3319,"&lt;&gt;"&amp;$S3320)-1)))</f>
        <v/>
      </c>
      <c r="Y3320" t="b">
        <f>IF(X3320&lt;&gt;"",VLOOKUP(X3320,game_rosters!$C$43:$E$64,3,FALSE))</f>
        <v>0</v>
      </c>
      <c r="Z3320" t="e" cm="1" vm="1">
        <f t="array" aca="1" ref="Z3320" ca="1">IFERROR(IF(_xlfn._xlws.FILTER(game_rosters!$J:$J,(game_rosters!$G:$G=events!$AN3320)*(game_rosters!$J:$J=events!$X3320))&gt;0,1,""),"")</f>
        <v>#VALUE!</v>
      </c>
      <c r="AA3320">
        <f t="shared" si="287"/>
        <v>1000</v>
      </c>
      <c r="AB3320" t="str">
        <f t="shared" si="288"/>
        <v/>
      </c>
      <c r="AC3320">
        <f t="shared" si="285"/>
        <v>1000</v>
      </c>
      <c r="AD3320" s="6"/>
    </row>
    <row r="3321" spans="1:30" x14ac:dyDescent="0.2">
      <c r="A3321" t="str">
        <f t="shared" si="286"/>
        <v/>
      </c>
      <c r="X3321" t="str" cm="1">
        <f t="array" ref="X3321">IF(S3321="","",IF($I3321&lt;&gt;"",$I3321,INDEX($I$2:$I3320,ROW()-COUNTIFS($T$2:$T3320,"="&amp;$T3321,$S$2:$S3320,"&lt;&gt;"&amp;$S3321)-1)))</f>
        <v/>
      </c>
      <c r="Y3321" t="b">
        <f>IF(X3321&lt;&gt;"",VLOOKUP(X3321,game_rosters!$C$43:$E$64,3,FALSE))</f>
        <v>0</v>
      </c>
      <c r="Z3321" t="e" cm="1" vm="1">
        <f t="array" aca="1" ref="Z3321" ca="1">IFERROR(IF(_xlfn._xlws.FILTER(game_rosters!$J:$J,(game_rosters!$G:$G=events!$AN3321)*(game_rosters!$J:$J=events!$X3321))&gt;0,1,""),"")</f>
        <v>#VALUE!</v>
      </c>
      <c r="AA3321">
        <f t="shared" si="287"/>
        <v>1000</v>
      </c>
      <c r="AB3321" t="str">
        <f t="shared" si="288"/>
        <v/>
      </c>
      <c r="AC3321">
        <f t="shared" si="285"/>
        <v>1000</v>
      </c>
      <c r="AD3321" s="6"/>
    </row>
    <row r="3322" spans="1:30" x14ac:dyDescent="0.2">
      <c r="A3322" t="str">
        <f t="shared" si="286"/>
        <v/>
      </c>
      <c r="X3322" t="str" cm="1">
        <f t="array" ref="X3322">IF(S3322="","",IF($I3322&lt;&gt;"",$I3322,INDEX($I$2:$I3321,ROW()-COUNTIFS($T$2:$T3321,"="&amp;$T3322,$S$2:$S3321,"&lt;&gt;"&amp;$S3322)-1)))</f>
        <v/>
      </c>
      <c r="Y3322" t="b">
        <f>IF(X3322&lt;&gt;"",VLOOKUP(X3322,game_rosters!$C$43:$E$64,3,FALSE))</f>
        <v>0</v>
      </c>
      <c r="Z3322" t="e" cm="1" vm="1">
        <f t="array" aca="1" ref="Z3322" ca="1">IFERROR(IF(_xlfn._xlws.FILTER(game_rosters!$J:$J,(game_rosters!$G:$G=events!$AN3322)*(game_rosters!$J:$J=events!$X3322))&gt;0,1,""),"")</f>
        <v>#VALUE!</v>
      </c>
      <c r="AA3322">
        <f t="shared" si="287"/>
        <v>1000</v>
      </c>
      <c r="AB3322" t="str">
        <f t="shared" si="288"/>
        <v/>
      </c>
      <c r="AC3322">
        <f t="shared" si="285"/>
        <v>1000</v>
      </c>
      <c r="AD3322" s="6"/>
    </row>
    <row r="3323" spans="1:30" x14ac:dyDescent="0.2">
      <c r="A3323" t="str">
        <f t="shared" si="286"/>
        <v/>
      </c>
      <c r="X3323" t="str" cm="1">
        <f t="array" ref="X3323">IF(S3323="","",IF($I3323&lt;&gt;"",$I3323,INDEX($I$2:$I3322,ROW()-COUNTIFS($T$2:$T3322,"="&amp;$T3323,$S$2:$S3322,"&lt;&gt;"&amp;$S3323)-1)))</f>
        <v/>
      </c>
      <c r="Y3323" t="b">
        <f>IF(X3323&lt;&gt;"",VLOOKUP(X3323,game_rosters!$C$43:$E$64,3,FALSE))</f>
        <v>0</v>
      </c>
      <c r="Z3323" t="e" cm="1" vm="1">
        <f t="array" aca="1" ref="Z3323" ca="1">IFERROR(IF(_xlfn._xlws.FILTER(game_rosters!$J:$J,(game_rosters!$G:$G=events!$AN3323)*(game_rosters!$J:$J=events!$X3323))&gt;0,1,""),"")</f>
        <v>#VALUE!</v>
      </c>
      <c r="AA3323">
        <f t="shared" si="287"/>
        <v>1000</v>
      </c>
      <c r="AB3323" t="str">
        <f t="shared" si="288"/>
        <v/>
      </c>
      <c r="AC3323">
        <f t="shared" si="285"/>
        <v>1000</v>
      </c>
      <c r="AD3323" s="6"/>
    </row>
    <row r="3324" spans="1:30" x14ac:dyDescent="0.2">
      <c r="A3324" t="str">
        <f t="shared" si="286"/>
        <v/>
      </c>
      <c r="X3324" t="str" cm="1">
        <f t="array" ref="X3324">IF(S3324="","",IF($I3324&lt;&gt;"",$I3324,INDEX($I$2:$I3323,ROW()-COUNTIFS($T$2:$T3323,"="&amp;$T3324,$S$2:$S3323,"&lt;&gt;"&amp;$S3324)-1)))</f>
        <v/>
      </c>
      <c r="Y3324" t="b">
        <f>IF(X3324&lt;&gt;"",VLOOKUP(X3324,game_rosters!$C$43:$E$64,3,FALSE))</f>
        <v>0</v>
      </c>
      <c r="Z3324" t="e" cm="1" vm="1">
        <f t="array" aca="1" ref="Z3324" ca="1">IFERROR(IF(_xlfn._xlws.FILTER(game_rosters!$J:$J,(game_rosters!$G:$G=events!$AN3324)*(game_rosters!$J:$J=events!$X3324))&gt;0,1,""),"")</f>
        <v>#VALUE!</v>
      </c>
      <c r="AA3324">
        <f t="shared" si="287"/>
        <v>1000</v>
      </c>
      <c r="AB3324" t="str">
        <f t="shared" si="288"/>
        <v/>
      </c>
      <c r="AC3324">
        <f t="shared" si="285"/>
        <v>1000</v>
      </c>
      <c r="AD3324" s="6"/>
    </row>
    <row r="3325" spans="1:30" x14ac:dyDescent="0.2">
      <c r="A3325" t="str">
        <f t="shared" si="286"/>
        <v/>
      </c>
      <c r="X3325" t="str" cm="1">
        <f t="array" ref="X3325">IF(S3325="","",IF($I3325&lt;&gt;"",$I3325,INDEX($I$2:$I3324,ROW()-COUNTIFS($T$2:$T3324,"="&amp;$T3325,$S$2:$S3324,"&lt;&gt;"&amp;$S3325)-1)))</f>
        <v/>
      </c>
      <c r="Y3325" t="b">
        <f>IF(X3325&lt;&gt;"",VLOOKUP(X3325,game_rosters!$C$43:$E$64,3,FALSE))</f>
        <v>0</v>
      </c>
      <c r="Z3325" t="e" cm="1" vm="1">
        <f t="array" aca="1" ref="Z3325" ca="1">IFERROR(IF(_xlfn._xlws.FILTER(game_rosters!$J:$J,(game_rosters!$G:$G=events!$AN3325)*(game_rosters!$J:$J=events!$X3325))&gt;0,1,""),"")</f>
        <v>#VALUE!</v>
      </c>
      <c r="AA3325">
        <f t="shared" si="287"/>
        <v>1000</v>
      </c>
      <c r="AB3325" t="str">
        <f t="shared" si="288"/>
        <v/>
      </c>
      <c r="AC3325">
        <f t="shared" si="285"/>
        <v>1000</v>
      </c>
      <c r="AD3325" s="6"/>
    </row>
    <row r="3326" spans="1:30" x14ac:dyDescent="0.2">
      <c r="A3326" t="str">
        <f t="shared" si="286"/>
        <v/>
      </c>
      <c r="X3326" t="str" cm="1">
        <f t="array" ref="X3326">IF(S3326="","",IF($I3326&lt;&gt;"",$I3326,INDEX($I$2:$I3325,ROW()-COUNTIFS($T$2:$T3325,"="&amp;$T3326,$S$2:$S3325,"&lt;&gt;"&amp;$S3326)-1)))</f>
        <v/>
      </c>
      <c r="Y3326" t="b">
        <f>IF(X3326&lt;&gt;"",VLOOKUP(X3326,game_rosters!$C$43:$E$64,3,FALSE))</f>
        <v>0</v>
      </c>
      <c r="Z3326" t="e" cm="1" vm="1">
        <f t="array" aca="1" ref="Z3326" ca="1">IFERROR(IF(_xlfn._xlws.FILTER(game_rosters!$J:$J,(game_rosters!$G:$G=events!$AN3326)*(game_rosters!$J:$J=events!$X3326))&gt;0,1,""),"")</f>
        <v>#VALUE!</v>
      </c>
      <c r="AA3326">
        <f t="shared" si="287"/>
        <v>1000</v>
      </c>
      <c r="AB3326" t="str">
        <f t="shared" si="288"/>
        <v/>
      </c>
      <c r="AC3326">
        <f t="shared" si="285"/>
        <v>1000</v>
      </c>
      <c r="AD3326" s="6"/>
    </row>
    <row r="3327" spans="1:30" x14ac:dyDescent="0.2">
      <c r="A3327" t="str">
        <f t="shared" si="286"/>
        <v/>
      </c>
      <c r="X3327" t="str" cm="1">
        <f t="array" ref="X3327">IF(S3327="","",IF($I3327&lt;&gt;"",$I3327,INDEX($I$2:$I3326,ROW()-COUNTIFS($T$2:$T3326,"="&amp;$T3327,$S$2:$S3326,"&lt;&gt;"&amp;$S3327)-1)))</f>
        <v/>
      </c>
      <c r="Y3327" t="b">
        <f>IF(X3327&lt;&gt;"",VLOOKUP(X3327,game_rosters!$C$43:$E$64,3,FALSE))</f>
        <v>0</v>
      </c>
      <c r="Z3327" t="e" cm="1" vm="1">
        <f t="array" aca="1" ref="Z3327" ca="1">IFERROR(IF(_xlfn._xlws.FILTER(game_rosters!$J:$J,(game_rosters!$G:$G=events!$AN3327)*(game_rosters!$J:$J=events!$X3327))&gt;0,1,""),"")</f>
        <v>#VALUE!</v>
      </c>
      <c r="AA3327">
        <f t="shared" si="287"/>
        <v>1000</v>
      </c>
      <c r="AB3327" t="str">
        <f t="shared" si="288"/>
        <v/>
      </c>
      <c r="AC3327">
        <f t="shared" si="285"/>
        <v>1000</v>
      </c>
      <c r="AD3327" s="6"/>
    </row>
    <row r="3328" spans="1:30" x14ac:dyDescent="0.2">
      <c r="A3328" t="str">
        <f t="shared" si="286"/>
        <v/>
      </c>
      <c r="X3328" t="str" cm="1">
        <f t="array" ref="X3328">IF(S3328="","",IF($I3328&lt;&gt;"",$I3328,INDEX($I$2:$I3327,ROW()-COUNTIFS($T$2:$T3327,"="&amp;$T3328,$S$2:$S3327,"&lt;&gt;"&amp;$S3328)-1)))</f>
        <v/>
      </c>
      <c r="Y3328" t="b">
        <f>IF(X3328&lt;&gt;"",VLOOKUP(X3328,game_rosters!$C$43:$E$64,3,FALSE))</f>
        <v>0</v>
      </c>
      <c r="Z3328" t="e" cm="1" vm="1">
        <f t="array" aca="1" ref="Z3328" ca="1">IFERROR(IF(_xlfn._xlws.FILTER(game_rosters!$J:$J,(game_rosters!$G:$G=events!$AN3328)*(game_rosters!$J:$J=events!$X3328))&gt;0,1,""),"")</f>
        <v>#VALUE!</v>
      </c>
      <c r="AA3328">
        <f t="shared" si="287"/>
        <v>1000</v>
      </c>
      <c r="AB3328" t="str">
        <f t="shared" si="288"/>
        <v/>
      </c>
      <c r="AC3328">
        <f t="shared" si="285"/>
        <v>1000</v>
      </c>
      <c r="AD3328" s="6"/>
    </row>
    <row r="3329" spans="1:30" x14ac:dyDescent="0.2">
      <c r="A3329" t="str">
        <f t="shared" si="286"/>
        <v/>
      </c>
      <c r="X3329" t="str" cm="1">
        <f t="array" ref="X3329">IF(S3329="","",IF($I3329&lt;&gt;"",$I3329,INDEX($I$2:$I3328,ROW()-COUNTIFS($T$2:$T3328,"="&amp;$T3329,$S$2:$S3328,"&lt;&gt;"&amp;$S3329)-1)))</f>
        <v/>
      </c>
      <c r="Y3329" t="b">
        <f>IF(X3329&lt;&gt;"",VLOOKUP(X3329,game_rosters!$C$43:$E$64,3,FALSE))</f>
        <v>0</v>
      </c>
      <c r="Z3329" t="e" cm="1" vm="1">
        <f t="array" aca="1" ref="Z3329" ca="1">IFERROR(IF(_xlfn._xlws.FILTER(game_rosters!$J:$J,(game_rosters!$G:$G=events!$AN3329)*(game_rosters!$J:$J=events!$X3329))&gt;0,1,""),"")</f>
        <v>#VALUE!</v>
      </c>
      <c r="AA3329">
        <f t="shared" si="287"/>
        <v>1000</v>
      </c>
      <c r="AB3329" t="str">
        <f t="shared" si="288"/>
        <v/>
      </c>
      <c r="AC3329">
        <f t="shared" si="285"/>
        <v>1000</v>
      </c>
      <c r="AD3329" s="6"/>
    </row>
    <row r="3330" spans="1:30" x14ac:dyDescent="0.2">
      <c r="A3330" t="str">
        <f t="shared" si="286"/>
        <v/>
      </c>
      <c r="X3330" t="str" cm="1">
        <f t="array" ref="X3330">IF(S3330="","",IF($I3330&lt;&gt;"",$I3330,INDEX($I$2:$I3329,ROW()-COUNTIFS($T$2:$T3329,"="&amp;$T3330,$S$2:$S3329,"&lt;&gt;"&amp;$S3330)-1)))</f>
        <v/>
      </c>
      <c r="Y3330" t="b">
        <f>IF(X3330&lt;&gt;"",VLOOKUP(X3330,game_rosters!$C$43:$E$64,3,FALSE))</f>
        <v>0</v>
      </c>
      <c r="Z3330" t="e" cm="1" vm="1">
        <f t="array" aca="1" ref="Z3330" ca="1">IFERROR(IF(_xlfn._xlws.FILTER(game_rosters!$J:$J,(game_rosters!$G:$G=events!$AN3330)*(game_rosters!$J:$J=events!$X3330))&gt;0,1,""),"")</f>
        <v>#VALUE!</v>
      </c>
      <c r="AA3330">
        <f t="shared" si="287"/>
        <v>1000</v>
      </c>
      <c r="AB3330" t="str">
        <f t="shared" si="288"/>
        <v/>
      </c>
      <c r="AC3330">
        <f t="shared" ref="AC3330:AC3393" si="289">IF(AB3330&lt;&gt;"",AB3330,S3330+1000)</f>
        <v>1000</v>
      </c>
      <c r="AD3330" s="6"/>
    </row>
    <row r="3331" spans="1:30" x14ac:dyDescent="0.2">
      <c r="A3331" t="str">
        <f t="shared" si="286"/>
        <v/>
      </c>
      <c r="X3331" t="str" cm="1">
        <f t="array" ref="X3331">IF(S3331="","",IF($I3331&lt;&gt;"",$I3331,INDEX($I$2:$I3330,ROW()-COUNTIFS($T$2:$T3330,"="&amp;$T3331,$S$2:$S3330,"&lt;&gt;"&amp;$S3331)-1)))</f>
        <v/>
      </c>
      <c r="Y3331" t="b">
        <f>IF(X3331&lt;&gt;"",VLOOKUP(X3331,game_rosters!$C$43:$E$64,3,FALSE))</f>
        <v>0</v>
      </c>
      <c r="Z3331" t="e" cm="1" vm="1">
        <f t="array" aca="1" ref="Z3331" ca="1">IFERROR(IF(_xlfn._xlws.FILTER(game_rosters!$J:$J,(game_rosters!$G:$G=events!$AN3331)*(game_rosters!$J:$J=events!$X3331))&gt;0,1,""),"")</f>
        <v>#VALUE!</v>
      </c>
      <c r="AA3331">
        <f t="shared" si="287"/>
        <v>1000</v>
      </c>
      <c r="AB3331" t="str">
        <f t="shared" si="288"/>
        <v/>
      </c>
      <c r="AC3331">
        <f t="shared" si="289"/>
        <v>1000</v>
      </c>
      <c r="AD3331" s="6"/>
    </row>
    <row r="3332" spans="1:30" x14ac:dyDescent="0.2">
      <c r="A3332" t="str">
        <f t="shared" si="286"/>
        <v/>
      </c>
      <c r="X3332" t="str" cm="1">
        <f t="array" ref="X3332">IF(S3332="","",IF($I3332&lt;&gt;"",$I3332,INDEX($I$2:$I3331,ROW()-COUNTIFS($T$2:$T3331,"="&amp;$T3332,$S$2:$S3331,"&lt;&gt;"&amp;$S3332)-1)))</f>
        <v/>
      </c>
      <c r="Y3332" t="b">
        <f>IF(X3332&lt;&gt;"",VLOOKUP(X3332,game_rosters!$C$43:$E$64,3,FALSE))</f>
        <v>0</v>
      </c>
      <c r="Z3332" t="e" cm="1" vm="1">
        <f t="array" aca="1" ref="Z3332" ca="1">IFERROR(IF(_xlfn._xlws.FILTER(game_rosters!$J:$J,(game_rosters!$G:$G=events!$AN3332)*(game_rosters!$J:$J=events!$X3332))&gt;0,1,""),"")</f>
        <v>#VALUE!</v>
      </c>
      <c r="AA3332">
        <f t="shared" si="287"/>
        <v>1000</v>
      </c>
      <c r="AB3332" t="str">
        <f t="shared" si="288"/>
        <v/>
      </c>
      <c r="AC3332">
        <f t="shared" si="289"/>
        <v>1000</v>
      </c>
      <c r="AD3332" s="6"/>
    </row>
    <row r="3333" spans="1:30" x14ac:dyDescent="0.2">
      <c r="A3333" t="str">
        <f t="shared" ref="A3333:A3396" si="290">IF(K3333&lt;&gt;"",1,IF(D3333="x","x",""))</f>
        <v/>
      </c>
      <c r="X3333" t="str" cm="1">
        <f t="array" ref="X3333">IF(S3333="","",IF($I3333&lt;&gt;"",$I3333,INDEX($I$2:$I3332,ROW()-COUNTIFS($T$2:$T3332,"="&amp;$T3333,$S$2:$S3332,"&lt;&gt;"&amp;$S3333)-1)))</f>
        <v/>
      </c>
      <c r="Y3333" t="b">
        <f>IF(X3333&lt;&gt;"",VLOOKUP(X3333,game_rosters!$C$43:$E$64,3,FALSE))</f>
        <v>0</v>
      </c>
      <c r="Z3333" t="e" cm="1" vm="1">
        <f t="array" aca="1" ref="Z3333" ca="1">IFERROR(IF(_xlfn._xlws.FILTER(game_rosters!$J:$J,(game_rosters!$G:$G=events!$AN3333)*(game_rosters!$J:$J=events!$X3333))&gt;0,1,""),"")</f>
        <v>#VALUE!</v>
      </c>
      <c r="AA3333">
        <f t="shared" si="287"/>
        <v>1000</v>
      </c>
      <c r="AB3333" t="str">
        <f t="shared" si="288"/>
        <v/>
      </c>
      <c r="AC3333">
        <f t="shared" si="289"/>
        <v>1000</v>
      </c>
      <c r="AD3333" s="6"/>
    </row>
    <row r="3334" spans="1:30" x14ac:dyDescent="0.2">
      <c r="A3334" t="str">
        <f t="shared" si="290"/>
        <v/>
      </c>
      <c r="X3334" t="str" cm="1">
        <f t="array" ref="X3334">IF(S3334="","",IF($I3334&lt;&gt;"",$I3334,INDEX($I$2:$I3333,ROW()-COUNTIFS($T$2:$T3333,"="&amp;$T3334,$S$2:$S3333,"&lt;&gt;"&amp;$S3334)-1)))</f>
        <v/>
      </c>
      <c r="Y3334" t="b">
        <f>IF(X3334&lt;&gt;"",VLOOKUP(X3334,game_rosters!$C$43:$E$64,3,FALSE))</f>
        <v>0</v>
      </c>
      <c r="Z3334" t="e" cm="1" vm="1">
        <f t="array" aca="1" ref="Z3334" ca="1">IFERROR(IF(_xlfn._xlws.FILTER(game_rosters!$J:$J,(game_rosters!$G:$G=events!$AN3334)*(game_rosters!$J:$J=events!$X3334))&gt;0,1,""),"")</f>
        <v>#VALUE!</v>
      </c>
      <c r="AA3334">
        <f t="shared" si="287"/>
        <v>1000</v>
      </c>
      <c r="AB3334" t="str">
        <f t="shared" si="288"/>
        <v/>
      </c>
      <c r="AC3334">
        <f t="shared" si="289"/>
        <v>1000</v>
      </c>
      <c r="AD3334" s="6"/>
    </row>
    <row r="3335" spans="1:30" x14ac:dyDescent="0.2">
      <c r="A3335" t="str">
        <f t="shared" si="290"/>
        <v/>
      </c>
      <c r="X3335" t="str" cm="1">
        <f t="array" ref="X3335">IF(S3335="","",IF($I3335&lt;&gt;"",$I3335,INDEX($I$2:$I3334,ROW()-COUNTIFS($T$2:$T3334,"="&amp;$T3335,$S$2:$S3334,"&lt;&gt;"&amp;$S3335)-1)))</f>
        <v/>
      </c>
      <c r="Y3335" t="b">
        <f>IF(X3335&lt;&gt;"",VLOOKUP(X3335,game_rosters!$C$43:$E$64,3,FALSE))</f>
        <v>0</v>
      </c>
      <c r="Z3335" t="e" cm="1" vm="1">
        <f t="array" aca="1" ref="Z3335" ca="1">IFERROR(IF(_xlfn._xlws.FILTER(game_rosters!$J:$J,(game_rosters!$G:$G=events!$AN3335)*(game_rosters!$J:$J=events!$X3335))&gt;0,1,""),"")</f>
        <v>#VALUE!</v>
      </c>
      <c r="AA3335">
        <f t="shared" si="287"/>
        <v>1000</v>
      </c>
      <c r="AB3335" t="str">
        <f t="shared" si="288"/>
        <v/>
      </c>
      <c r="AC3335">
        <f t="shared" si="289"/>
        <v>1000</v>
      </c>
      <c r="AD3335" s="6"/>
    </row>
    <row r="3336" spans="1:30" x14ac:dyDescent="0.2">
      <c r="A3336" t="str">
        <f t="shared" si="290"/>
        <v/>
      </c>
      <c r="X3336" t="str" cm="1">
        <f t="array" ref="X3336">IF(S3336="","",IF($I3336&lt;&gt;"",$I3336,INDEX($I$2:$I3335,ROW()-COUNTIFS($T$2:$T3335,"="&amp;$T3336,$S$2:$S3335,"&lt;&gt;"&amp;$S3336)-1)))</f>
        <v/>
      </c>
      <c r="Y3336" t="b">
        <f>IF(X3336&lt;&gt;"",VLOOKUP(X3336,game_rosters!$C$43:$E$64,3,FALSE))</f>
        <v>0</v>
      </c>
      <c r="Z3336" t="e" cm="1" vm="1">
        <f t="array" aca="1" ref="Z3336" ca="1">IFERROR(IF(_xlfn._xlws.FILTER(game_rosters!$J:$J,(game_rosters!$G:$G=events!$AN3336)*(game_rosters!$J:$J=events!$X3336))&gt;0,1,""),"")</f>
        <v>#VALUE!</v>
      </c>
      <c r="AA3336">
        <f t="shared" si="287"/>
        <v>1000</v>
      </c>
      <c r="AB3336" t="str">
        <f t="shared" si="288"/>
        <v/>
      </c>
      <c r="AC3336">
        <f t="shared" si="289"/>
        <v>1000</v>
      </c>
      <c r="AD3336" s="6"/>
    </row>
    <row r="3337" spans="1:30" x14ac:dyDescent="0.2">
      <c r="A3337" t="str">
        <f t="shared" si="290"/>
        <v/>
      </c>
      <c r="X3337" t="str" cm="1">
        <f t="array" ref="X3337">IF(S3337="","",IF($I3337&lt;&gt;"",$I3337,INDEX($I$2:$I3336,ROW()-COUNTIFS($T$2:$T3336,"="&amp;$T3337,$S$2:$S3336,"&lt;&gt;"&amp;$S3337)-1)))</f>
        <v/>
      </c>
      <c r="Y3337" t="b">
        <f>IF(X3337&lt;&gt;"",VLOOKUP(X3337,game_rosters!$C$43:$E$64,3,FALSE))</f>
        <v>0</v>
      </c>
      <c r="Z3337" t="e" cm="1" vm="1">
        <f t="array" aca="1" ref="Z3337" ca="1">IFERROR(IF(_xlfn._xlws.FILTER(game_rosters!$J:$J,(game_rosters!$G:$G=events!$AN3337)*(game_rosters!$J:$J=events!$X3337))&gt;0,1,""),"")</f>
        <v>#VALUE!</v>
      </c>
      <c r="AA3337">
        <f t="shared" si="287"/>
        <v>1000</v>
      </c>
      <c r="AB3337" t="str">
        <f t="shared" si="288"/>
        <v/>
      </c>
      <c r="AC3337">
        <f t="shared" si="289"/>
        <v>1000</v>
      </c>
      <c r="AD3337" s="6"/>
    </row>
    <row r="3338" spans="1:30" x14ac:dyDescent="0.2">
      <c r="A3338" t="str">
        <f t="shared" si="290"/>
        <v/>
      </c>
      <c r="X3338" t="str" cm="1">
        <f t="array" ref="X3338">IF(S3338="","",IF($I3338&lt;&gt;"",$I3338,INDEX($I$2:$I3337,ROW()-COUNTIFS($T$2:$T3337,"="&amp;$T3338,$S$2:$S3337,"&lt;&gt;"&amp;$S3338)-1)))</f>
        <v/>
      </c>
      <c r="Y3338" t="b">
        <f>IF(X3338&lt;&gt;"",VLOOKUP(X3338,game_rosters!$C$43:$E$64,3,FALSE))</f>
        <v>0</v>
      </c>
      <c r="Z3338" t="e" cm="1" vm="1">
        <f t="array" aca="1" ref="Z3338" ca="1">IFERROR(IF(_xlfn._xlws.FILTER(game_rosters!$J:$J,(game_rosters!$G:$G=events!$AN3338)*(game_rosters!$J:$J=events!$X3338))&gt;0,1,""),"")</f>
        <v>#VALUE!</v>
      </c>
      <c r="AA3338">
        <f t="shared" si="287"/>
        <v>1000</v>
      </c>
      <c r="AB3338" t="str">
        <f t="shared" si="288"/>
        <v/>
      </c>
      <c r="AC3338">
        <f t="shared" si="289"/>
        <v>1000</v>
      </c>
      <c r="AD3338" s="6"/>
    </row>
    <row r="3339" spans="1:30" x14ac:dyDescent="0.2">
      <c r="A3339" t="str">
        <f t="shared" si="290"/>
        <v/>
      </c>
      <c r="X3339" t="str" cm="1">
        <f t="array" ref="X3339">IF(S3339="","",IF($I3339&lt;&gt;"",$I3339,INDEX($I$2:$I3338,ROW()-COUNTIFS($T$2:$T3338,"="&amp;$T3339,$S$2:$S3338,"&lt;&gt;"&amp;$S3339)-1)))</f>
        <v/>
      </c>
      <c r="Y3339" t="b">
        <f>IF(X3339&lt;&gt;"",VLOOKUP(X3339,game_rosters!$C$43:$E$64,3,FALSE))</f>
        <v>0</v>
      </c>
      <c r="Z3339" t="e" cm="1" vm="1">
        <f t="array" aca="1" ref="Z3339" ca="1">IFERROR(IF(_xlfn._xlws.FILTER(game_rosters!$J:$J,(game_rosters!$G:$G=events!$AN3339)*(game_rosters!$J:$J=events!$X3339))&gt;0,1,""),"")</f>
        <v>#VALUE!</v>
      </c>
      <c r="AA3339">
        <f t="shared" si="287"/>
        <v>1000</v>
      </c>
      <c r="AB3339" t="str">
        <f t="shared" si="288"/>
        <v/>
      </c>
      <c r="AC3339">
        <f t="shared" si="289"/>
        <v>1000</v>
      </c>
      <c r="AD3339" s="6"/>
    </row>
    <row r="3340" spans="1:30" x14ac:dyDescent="0.2">
      <c r="A3340" t="str">
        <f t="shared" si="290"/>
        <v/>
      </c>
      <c r="X3340" t="str" cm="1">
        <f t="array" ref="X3340">IF(S3340="","",IF($I3340&lt;&gt;"",$I3340,INDEX($I$2:$I3339,ROW()-COUNTIFS($T$2:$T3339,"="&amp;$T3340,$S$2:$S3339,"&lt;&gt;"&amp;$S3340)-1)))</f>
        <v/>
      </c>
      <c r="Y3340" t="b">
        <f>IF(X3340&lt;&gt;"",VLOOKUP(X3340,game_rosters!$C$43:$E$64,3,FALSE))</f>
        <v>0</v>
      </c>
      <c r="Z3340" t="e" cm="1" vm="1">
        <f t="array" aca="1" ref="Z3340" ca="1">IFERROR(IF(_xlfn._xlws.FILTER(game_rosters!$J:$J,(game_rosters!$G:$G=events!$AN3340)*(game_rosters!$J:$J=events!$X3340))&gt;0,1,""),"")</f>
        <v>#VALUE!</v>
      </c>
      <c r="AA3340">
        <f t="shared" si="287"/>
        <v>1000</v>
      </c>
      <c r="AB3340" t="str">
        <f t="shared" si="288"/>
        <v/>
      </c>
      <c r="AC3340">
        <f t="shared" si="289"/>
        <v>1000</v>
      </c>
      <c r="AD3340" s="6"/>
    </row>
    <row r="3341" spans="1:30" x14ac:dyDescent="0.2">
      <c r="A3341" t="str">
        <f t="shared" si="290"/>
        <v/>
      </c>
      <c r="X3341" t="str" cm="1">
        <f t="array" ref="X3341">IF(S3341="","",IF($I3341&lt;&gt;"",$I3341,INDEX($I$2:$I3340,ROW()-COUNTIFS($T$2:$T3340,"="&amp;$T3341,$S$2:$S3340,"&lt;&gt;"&amp;$S3341)-1)))</f>
        <v/>
      </c>
      <c r="Y3341" t="b">
        <f>IF(X3341&lt;&gt;"",VLOOKUP(X3341,game_rosters!$C$43:$E$64,3,FALSE))</f>
        <v>0</v>
      </c>
      <c r="Z3341" t="e" cm="1" vm="1">
        <f t="array" aca="1" ref="Z3341" ca="1">IFERROR(IF(_xlfn._xlws.FILTER(game_rosters!$J:$J,(game_rosters!$G:$G=events!$AN3341)*(game_rosters!$J:$J=events!$X3341))&gt;0,1,""),"")</f>
        <v>#VALUE!</v>
      </c>
      <c r="AA3341">
        <f t="shared" si="287"/>
        <v>1000</v>
      </c>
      <c r="AB3341" t="str">
        <f t="shared" si="288"/>
        <v/>
      </c>
      <c r="AC3341">
        <f t="shared" si="289"/>
        <v>1000</v>
      </c>
      <c r="AD3341" s="6"/>
    </row>
    <row r="3342" spans="1:30" x14ac:dyDescent="0.2">
      <c r="A3342" t="str">
        <f t="shared" si="290"/>
        <v/>
      </c>
      <c r="X3342" t="str" cm="1">
        <f t="array" ref="X3342">IF(S3342="","",IF($I3342&lt;&gt;"",$I3342,INDEX($I$2:$I3341,ROW()-COUNTIFS($T$2:$T3341,"="&amp;$T3342,$S$2:$S3341,"&lt;&gt;"&amp;$S3342)-1)))</f>
        <v/>
      </c>
      <c r="Y3342" t="b">
        <f>IF(X3342&lt;&gt;"",VLOOKUP(X3342,game_rosters!$C$43:$E$64,3,FALSE))</f>
        <v>0</v>
      </c>
      <c r="Z3342" t="e" cm="1" vm="1">
        <f t="array" aca="1" ref="Z3342" ca="1">IFERROR(IF(_xlfn._xlws.FILTER(game_rosters!$J:$J,(game_rosters!$G:$G=events!$AN3342)*(game_rosters!$J:$J=events!$X3342))&gt;0,1,""),"")</f>
        <v>#VALUE!</v>
      </c>
      <c r="AA3342">
        <f t="shared" si="287"/>
        <v>1000</v>
      </c>
      <c r="AB3342" t="str">
        <f t="shared" si="288"/>
        <v/>
      </c>
      <c r="AC3342">
        <f t="shared" si="289"/>
        <v>1000</v>
      </c>
      <c r="AD3342" s="6"/>
    </row>
    <row r="3343" spans="1:30" x14ac:dyDescent="0.2">
      <c r="A3343" t="str">
        <f t="shared" si="290"/>
        <v/>
      </c>
      <c r="X3343" t="str" cm="1">
        <f t="array" ref="X3343">IF(S3343="","",IF($I3343&lt;&gt;"",$I3343,INDEX($I$2:$I3342,ROW()-COUNTIFS($T$2:$T3342,"="&amp;$T3343,$S$2:$S3342,"&lt;&gt;"&amp;$S3343)-1)))</f>
        <v/>
      </c>
      <c r="Y3343" t="b">
        <f>IF(X3343&lt;&gt;"",VLOOKUP(X3343,game_rosters!$C$43:$E$64,3,FALSE))</f>
        <v>0</v>
      </c>
      <c r="Z3343" t="e" cm="1" vm="1">
        <f t="array" aca="1" ref="Z3343" ca="1">IFERROR(IF(_xlfn._xlws.FILTER(game_rosters!$J:$J,(game_rosters!$G:$G=events!$AN3343)*(game_rosters!$J:$J=events!$X3343))&gt;0,1,""),"")</f>
        <v>#VALUE!</v>
      </c>
      <c r="AA3343">
        <f t="shared" si="287"/>
        <v>1000</v>
      </c>
      <c r="AB3343" t="str">
        <f t="shared" si="288"/>
        <v/>
      </c>
      <c r="AC3343">
        <f t="shared" si="289"/>
        <v>1000</v>
      </c>
      <c r="AD3343" s="6"/>
    </row>
    <row r="3344" spans="1:30" x14ac:dyDescent="0.2">
      <c r="A3344" t="str">
        <f t="shared" si="290"/>
        <v/>
      </c>
      <c r="X3344" t="str" cm="1">
        <f t="array" ref="X3344">IF(S3344="","",IF($I3344&lt;&gt;"",$I3344,INDEX($I$2:$I3343,ROW()-COUNTIFS($T$2:$T3343,"="&amp;$T3344,$S$2:$S3343,"&lt;&gt;"&amp;$S3344)-1)))</f>
        <v/>
      </c>
      <c r="Y3344" t="b">
        <f>IF(X3344&lt;&gt;"",VLOOKUP(X3344,game_rosters!$C$43:$E$64,3,FALSE))</f>
        <v>0</v>
      </c>
      <c r="Z3344" t="e" cm="1" vm="1">
        <f t="array" aca="1" ref="Z3344" ca="1">IFERROR(IF(_xlfn._xlws.FILTER(game_rosters!$J:$J,(game_rosters!$G:$G=events!$AN3344)*(game_rosters!$J:$J=events!$X3344))&gt;0,1,""),"")</f>
        <v>#VALUE!</v>
      </c>
      <c r="AA3344">
        <f t="shared" si="287"/>
        <v>1000</v>
      </c>
      <c r="AB3344" t="str">
        <f t="shared" si="288"/>
        <v/>
      </c>
      <c r="AC3344">
        <f t="shared" si="289"/>
        <v>1000</v>
      </c>
      <c r="AD3344" s="6"/>
    </row>
    <row r="3345" spans="1:30" x14ac:dyDescent="0.2">
      <c r="A3345" t="str">
        <f t="shared" si="290"/>
        <v/>
      </c>
      <c r="X3345" t="str" cm="1">
        <f t="array" ref="X3345">IF(S3345="","",IF($I3345&lt;&gt;"",$I3345,INDEX($I$2:$I3344,ROW()-COUNTIFS($T$2:$T3344,"="&amp;$T3345,$S$2:$S3344,"&lt;&gt;"&amp;$S3345)-1)))</f>
        <v/>
      </c>
      <c r="Y3345" t="b">
        <f>IF(X3345&lt;&gt;"",VLOOKUP(X3345,game_rosters!$C$43:$E$64,3,FALSE))</f>
        <v>0</v>
      </c>
      <c r="Z3345" t="e" cm="1" vm="1">
        <f t="array" aca="1" ref="Z3345" ca="1">IFERROR(IF(_xlfn._xlws.FILTER(game_rosters!$J:$J,(game_rosters!$G:$G=events!$AN3345)*(game_rosters!$J:$J=events!$X3345))&gt;0,1,""),"")</f>
        <v>#VALUE!</v>
      </c>
      <c r="AA3345">
        <f t="shared" si="287"/>
        <v>1000</v>
      </c>
      <c r="AB3345" t="str">
        <f t="shared" si="288"/>
        <v/>
      </c>
      <c r="AC3345">
        <f t="shared" si="289"/>
        <v>1000</v>
      </c>
      <c r="AD3345" s="6"/>
    </row>
    <row r="3346" spans="1:30" x14ac:dyDescent="0.2">
      <c r="A3346" t="str">
        <f t="shared" si="290"/>
        <v/>
      </c>
      <c r="X3346" t="str" cm="1">
        <f t="array" ref="X3346">IF(S3346="","",IF($I3346&lt;&gt;"",$I3346,INDEX($I$2:$I3345,ROW()-COUNTIFS($T$2:$T3345,"="&amp;$T3346,$S$2:$S3345,"&lt;&gt;"&amp;$S3346)-1)))</f>
        <v/>
      </c>
      <c r="Y3346" t="b">
        <f>IF(X3346&lt;&gt;"",VLOOKUP(X3346,game_rosters!$C$43:$E$64,3,FALSE))</f>
        <v>0</v>
      </c>
      <c r="Z3346" t="e" cm="1" vm="1">
        <f t="array" aca="1" ref="Z3346" ca="1">IFERROR(IF(_xlfn._xlws.FILTER(game_rosters!$J:$J,(game_rosters!$G:$G=events!$AN3346)*(game_rosters!$J:$J=events!$X3346))&gt;0,1,""),"")</f>
        <v>#VALUE!</v>
      </c>
      <c r="AA3346">
        <f t="shared" si="287"/>
        <v>1000</v>
      </c>
      <c r="AB3346" t="str">
        <f t="shared" si="288"/>
        <v/>
      </c>
      <c r="AC3346">
        <f t="shared" si="289"/>
        <v>1000</v>
      </c>
      <c r="AD3346" s="6"/>
    </row>
    <row r="3347" spans="1:30" x14ac:dyDescent="0.2">
      <c r="A3347" t="str">
        <f t="shared" si="290"/>
        <v/>
      </c>
      <c r="X3347" t="str" cm="1">
        <f t="array" ref="X3347">IF(S3347="","",IF($I3347&lt;&gt;"",$I3347,INDEX($I$2:$I3346,ROW()-COUNTIFS($T$2:$T3346,"="&amp;$T3347,$S$2:$S3346,"&lt;&gt;"&amp;$S3347)-1)))</f>
        <v/>
      </c>
      <c r="Y3347" t="b">
        <f>IF(X3347&lt;&gt;"",VLOOKUP(X3347,game_rosters!$C$43:$E$64,3,FALSE))</f>
        <v>0</v>
      </c>
      <c r="Z3347" t="e" cm="1" vm="1">
        <f t="array" aca="1" ref="Z3347" ca="1">IFERROR(IF(_xlfn._xlws.FILTER(game_rosters!$J:$J,(game_rosters!$G:$G=events!$AN3347)*(game_rosters!$J:$J=events!$X3347))&gt;0,1,""),"")</f>
        <v>#VALUE!</v>
      </c>
      <c r="AA3347">
        <f t="shared" si="287"/>
        <v>1000</v>
      </c>
      <c r="AB3347" t="str">
        <f t="shared" si="288"/>
        <v/>
      </c>
      <c r="AC3347">
        <f t="shared" si="289"/>
        <v>1000</v>
      </c>
      <c r="AD3347" s="6"/>
    </row>
    <row r="3348" spans="1:30" x14ac:dyDescent="0.2">
      <c r="A3348" t="str">
        <f t="shared" si="290"/>
        <v/>
      </c>
      <c r="X3348" t="str" cm="1">
        <f t="array" ref="X3348">IF(S3348="","",IF($I3348&lt;&gt;"",$I3348,INDEX($I$2:$I3347,ROW()-COUNTIFS($T$2:$T3347,"="&amp;$T3348,$S$2:$S3347,"&lt;&gt;"&amp;$S3348)-1)))</f>
        <v/>
      </c>
      <c r="Y3348" t="b">
        <f>IF(X3348&lt;&gt;"",VLOOKUP(X3348,game_rosters!$C$43:$E$64,3,FALSE))</f>
        <v>0</v>
      </c>
      <c r="Z3348" t="e" cm="1" vm="1">
        <f t="array" aca="1" ref="Z3348" ca="1">IFERROR(IF(_xlfn._xlws.FILTER(game_rosters!$J:$J,(game_rosters!$G:$G=events!$AN3348)*(game_rosters!$J:$J=events!$X3348))&gt;0,1,""),"")</f>
        <v>#VALUE!</v>
      </c>
      <c r="AA3348">
        <f t="shared" si="287"/>
        <v>1000</v>
      </c>
      <c r="AB3348" t="str">
        <f t="shared" si="288"/>
        <v/>
      </c>
      <c r="AC3348">
        <f t="shared" si="289"/>
        <v>1000</v>
      </c>
      <c r="AD3348" s="6"/>
    </row>
    <row r="3349" spans="1:30" x14ac:dyDescent="0.2">
      <c r="A3349" t="str">
        <f t="shared" si="290"/>
        <v/>
      </c>
      <c r="X3349" t="str" cm="1">
        <f t="array" ref="X3349">IF(S3349="","",IF($I3349&lt;&gt;"",$I3349,INDEX($I$2:$I3348,ROW()-COUNTIFS($T$2:$T3348,"="&amp;$T3349,$S$2:$S3348,"&lt;&gt;"&amp;$S3349)-1)))</f>
        <v/>
      </c>
      <c r="Y3349" t="b">
        <f>IF(X3349&lt;&gt;"",VLOOKUP(X3349,game_rosters!$C$43:$E$64,3,FALSE))</f>
        <v>0</v>
      </c>
      <c r="Z3349" t="e" cm="1" vm="1">
        <f t="array" aca="1" ref="Z3349" ca="1">IFERROR(IF(_xlfn._xlws.FILTER(game_rosters!$J:$J,(game_rosters!$G:$G=events!$AN3349)*(game_rosters!$J:$J=events!$X3349))&gt;0,1,""),"")</f>
        <v>#VALUE!</v>
      </c>
      <c r="AA3349">
        <f t="shared" si="287"/>
        <v>1000</v>
      </c>
      <c r="AB3349" t="str">
        <f t="shared" si="288"/>
        <v/>
      </c>
      <c r="AC3349">
        <f t="shared" si="289"/>
        <v>1000</v>
      </c>
      <c r="AD3349" s="6"/>
    </row>
    <row r="3350" spans="1:30" x14ac:dyDescent="0.2">
      <c r="A3350" t="str">
        <f t="shared" si="290"/>
        <v/>
      </c>
      <c r="X3350" t="str" cm="1">
        <f t="array" ref="X3350">IF(S3350="","",IF($I3350&lt;&gt;"",$I3350,INDEX($I$2:$I3349,ROW()-COUNTIFS($T$2:$T3349,"="&amp;$T3350,$S$2:$S3349,"&lt;&gt;"&amp;$S3350)-1)))</f>
        <v/>
      </c>
      <c r="Y3350" t="b">
        <f>IF(X3350&lt;&gt;"",VLOOKUP(X3350,game_rosters!$C$43:$E$64,3,FALSE))</f>
        <v>0</v>
      </c>
      <c r="Z3350" t="e" cm="1" vm="1">
        <f t="array" aca="1" ref="Z3350" ca="1">IFERROR(IF(_xlfn._xlws.FILTER(game_rosters!$J:$J,(game_rosters!$G:$G=events!$AN3350)*(game_rosters!$J:$J=events!$X3350))&gt;0,1,""),"")</f>
        <v>#VALUE!</v>
      </c>
      <c r="AA3350">
        <f t="shared" si="287"/>
        <v>1000</v>
      </c>
      <c r="AB3350" t="str">
        <f t="shared" si="288"/>
        <v/>
      </c>
      <c r="AC3350">
        <f t="shared" si="289"/>
        <v>1000</v>
      </c>
      <c r="AD3350" s="6"/>
    </row>
    <row r="3351" spans="1:30" x14ac:dyDescent="0.2">
      <c r="A3351" t="str">
        <f t="shared" si="290"/>
        <v/>
      </c>
      <c r="X3351" t="str" cm="1">
        <f t="array" ref="X3351">IF(S3351="","",IF($I3351&lt;&gt;"",$I3351,INDEX($I$2:$I3350,ROW()-COUNTIFS($T$2:$T3350,"="&amp;$T3351,$S$2:$S3350,"&lt;&gt;"&amp;$S3351)-1)))</f>
        <v/>
      </c>
      <c r="Y3351" t="b">
        <f>IF(X3351&lt;&gt;"",VLOOKUP(X3351,game_rosters!$C$43:$E$64,3,FALSE))</f>
        <v>0</v>
      </c>
      <c r="Z3351" t="e" cm="1" vm="1">
        <f t="array" aca="1" ref="Z3351" ca="1">IFERROR(IF(_xlfn._xlws.FILTER(game_rosters!$J:$J,(game_rosters!$G:$G=events!$AN3351)*(game_rosters!$J:$J=events!$X3351))&gt;0,1,""),"")</f>
        <v>#VALUE!</v>
      </c>
      <c r="AA3351">
        <f t="shared" si="287"/>
        <v>1000</v>
      </c>
      <c r="AB3351" t="str">
        <f t="shared" si="288"/>
        <v/>
      </c>
      <c r="AC3351">
        <f t="shared" si="289"/>
        <v>1000</v>
      </c>
      <c r="AD3351" s="6"/>
    </row>
    <row r="3352" spans="1:30" x14ac:dyDescent="0.2">
      <c r="A3352" t="str">
        <f t="shared" si="290"/>
        <v/>
      </c>
      <c r="X3352" t="str" cm="1">
        <f t="array" ref="X3352">IF(S3352="","",IF($I3352&lt;&gt;"",$I3352,INDEX($I$2:$I3351,ROW()-COUNTIFS($T$2:$T3351,"="&amp;$T3352,$S$2:$S3351,"&lt;&gt;"&amp;$S3352)-1)))</f>
        <v/>
      </c>
      <c r="Y3352" t="b">
        <f>IF(X3352&lt;&gt;"",VLOOKUP(X3352,game_rosters!$C$43:$E$64,3,FALSE))</f>
        <v>0</v>
      </c>
      <c r="Z3352" t="e" cm="1" vm="1">
        <f t="array" aca="1" ref="Z3352" ca="1">IFERROR(IF(_xlfn._xlws.FILTER(game_rosters!$J:$J,(game_rosters!$G:$G=events!$AN3352)*(game_rosters!$J:$J=events!$X3352))&gt;0,1,""),"")</f>
        <v>#VALUE!</v>
      </c>
      <c r="AA3352">
        <f t="shared" si="287"/>
        <v>1000</v>
      </c>
      <c r="AB3352" t="str">
        <f t="shared" si="288"/>
        <v/>
      </c>
      <c r="AC3352">
        <f t="shared" si="289"/>
        <v>1000</v>
      </c>
      <c r="AD3352" s="6"/>
    </row>
    <row r="3353" spans="1:30" x14ac:dyDescent="0.2">
      <c r="A3353" t="str">
        <f t="shared" si="290"/>
        <v/>
      </c>
      <c r="X3353" t="str" cm="1">
        <f t="array" ref="X3353">IF(S3353="","",IF($I3353&lt;&gt;"",$I3353,INDEX($I$2:$I3352,ROW()-COUNTIFS($T$2:$T3352,"="&amp;$T3353,$S$2:$S3352,"&lt;&gt;"&amp;$S3353)-1)))</f>
        <v/>
      </c>
      <c r="Y3353" t="b">
        <f>IF(X3353&lt;&gt;"",VLOOKUP(X3353,game_rosters!$C$43:$E$64,3,FALSE))</f>
        <v>0</v>
      </c>
      <c r="Z3353" t="e" cm="1" vm="1">
        <f t="array" aca="1" ref="Z3353" ca="1">IFERROR(IF(_xlfn._xlws.FILTER(game_rosters!$J:$J,(game_rosters!$G:$G=events!$AN3353)*(game_rosters!$J:$J=events!$X3353))&gt;0,1,""),"")</f>
        <v>#VALUE!</v>
      </c>
      <c r="AA3353">
        <f t="shared" si="287"/>
        <v>1000</v>
      </c>
      <c r="AB3353" t="str">
        <f t="shared" si="288"/>
        <v/>
      </c>
      <c r="AC3353">
        <f t="shared" si="289"/>
        <v>1000</v>
      </c>
      <c r="AD3353" s="6"/>
    </row>
    <row r="3354" spans="1:30" x14ac:dyDescent="0.2">
      <c r="A3354" t="str">
        <f t="shared" si="290"/>
        <v/>
      </c>
      <c r="X3354" t="str" cm="1">
        <f t="array" ref="X3354">IF(S3354="","",IF($I3354&lt;&gt;"",$I3354,INDEX($I$2:$I3353,ROW()-COUNTIFS($T$2:$T3353,"="&amp;$T3354,$S$2:$S3353,"&lt;&gt;"&amp;$S3354)-1)))</f>
        <v/>
      </c>
      <c r="Y3354" t="b">
        <f>IF(X3354&lt;&gt;"",VLOOKUP(X3354,game_rosters!$C$43:$E$64,3,FALSE))</f>
        <v>0</v>
      </c>
      <c r="Z3354" t="e" cm="1" vm="1">
        <f t="array" aca="1" ref="Z3354" ca="1">IFERROR(IF(_xlfn._xlws.FILTER(game_rosters!$J:$J,(game_rosters!$G:$G=events!$AN3354)*(game_rosters!$J:$J=events!$X3354))&gt;0,1,""),"")</f>
        <v>#VALUE!</v>
      </c>
      <c r="AA3354">
        <f t="shared" si="287"/>
        <v>1000</v>
      </c>
      <c r="AB3354" t="str">
        <f t="shared" si="288"/>
        <v/>
      </c>
      <c r="AC3354">
        <f t="shared" si="289"/>
        <v>1000</v>
      </c>
      <c r="AD3354" s="6"/>
    </row>
    <row r="3355" spans="1:30" x14ac:dyDescent="0.2">
      <c r="A3355" t="str">
        <f t="shared" si="290"/>
        <v/>
      </c>
      <c r="X3355" t="str" cm="1">
        <f t="array" ref="X3355">IF(S3355="","",IF($I3355&lt;&gt;"",$I3355,INDEX($I$2:$I3354,ROW()-COUNTIFS($T$2:$T3354,"="&amp;$T3355,$S$2:$S3354,"&lt;&gt;"&amp;$S3355)-1)))</f>
        <v/>
      </c>
      <c r="Y3355" t="b">
        <f>IF(X3355&lt;&gt;"",VLOOKUP(X3355,game_rosters!$C$43:$E$64,3,FALSE))</f>
        <v>0</v>
      </c>
      <c r="Z3355" t="e" cm="1" vm="1">
        <f t="array" aca="1" ref="Z3355" ca="1">IFERROR(IF(_xlfn._xlws.FILTER(game_rosters!$J:$J,(game_rosters!$G:$G=events!$AN3355)*(game_rosters!$J:$J=events!$X3355))&gt;0,1,""),"")</f>
        <v>#VALUE!</v>
      </c>
      <c r="AA3355">
        <f t="shared" si="287"/>
        <v>1000</v>
      </c>
      <c r="AB3355" t="str">
        <f t="shared" si="288"/>
        <v/>
      </c>
      <c r="AC3355">
        <f t="shared" si="289"/>
        <v>1000</v>
      </c>
      <c r="AD3355" s="6"/>
    </row>
    <row r="3356" spans="1:30" x14ac:dyDescent="0.2">
      <c r="A3356" t="str">
        <f t="shared" si="290"/>
        <v/>
      </c>
      <c r="X3356" t="str" cm="1">
        <f t="array" ref="X3356">IF(S3356="","",IF($I3356&lt;&gt;"",$I3356,INDEX($I$2:$I3355,ROW()-COUNTIFS($T$2:$T3355,"="&amp;$T3356,$S$2:$S3355,"&lt;&gt;"&amp;$S3356)-1)))</f>
        <v/>
      </c>
      <c r="Y3356" t="b">
        <f>IF(X3356&lt;&gt;"",VLOOKUP(X3356,game_rosters!$C$43:$E$64,3,FALSE))</f>
        <v>0</v>
      </c>
      <c r="Z3356" t="e" cm="1" vm="1">
        <f t="array" aca="1" ref="Z3356" ca="1">IFERROR(IF(_xlfn._xlws.FILTER(game_rosters!$J:$J,(game_rosters!$G:$G=events!$AN3356)*(game_rosters!$J:$J=events!$X3356))&gt;0,1,""),"")</f>
        <v>#VALUE!</v>
      </c>
      <c r="AA3356">
        <f t="shared" si="287"/>
        <v>1000</v>
      </c>
      <c r="AB3356" t="str">
        <f t="shared" si="288"/>
        <v/>
      </c>
      <c r="AC3356">
        <f t="shared" si="289"/>
        <v>1000</v>
      </c>
      <c r="AD3356" s="6"/>
    </row>
    <row r="3357" spans="1:30" x14ac:dyDescent="0.2">
      <c r="A3357" t="str">
        <f t="shared" si="290"/>
        <v/>
      </c>
      <c r="X3357" t="str" cm="1">
        <f t="array" ref="X3357">IF(S3357="","",IF($I3357&lt;&gt;"",$I3357,INDEX($I$2:$I3356,ROW()-COUNTIFS($T$2:$T3356,"="&amp;$T3357,$S$2:$S3356,"&lt;&gt;"&amp;$S3357)-1)))</f>
        <v/>
      </c>
      <c r="Y3357" t="b">
        <f>IF(X3357&lt;&gt;"",VLOOKUP(X3357,game_rosters!$C$43:$E$64,3,FALSE))</f>
        <v>0</v>
      </c>
      <c r="Z3357" t="e" cm="1" vm="1">
        <f t="array" aca="1" ref="Z3357" ca="1">IFERROR(IF(_xlfn._xlws.FILTER(game_rosters!$J:$J,(game_rosters!$G:$G=events!$AN3357)*(game_rosters!$J:$J=events!$X3357))&gt;0,1,""),"")</f>
        <v>#VALUE!</v>
      </c>
      <c r="AA3357">
        <f t="shared" ref="AA3357:AA3420" si="291">S3357+1000</f>
        <v>1000</v>
      </c>
      <c r="AB3357" t="str">
        <f t="shared" ref="AB3357:AB3420" si="292">IF(T3357&lt;&gt;"",9000+T3357,"")</f>
        <v/>
      </c>
      <c r="AC3357">
        <f t="shared" si="289"/>
        <v>1000</v>
      </c>
      <c r="AD3357" s="6"/>
    </row>
    <row r="3358" spans="1:30" x14ac:dyDescent="0.2">
      <c r="A3358" t="str">
        <f t="shared" si="290"/>
        <v/>
      </c>
      <c r="X3358" t="str" cm="1">
        <f t="array" ref="X3358">IF(S3358="","",IF($I3358&lt;&gt;"",$I3358,INDEX($I$2:$I3357,ROW()-COUNTIFS($T$2:$T3357,"="&amp;$T3358,$S$2:$S3357,"&lt;&gt;"&amp;$S3358)-1)))</f>
        <v/>
      </c>
      <c r="Y3358" t="b">
        <f>IF(X3358&lt;&gt;"",VLOOKUP(X3358,game_rosters!$C$43:$E$64,3,FALSE))</f>
        <v>0</v>
      </c>
      <c r="Z3358" t="e" cm="1" vm="1">
        <f t="array" aca="1" ref="Z3358" ca="1">IFERROR(IF(_xlfn._xlws.FILTER(game_rosters!$J:$J,(game_rosters!$G:$G=events!$AN3358)*(game_rosters!$J:$J=events!$X3358))&gt;0,1,""),"")</f>
        <v>#VALUE!</v>
      </c>
      <c r="AA3358">
        <f t="shared" si="291"/>
        <v>1000</v>
      </c>
      <c r="AB3358" t="str">
        <f t="shared" si="292"/>
        <v/>
      </c>
      <c r="AC3358">
        <f t="shared" si="289"/>
        <v>1000</v>
      </c>
      <c r="AD3358" s="6"/>
    </row>
    <row r="3359" spans="1:30" x14ac:dyDescent="0.2">
      <c r="A3359" t="str">
        <f t="shared" si="290"/>
        <v/>
      </c>
      <c r="X3359" t="str" cm="1">
        <f t="array" ref="X3359">IF(S3359="","",IF($I3359&lt;&gt;"",$I3359,INDEX($I$2:$I3358,ROW()-COUNTIFS($T$2:$T3358,"="&amp;$T3359,$S$2:$S3358,"&lt;&gt;"&amp;$S3359)-1)))</f>
        <v/>
      </c>
      <c r="Y3359" t="b">
        <f>IF(X3359&lt;&gt;"",VLOOKUP(X3359,game_rosters!$C$43:$E$64,3,FALSE))</f>
        <v>0</v>
      </c>
      <c r="Z3359" t="e" cm="1" vm="1">
        <f t="array" aca="1" ref="Z3359" ca="1">IFERROR(IF(_xlfn._xlws.FILTER(game_rosters!$J:$J,(game_rosters!$G:$G=events!$AN3359)*(game_rosters!$J:$J=events!$X3359))&gt;0,1,""),"")</f>
        <v>#VALUE!</v>
      </c>
      <c r="AA3359">
        <f t="shared" si="291"/>
        <v>1000</v>
      </c>
      <c r="AB3359" t="str">
        <f t="shared" si="292"/>
        <v/>
      </c>
      <c r="AC3359">
        <f t="shared" si="289"/>
        <v>1000</v>
      </c>
      <c r="AD3359" s="6"/>
    </row>
    <row r="3360" spans="1:30" x14ac:dyDescent="0.2">
      <c r="A3360" t="str">
        <f t="shared" si="290"/>
        <v/>
      </c>
      <c r="X3360" t="str" cm="1">
        <f t="array" ref="X3360">IF(S3360="","",IF($I3360&lt;&gt;"",$I3360,INDEX($I$2:$I3359,ROW()-COUNTIFS($T$2:$T3359,"="&amp;$T3360,$S$2:$S3359,"&lt;&gt;"&amp;$S3360)-1)))</f>
        <v/>
      </c>
      <c r="Y3360" t="b">
        <f>IF(X3360&lt;&gt;"",VLOOKUP(X3360,game_rosters!$C$43:$E$64,3,FALSE))</f>
        <v>0</v>
      </c>
      <c r="Z3360" t="e" cm="1" vm="1">
        <f t="array" aca="1" ref="Z3360" ca="1">IFERROR(IF(_xlfn._xlws.FILTER(game_rosters!$J:$J,(game_rosters!$G:$G=events!$AN3360)*(game_rosters!$J:$J=events!$X3360))&gt;0,1,""),"")</f>
        <v>#VALUE!</v>
      </c>
      <c r="AA3360">
        <f t="shared" si="291"/>
        <v>1000</v>
      </c>
      <c r="AB3360" t="str">
        <f t="shared" si="292"/>
        <v/>
      </c>
      <c r="AC3360">
        <f t="shared" si="289"/>
        <v>1000</v>
      </c>
      <c r="AD3360" s="6"/>
    </row>
    <row r="3361" spans="1:30" x14ac:dyDescent="0.2">
      <c r="A3361" t="str">
        <f t="shared" si="290"/>
        <v/>
      </c>
      <c r="X3361" t="str" cm="1">
        <f t="array" ref="X3361">IF(S3361="","",IF($I3361&lt;&gt;"",$I3361,INDEX($I$2:$I3360,ROW()-COUNTIFS($T$2:$T3360,"="&amp;$T3361,$S$2:$S3360,"&lt;&gt;"&amp;$S3361)-1)))</f>
        <v/>
      </c>
      <c r="Y3361" t="b">
        <f>IF(X3361&lt;&gt;"",VLOOKUP(X3361,game_rosters!$C$43:$E$64,3,FALSE))</f>
        <v>0</v>
      </c>
      <c r="Z3361" t="e" cm="1" vm="1">
        <f t="array" aca="1" ref="Z3361" ca="1">IFERROR(IF(_xlfn._xlws.FILTER(game_rosters!$J:$J,(game_rosters!$G:$G=events!$AN3361)*(game_rosters!$J:$J=events!$X3361))&gt;0,1,""),"")</f>
        <v>#VALUE!</v>
      </c>
      <c r="AA3361">
        <f t="shared" si="291"/>
        <v>1000</v>
      </c>
      <c r="AB3361" t="str">
        <f t="shared" si="292"/>
        <v/>
      </c>
      <c r="AC3361">
        <f t="shared" si="289"/>
        <v>1000</v>
      </c>
      <c r="AD3361" s="6"/>
    </row>
    <row r="3362" spans="1:30" x14ac:dyDescent="0.2">
      <c r="A3362" t="str">
        <f t="shared" si="290"/>
        <v/>
      </c>
      <c r="X3362" t="str" cm="1">
        <f t="array" ref="X3362">IF(S3362="","",IF($I3362&lt;&gt;"",$I3362,INDEX($I$2:$I3361,ROW()-COUNTIFS($T$2:$T3361,"="&amp;$T3362,$S$2:$S3361,"&lt;&gt;"&amp;$S3362)-1)))</f>
        <v/>
      </c>
      <c r="Y3362" t="b">
        <f>IF(X3362&lt;&gt;"",VLOOKUP(X3362,game_rosters!$C$43:$E$64,3,FALSE))</f>
        <v>0</v>
      </c>
      <c r="Z3362" t="e" cm="1" vm="1">
        <f t="array" aca="1" ref="Z3362" ca="1">IFERROR(IF(_xlfn._xlws.FILTER(game_rosters!$J:$J,(game_rosters!$G:$G=events!$AN3362)*(game_rosters!$J:$J=events!$X3362))&gt;0,1,""),"")</f>
        <v>#VALUE!</v>
      </c>
      <c r="AA3362">
        <f t="shared" si="291"/>
        <v>1000</v>
      </c>
      <c r="AB3362" t="str">
        <f t="shared" si="292"/>
        <v/>
      </c>
      <c r="AC3362">
        <f t="shared" si="289"/>
        <v>1000</v>
      </c>
      <c r="AD3362" s="6"/>
    </row>
    <row r="3363" spans="1:30" x14ac:dyDescent="0.2">
      <c r="A3363" t="str">
        <f t="shared" si="290"/>
        <v/>
      </c>
      <c r="X3363" t="str" cm="1">
        <f t="array" ref="X3363">IF(S3363="","",IF($I3363&lt;&gt;"",$I3363,INDEX($I$2:$I3362,ROW()-COUNTIFS($T$2:$T3362,"="&amp;$T3363,$S$2:$S3362,"&lt;&gt;"&amp;$S3363)-1)))</f>
        <v/>
      </c>
      <c r="Y3363" t="b">
        <f>IF(X3363&lt;&gt;"",VLOOKUP(X3363,game_rosters!$C$43:$E$64,3,FALSE))</f>
        <v>0</v>
      </c>
      <c r="Z3363" t="e" cm="1" vm="1">
        <f t="array" aca="1" ref="Z3363" ca="1">IFERROR(IF(_xlfn._xlws.FILTER(game_rosters!$J:$J,(game_rosters!$G:$G=events!$AN3363)*(game_rosters!$J:$J=events!$X3363))&gt;0,1,""),"")</f>
        <v>#VALUE!</v>
      </c>
      <c r="AA3363">
        <f t="shared" si="291"/>
        <v>1000</v>
      </c>
      <c r="AB3363" t="str">
        <f t="shared" si="292"/>
        <v/>
      </c>
      <c r="AC3363">
        <f t="shared" si="289"/>
        <v>1000</v>
      </c>
      <c r="AD3363" s="6"/>
    </row>
    <row r="3364" spans="1:30" x14ac:dyDescent="0.2">
      <c r="A3364" t="str">
        <f t="shared" si="290"/>
        <v/>
      </c>
      <c r="X3364" t="str" cm="1">
        <f t="array" ref="X3364">IF(S3364="","",IF($I3364&lt;&gt;"",$I3364,INDEX($I$2:$I3363,ROW()-COUNTIFS($T$2:$T3363,"="&amp;$T3364,$S$2:$S3363,"&lt;&gt;"&amp;$S3364)-1)))</f>
        <v/>
      </c>
      <c r="Y3364" t="b">
        <f>IF(X3364&lt;&gt;"",VLOOKUP(X3364,game_rosters!$C$43:$E$64,3,FALSE))</f>
        <v>0</v>
      </c>
      <c r="Z3364" t="e" cm="1" vm="1">
        <f t="array" aca="1" ref="Z3364" ca="1">IFERROR(IF(_xlfn._xlws.FILTER(game_rosters!$J:$J,(game_rosters!$G:$G=events!$AN3364)*(game_rosters!$J:$J=events!$X3364))&gt;0,1,""),"")</f>
        <v>#VALUE!</v>
      </c>
      <c r="AA3364">
        <f t="shared" si="291"/>
        <v>1000</v>
      </c>
      <c r="AB3364" t="str">
        <f t="shared" si="292"/>
        <v/>
      </c>
      <c r="AC3364">
        <f t="shared" si="289"/>
        <v>1000</v>
      </c>
      <c r="AD3364" s="6"/>
    </row>
    <row r="3365" spans="1:30" x14ac:dyDescent="0.2">
      <c r="A3365" t="str">
        <f t="shared" si="290"/>
        <v/>
      </c>
      <c r="X3365" t="str" cm="1">
        <f t="array" ref="X3365">IF(S3365="","",IF($I3365&lt;&gt;"",$I3365,INDEX($I$2:$I3364,ROW()-COUNTIFS($T$2:$T3364,"="&amp;$T3365,$S$2:$S3364,"&lt;&gt;"&amp;$S3365)-1)))</f>
        <v/>
      </c>
      <c r="Y3365" t="b">
        <f>IF(X3365&lt;&gt;"",VLOOKUP(X3365,game_rosters!$C$43:$E$64,3,FALSE))</f>
        <v>0</v>
      </c>
      <c r="Z3365" t="e" cm="1" vm="1">
        <f t="array" aca="1" ref="Z3365" ca="1">IFERROR(IF(_xlfn._xlws.FILTER(game_rosters!$J:$J,(game_rosters!$G:$G=events!$AN3365)*(game_rosters!$J:$J=events!$X3365))&gt;0,1,""),"")</f>
        <v>#VALUE!</v>
      </c>
      <c r="AA3365">
        <f t="shared" si="291"/>
        <v>1000</v>
      </c>
      <c r="AB3365" t="str">
        <f t="shared" si="292"/>
        <v/>
      </c>
      <c r="AC3365">
        <f t="shared" si="289"/>
        <v>1000</v>
      </c>
      <c r="AD3365" s="6"/>
    </row>
    <row r="3366" spans="1:30" x14ac:dyDescent="0.2">
      <c r="A3366" t="str">
        <f t="shared" si="290"/>
        <v/>
      </c>
      <c r="X3366" t="str" cm="1">
        <f t="array" ref="X3366">IF(S3366="","",IF($I3366&lt;&gt;"",$I3366,INDEX($I$2:$I3365,ROW()-COUNTIFS($T$2:$T3365,"="&amp;$T3366,$S$2:$S3365,"&lt;&gt;"&amp;$S3366)-1)))</f>
        <v/>
      </c>
      <c r="Y3366" t="b">
        <f>IF(X3366&lt;&gt;"",VLOOKUP(X3366,game_rosters!$C$43:$E$64,3,FALSE))</f>
        <v>0</v>
      </c>
      <c r="Z3366" t="e" cm="1" vm="1">
        <f t="array" aca="1" ref="Z3366" ca="1">IFERROR(IF(_xlfn._xlws.FILTER(game_rosters!$J:$J,(game_rosters!$G:$G=events!$AN3366)*(game_rosters!$J:$J=events!$X3366))&gt;0,1,""),"")</f>
        <v>#VALUE!</v>
      </c>
      <c r="AA3366">
        <f t="shared" si="291"/>
        <v>1000</v>
      </c>
      <c r="AB3366" t="str">
        <f t="shared" si="292"/>
        <v/>
      </c>
      <c r="AC3366">
        <f t="shared" si="289"/>
        <v>1000</v>
      </c>
      <c r="AD3366" s="6"/>
    </row>
    <row r="3367" spans="1:30" x14ac:dyDescent="0.2">
      <c r="A3367" t="str">
        <f t="shared" si="290"/>
        <v/>
      </c>
      <c r="X3367" t="str" cm="1">
        <f t="array" ref="X3367">IF(S3367="","",IF($I3367&lt;&gt;"",$I3367,INDEX($I$2:$I3366,ROW()-COUNTIFS($T$2:$T3366,"="&amp;$T3367,$S$2:$S3366,"&lt;&gt;"&amp;$S3367)-1)))</f>
        <v/>
      </c>
      <c r="Y3367" t="b">
        <f>IF(X3367&lt;&gt;"",VLOOKUP(X3367,game_rosters!$C$43:$E$64,3,FALSE))</f>
        <v>0</v>
      </c>
      <c r="Z3367" t="e" cm="1" vm="1">
        <f t="array" aca="1" ref="Z3367" ca="1">IFERROR(IF(_xlfn._xlws.FILTER(game_rosters!$J:$J,(game_rosters!$G:$G=events!$AN3367)*(game_rosters!$J:$J=events!$X3367))&gt;0,1,""),"")</f>
        <v>#VALUE!</v>
      </c>
      <c r="AA3367">
        <f t="shared" si="291"/>
        <v>1000</v>
      </c>
      <c r="AB3367" t="str">
        <f t="shared" si="292"/>
        <v/>
      </c>
      <c r="AC3367">
        <f t="shared" si="289"/>
        <v>1000</v>
      </c>
      <c r="AD3367" s="6"/>
    </row>
    <row r="3368" spans="1:30" x14ac:dyDescent="0.2">
      <c r="A3368" t="str">
        <f t="shared" si="290"/>
        <v/>
      </c>
      <c r="X3368" t="str" cm="1">
        <f t="array" ref="X3368">IF(S3368="","",IF($I3368&lt;&gt;"",$I3368,INDEX($I$2:$I3367,ROW()-COUNTIFS($T$2:$T3367,"="&amp;$T3368,$S$2:$S3367,"&lt;&gt;"&amp;$S3368)-1)))</f>
        <v/>
      </c>
      <c r="Y3368" t="b">
        <f>IF(X3368&lt;&gt;"",VLOOKUP(X3368,game_rosters!$C$43:$E$64,3,FALSE))</f>
        <v>0</v>
      </c>
      <c r="Z3368" t="e" cm="1" vm="1">
        <f t="array" aca="1" ref="Z3368" ca="1">IFERROR(IF(_xlfn._xlws.FILTER(game_rosters!$J:$J,(game_rosters!$G:$G=events!$AN3368)*(game_rosters!$J:$J=events!$X3368))&gt;0,1,""),"")</f>
        <v>#VALUE!</v>
      </c>
      <c r="AA3368">
        <f t="shared" si="291"/>
        <v>1000</v>
      </c>
      <c r="AB3368" t="str">
        <f t="shared" si="292"/>
        <v/>
      </c>
      <c r="AC3368">
        <f t="shared" si="289"/>
        <v>1000</v>
      </c>
      <c r="AD3368" s="6"/>
    </row>
    <row r="3369" spans="1:30" x14ac:dyDescent="0.2">
      <c r="A3369" t="str">
        <f t="shared" si="290"/>
        <v/>
      </c>
      <c r="X3369" t="str" cm="1">
        <f t="array" ref="X3369">IF(S3369="","",IF($I3369&lt;&gt;"",$I3369,INDEX($I$2:$I3368,ROW()-COUNTIFS($T$2:$T3368,"="&amp;$T3369,$S$2:$S3368,"&lt;&gt;"&amp;$S3369)-1)))</f>
        <v/>
      </c>
      <c r="Y3369" t="b">
        <f>IF(X3369&lt;&gt;"",VLOOKUP(X3369,game_rosters!$C$43:$E$64,3,FALSE))</f>
        <v>0</v>
      </c>
      <c r="Z3369" t="e" cm="1" vm="1">
        <f t="array" aca="1" ref="Z3369" ca="1">IFERROR(IF(_xlfn._xlws.FILTER(game_rosters!$J:$J,(game_rosters!$G:$G=events!$AN3369)*(game_rosters!$J:$J=events!$X3369))&gt;0,1,""),"")</f>
        <v>#VALUE!</v>
      </c>
      <c r="AA3369">
        <f t="shared" si="291"/>
        <v>1000</v>
      </c>
      <c r="AB3369" t="str">
        <f t="shared" si="292"/>
        <v/>
      </c>
      <c r="AC3369">
        <f t="shared" si="289"/>
        <v>1000</v>
      </c>
      <c r="AD3369" s="6"/>
    </row>
    <row r="3370" spans="1:30" x14ac:dyDescent="0.2">
      <c r="A3370" t="str">
        <f t="shared" si="290"/>
        <v/>
      </c>
      <c r="X3370" t="str" cm="1">
        <f t="array" ref="X3370">IF(S3370="","",IF($I3370&lt;&gt;"",$I3370,INDEX($I$2:$I3369,ROW()-COUNTIFS($T$2:$T3369,"="&amp;$T3370,$S$2:$S3369,"&lt;&gt;"&amp;$S3370)-1)))</f>
        <v/>
      </c>
      <c r="Y3370" t="b">
        <f>IF(X3370&lt;&gt;"",VLOOKUP(X3370,game_rosters!$C$43:$E$64,3,FALSE))</f>
        <v>0</v>
      </c>
      <c r="Z3370" t="e" cm="1" vm="1">
        <f t="array" aca="1" ref="Z3370" ca="1">IFERROR(IF(_xlfn._xlws.FILTER(game_rosters!$J:$J,(game_rosters!$G:$G=events!$AN3370)*(game_rosters!$J:$J=events!$X3370))&gt;0,1,""),"")</f>
        <v>#VALUE!</v>
      </c>
      <c r="AA3370">
        <f t="shared" si="291"/>
        <v>1000</v>
      </c>
      <c r="AB3370" t="str">
        <f t="shared" si="292"/>
        <v/>
      </c>
      <c r="AC3370">
        <f t="shared" si="289"/>
        <v>1000</v>
      </c>
      <c r="AD3370" s="6"/>
    </row>
    <row r="3371" spans="1:30" x14ac:dyDescent="0.2">
      <c r="A3371" t="str">
        <f t="shared" si="290"/>
        <v/>
      </c>
      <c r="X3371" t="str" cm="1">
        <f t="array" ref="X3371">IF(S3371="","",IF($I3371&lt;&gt;"",$I3371,INDEX($I$2:$I3370,ROW()-COUNTIFS($T$2:$T3370,"="&amp;$T3371,$S$2:$S3370,"&lt;&gt;"&amp;$S3371)-1)))</f>
        <v/>
      </c>
      <c r="Y3371" t="b">
        <f>IF(X3371&lt;&gt;"",VLOOKUP(X3371,game_rosters!$C$43:$E$64,3,FALSE))</f>
        <v>0</v>
      </c>
      <c r="Z3371" t="e" cm="1" vm="1">
        <f t="array" aca="1" ref="Z3371" ca="1">IFERROR(IF(_xlfn._xlws.FILTER(game_rosters!$J:$J,(game_rosters!$G:$G=events!$AN3371)*(game_rosters!$J:$J=events!$X3371))&gt;0,1,""),"")</f>
        <v>#VALUE!</v>
      </c>
      <c r="AA3371">
        <f t="shared" si="291"/>
        <v>1000</v>
      </c>
      <c r="AB3371" t="str">
        <f t="shared" si="292"/>
        <v/>
      </c>
      <c r="AC3371">
        <f t="shared" si="289"/>
        <v>1000</v>
      </c>
      <c r="AD3371" s="6"/>
    </row>
    <row r="3372" spans="1:30" x14ac:dyDescent="0.2">
      <c r="A3372" t="str">
        <f t="shared" si="290"/>
        <v/>
      </c>
      <c r="X3372" t="str" cm="1">
        <f t="array" ref="X3372">IF(S3372="","",IF($I3372&lt;&gt;"",$I3372,INDEX($I$2:$I3371,ROW()-COUNTIFS($T$2:$T3371,"="&amp;$T3372,$S$2:$S3371,"&lt;&gt;"&amp;$S3372)-1)))</f>
        <v/>
      </c>
      <c r="Y3372" t="b">
        <f>IF(X3372&lt;&gt;"",VLOOKUP(X3372,game_rosters!$C$43:$E$64,3,FALSE))</f>
        <v>0</v>
      </c>
      <c r="Z3372" t="e" cm="1" vm="1">
        <f t="array" aca="1" ref="Z3372" ca="1">IFERROR(IF(_xlfn._xlws.FILTER(game_rosters!$J:$J,(game_rosters!$G:$G=events!$AN3372)*(game_rosters!$J:$J=events!$X3372))&gt;0,1,""),"")</f>
        <v>#VALUE!</v>
      </c>
      <c r="AA3372">
        <f t="shared" si="291"/>
        <v>1000</v>
      </c>
      <c r="AB3372" t="str">
        <f t="shared" si="292"/>
        <v/>
      </c>
      <c r="AC3372">
        <f t="shared" si="289"/>
        <v>1000</v>
      </c>
      <c r="AD3372" s="6"/>
    </row>
    <row r="3373" spans="1:30" x14ac:dyDescent="0.2">
      <c r="A3373" t="str">
        <f t="shared" si="290"/>
        <v/>
      </c>
      <c r="X3373" t="str" cm="1">
        <f t="array" ref="X3373">IF(S3373="","",IF($I3373&lt;&gt;"",$I3373,INDEX($I$2:$I3372,ROW()-COUNTIFS($T$2:$T3372,"="&amp;$T3373,$S$2:$S3372,"&lt;&gt;"&amp;$S3373)-1)))</f>
        <v/>
      </c>
      <c r="Y3373" t="b">
        <f>IF(X3373&lt;&gt;"",VLOOKUP(X3373,game_rosters!$C$43:$E$64,3,FALSE))</f>
        <v>0</v>
      </c>
      <c r="Z3373" t="e" cm="1" vm="1">
        <f t="array" aca="1" ref="Z3373" ca="1">IFERROR(IF(_xlfn._xlws.FILTER(game_rosters!$J:$J,(game_rosters!$G:$G=events!$AN3373)*(game_rosters!$J:$J=events!$X3373))&gt;0,1,""),"")</f>
        <v>#VALUE!</v>
      </c>
      <c r="AA3373">
        <f t="shared" si="291"/>
        <v>1000</v>
      </c>
      <c r="AB3373" t="str">
        <f t="shared" si="292"/>
        <v/>
      </c>
      <c r="AC3373">
        <f t="shared" si="289"/>
        <v>1000</v>
      </c>
      <c r="AD3373" s="6"/>
    </row>
    <row r="3374" spans="1:30" x14ac:dyDescent="0.2">
      <c r="A3374" t="str">
        <f t="shared" si="290"/>
        <v/>
      </c>
      <c r="X3374" t="str" cm="1">
        <f t="array" ref="X3374">IF(S3374="","",IF($I3374&lt;&gt;"",$I3374,INDEX($I$2:$I3373,ROW()-COUNTIFS($T$2:$T3373,"="&amp;$T3374,$S$2:$S3373,"&lt;&gt;"&amp;$S3374)-1)))</f>
        <v/>
      </c>
      <c r="Y3374" t="b">
        <f>IF(X3374&lt;&gt;"",VLOOKUP(X3374,game_rosters!$C$43:$E$64,3,FALSE))</f>
        <v>0</v>
      </c>
      <c r="Z3374" t="e" cm="1" vm="1">
        <f t="array" aca="1" ref="Z3374" ca="1">IFERROR(IF(_xlfn._xlws.FILTER(game_rosters!$J:$J,(game_rosters!$G:$G=events!$AN3374)*(game_rosters!$J:$J=events!$X3374))&gt;0,1,""),"")</f>
        <v>#VALUE!</v>
      </c>
      <c r="AA3374">
        <f t="shared" si="291"/>
        <v>1000</v>
      </c>
      <c r="AB3374" t="str">
        <f t="shared" si="292"/>
        <v/>
      </c>
      <c r="AC3374">
        <f t="shared" si="289"/>
        <v>1000</v>
      </c>
      <c r="AD3374" s="6"/>
    </row>
    <row r="3375" spans="1:30" x14ac:dyDescent="0.2">
      <c r="A3375" t="str">
        <f t="shared" si="290"/>
        <v/>
      </c>
      <c r="X3375" t="str" cm="1">
        <f t="array" ref="X3375">IF(S3375="","",IF($I3375&lt;&gt;"",$I3375,INDEX($I$2:$I3374,ROW()-COUNTIFS($T$2:$T3374,"="&amp;$T3375,$S$2:$S3374,"&lt;&gt;"&amp;$S3375)-1)))</f>
        <v/>
      </c>
      <c r="Y3375" t="b">
        <f>IF(X3375&lt;&gt;"",VLOOKUP(X3375,game_rosters!$C$43:$E$64,3,FALSE))</f>
        <v>0</v>
      </c>
      <c r="Z3375" t="e" cm="1" vm="1">
        <f t="array" aca="1" ref="Z3375" ca="1">IFERROR(IF(_xlfn._xlws.FILTER(game_rosters!$J:$J,(game_rosters!$G:$G=events!$AN3375)*(game_rosters!$J:$J=events!$X3375))&gt;0,1,""),"")</f>
        <v>#VALUE!</v>
      </c>
      <c r="AA3375">
        <f t="shared" si="291"/>
        <v>1000</v>
      </c>
      <c r="AB3375" t="str">
        <f t="shared" si="292"/>
        <v/>
      </c>
      <c r="AC3375">
        <f t="shared" si="289"/>
        <v>1000</v>
      </c>
      <c r="AD3375" s="6"/>
    </row>
    <row r="3376" spans="1:30" x14ac:dyDescent="0.2">
      <c r="A3376" t="str">
        <f t="shared" si="290"/>
        <v/>
      </c>
      <c r="X3376" t="str" cm="1">
        <f t="array" ref="X3376">IF(S3376="","",IF($I3376&lt;&gt;"",$I3376,INDEX($I$2:$I3375,ROW()-COUNTIFS($T$2:$T3375,"="&amp;$T3376,$S$2:$S3375,"&lt;&gt;"&amp;$S3376)-1)))</f>
        <v/>
      </c>
      <c r="Y3376" t="b">
        <f>IF(X3376&lt;&gt;"",VLOOKUP(X3376,game_rosters!$C$43:$E$64,3,FALSE))</f>
        <v>0</v>
      </c>
      <c r="Z3376" t="e" cm="1" vm="1">
        <f t="array" aca="1" ref="Z3376" ca="1">IFERROR(IF(_xlfn._xlws.FILTER(game_rosters!$J:$J,(game_rosters!$G:$G=events!$AN3376)*(game_rosters!$J:$J=events!$X3376))&gt;0,1,""),"")</f>
        <v>#VALUE!</v>
      </c>
      <c r="AA3376">
        <f t="shared" si="291"/>
        <v>1000</v>
      </c>
      <c r="AB3376" t="str">
        <f t="shared" si="292"/>
        <v/>
      </c>
      <c r="AC3376">
        <f t="shared" si="289"/>
        <v>1000</v>
      </c>
      <c r="AD3376" s="6"/>
    </row>
    <row r="3377" spans="1:30" x14ac:dyDescent="0.2">
      <c r="A3377" t="str">
        <f t="shared" si="290"/>
        <v/>
      </c>
      <c r="X3377" t="str" cm="1">
        <f t="array" ref="X3377">IF(S3377="","",IF($I3377&lt;&gt;"",$I3377,INDEX($I$2:$I3376,ROW()-COUNTIFS($T$2:$T3376,"="&amp;$T3377,$S$2:$S3376,"&lt;&gt;"&amp;$S3377)-1)))</f>
        <v/>
      </c>
      <c r="Y3377" t="b">
        <f>IF(X3377&lt;&gt;"",VLOOKUP(X3377,game_rosters!$C$43:$E$64,3,FALSE))</f>
        <v>0</v>
      </c>
      <c r="Z3377" t="e" cm="1" vm="1">
        <f t="array" aca="1" ref="Z3377" ca="1">IFERROR(IF(_xlfn._xlws.FILTER(game_rosters!$J:$J,(game_rosters!$G:$G=events!$AN3377)*(game_rosters!$J:$J=events!$X3377))&gt;0,1,""),"")</f>
        <v>#VALUE!</v>
      </c>
      <c r="AA3377">
        <f t="shared" si="291"/>
        <v>1000</v>
      </c>
      <c r="AB3377" t="str">
        <f t="shared" si="292"/>
        <v/>
      </c>
      <c r="AC3377">
        <f t="shared" si="289"/>
        <v>1000</v>
      </c>
      <c r="AD3377" s="6"/>
    </row>
    <row r="3378" spans="1:30" x14ac:dyDescent="0.2">
      <c r="A3378" t="str">
        <f t="shared" si="290"/>
        <v/>
      </c>
      <c r="X3378" t="str" cm="1">
        <f t="array" ref="X3378">IF(S3378="","",IF($I3378&lt;&gt;"",$I3378,INDEX($I$2:$I3377,ROW()-COUNTIFS($T$2:$T3377,"="&amp;$T3378,$S$2:$S3377,"&lt;&gt;"&amp;$S3378)-1)))</f>
        <v/>
      </c>
      <c r="Y3378" t="b">
        <f>IF(X3378&lt;&gt;"",VLOOKUP(X3378,game_rosters!$C$43:$E$64,3,FALSE))</f>
        <v>0</v>
      </c>
      <c r="Z3378" t="e" cm="1" vm="1">
        <f t="array" aca="1" ref="Z3378" ca="1">IFERROR(IF(_xlfn._xlws.FILTER(game_rosters!$J:$J,(game_rosters!$G:$G=events!$AN3378)*(game_rosters!$J:$J=events!$X3378))&gt;0,1,""),"")</f>
        <v>#VALUE!</v>
      </c>
      <c r="AA3378">
        <f t="shared" si="291"/>
        <v>1000</v>
      </c>
      <c r="AB3378" t="str">
        <f t="shared" si="292"/>
        <v/>
      </c>
      <c r="AC3378">
        <f t="shared" si="289"/>
        <v>1000</v>
      </c>
      <c r="AD3378" s="6"/>
    </row>
    <row r="3379" spans="1:30" x14ac:dyDescent="0.2">
      <c r="A3379" t="str">
        <f t="shared" si="290"/>
        <v/>
      </c>
      <c r="X3379" t="str" cm="1">
        <f t="array" ref="X3379">IF(S3379="","",IF($I3379&lt;&gt;"",$I3379,INDEX($I$2:$I3378,ROW()-COUNTIFS($T$2:$T3378,"="&amp;$T3379,$S$2:$S3378,"&lt;&gt;"&amp;$S3379)-1)))</f>
        <v/>
      </c>
      <c r="Y3379" t="b">
        <f>IF(X3379&lt;&gt;"",VLOOKUP(X3379,game_rosters!$C$43:$E$64,3,FALSE))</f>
        <v>0</v>
      </c>
      <c r="Z3379" t="e" cm="1" vm="1">
        <f t="array" aca="1" ref="Z3379" ca="1">IFERROR(IF(_xlfn._xlws.FILTER(game_rosters!$J:$J,(game_rosters!$G:$G=events!$AN3379)*(game_rosters!$J:$J=events!$X3379))&gt;0,1,""),"")</f>
        <v>#VALUE!</v>
      </c>
      <c r="AA3379">
        <f t="shared" si="291"/>
        <v>1000</v>
      </c>
      <c r="AB3379" t="str">
        <f t="shared" si="292"/>
        <v/>
      </c>
      <c r="AC3379">
        <f t="shared" si="289"/>
        <v>1000</v>
      </c>
      <c r="AD3379" s="6"/>
    </row>
    <row r="3380" spans="1:30" x14ac:dyDescent="0.2">
      <c r="A3380" t="str">
        <f t="shared" si="290"/>
        <v/>
      </c>
      <c r="X3380" t="str" cm="1">
        <f t="array" ref="X3380">IF(S3380="","",IF($I3380&lt;&gt;"",$I3380,INDEX($I$2:$I3379,ROW()-COUNTIFS($T$2:$T3379,"="&amp;$T3380,$S$2:$S3379,"&lt;&gt;"&amp;$S3380)-1)))</f>
        <v/>
      </c>
      <c r="Y3380" t="b">
        <f>IF(X3380&lt;&gt;"",VLOOKUP(X3380,game_rosters!$C$43:$E$64,3,FALSE))</f>
        <v>0</v>
      </c>
      <c r="Z3380" t="e" cm="1" vm="1">
        <f t="array" aca="1" ref="Z3380" ca="1">IFERROR(IF(_xlfn._xlws.FILTER(game_rosters!$J:$J,(game_rosters!$G:$G=events!$AN3380)*(game_rosters!$J:$J=events!$X3380))&gt;0,1,""),"")</f>
        <v>#VALUE!</v>
      </c>
      <c r="AA3380">
        <f t="shared" si="291"/>
        <v>1000</v>
      </c>
      <c r="AB3380" t="str">
        <f t="shared" si="292"/>
        <v/>
      </c>
      <c r="AC3380">
        <f t="shared" si="289"/>
        <v>1000</v>
      </c>
      <c r="AD3380" s="6"/>
    </row>
    <row r="3381" spans="1:30" x14ac:dyDescent="0.2">
      <c r="A3381" t="str">
        <f t="shared" si="290"/>
        <v/>
      </c>
      <c r="X3381" t="str" cm="1">
        <f t="array" ref="X3381">IF(S3381="","",IF($I3381&lt;&gt;"",$I3381,INDEX($I$2:$I3380,ROW()-COUNTIFS($T$2:$T3380,"="&amp;$T3381,$S$2:$S3380,"&lt;&gt;"&amp;$S3381)-1)))</f>
        <v/>
      </c>
      <c r="Y3381" t="b">
        <f>IF(X3381&lt;&gt;"",VLOOKUP(X3381,game_rosters!$C$43:$E$64,3,FALSE))</f>
        <v>0</v>
      </c>
      <c r="Z3381" t="e" cm="1" vm="1">
        <f t="array" aca="1" ref="Z3381" ca="1">IFERROR(IF(_xlfn._xlws.FILTER(game_rosters!$J:$J,(game_rosters!$G:$G=events!$AN3381)*(game_rosters!$J:$J=events!$X3381))&gt;0,1,""),"")</f>
        <v>#VALUE!</v>
      </c>
      <c r="AA3381">
        <f t="shared" si="291"/>
        <v>1000</v>
      </c>
      <c r="AB3381" t="str">
        <f t="shared" si="292"/>
        <v/>
      </c>
      <c r="AC3381">
        <f t="shared" si="289"/>
        <v>1000</v>
      </c>
      <c r="AD3381" s="6"/>
    </row>
    <row r="3382" spans="1:30" x14ac:dyDescent="0.2">
      <c r="A3382" t="str">
        <f t="shared" si="290"/>
        <v/>
      </c>
      <c r="X3382" t="str" cm="1">
        <f t="array" ref="X3382">IF(S3382="","",IF($I3382&lt;&gt;"",$I3382,INDEX($I$2:$I3381,ROW()-COUNTIFS($T$2:$T3381,"="&amp;$T3382,$S$2:$S3381,"&lt;&gt;"&amp;$S3382)-1)))</f>
        <v/>
      </c>
      <c r="Y3382" t="b">
        <f>IF(X3382&lt;&gt;"",VLOOKUP(X3382,game_rosters!$C$43:$E$64,3,FALSE))</f>
        <v>0</v>
      </c>
      <c r="Z3382" t="e" cm="1" vm="1">
        <f t="array" aca="1" ref="Z3382" ca="1">IFERROR(IF(_xlfn._xlws.FILTER(game_rosters!$J:$J,(game_rosters!$G:$G=events!$AN3382)*(game_rosters!$J:$J=events!$X3382))&gt;0,1,""),"")</f>
        <v>#VALUE!</v>
      </c>
      <c r="AA3382">
        <f t="shared" si="291"/>
        <v>1000</v>
      </c>
      <c r="AB3382" t="str">
        <f t="shared" si="292"/>
        <v/>
      </c>
      <c r="AC3382">
        <f t="shared" si="289"/>
        <v>1000</v>
      </c>
      <c r="AD3382" s="6"/>
    </row>
    <row r="3383" spans="1:30" x14ac:dyDescent="0.2">
      <c r="A3383" t="str">
        <f t="shared" si="290"/>
        <v/>
      </c>
      <c r="X3383" t="str" cm="1">
        <f t="array" ref="X3383">IF(S3383="","",IF($I3383&lt;&gt;"",$I3383,INDEX($I$2:$I3382,ROW()-COUNTIFS($T$2:$T3382,"="&amp;$T3383,$S$2:$S3382,"&lt;&gt;"&amp;$S3383)-1)))</f>
        <v/>
      </c>
      <c r="Y3383" t="b">
        <f>IF(X3383&lt;&gt;"",VLOOKUP(X3383,game_rosters!$C$43:$E$64,3,FALSE))</f>
        <v>0</v>
      </c>
      <c r="Z3383" t="e" cm="1" vm="1">
        <f t="array" aca="1" ref="Z3383" ca="1">IFERROR(IF(_xlfn._xlws.FILTER(game_rosters!$J:$J,(game_rosters!$G:$G=events!$AN3383)*(game_rosters!$J:$J=events!$X3383))&gt;0,1,""),"")</f>
        <v>#VALUE!</v>
      </c>
      <c r="AA3383">
        <f t="shared" si="291"/>
        <v>1000</v>
      </c>
      <c r="AB3383" t="str">
        <f t="shared" si="292"/>
        <v/>
      </c>
      <c r="AC3383">
        <f t="shared" si="289"/>
        <v>1000</v>
      </c>
      <c r="AD3383" s="6"/>
    </row>
    <row r="3384" spans="1:30" x14ac:dyDescent="0.2">
      <c r="A3384" t="str">
        <f t="shared" si="290"/>
        <v/>
      </c>
      <c r="X3384" t="str" cm="1">
        <f t="array" ref="X3384">IF(S3384="","",IF($I3384&lt;&gt;"",$I3384,INDEX($I$2:$I3383,ROW()-COUNTIFS($T$2:$T3383,"="&amp;$T3384,$S$2:$S3383,"&lt;&gt;"&amp;$S3384)-1)))</f>
        <v/>
      </c>
      <c r="Y3384" t="b">
        <f>IF(X3384&lt;&gt;"",VLOOKUP(X3384,game_rosters!$C$43:$E$64,3,FALSE))</f>
        <v>0</v>
      </c>
      <c r="Z3384" t="e" cm="1" vm="1">
        <f t="array" aca="1" ref="Z3384" ca="1">IFERROR(IF(_xlfn._xlws.FILTER(game_rosters!$J:$J,(game_rosters!$G:$G=events!$AN3384)*(game_rosters!$J:$J=events!$X3384))&gt;0,1,""),"")</f>
        <v>#VALUE!</v>
      </c>
      <c r="AA3384">
        <f t="shared" si="291"/>
        <v>1000</v>
      </c>
      <c r="AB3384" t="str">
        <f t="shared" si="292"/>
        <v/>
      </c>
      <c r="AC3384">
        <f t="shared" si="289"/>
        <v>1000</v>
      </c>
      <c r="AD3384" s="6"/>
    </row>
    <row r="3385" spans="1:30" x14ac:dyDescent="0.2">
      <c r="A3385" t="str">
        <f t="shared" si="290"/>
        <v/>
      </c>
      <c r="X3385" t="str" cm="1">
        <f t="array" ref="X3385">IF(S3385="","",IF($I3385&lt;&gt;"",$I3385,INDEX($I$2:$I3384,ROW()-COUNTIFS($T$2:$T3384,"="&amp;$T3385,$S$2:$S3384,"&lt;&gt;"&amp;$S3385)-1)))</f>
        <v/>
      </c>
      <c r="Y3385" t="b">
        <f>IF(X3385&lt;&gt;"",VLOOKUP(X3385,game_rosters!$C$43:$E$64,3,FALSE))</f>
        <v>0</v>
      </c>
      <c r="Z3385" t="e" cm="1" vm="1">
        <f t="array" aca="1" ref="Z3385" ca="1">IFERROR(IF(_xlfn._xlws.FILTER(game_rosters!$J:$J,(game_rosters!$G:$G=events!$AN3385)*(game_rosters!$J:$J=events!$X3385))&gt;0,1,""),"")</f>
        <v>#VALUE!</v>
      </c>
      <c r="AA3385">
        <f t="shared" si="291"/>
        <v>1000</v>
      </c>
      <c r="AB3385" t="str">
        <f t="shared" si="292"/>
        <v/>
      </c>
      <c r="AC3385">
        <f t="shared" si="289"/>
        <v>1000</v>
      </c>
      <c r="AD3385" s="6"/>
    </row>
    <row r="3386" spans="1:30" x14ac:dyDescent="0.2">
      <c r="A3386" t="str">
        <f t="shared" si="290"/>
        <v/>
      </c>
      <c r="X3386" t="str" cm="1">
        <f t="array" ref="X3386">IF(S3386="","",IF($I3386&lt;&gt;"",$I3386,INDEX($I$2:$I3385,ROW()-COUNTIFS($T$2:$T3385,"="&amp;$T3386,$S$2:$S3385,"&lt;&gt;"&amp;$S3386)-1)))</f>
        <v/>
      </c>
      <c r="Y3386" t="b">
        <f>IF(X3386&lt;&gt;"",VLOOKUP(X3386,game_rosters!$C$43:$E$64,3,FALSE))</f>
        <v>0</v>
      </c>
      <c r="Z3386" t="e" cm="1" vm="1">
        <f t="array" aca="1" ref="Z3386" ca="1">IFERROR(IF(_xlfn._xlws.FILTER(game_rosters!$J:$J,(game_rosters!$G:$G=events!$AN3386)*(game_rosters!$J:$J=events!$X3386))&gt;0,1,""),"")</f>
        <v>#VALUE!</v>
      </c>
      <c r="AA3386">
        <f t="shared" si="291"/>
        <v>1000</v>
      </c>
      <c r="AB3386" t="str">
        <f t="shared" si="292"/>
        <v/>
      </c>
      <c r="AC3386">
        <f t="shared" si="289"/>
        <v>1000</v>
      </c>
      <c r="AD3386" s="6"/>
    </row>
    <row r="3387" spans="1:30" x14ac:dyDescent="0.2">
      <c r="A3387" t="str">
        <f t="shared" si="290"/>
        <v/>
      </c>
      <c r="X3387" t="str" cm="1">
        <f t="array" ref="X3387">IF(S3387="","",IF($I3387&lt;&gt;"",$I3387,INDEX($I$2:$I3386,ROW()-COUNTIFS($T$2:$T3386,"="&amp;$T3387,$S$2:$S3386,"&lt;&gt;"&amp;$S3387)-1)))</f>
        <v/>
      </c>
      <c r="Y3387" t="b">
        <f>IF(X3387&lt;&gt;"",VLOOKUP(X3387,game_rosters!$C$43:$E$64,3,FALSE))</f>
        <v>0</v>
      </c>
      <c r="Z3387" t="e" cm="1" vm="1">
        <f t="array" aca="1" ref="Z3387" ca="1">IFERROR(IF(_xlfn._xlws.FILTER(game_rosters!$J:$J,(game_rosters!$G:$G=events!$AN3387)*(game_rosters!$J:$J=events!$X3387))&gt;0,1,""),"")</f>
        <v>#VALUE!</v>
      </c>
      <c r="AA3387">
        <f t="shared" si="291"/>
        <v>1000</v>
      </c>
      <c r="AB3387" t="str">
        <f t="shared" si="292"/>
        <v/>
      </c>
      <c r="AC3387">
        <f t="shared" si="289"/>
        <v>1000</v>
      </c>
      <c r="AD3387" s="6"/>
    </row>
    <row r="3388" spans="1:30" x14ac:dyDescent="0.2">
      <c r="A3388" t="str">
        <f t="shared" si="290"/>
        <v/>
      </c>
      <c r="X3388" t="str" cm="1">
        <f t="array" ref="X3388">IF(S3388="","",IF($I3388&lt;&gt;"",$I3388,INDEX($I$2:$I3387,ROW()-COUNTIFS($T$2:$T3387,"="&amp;$T3388,$S$2:$S3387,"&lt;&gt;"&amp;$S3388)-1)))</f>
        <v/>
      </c>
      <c r="Y3388" t="b">
        <f>IF(X3388&lt;&gt;"",VLOOKUP(X3388,game_rosters!$C$43:$E$64,3,FALSE))</f>
        <v>0</v>
      </c>
      <c r="Z3388" t="e" cm="1" vm="1">
        <f t="array" aca="1" ref="Z3388" ca="1">IFERROR(IF(_xlfn._xlws.FILTER(game_rosters!$J:$J,(game_rosters!$G:$G=events!$AN3388)*(game_rosters!$J:$J=events!$X3388))&gt;0,1,""),"")</f>
        <v>#VALUE!</v>
      </c>
      <c r="AA3388">
        <f t="shared" si="291"/>
        <v>1000</v>
      </c>
      <c r="AB3388" t="str">
        <f t="shared" si="292"/>
        <v/>
      </c>
      <c r="AC3388">
        <f t="shared" si="289"/>
        <v>1000</v>
      </c>
      <c r="AD3388" s="6"/>
    </row>
    <row r="3389" spans="1:30" x14ac:dyDescent="0.2">
      <c r="A3389" t="str">
        <f t="shared" si="290"/>
        <v/>
      </c>
      <c r="X3389" t="str" cm="1">
        <f t="array" ref="X3389">IF(S3389="","",IF($I3389&lt;&gt;"",$I3389,INDEX($I$2:$I3388,ROW()-COUNTIFS($T$2:$T3388,"="&amp;$T3389,$S$2:$S3388,"&lt;&gt;"&amp;$S3389)-1)))</f>
        <v/>
      </c>
      <c r="Y3389" t="b">
        <f>IF(X3389&lt;&gt;"",VLOOKUP(X3389,game_rosters!$C$43:$E$64,3,FALSE))</f>
        <v>0</v>
      </c>
      <c r="Z3389" t="e" cm="1" vm="1">
        <f t="array" aca="1" ref="Z3389" ca="1">IFERROR(IF(_xlfn._xlws.FILTER(game_rosters!$J:$J,(game_rosters!$G:$G=events!$AN3389)*(game_rosters!$J:$J=events!$X3389))&gt;0,1,""),"")</f>
        <v>#VALUE!</v>
      </c>
      <c r="AA3389">
        <f t="shared" si="291"/>
        <v>1000</v>
      </c>
      <c r="AB3389" t="str">
        <f t="shared" si="292"/>
        <v/>
      </c>
      <c r="AC3389">
        <f t="shared" si="289"/>
        <v>1000</v>
      </c>
      <c r="AD3389" s="6"/>
    </row>
    <row r="3390" spans="1:30" x14ac:dyDescent="0.2">
      <c r="A3390" t="str">
        <f t="shared" si="290"/>
        <v/>
      </c>
      <c r="X3390" t="str" cm="1">
        <f t="array" ref="X3390">IF(S3390="","",IF($I3390&lt;&gt;"",$I3390,INDEX($I$2:$I3389,ROW()-COUNTIFS($T$2:$T3389,"="&amp;$T3390,$S$2:$S3389,"&lt;&gt;"&amp;$S3390)-1)))</f>
        <v/>
      </c>
      <c r="Y3390" t="b">
        <f>IF(X3390&lt;&gt;"",VLOOKUP(X3390,game_rosters!$C$43:$E$64,3,FALSE))</f>
        <v>0</v>
      </c>
      <c r="Z3390" t="e" cm="1" vm="1">
        <f t="array" aca="1" ref="Z3390" ca="1">IFERROR(IF(_xlfn._xlws.FILTER(game_rosters!$J:$J,(game_rosters!$G:$G=events!$AN3390)*(game_rosters!$J:$J=events!$X3390))&gt;0,1,""),"")</f>
        <v>#VALUE!</v>
      </c>
      <c r="AA3390">
        <f t="shared" si="291"/>
        <v>1000</v>
      </c>
      <c r="AB3390" t="str">
        <f t="shared" si="292"/>
        <v/>
      </c>
      <c r="AC3390">
        <f t="shared" si="289"/>
        <v>1000</v>
      </c>
      <c r="AD3390" s="6"/>
    </row>
    <row r="3391" spans="1:30" x14ac:dyDescent="0.2">
      <c r="A3391" t="str">
        <f t="shared" si="290"/>
        <v/>
      </c>
      <c r="X3391" t="str" cm="1">
        <f t="array" ref="X3391">IF(S3391="","",IF($I3391&lt;&gt;"",$I3391,INDEX($I$2:$I3390,ROW()-COUNTIFS($T$2:$T3390,"="&amp;$T3391,$S$2:$S3390,"&lt;&gt;"&amp;$S3391)-1)))</f>
        <v/>
      </c>
      <c r="Y3391" t="b">
        <f>IF(X3391&lt;&gt;"",VLOOKUP(X3391,game_rosters!$C$43:$E$64,3,FALSE))</f>
        <v>0</v>
      </c>
      <c r="Z3391" t="e" cm="1" vm="1">
        <f t="array" aca="1" ref="Z3391" ca="1">IFERROR(IF(_xlfn._xlws.FILTER(game_rosters!$J:$J,(game_rosters!$G:$G=events!$AN3391)*(game_rosters!$J:$J=events!$X3391))&gt;0,1,""),"")</f>
        <v>#VALUE!</v>
      </c>
      <c r="AA3391">
        <f t="shared" si="291"/>
        <v>1000</v>
      </c>
      <c r="AB3391" t="str">
        <f t="shared" si="292"/>
        <v/>
      </c>
      <c r="AC3391">
        <f t="shared" si="289"/>
        <v>1000</v>
      </c>
      <c r="AD3391" s="6"/>
    </row>
    <row r="3392" spans="1:30" x14ac:dyDescent="0.2">
      <c r="A3392" t="str">
        <f t="shared" si="290"/>
        <v/>
      </c>
      <c r="X3392" t="str" cm="1">
        <f t="array" ref="X3392">IF(S3392="","",IF($I3392&lt;&gt;"",$I3392,INDEX($I$2:$I3391,ROW()-COUNTIFS($T$2:$T3391,"="&amp;$T3392,$S$2:$S3391,"&lt;&gt;"&amp;$S3392)-1)))</f>
        <v/>
      </c>
      <c r="Y3392" t="b">
        <f>IF(X3392&lt;&gt;"",VLOOKUP(X3392,game_rosters!$C$43:$E$64,3,FALSE))</f>
        <v>0</v>
      </c>
      <c r="Z3392" t="e" cm="1" vm="1">
        <f t="array" aca="1" ref="Z3392" ca="1">IFERROR(IF(_xlfn._xlws.FILTER(game_rosters!$J:$J,(game_rosters!$G:$G=events!$AN3392)*(game_rosters!$J:$J=events!$X3392))&gt;0,1,""),"")</f>
        <v>#VALUE!</v>
      </c>
      <c r="AA3392">
        <f t="shared" si="291"/>
        <v>1000</v>
      </c>
      <c r="AB3392" t="str">
        <f t="shared" si="292"/>
        <v/>
      </c>
      <c r="AC3392">
        <f t="shared" si="289"/>
        <v>1000</v>
      </c>
      <c r="AD3392" s="6"/>
    </row>
    <row r="3393" spans="1:30" x14ac:dyDescent="0.2">
      <c r="A3393" t="str">
        <f t="shared" si="290"/>
        <v/>
      </c>
      <c r="X3393" t="str" cm="1">
        <f t="array" ref="X3393">IF(S3393="","",IF($I3393&lt;&gt;"",$I3393,INDEX($I$2:$I3392,ROW()-COUNTIFS($T$2:$T3392,"="&amp;$T3393,$S$2:$S3392,"&lt;&gt;"&amp;$S3393)-1)))</f>
        <v/>
      </c>
      <c r="Y3393" t="b">
        <f>IF(X3393&lt;&gt;"",VLOOKUP(X3393,game_rosters!$C$43:$E$64,3,FALSE))</f>
        <v>0</v>
      </c>
      <c r="Z3393" t="e" cm="1" vm="1">
        <f t="array" aca="1" ref="Z3393" ca="1">IFERROR(IF(_xlfn._xlws.FILTER(game_rosters!$J:$J,(game_rosters!$G:$G=events!$AN3393)*(game_rosters!$J:$J=events!$X3393))&gt;0,1,""),"")</f>
        <v>#VALUE!</v>
      </c>
      <c r="AA3393">
        <f t="shared" si="291"/>
        <v>1000</v>
      </c>
      <c r="AB3393" t="str">
        <f t="shared" si="292"/>
        <v/>
      </c>
      <c r="AC3393">
        <f t="shared" si="289"/>
        <v>1000</v>
      </c>
      <c r="AD3393" s="6"/>
    </row>
    <row r="3394" spans="1:30" x14ac:dyDescent="0.2">
      <c r="A3394" t="str">
        <f t="shared" si="290"/>
        <v/>
      </c>
      <c r="X3394" t="str" cm="1">
        <f t="array" ref="X3394">IF(S3394="","",IF($I3394&lt;&gt;"",$I3394,INDEX($I$2:$I3393,ROW()-COUNTIFS($T$2:$T3393,"="&amp;$T3394,$S$2:$S3393,"&lt;&gt;"&amp;$S3394)-1)))</f>
        <v/>
      </c>
      <c r="Y3394" t="b">
        <f>IF(X3394&lt;&gt;"",VLOOKUP(X3394,game_rosters!$C$43:$E$64,3,FALSE))</f>
        <v>0</v>
      </c>
      <c r="Z3394" t="e" cm="1" vm="1">
        <f t="array" aca="1" ref="Z3394" ca="1">IFERROR(IF(_xlfn._xlws.FILTER(game_rosters!$J:$J,(game_rosters!$G:$G=events!$AN3394)*(game_rosters!$J:$J=events!$X3394))&gt;0,1,""),"")</f>
        <v>#VALUE!</v>
      </c>
      <c r="AA3394">
        <f t="shared" si="291"/>
        <v>1000</v>
      </c>
      <c r="AB3394" t="str">
        <f t="shared" si="292"/>
        <v/>
      </c>
      <c r="AC3394">
        <f t="shared" ref="AC3394:AC3457" si="293">IF(AB3394&lt;&gt;"",AB3394,S3394+1000)</f>
        <v>1000</v>
      </c>
      <c r="AD3394" s="6"/>
    </row>
    <row r="3395" spans="1:30" x14ac:dyDescent="0.2">
      <c r="A3395" t="str">
        <f t="shared" si="290"/>
        <v/>
      </c>
      <c r="X3395" t="str" cm="1">
        <f t="array" ref="X3395">IF(S3395="","",IF($I3395&lt;&gt;"",$I3395,INDEX($I$2:$I3394,ROW()-COUNTIFS($T$2:$T3394,"="&amp;$T3395,$S$2:$S3394,"&lt;&gt;"&amp;$S3395)-1)))</f>
        <v/>
      </c>
      <c r="Y3395" t="b">
        <f>IF(X3395&lt;&gt;"",VLOOKUP(X3395,game_rosters!$C$43:$E$64,3,FALSE))</f>
        <v>0</v>
      </c>
      <c r="Z3395" t="e" cm="1" vm="1">
        <f t="array" aca="1" ref="Z3395" ca="1">IFERROR(IF(_xlfn._xlws.FILTER(game_rosters!$J:$J,(game_rosters!$G:$G=events!$AN3395)*(game_rosters!$J:$J=events!$X3395))&gt;0,1,""),"")</f>
        <v>#VALUE!</v>
      </c>
      <c r="AA3395">
        <f t="shared" si="291"/>
        <v>1000</v>
      </c>
      <c r="AB3395" t="str">
        <f t="shared" si="292"/>
        <v/>
      </c>
      <c r="AC3395">
        <f t="shared" si="293"/>
        <v>1000</v>
      </c>
      <c r="AD3395" s="6"/>
    </row>
    <row r="3396" spans="1:30" x14ac:dyDescent="0.2">
      <c r="A3396" t="str">
        <f t="shared" si="290"/>
        <v/>
      </c>
      <c r="X3396" t="str" cm="1">
        <f t="array" ref="X3396">IF(S3396="","",IF($I3396&lt;&gt;"",$I3396,INDEX($I$2:$I3395,ROW()-COUNTIFS($T$2:$T3395,"="&amp;$T3396,$S$2:$S3395,"&lt;&gt;"&amp;$S3396)-1)))</f>
        <v/>
      </c>
      <c r="Y3396" t="b">
        <f>IF(X3396&lt;&gt;"",VLOOKUP(X3396,game_rosters!$C$43:$E$64,3,FALSE))</f>
        <v>0</v>
      </c>
      <c r="Z3396" t="e" cm="1" vm="1">
        <f t="array" aca="1" ref="Z3396" ca="1">IFERROR(IF(_xlfn._xlws.FILTER(game_rosters!$J:$J,(game_rosters!$G:$G=events!$AN3396)*(game_rosters!$J:$J=events!$X3396))&gt;0,1,""),"")</f>
        <v>#VALUE!</v>
      </c>
      <c r="AA3396">
        <f t="shared" si="291"/>
        <v>1000</v>
      </c>
      <c r="AB3396" t="str">
        <f t="shared" si="292"/>
        <v/>
      </c>
      <c r="AC3396">
        <f t="shared" si="293"/>
        <v>1000</v>
      </c>
      <c r="AD3396" s="6"/>
    </row>
    <row r="3397" spans="1:30" x14ac:dyDescent="0.2">
      <c r="A3397" t="str">
        <f t="shared" ref="A3397:A3460" si="294">IF(K3397&lt;&gt;"",1,IF(D3397="x","x",""))</f>
        <v/>
      </c>
      <c r="X3397" t="str" cm="1">
        <f t="array" ref="X3397">IF(S3397="","",IF($I3397&lt;&gt;"",$I3397,INDEX($I$2:$I3396,ROW()-COUNTIFS($T$2:$T3396,"="&amp;$T3397,$S$2:$S3396,"&lt;&gt;"&amp;$S3397)-1)))</f>
        <v/>
      </c>
      <c r="Y3397" t="b">
        <f>IF(X3397&lt;&gt;"",VLOOKUP(X3397,game_rosters!$C$43:$E$64,3,FALSE))</f>
        <v>0</v>
      </c>
      <c r="Z3397" t="e" cm="1" vm="1">
        <f t="array" aca="1" ref="Z3397" ca="1">IFERROR(IF(_xlfn._xlws.FILTER(game_rosters!$J:$J,(game_rosters!$G:$G=events!$AN3397)*(game_rosters!$J:$J=events!$X3397))&gt;0,1,""),"")</f>
        <v>#VALUE!</v>
      </c>
      <c r="AA3397">
        <f t="shared" si="291"/>
        <v>1000</v>
      </c>
      <c r="AB3397" t="str">
        <f t="shared" si="292"/>
        <v/>
      </c>
      <c r="AC3397">
        <f t="shared" si="293"/>
        <v>1000</v>
      </c>
      <c r="AD3397" s="6"/>
    </row>
    <row r="3398" spans="1:30" x14ac:dyDescent="0.2">
      <c r="A3398" t="str">
        <f t="shared" si="294"/>
        <v/>
      </c>
      <c r="X3398" t="str" cm="1">
        <f t="array" ref="X3398">IF(S3398="","",IF($I3398&lt;&gt;"",$I3398,INDEX($I$2:$I3397,ROW()-COUNTIFS($T$2:$T3397,"="&amp;$T3398,$S$2:$S3397,"&lt;&gt;"&amp;$S3398)-1)))</f>
        <v/>
      </c>
      <c r="Y3398" t="b">
        <f>IF(X3398&lt;&gt;"",VLOOKUP(X3398,game_rosters!$C$43:$E$64,3,FALSE))</f>
        <v>0</v>
      </c>
      <c r="Z3398" t="e" cm="1" vm="1">
        <f t="array" aca="1" ref="Z3398" ca="1">IFERROR(IF(_xlfn._xlws.FILTER(game_rosters!$J:$J,(game_rosters!$G:$G=events!$AN3398)*(game_rosters!$J:$J=events!$X3398))&gt;0,1,""),"")</f>
        <v>#VALUE!</v>
      </c>
      <c r="AA3398">
        <f t="shared" si="291"/>
        <v>1000</v>
      </c>
      <c r="AB3398" t="str">
        <f t="shared" si="292"/>
        <v/>
      </c>
      <c r="AC3398">
        <f t="shared" si="293"/>
        <v>1000</v>
      </c>
      <c r="AD3398" s="6"/>
    </row>
    <row r="3399" spans="1:30" x14ac:dyDescent="0.2">
      <c r="A3399" t="str">
        <f t="shared" si="294"/>
        <v/>
      </c>
      <c r="X3399" t="str" cm="1">
        <f t="array" ref="X3399">IF(S3399="","",IF($I3399&lt;&gt;"",$I3399,INDEX($I$2:$I3398,ROW()-COUNTIFS($T$2:$T3398,"="&amp;$T3399,$S$2:$S3398,"&lt;&gt;"&amp;$S3399)-1)))</f>
        <v/>
      </c>
      <c r="Y3399" t="b">
        <f>IF(X3399&lt;&gt;"",VLOOKUP(X3399,game_rosters!$C$43:$E$64,3,FALSE))</f>
        <v>0</v>
      </c>
      <c r="Z3399" t="e" cm="1" vm="1">
        <f t="array" aca="1" ref="Z3399" ca="1">IFERROR(IF(_xlfn._xlws.FILTER(game_rosters!$J:$J,(game_rosters!$G:$G=events!$AN3399)*(game_rosters!$J:$J=events!$X3399))&gt;0,1,""),"")</f>
        <v>#VALUE!</v>
      </c>
      <c r="AA3399">
        <f t="shared" si="291"/>
        <v>1000</v>
      </c>
      <c r="AB3399" t="str">
        <f t="shared" si="292"/>
        <v/>
      </c>
      <c r="AC3399">
        <f t="shared" si="293"/>
        <v>1000</v>
      </c>
      <c r="AD3399" s="6"/>
    </row>
    <row r="3400" spans="1:30" x14ac:dyDescent="0.2">
      <c r="A3400" t="str">
        <f t="shared" si="294"/>
        <v/>
      </c>
      <c r="X3400" t="str" cm="1">
        <f t="array" ref="X3400">IF(S3400="","",IF($I3400&lt;&gt;"",$I3400,INDEX($I$2:$I3399,ROW()-COUNTIFS($T$2:$T3399,"="&amp;$T3400,$S$2:$S3399,"&lt;&gt;"&amp;$S3400)-1)))</f>
        <v/>
      </c>
      <c r="Y3400" t="b">
        <f>IF(X3400&lt;&gt;"",VLOOKUP(X3400,game_rosters!$C$43:$E$64,3,FALSE))</f>
        <v>0</v>
      </c>
      <c r="Z3400" t="e" cm="1" vm="1">
        <f t="array" aca="1" ref="Z3400" ca="1">IFERROR(IF(_xlfn._xlws.FILTER(game_rosters!$J:$J,(game_rosters!$G:$G=events!$AN3400)*(game_rosters!$J:$J=events!$X3400))&gt;0,1,""),"")</f>
        <v>#VALUE!</v>
      </c>
      <c r="AA3400">
        <f t="shared" si="291"/>
        <v>1000</v>
      </c>
      <c r="AB3400" t="str">
        <f t="shared" si="292"/>
        <v/>
      </c>
      <c r="AC3400">
        <f t="shared" si="293"/>
        <v>1000</v>
      </c>
      <c r="AD3400" s="6"/>
    </row>
    <row r="3401" spans="1:30" x14ac:dyDescent="0.2">
      <c r="A3401" t="str">
        <f t="shared" si="294"/>
        <v/>
      </c>
      <c r="X3401" t="str" cm="1">
        <f t="array" ref="X3401">IF(S3401="","",IF($I3401&lt;&gt;"",$I3401,INDEX($I$2:$I3400,ROW()-COUNTIFS($T$2:$T3400,"="&amp;$T3401,$S$2:$S3400,"&lt;&gt;"&amp;$S3401)-1)))</f>
        <v/>
      </c>
      <c r="Y3401" t="b">
        <f>IF(X3401&lt;&gt;"",VLOOKUP(X3401,game_rosters!$C$43:$E$64,3,FALSE))</f>
        <v>0</v>
      </c>
      <c r="Z3401" t="e" cm="1" vm="1">
        <f t="array" aca="1" ref="Z3401" ca="1">IFERROR(IF(_xlfn._xlws.FILTER(game_rosters!$J:$J,(game_rosters!$G:$G=events!$AN3401)*(game_rosters!$J:$J=events!$X3401))&gt;0,1,""),"")</f>
        <v>#VALUE!</v>
      </c>
      <c r="AA3401">
        <f t="shared" si="291"/>
        <v>1000</v>
      </c>
      <c r="AB3401" t="str">
        <f t="shared" si="292"/>
        <v/>
      </c>
      <c r="AC3401">
        <f t="shared" si="293"/>
        <v>1000</v>
      </c>
      <c r="AD3401" s="6"/>
    </row>
    <row r="3402" spans="1:30" x14ac:dyDescent="0.2">
      <c r="A3402" t="str">
        <f t="shared" si="294"/>
        <v/>
      </c>
      <c r="X3402" t="str" cm="1">
        <f t="array" ref="X3402">IF(S3402="","",IF($I3402&lt;&gt;"",$I3402,INDEX($I$2:$I3401,ROW()-COUNTIFS($T$2:$T3401,"="&amp;$T3402,$S$2:$S3401,"&lt;&gt;"&amp;$S3402)-1)))</f>
        <v/>
      </c>
      <c r="Y3402" t="b">
        <f>IF(X3402&lt;&gt;"",VLOOKUP(X3402,game_rosters!$C$43:$E$64,3,FALSE))</f>
        <v>0</v>
      </c>
      <c r="Z3402" t="e" cm="1" vm="1">
        <f t="array" aca="1" ref="Z3402" ca="1">IFERROR(IF(_xlfn._xlws.FILTER(game_rosters!$J:$J,(game_rosters!$G:$G=events!$AN3402)*(game_rosters!$J:$J=events!$X3402))&gt;0,1,""),"")</f>
        <v>#VALUE!</v>
      </c>
      <c r="AA3402">
        <f t="shared" si="291"/>
        <v>1000</v>
      </c>
      <c r="AB3402" t="str">
        <f t="shared" si="292"/>
        <v/>
      </c>
      <c r="AC3402">
        <f t="shared" si="293"/>
        <v>1000</v>
      </c>
      <c r="AD3402" s="6"/>
    </row>
    <row r="3403" spans="1:30" x14ac:dyDescent="0.2">
      <c r="A3403" t="str">
        <f t="shared" si="294"/>
        <v/>
      </c>
      <c r="X3403" t="str" cm="1">
        <f t="array" ref="X3403">IF(S3403="","",IF($I3403&lt;&gt;"",$I3403,INDEX($I$2:$I3402,ROW()-COUNTIFS($T$2:$T3402,"="&amp;$T3403,$S$2:$S3402,"&lt;&gt;"&amp;$S3403)-1)))</f>
        <v/>
      </c>
      <c r="Y3403" t="b">
        <f>IF(X3403&lt;&gt;"",VLOOKUP(X3403,game_rosters!$C$43:$E$64,3,FALSE))</f>
        <v>0</v>
      </c>
      <c r="Z3403" t="e" cm="1" vm="1">
        <f t="array" aca="1" ref="Z3403" ca="1">IFERROR(IF(_xlfn._xlws.FILTER(game_rosters!$J:$J,(game_rosters!$G:$G=events!$AN3403)*(game_rosters!$J:$J=events!$X3403))&gt;0,1,""),"")</f>
        <v>#VALUE!</v>
      </c>
      <c r="AA3403">
        <f t="shared" si="291"/>
        <v>1000</v>
      </c>
      <c r="AB3403" t="str">
        <f t="shared" si="292"/>
        <v/>
      </c>
      <c r="AC3403">
        <f t="shared" si="293"/>
        <v>1000</v>
      </c>
      <c r="AD3403" s="6"/>
    </row>
    <row r="3404" spans="1:30" x14ac:dyDescent="0.2">
      <c r="A3404" t="str">
        <f t="shared" si="294"/>
        <v/>
      </c>
      <c r="X3404" t="str" cm="1">
        <f t="array" ref="X3404">IF(S3404="","",IF($I3404&lt;&gt;"",$I3404,INDEX($I$2:$I3403,ROW()-COUNTIFS($T$2:$T3403,"="&amp;$T3404,$S$2:$S3403,"&lt;&gt;"&amp;$S3404)-1)))</f>
        <v/>
      </c>
      <c r="Y3404" t="b">
        <f>IF(X3404&lt;&gt;"",VLOOKUP(X3404,game_rosters!$C$43:$E$64,3,FALSE))</f>
        <v>0</v>
      </c>
      <c r="Z3404" t="e" cm="1" vm="1">
        <f t="array" aca="1" ref="Z3404" ca="1">IFERROR(IF(_xlfn._xlws.FILTER(game_rosters!$J:$J,(game_rosters!$G:$G=events!$AN3404)*(game_rosters!$J:$J=events!$X3404))&gt;0,1,""),"")</f>
        <v>#VALUE!</v>
      </c>
      <c r="AA3404">
        <f t="shared" si="291"/>
        <v>1000</v>
      </c>
      <c r="AB3404" t="str">
        <f t="shared" si="292"/>
        <v/>
      </c>
      <c r="AC3404">
        <f t="shared" si="293"/>
        <v>1000</v>
      </c>
      <c r="AD3404" s="6"/>
    </row>
    <row r="3405" spans="1:30" x14ac:dyDescent="0.2">
      <c r="A3405" t="str">
        <f t="shared" si="294"/>
        <v/>
      </c>
      <c r="X3405" t="str" cm="1">
        <f t="array" ref="X3405">IF(S3405="","",IF($I3405&lt;&gt;"",$I3405,INDEX($I$2:$I3404,ROW()-COUNTIFS($T$2:$T3404,"="&amp;$T3405,$S$2:$S3404,"&lt;&gt;"&amp;$S3405)-1)))</f>
        <v/>
      </c>
      <c r="Y3405" t="b">
        <f>IF(X3405&lt;&gt;"",VLOOKUP(X3405,game_rosters!$C$43:$E$64,3,FALSE))</f>
        <v>0</v>
      </c>
      <c r="Z3405" t="e" cm="1" vm="1">
        <f t="array" aca="1" ref="Z3405" ca="1">IFERROR(IF(_xlfn._xlws.FILTER(game_rosters!$J:$J,(game_rosters!$G:$G=events!$AN3405)*(game_rosters!$J:$J=events!$X3405))&gt;0,1,""),"")</f>
        <v>#VALUE!</v>
      </c>
      <c r="AA3405">
        <f t="shared" si="291"/>
        <v>1000</v>
      </c>
      <c r="AB3405" t="str">
        <f t="shared" si="292"/>
        <v/>
      </c>
      <c r="AC3405">
        <f t="shared" si="293"/>
        <v>1000</v>
      </c>
      <c r="AD3405" s="6"/>
    </row>
    <row r="3406" spans="1:30" x14ac:dyDescent="0.2">
      <c r="A3406" t="str">
        <f t="shared" si="294"/>
        <v/>
      </c>
      <c r="X3406" t="str" cm="1">
        <f t="array" ref="X3406">IF(S3406="","",IF($I3406&lt;&gt;"",$I3406,INDEX($I$2:$I3405,ROW()-COUNTIFS($T$2:$T3405,"="&amp;$T3406,$S$2:$S3405,"&lt;&gt;"&amp;$S3406)-1)))</f>
        <v/>
      </c>
      <c r="Y3406" t="b">
        <f>IF(X3406&lt;&gt;"",VLOOKUP(X3406,game_rosters!$C$43:$E$64,3,FALSE))</f>
        <v>0</v>
      </c>
      <c r="Z3406" t="e" cm="1" vm="1">
        <f t="array" aca="1" ref="Z3406" ca="1">IFERROR(IF(_xlfn._xlws.FILTER(game_rosters!$J:$J,(game_rosters!$G:$G=events!$AN3406)*(game_rosters!$J:$J=events!$X3406))&gt;0,1,""),"")</f>
        <v>#VALUE!</v>
      </c>
      <c r="AA3406">
        <f t="shared" si="291"/>
        <v>1000</v>
      </c>
      <c r="AB3406" t="str">
        <f t="shared" si="292"/>
        <v/>
      </c>
      <c r="AC3406">
        <f t="shared" si="293"/>
        <v>1000</v>
      </c>
      <c r="AD3406" s="6"/>
    </row>
    <row r="3407" spans="1:30" x14ac:dyDescent="0.2">
      <c r="A3407" t="str">
        <f t="shared" si="294"/>
        <v/>
      </c>
      <c r="X3407" t="str" cm="1">
        <f t="array" ref="X3407">IF(S3407="","",IF($I3407&lt;&gt;"",$I3407,INDEX($I$2:$I3406,ROW()-COUNTIFS($T$2:$T3406,"="&amp;$T3407,$S$2:$S3406,"&lt;&gt;"&amp;$S3407)-1)))</f>
        <v/>
      </c>
      <c r="Y3407" t="b">
        <f>IF(X3407&lt;&gt;"",VLOOKUP(X3407,game_rosters!$C$43:$E$64,3,FALSE))</f>
        <v>0</v>
      </c>
      <c r="Z3407" t="e" cm="1" vm="1">
        <f t="array" aca="1" ref="Z3407" ca="1">IFERROR(IF(_xlfn._xlws.FILTER(game_rosters!$J:$J,(game_rosters!$G:$G=events!$AN3407)*(game_rosters!$J:$J=events!$X3407))&gt;0,1,""),"")</f>
        <v>#VALUE!</v>
      </c>
      <c r="AA3407">
        <f t="shared" si="291"/>
        <v>1000</v>
      </c>
      <c r="AB3407" t="str">
        <f t="shared" si="292"/>
        <v/>
      </c>
      <c r="AC3407">
        <f t="shared" si="293"/>
        <v>1000</v>
      </c>
      <c r="AD3407" s="6"/>
    </row>
    <row r="3408" spans="1:30" x14ac:dyDescent="0.2">
      <c r="A3408" t="str">
        <f t="shared" si="294"/>
        <v/>
      </c>
      <c r="X3408" t="str" cm="1">
        <f t="array" ref="X3408">IF(S3408="","",IF($I3408&lt;&gt;"",$I3408,INDEX($I$2:$I3407,ROW()-COUNTIFS($T$2:$T3407,"="&amp;$T3408,$S$2:$S3407,"&lt;&gt;"&amp;$S3408)-1)))</f>
        <v/>
      </c>
      <c r="Y3408" t="b">
        <f>IF(X3408&lt;&gt;"",VLOOKUP(X3408,game_rosters!$C$43:$E$64,3,FALSE))</f>
        <v>0</v>
      </c>
      <c r="Z3408" t="e" cm="1" vm="1">
        <f t="array" aca="1" ref="Z3408" ca="1">IFERROR(IF(_xlfn._xlws.FILTER(game_rosters!$J:$J,(game_rosters!$G:$G=events!$AN3408)*(game_rosters!$J:$J=events!$X3408))&gt;0,1,""),"")</f>
        <v>#VALUE!</v>
      </c>
      <c r="AA3408">
        <f t="shared" si="291"/>
        <v>1000</v>
      </c>
      <c r="AB3408" t="str">
        <f t="shared" si="292"/>
        <v/>
      </c>
      <c r="AC3408">
        <f t="shared" si="293"/>
        <v>1000</v>
      </c>
      <c r="AD3408" s="6"/>
    </row>
    <row r="3409" spans="1:30" x14ac:dyDescent="0.2">
      <c r="A3409" t="str">
        <f t="shared" si="294"/>
        <v/>
      </c>
      <c r="X3409" t="str" cm="1">
        <f t="array" ref="X3409">IF(S3409="","",IF($I3409&lt;&gt;"",$I3409,INDEX($I$2:$I3408,ROW()-COUNTIFS($T$2:$T3408,"="&amp;$T3409,$S$2:$S3408,"&lt;&gt;"&amp;$S3409)-1)))</f>
        <v/>
      </c>
      <c r="Y3409" t="b">
        <f>IF(X3409&lt;&gt;"",VLOOKUP(X3409,game_rosters!$C$43:$E$64,3,FALSE))</f>
        <v>0</v>
      </c>
      <c r="Z3409" t="e" cm="1" vm="1">
        <f t="array" aca="1" ref="Z3409" ca="1">IFERROR(IF(_xlfn._xlws.FILTER(game_rosters!$J:$J,(game_rosters!$G:$G=events!$AN3409)*(game_rosters!$J:$J=events!$X3409))&gt;0,1,""),"")</f>
        <v>#VALUE!</v>
      </c>
      <c r="AA3409">
        <f t="shared" si="291"/>
        <v>1000</v>
      </c>
      <c r="AB3409" t="str">
        <f t="shared" si="292"/>
        <v/>
      </c>
      <c r="AC3409">
        <f t="shared" si="293"/>
        <v>1000</v>
      </c>
      <c r="AD3409" s="6"/>
    </row>
    <row r="3410" spans="1:30" x14ac:dyDescent="0.2">
      <c r="A3410" t="str">
        <f t="shared" si="294"/>
        <v/>
      </c>
      <c r="X3410" t="str" cm="1">
        <f t="array" ref="X3410">IF(S3410="","",IF($I3410&lt;&gt;"",$I3410,INDEX($I$2:$I3409,ROW()-COUNTIFS($T$2:$T3409,"="&amp;$T3410,$S$2:$S3409,"&lt;&gt;"&amp;$S3410)-1)))</f>
        <v/>
      </c>
      <c r="Y3410" t="b">
        <f>IF(X3410&lt;&gt;"",VLOOKUP(X3410,game_rosters!$C$43:$E$64,3,FALSE))</f>
        <v>0</v>
      </c>
      <c r="Z3410" t="e" cm="1" vm="1">
        <f t="array" aca="1" ref="Z3410" ca="1">IFERROR(IF(_xlfn._xlws.FILTER(game_rosters!$J:$J,(game_rosters!$G:$G=events!$AN3410)*(game_rosters!$J:$J=events!$X3410))&gt;0,1,""),"")</f>
        <v>#VALUE!</v>
      </c>
      <c r="AA3410">
        <f t="shared" si="291"/>
        <v>1000</v>
      </c>
      <c r="AB3410" t="str">
        <f t="shared" si="292"/>
        <v/>
      </c>
      <c r="AC3410">
        <f t="shared" si="293"/>
        <v>1000</v>
      </c>
      <c r="AD3410" s="6"/>
    </row>
    <row r="3411" spans="1:30" x14ac:dyDescent="0.2">
      <c r="A3411" t="str">
        <f t="shared" si="294"/>
        <v/>
      </c>
      <c r="X3411" t="str" cm="1">
        <f t="array" ref="X3411">IF(S3411="","",IF($I3411&lt;&gt;"",$I3411,INDEX($I$2:$I3410,ROW()-COUNTIFS($T$2:$T3410,"="&amp;$T3411,$S$2:$S3410,"&lt;&gt;"&amp;$S3411)-1)))</f>
        <v/>
      </c>
      <c r="Y3411" t="b">
        <f>IF(X3411&lt;&gt;"",VLOOKUP(X3411,game_rosters!$C$43:$E$64,3,FALSE))</f>
        <v>0</v>
      </c>
      <c r="Z3411" t="e" cm="1" vm="1">
        <f t="array" aca="1" ref="Z3411" ca="1">IFERROR(IF(_xlfn._xlws.FILTER(game_rosters!$J:$J,(game_rosters!$G:$G=events!$AN3411)*(game_rosters!$J:$J=events!$X3411))&gt;0,1,""),"")</f>
        <v>#VALUE!</v>
      </c>
      <c r="AA3411">
        <f t="shared" si="291"/>
        <v>1000</v>
      </c>
      <c r="AB3411" t="str">
        <f t="shared" si="292"/>
        <v/>
      </c>
      <c r="AC3411">
        <f t="shared" si="293"/>
        <v>1000</v>
      </c>
      <c r="AD3411" s="6"/>
    </row>
    <row r="3412" spans="1:30" x14ac:dyDescent="0.2">
      <c r="A3412" t="str">
        <f t="shared" si="294"/>
        <v/>
      </c>
      <c r="X3412" t="str" cm="1">
        <f t="array" ref="X3412">IF(S3412="","",IF($I3412&lt;&gt;"",$I3412,INDEX($I$2:$I3411,ROW()-COUNTIFS($T$2:$T3411,"="&amp;$T3412,$S$2:$S3411,"&lt;&gt;"&amp;$S3412)-1)))</f>
        <v/>
      </c>
      <c r="Y3412" t="b">
        <f>IF(X3412&lt;&gt;"",VLOOKUP(X3412,game_rosters!$C$43:$E$64,3,FALSE))</f>
        <v>0</v>
      </c>
      <c r="Z3412" t="e" cm="1" vm="1">
        <f t="array" aca="1" ref="Z3412" ca="1">IFERROR(IF(_xlfn._xlws.FILTER(game_rosters!$J:$J,(game_rosters!$G:$G=events!$AN3412)*(game_rosters!$J:$J=events!$X3412))&gt;0,1,""),"")</f>
        <v>#VALUE!</v>
      </c>
      <c r="AA3412">
        <f t="shared" si="291"/>
        <v>1000</v>
      </c>
      <c r="AB3412" t="str">
        <f t="shared" si="292"/>
        <v/>
      </c>
      <c r="AC3412">
        <f t="shared" si="293"/>
        <v>1000</v>
      </c>
      <c r="AD3412" s="6"/>
    </row>
    <row r="3413" spans="1:30" x14ac:dyDescent="0.2">
      <c r="A3413" t="str">
        <f t="shared" si="294"/>
        <v/>
      </c>
      <c r="X3413" t="str" cm="1">
        <f t="array" ref="X3413">IF(S3413="","",IF($I3413&lt;&gt;"",$I3413,INDEX($I$2:$I3412,ROW()-COUNTIFS($T$2:$T3412,"="&amp;$T3413,$S$2:$S3412,"&lt;&gt;"&amp;$S3413)-1)))</f>
        <v/>
      </c>
      <c r="Y3413" t="b">
        <f>IF(X3413&lt;&gt;"",VLOOKUP(X3413,game_rosters!$C$43:$E$64,3,FALSE))</f>
        <v>0</v>
      </c>
      <c r="Z3413" t="e" cm="1" vm="1">
        <f t="array" aca="1" ref="Z3413" ca="1">IFERROR(IF(_xlfn._xlws.FILTER(game_rosters!$J:$J,(game_rosters!$G:$G=events!$AN3413)*(game_rosters!$J:$J=events!$X3413))&gt;0,1,""),"")</f>
        <v>#VALUE!</v>
      </c>
      <c r="AA3413">
        <f t="shared" si="291"/>
        <v>1000</v>
      </c>
      <c r="AB3413" t="str">
        <f t="shared" si="292"/>
        <v/>
      </c>
      <c r="AC3413">
        <f t="shared" si="293"/>
        <v>1000</v>
      </c>
      <c r="AD3413" s="6"/>
    </row>
    <row r="3414" spans="1:30" x14ac:dyDescent="0.2">
      <c r="A3414" t="str">
        <f t="shared" si="294"/>
        <v/>
      </c>
      <c r="X3414" t="str" cm="1">
        <f t="array" ref="X3414">IF(S3414="","",IF($I3414&lt;&gt;"",$I3414,INDEX($I$2:$I3413,ROW()-COUNTIFS($T$2:$T3413,"="&amp;$T3414,$S$2:$S3413,"&lt;&gt;"&amp;$S3414)-1)))</f>
        <v/>
      </c>
      <c r="Y3414" t="b">
        <f>IF(X3414&lt;&gt;"",VLOOKUP(X3414,game_rosters!$C$43:$E$64,3,FALSE))</f>
        <v>0</v>
      </c>
      <c r="Z3414" t="e" cm="1" vm="1">
        <f t="array" aca="1" ref="Z3414" ca="1">IFERROR(IF(_xlfn._xlws.FILTER(game_rosters!$J:$J,(game_rosters!$G:$G=events!$AN3414)*(game_rosters!$J:$J=events!$X3414))&gt;0,1,""),"")</f>
        <v>#VALUE!</v>
      </c>
      <c r="AA3414">
        <f t="shared" si="291"/>
        <v>1000</v>
      </c>
      <c r="AB3414" t="str">
        <f t="shared" si="292"/>
        <v/>
      </c>
      <c r="AC3414">
        <f t="shared" si="293"/>
        <v>1000</v>
      </c>
      <c r="AD3414" s="6"/>
    </row>
    <row r="3415" spans="1:30" x14ac:dyDescent="0.2">
      <c r="A3415" t="str">
        <f t="shared" si="294"/>
        <v/>
      </c>
      <c r="X3415" t="str" cm="1">
        <f t="array" ref="X3415">IF(S3415="","",IF($I3415&lt;&gt;"",$I3415,INDEX($I$2:$I3414,ROW()-COUNTIFS($T$2:$T3414,"="&amp;$T3415,$S$2:$S3414,"&lt;&gt;"&amp;$S3415)-1)))</f>
        <v/>
      </c>
      <c r="Y3415" t="b">
        <f>IF(X3415&lt;&gt;"",VLOOKUP(X3415,game_rosters!$C$43:$E$64,3,FALSE))</f>
        <v>0</v>
      </c>
      <c r="Z3415" t="e" cm="1" vm="1">
        <f t="array" aca="1" ref="Z3415" ca="1">IFERROR(IF(_xlfn._xlws.FILTER(game_rosters!$J:$J,(game_rosters!$G:$G=events!$AN3415)*(game_rosters!$J:$J=events!$X3415))&gt;0,1,""),"")</f>
        <v>#VALUE!</v>
      </c>
      <c r="AA3415">
        <f t="shared" si="291"/>
        <v>1000</v>
      </c>
      <c r="AB3415" t="str">
        <f t="shared" si="292"/>
        <v/>
      </c>
      <c r="AC3415">
        <f t="shared" si="293"/>
        <v>1000</v>
      </c>
      <c r="AD3415" s="6"/>
    </row>
    <row r="3416" spans="1:30" x14ac:dyDescent="0.2">
      <c r="A3416" t="str">
        <f t="shared" si="294"/>
        <v/>
      </c>
      <c r="X3416" t="str" cm="1">
        <f t="array" ref="X3416">IF(S3416="","",IF($I3416&lt;&gt;"",$I3416,INDEX($I$2:$I3415,ROW()-COUNTIFS($T$2:$T3415,"="&amp;$T3416,$S$2:$S3415,"&lt;&gt;"&amp;$S3416)-1)))</f>
        <v/>
      </c>
      <c r="Y3416" t="b">
        <f>IF(X3416&lt;&gt;"",VLOOKUP(X3416,game_rosters!$C$43:$E$64,3,FALSE))</f>
        <v>0</v>
      </c>
      <c r="Z3416" t="e" cm="1" vm="1">
        <f t="array" aca="1" ref="Z3416" ca="1">IFERROR(IF(_xlfn._xlws.FILTER(game_rosters!$J:$J,(game_rosters!$G:$G=events!$AN3416)*(game_rosters!$J:$J=events!$X3416))&gt;0,1,""),"")</f>
        <v>#VALUE!</v>
      </c>
      <c r="AA3416">
        <f t="shared" si="291"/>
        <v>1000</v>
      </c>
      <c r="AB3416" t="str">
        <f t="shared" si="292"/>
        <v/>
      </c>
      <c r="AC3416">
        <f t="shared" si="293"/>
        <v>1000</v>
      </c>
      <c r="AD3416" s="6"/>
    </row>
    <row r="3417" spans="1:30" x14ac:dyDescent="0.2">
      <c r="A3417" t="str">
        <f t="shared" si="294"/>
        <v/>
      </c>
      <c r="X3417" t="str" cm="1">
        <f t="array" ref="X3417">IF(S3417="","",IF($I3417&lt;&gt;"",$I3417,INDEX($I$2:$I3416,ROW()-COUNTIFS($T$2:$T3416,"="&amp;$T3417,$S$2:$S3416,"&lt;&gt;"&amp;$S3417)-1)))</f>
        <v/>
      </c>
      <c r="Y3417" t="b">
        <f>IF(X3417&lt;&gt;"",VLOOKUP(X3417,game_rosters!$C$43:$E$64,3,FALSE))</f>
        <v>0</v>
      </c>
      <c r="Z3417" t="e" cm="1" vm="1">
        <f t="array" aca="1" ref="Z3417" ca="1">IFERROR(IF(_xlfn._xlws.FILTER(game_rosters!$J:$J,(game_rosters!$G:$G=events!$AN3417)*(game_rosters!$J:$J=events!$X3417))&gt;0,1,""),"")</f>
        <v>#VALUE!</v>
      </c>
      <c r="AA3417">
        <f t="shared" si="291"/>
        <v>1000</v>
      </c>
      <c r="AB3417" t="str">
        <f t="shared" si="292"/>
        <v/>
      </c>
      <c r="AC3417">
        <f t="shared" si="293"/>
        <v>1000</v>
      </c>
      <c r="AD3417" s="6"/>
    </row>
    <row r="3418" spans="1:30" x14ac:dyDescent="0.2">
      <c r="A3418" t="str">
        <f t="shared" si="294"/>
        <v/>
      </c>
      <c r="X3418" t="str" cm="1">
        <f t="array" ref="X3418">IF(S3418="","",IF($I3418&lt;&gt;"",$I3418,INDEX($I$2:$I3417,ROW()-COUNTIFS($T$2:$T3417,"="&amp;$T3418,$S$2:$S3417,"&lt;&gt;"&amp;$S3418)-1)))</f>
        <v/>
      </c>
      <c r="Y3418" t="b">
        <f>IF(X3418&lt;&gt;"",VLOOKUP(X3418,game_rosters!$C$43:$E$64,3,FALSE))</f>
        <v>0</v>
      </c>
      <c r="Z3418" t="e" cm="1" vm="1">
        <f t="array" aca="1" ref="Z3418" ca="1">IFERROR(IF(_xlfn._xlws.FILTER(game_rosters!$J:$J,(game_rosters!$G:$G=events!$AN3418)*(game_rosters!$J:$J=events!$X3418))&gt;0,1,""),"")</f>
        <v>#VALUE!</v>
      </c>
      <c r="AA3418">
        <f t="shared" si="291"/>
        <v>1000</v>
      </c>
      <c r="AB3418" t="str">
        <f t="shared" si="292"/>
        <v/>
      </c>
      <c r="AC3418">
        <f t="shared" si="293"/>
        <v>1000</v>
      </c>
      <c r="AD3418" s="6"/>
    </row>
    <row r="3419" spans="1:30" x14ac:dyDescent="0.2">
      <c r="A3419" t="str">
        <f t="shared" si="294"/>
        <v/>
      </c>
      <c r="X3419" t="str" cm="1">
        <f t="array" ref="X3419">IF(S3419="","",IF($I3419&lt;&gt;"",$I3419,INDEX($I$2:$I3418,ROW()-COUNTIFS($T$2:$T3418,"="&amp;$T3419,$S$2:$S3418,"&lt;&gt;"&amp;$S3419)-1)))</f>
        <v/>
      </c>
      <c r="Y3419" t="b">
        <f>IF(X3419&lt;&gt;"",VLOOKUP(X3419,game_rosters!$C$43:$E$64,3,FALSE))</f>
        <v>0</v>
      </c>
      <c r="Z3419" t="e" cm="1" vm="1">
        <f t="array" aca="1" ref="Z3419" ca="1">IFERROR(IF(_xlfn._xlws.FILTER(game_rosters!$J:$J,(game_rosters!$G:$G=events!$AN3419)*(game_rosters!$J:$J=events!$X3419))&gt;0,1,""),"")</f>
        <v>#VALUE!</v>
      </c>
      <c r="AA3419">
        <f t="shared" si="291"/>
        <v>1000</v>
      </c>
      <c r="AB3419" t="str">
        <f t="shared" si="292"/>
        <v/>
      </c>
      <c r="AC3419">
        <f t="shared" si="293"/>
        <v>1000</v>
      </c>
      <c r="AD3419" s="6"/>
    </row>
    <row r="3420" spans="1:30" x14ac:dyDescent="0.2">
      <c r="A3420" t="str">
        <f t="shared" si="294"/>
        <v/>
      </c>
      <c r="X3420" t="str" cm="1">
        <f t="array" ref="X3420">IF(S3420="","",IF($I3420&lt;&gt;"",$I3420,INDEX($I$2:$I3419,ROW()-COUNTIFS($T$2:$T3419,"="&amp;$T3420,$S$2:$S3419,"&lt;&gt;"&amp;$S3420)-1)))</f>
        <v/>
      </c>
      <c r="Y3420" t="b">
        <f>IF(X3420&lt;&gt;"",VLOOKUP(X3420,game_rosters!$C$43:$E$64,3,FALSE))</f>
        <v>0</v>
      </c>
      <c r="Z3420" t="e" cm="1" vm="1">
        <f t="array" aca="1" ref="Z3420" ca="1">IFERROR(IF(_xlfn._xlws.FILTER(game_rosters!$J:$J,(game_rosters!$G:$G=events!$AN3420)*(game_rosters!$J:$J=events!$X3420))&gt;0,1,""),"")</f>
        <v>#VALUE!</v>
      </c>
      <c r="AA3420">
        <f t="shared" si="291"/>
        <v>1000</v>
      </c>
      <c r="AB3420" t="str">
        <f t="shared" si="292"/>
        <v/>
      </c>
      <c r="AC3420">
        <f t="shared" si="293"/>
        <v>1000</v>
      </c>
      <c r="AD3420" s="6"/>
    </row>
    <row r="3421" spans="1:30" x14ac:dyDescent="0.2">
      <c r="A3421" t="str">
        <f t="shared" si="294"/>
        <v/>
      </c>
      <c r="X3421" t="str" cm="1">
        <f t="array" ref="X3421">IF(S3421="","",IF($I3421&lt;&gt;"",$I3421,INDEX($I$2:$I3420,ROW()-COUNTIFS($T$2:$T3420,"="&amp;$T3421,$S$2:$S3420,"&lt;&gt;"&amp;$S3421)-1)))</f>
        <v/>
      </c>
      <c r="Y3421" t="b">
        <f>IF(X3421&lt;&gt;"",VLOOKUP(X3421,game_rosters!$C$43:$E$64,3,FALSE))</f>
        <v>0</v>
      </c>
      <c r="Z3421" t="e" cm="1" vm="1">
        <f t="array" aca="1" ref="Z3421" ca="1">IFERROR(IF(_xlfn._xlws.FILTER(game_rosters!$J:$J,(game_rosters!$G:$G=events!$AN3421)*(game_rosters!$J:$J=events!$X3421))&gt;0,1,""),"")</f>
        <v>#VALUE!</v>
      </c>
      <c r="AA3421">
        <f t="shared" ref="AA3421:AA3484" si="295">S3421+1000</f>
        <v>1000</v>
      </c>
      <c r="AB3421" t="str">
        <f t="shared" ref="AB3421:AB3484" si="296">IF(T3421&lt;&gt;"",9000+T3421,"")</f>
        <v/>
      </c>
      <c r="AC3421">
        <f t="shared" si="293"/>
        <v>1000</v>
      </c>
      <c r="AD3421" s="6"/>
    </row>
    <row r="3422" spans="1:30" x14ac:dyDescent="0.2">
      <c r="A3422" t="str">
        <f t="shared" si="294"/>
        <v/>
      </c>
      <c r="X3422" t="str" cm="1">
        <f t="array" ref="X3422">IF(S3422="","",IF($I3422&lt;&gt;"",$I3422,INDEX($I$2:$I3421,ROW()-COUNTIFS($T$2:$T3421,"="&amp;$T3422,$S$2:$S3421,"&lt;&gt;"&amp;$S3422)-1)))</f>
        <v/>
      </c>
      <c r="Y3422" t="b">
        <f>IF(X3422&lt;&gt;"",VLOOKUP(X3422,game_rosters!$C$43:$E$64,3,FALSE))</f>
        <v>0</v>
      </c>
      <c r="Z3422" t="e" cm="1" vm="1">
        <f t="array" aca="1" ref="Z3422" ca="1">IFERROR(IF(_xlfn._xlws.FILTER(game_rosters!$J:$J,(game_rosters!$G:$G=events!$AN3422)*(game_rosters!$J:$J=events!$X3422))&gt;0,1,""),"")</f>
        <v>#VALUE!</v>
      </c>
      <c r="AA3422">
        <f t="shared" si="295"/>
        <v>1000</v>
      </c>
      <c r="AB3422" t="str">
        <f t="shared" si="296"/>
        <v/>
      </c>
      <c r="AC3422">
        <f t="shared" si="293"/>
        <v>1000</v>
      </c>
      <c r="AD3422" s="6"/>
    </row>
    <row r="3423" spans="1:30" x14ac:dyDescent="0.2">
      <c r="A3423" t="str">
        <f t="shared" si="294"/>
        <v/>
      </c>
      <c r="X3423" t="str" cm="1">
        <f t="array" ref="X3423">IF(S3423="","",IF($I3423&lt;&gt;"",$I3423,INDEX($I$2:$I3422,ROW()-COUNTIFS($T$2:$T3422,"="&amp;$T3423,$S$2:$S3422,"&lt;&gt;"&amp;$S3423)-1)))</f>
        <v/>
      </c>
      <c r="Y3423" t="b">
        <f>IF(X3423&lt;&gt;"",VLOOKUP(X3423,game_rosters!$C$43:$E$64,3,FALSE))</f>
        <v>0</v>
      </c>
      <c r="Z3423" t="e" cm="1" vm="1">
        <f t="array" aca="1" ref="Z3423" ca="1">IFERROR(IF(_xlfn._xlws.FILTER(game_rosters!$J:$J,(game_rosters!$G:$G=events!$AN3423)*(game_rosters!$J:$J=events!$X3423))&gt;0,1,""),"")</f>
        <v>#VALUE!</v>
      </c>
      <c r="AA3423">
        <f t="shared" si="295"/>
        <v>1000</v>
      </c>
      <c r="AB3423" t="str">
        <f t="shared" si="296"/>
        <v/>
      </c>
      <c r="AC3423">
        <f t="shared" si="293"/>
        <v>1000</v>
      </c>
      <c r="AD3423" s="6"/>
    </row>
    <row r="3424" spans="1:30" x14ac:dyDescent="0.2">
      <c r="A3424" t="str">
        <f t="shared" si="294"/>
        <v/>
      </c>
      <c r="X3424" t="str" cm="1">
        <f t="array" ref="X3424">IF(S3424="","",IF($I3424&lt;&gt;"",$I3424,INDEX($I$2:$I3423,ROW()-COUNTIFS($T$2:$T3423,"="&amp;$T3424,$S$2:$S3423,"&lt;&gt;"&amp;$S3424)-1)))</f>
        <v/>
      </c>
      <c r="Y3424" t="b">
        <f>IF(X3424&lt;&gt;"",VLOOKUP(X3424,game_rosters!$C$43:$E$64,3,FALSE))</f>
        <v>0</v>
      </c>
      <c r="Z3424" t="e" cm="1" vm="1">
        <f t="array" aca="1" ref="Z3424" ca="1">IFERROR(IF(_xlfn._xlws.FILTER(game_rosters!$J:$J,(game_rosters!$G:$G=events!$AN3424)*(game_rosters!$J:$J=events!$X3424))&gt;0,1,""),"")</f>
        <v>#VALUE!</v>
      </c>
      <c r="AA3424">
        <f t="shared" si="295"/>
        <v>1000</v>
      </c>
      <c r="AB3424" t="str">
        <f t="shared" si="296"/>
        <v/>
      </c>
      <c r="AC3424">
        <f t="shared" si="293"/>
        <v>1000</v>
      </c>
      <c r="AD3424" s="6"/>
    </row>
    <row r="3425" spans="1:30" x14ac:dyDescent="0.2">
      <c r="A3425" t="str">
        <f t="shared" si="294"/>
        <v/>
      </c>
      <c r="X3425" t="str" cm="1">
        <f t="array" ref="X3425">IF(S3425="","",IF($I3425&lt;&gt;"",$I3425,INDEX($I$2:$I3424,ROW()-COUNTIFS($T$2:$T3424,"="&amp;$T3425,$S$2:$S3424,"&lt;&gt;"&amp;$S3425)-1)))</f>
        <v/>
      </c>
      <c r="Y3425" t="b">
        <f>IF(X3425&lt;&gt;"",VLOOKUP(X3425,game_rosters!$C$43:$E$64,3,FALSE))</f>
        <v>0</v>
      </c>
      <c r="Z3425" t="e" cm="1" vm="1">
        <f t="array" aca="1" ref="Z3425" ca="1">IFERROR(IF(_xlfn._xlws.FILTER(game_rosters!$J:$J,(game_rosters!$G:$G=events!$AN3425)*(game_rosters!$J:$J=events!$X3425))&gt;0,1,""),"")</f>
        <v>#VALUE!</v>
      </c>
      <c r="AA3425">
        <f t="shared" si="295"/>
        <v>1000</v>
      </c>
      <c r="AB3425" t="str">
        <f t="shared" si="296"/>
        <v/>
      </c>
      <c r="AC3425">
        <f t="shared" si="293"/>
        <v>1000</v>
      </c>
      <c r="AD3425" s="6"/>
    </row>
    <row r="3426" spans="1:30" x14ac:dyDescent="0.2">
      <c r="A3426" t="str">
        <f t="shared" si="294"/>
        <v/>
      </c>
      <c r="X3426" t="str" cm="1">
        <f t="array" ref="X3426">IF(S3426="","",IF($I3426&lt;&gt;"",$I3426,INDEX($I$2:$I3425,ROW()-COUNTIFS($T$2:$T3425,"="&amp;$T3426,$S$2:$S3425,"&lt;&gt;"&amp;$S3426)-1)))</f>
        <v/>
      </c>
      <c r="Y3426" t="b">
        <f>IF(X3426&lt;&gt;"",VLOOKUP(X3426,game_rosters!$C$43:$E$64,3,FALSE))</f>
        <v>0</v>
      </c>
      <c r="Z3426" t="e" cm="1" vm="1">
        <f t="array" aca="1" ref="Z3426" ca="1">IFERROR(IF(_xlfn._xlws.FILTER(game_rosters!$J:$J,(game_rosters!$G:$G=events!$AN3426)*(game_rosters!$J:$J=events!$X3426))&gt;0,1,""),"")</f>
        <v>#VALUE!</v>
      </c>
      <c r="AA3426">
        <f t="shared" si="295"/>
        <v>1000</v>
      </c>
      <c r="AB3426" t="str">
        <f t="shared" si="296"/>
        <v/>
      </c>
      <c r="AC3426">
        <f t="shared" si="293"/>
        <v>1000</v>
      </c>
      <c r="AD3426" s="6"/>
    </row>
    <row r="3427" spans="1:30" x14ac:dyDescent="0.2">
      <c r="A3427" t="str">
        <f t="shared" si="294"/>
        <v/>
      </c>
      <c r="X3427" t="str" cm="1">
        <f t="array" ref="X3427">IF(S3427="","",IF($I3427&lt;&gt;"",$I3427,INDEX($I$2:$I3426,ROW()-COUNTIFS($T$2:$T3426,"="&amp;$T3427,$S$2:$S3426,"&lt;&gt;"&amp;$S3427)-1)))</f>
        <v/>
      </c>
      <c r="Y3427" t="b">
        <f>IF(X3427&lt;&gt;"",VLOOKUP(X3427,game_rosters!$C$43:$E$64,3,FALSE))</f>
        <v>0</v>
      </c>
      <c r="Z3427" t="e" cm="1" vm="1">
        <f t="array" aca="1" ref="Z3427" ca="1">IFERROR(IF(_xlfn._xlws.FILTER(game_rosters!$J:$J,(game_rosters!$G:$G=events!$AN3427)*(game_rosters!$J:$J=events!$X3427))&gt;0,1,""),"")</f>
        <v>#VALUE!</v>
      </c>
      <c r="AA3427">
        <f t="shared" si="295"/>
        <v>1000</v>
      </c>
      <c r="AB3427" t="str">
        <f t="shared" si="296"/>
        <v/>
      </c>
      <c r="AC3427">
        <f t="shared" si="293"/>
        <v>1000</v>
      </c>
      <c r="AD3427" s="6"/>
    </row>
    <row r="3428" spans="1:30" x14ac:dyDescent="0.2">
      <c r="A3428" t="str">
        <f t="shared" si="294"/>
        <v/>
      </c>
      <c r="X3428" t="str" cm="1">
        <f t="array" ref="X3428">IF(S3428="","",IF($I3428&lt;&gt;"",$I3428,INDEX($I$2:$I3427,ROW()-COUNTIFS($T$2:$T3427,"="&amp;$T3428,$S$2:$S3427,"&lt;&gt;"&amp;$S3428)-1)))</f>
        <v/>
      </c>
      <c r="Y3428" t="b">
        <f>IF(X3428&lt;&gt;"",VLOOKUP(X3428,game_rosters!$C$43:$E$64,3,FALSE))</f>
        <v>0</v>
      </c>
      <c r="Z3428" t="e" cm="1" vm="1">
        <f t="array" aca="1" ref="Z3428" ca="1">IFERROR(IF(_xlfn._xlws.FILTER(game_rosters!$J:$J,(game_rosters!$G:$G=events!$AN3428)*(game_rosters!$J:$J=events!$X3428))&gt;0,1,""),"")</f>
        <v>#VALUE!</v>
      </c>
      <c r="AA3428">
        <f t="shared" si="295"/>
        <v>1000</v>
      </c>
      <c r="AB3428" t="str">
        <f t="shared" si="296"/>
        <v/>
      </c>
      <c r="AC3428">
        <f t="shared" si="293"/>
        <v>1000</v>
      </c>
      <c r="AD3428" s="6"/>
    </row>
    <row r="3429" spans="1:30" x14ac:dyDescent="0.2">
      <c r="A3429" t="str">
        <f t="shared" si="294"/>
        <v/>
      </c>
      <c r="X3429" t="str" cm="1">
        <f t="array" ref="X3429">IF(S3429="","",IF($I3429&lt;&gt;"",$I3429,INDEX($I$2:$I3428,ROW()-COUNTIFS($T$2:$T3428,"="&amp;$T3429,$S$2:$S3428,"&lt;&gt;"&amp;$S3429)-1)))</f>
        <v/>
      </c>
      <c r="Y3429" t="b">
        <f>IF(X3429&lt;&gt;"",VLOOKUP(X3429,game_rosters!$C$43:$E$64,3,FALSE))</f>
        <v>0</v>
      </c>
      <c r="Z3429" t="e" cm="1" vm="1">
        <f t="array" aca="1" ref="Z3429" ca="1">IFERROR(IF(_xlfn._xlws.FILTER(game_rosters!$J:$J,(game_rosters!$G:$G=events!$AN3429)*(game_rosters!$J:$J=events!$X3429))&gt;0,1,""),"")</f>
        <v>#VALUE!</v>
      </c>
      <c r="AA3429">
        <f t="shared" si="295"/>
        <v>1000</v>
      </c>
      <c r="AB3429" t="str">
        <f t="shared" si="296"/>
        <v/>
      </c>
      <c r="AC3429">
        <f t="shared" si="293"/>
        <v>1000</v>
      </c>
      <c r="AD3429" s="6"/>
    </row>
    <row r="3430" spans="1:30" x14ac:dyDescent="0.2">
      <c r="A3430" t="str">
        <f t="shared" si="294"/>
        <v/>
      </c>
      <c r="X3430" t="str" cm="1">
        <f t="array" ref="X3430">IF(S3430="","",IF($I3430&lt;&gt;"",$I3430,INDEX($I$2:$I3429,ROW()-COUNTIFS($T$2:$T3429,"="&amp;$T3430,$S$2:$S3429,"&lt;&gt;"&amp;$S3430)-1)))</f>
        <v/>
      </c>
      <c r="Y3430" t="b">
        <f>IF(X3430&lt;&gt;"",VLOOKUP(X3430,game_rosters!$C$43:$E$64,3,FALSE))</f>
        <v>0</v>
      </c>
      <c r="Z3430" t="e" cm="1" vm="1">
        <f t="array" aca="1" ref="Z3430" ca="1">IFERROR(IF(_xlfn._xlws.FILTER(game_rosters!$J:$J,(game_rosters!$G:$G=events!$AN3430)*(game_rosters!$J:$J=events!$X3430))&gt;0,1,""),"")</f>
        <v>#VALUE!</v>
      </c>
      <c r="AA3430">
        <f t="shared" si="295"/>
        <v>1000</v>
      </c>
      <c r="AB3430" t="str">
        <f t="shared" si="296"/>
        <v/>
      </c>
      <c r="AC3430">
        <f t="shared" si="293"/>
        <v>1000</v>
      </c>
      <c r="AD3430" s="6"/>
    </row>
    <row r="3431" spans="1:30" x14ac:dyDescent="0.2">
      <c r="A3431" t="str">
        <f t="shared" si="294"/>
        <v/>
      </c>
      <c r="X3431" t="str" cm="1">
        <f t="array" ref="X3431">IF(S3431="","",IF($I3431&lt;&gt;"",$I3431,INDEX($I$2:$I3430,ROW()-COUNTIFS($T$2:$T3430,"="&amp;$T3431,$S$2:$S3430,"&lt;&gt;"&amp;$S3431)-1)))</f>
        <v/>
      </c>
      <c r="Y3431" t="b">
        <f>IF(X3431&lt;&gt;"",VLOOKUP(X3431,game_rosters!$C$43:$E$64,3,FALSE))</f>
        <v>0</v>
      </c>
      <c r="Z3431" t="e" cm="1" vm="1">
        <f t="array" aca="1" ref="Z3431" ca="1">IFERROR(IF(_xlfn._xlws.FILTER(game_rosters!$J:$J,(game_rosters!$G:$G=events!$AN3431)*(game_rosters!$J:$J=events!$X3431))&gt;0,1,""),"")</f>
        <v>#VALUE!</v>
      </c>
      <c r="AA3431">
        <f t="shared" si="295"/>
        <v>1000</v>
      </c>
      <c r="AB3431" t="str">
        <f t="shared" si="296"/>
        <v/>
      </c>
      <c r="AC3431">
        <f t="shared" si="293"/>
        <v>1000</v>
      </c>
      <c r="AD3431" s="6"/>
    </row>
    <row r="3432" spans="1:30" x14ac:dyDescent="0.2">
      <c r="A3432" t="str">
        <f t="shared" si="294"/>
        <v/>
      </c>
      <c r="X3432" t="str" cm="1">
        <f t="array" ref="X3432">IF(S3432="","",IF($I3432&lt;&gt;"",$I3432,INDEX($I$2:$I3431,ROW()-COUNTIFS($T$2:$T3431,"="&amp;$T3432,$S$2:$S3431,"&lt;&gt;"&amp;$S3432)-1)))</f>
        <v/>
      </c>
      <c r="Y3432" t="b">
        <f>IF(X3432&lt;&gt;"",VLOOKUP(X3432,game_rosters!$C$43:$E$64,3,FALSE))</f>
        <v>0</v>
      </c>
      <c r="Z3432" t="e" cm="1" vm="1">
        <f t="array" aca="1" ref="Z3432" ca="1">IFERROR(IF(_xlfn._xlws.FILTER(game_rosters!$J:$J,(game_rosters!$G:$G=events!$AN3432)*(game_rosters!$J:$J=events!$X3432))&gt;0,1,""),"")</f>
        <v>#VALUE!</v>
      </c>
      <c r="AA3432">
        <f t="shared" si="295"/>
        <v>1000</v>
      </c>
      <c r="AB3432" t="str">
        <f t="shared" si="296"/>
        <v/>
      </c>
      <c r="AC3432">
        <f t="shared" si="293"/>
        <v>1000</v>
      </c>
      <c r="AD3432" s="6"/>
    </row>
    <row r="3433" spans="1:30" x14ac:dyDescent="0.2">
      <c r="A3433" t="str">
        <f t="shared" si="294"/>
        <v/>
      </c>
      <c r="X3433" t="str" cm="1">
        <f t="array" ref="X3433">IF(S3433="","",IF($I3433&lt;&gt;"",$I3433,INDEX($I$2:$I3432,ROW()-COUNTIFS($T$2:$T3432,"="&amp;$T3433,$S$2:$S3432,"&lt;&gt;"&amp;$S3433)-1)))</f>
        <v/>
      </c>
      <c r="Y3433" t="b">
        <f>IF(X3433&lt;&gt;"",VLOOKUP(X3433,game_rosters!$C$43:$E$64,3,FALSE))</f>
        <v>0</v>
      </c>
      <c r="Z3433" t="e" cm="1" vm="1">
        <f t="array" aca="1" ref="Z3433" ca="1">IFERROR(IF(_xlfn._xlws.FILTER(game_rosters!$J:$J,(game_rosters!$G:$G=events!$AN3433)*(game_rosters!$J:$J=events!$X3433))&gt;0,1,""),"")</f>
        <v>#VALUE!</v>
      </c>
      <c r="AA3433">
        <f t="shared" si="295"/>
        <v>1000</v>
      </c>
      <c r="AB3433" t="str">
        <f t="shared" si="296"/>
        <v/>
      </c>
      <c r="AC3433">
        <f t="shared" si="293"/>
        <v>1000</v>
      </c>
      <c r="AD3433" s="6"/>
    </row>
    <row r="3434" spans="1:30" x14ac:dyDescent="0.2">
      <c r="A3434" t="str">
        <f t="shared" si="294"/>
        <v/>
      </c>
      <c r="X3434" t="str" cm="1">
        <f t="array" ref="X3434">IF(S3434="","",IF($I3434&lt;&gt;"",$I3434,INDEX($I$2:$I3433,ROW()-COUNTIFS($T$2:$T3433,"="&amp;$T3434,$S$2:$S3433,"&lt;&gt;"&amp;$S3434)-1)))</f>
        <v/>
      </c>
      <c r="Y3434" t="b">
        <f>IF(X3434&lt;&gt;"",VLOOKUP(X3434,game_rosters!$C$43:$E$64,3,FALSE))</f>
        <v>0</v>
      </c>
      <c r="Z3434" t="e" cm="1" vm="1">
        <f t="array" aca="1" ref="Z3434" ca="1">IFERROR(IF(_xlfn._xlws.FILTER(game_rosters!$J:$J,(game_rosters!$G:$G=events!$AN3434)*(game_rosters!$J:$J=events!$X3434))&gt;0,1,""),"")</f>
        <v>#VALUE!</v>
      </c>
      <c r="AA3434">
        <f t="shared" si="295"/>
        <v>1000</v>
      </c>
      <c r="AB3434" t="str">
        <f t="shared" si="296"/>
        <v/>
      </c>
      <c r="AC3434">
        <f t="shared" si="293"/>
        <v>1000</v>
      </c>
      <c r="AD3434" s="6"/>
    </row>
    <row r="3435" spans="1:30" x14ac:dyDescent="0.2">
      <c r="A3435" t="str">
        <f t="shared" si="294"/>
        <v/>
      </c>
      <c r="X3435" t="str" cm="1">
        <f t="array" ref="X3435">IF(S3435="","",IF($I3435&lt;&gt;"",$I3435,INDEX($I$2:$I3434,ROW()-COUNTIFS($T$2:$T3434,"="&amp;$T3435,$S$2:$S3434,"&lt;&gt;"&amp;$S3435)-1)))</f>
        <v/>
      </c>
      <c r="Y3435" t="b">
        <f>IF(X3435&lt;&gt;"",VLOOKUP(X3435,game_rosters!$C$43:$E$64,3,FALSE))</f>
        <v>0</v>
      </c>
      <c r="Z3435" t="e" cm="1" vm="1">
        <f t="array" aca="1" ref="Z3435" ca="1">IFERROR(IF(_xlfn._xlws.FILTER(game_rosters!$J:$J,(game_rosters!$G:$G=events!$AN3435)*(game_rosters!$J:$J=events!$X3435))&gt;0,1,""),"")</f>
        <v>#VALUE!</v>
      </c>
      <c r="AA3435">
        <f t="shared" si="295"/>
        <v>1000</v>
      </c>
      <c r="AB3435" t="str">
        <f t="shared" si="296"/>
        <v/>
      </c>
      <c r="AC3435">
        <f t="shared" si="293"/>
        <v>1000</v>
      </c>
      <c r="AD3435" s="6"/>
    </row>
    <row r="3436" spans="1:30" x14ac:dyDescent="0.2">
      <c r="A3436" t="str">
        <f t="shared" si="294"/>
        <v/>
      </c>
      <c r="X3436" t="str" cm="1">
        <f t="array" ref="X3436">IF(S3436="","",IF($I3436&lt;&gt;"",$I3436,INDEX($I$2:$I3435,ROW()-COUNTIFS($T$2:$T3435,"="&amp;$T3436,$S$2:$S3435,"&lt;&gt;"&amp;$S3436)-1)))</f>
        <v/>
      </c>
      <c r="Y3436" t="b">
        <f>IF(X3436&lt;&gt;"",VLOOKUP(X3436,game_rosters!$C$43:$E$64,3,FALSE))</f>
        <v>0</v>
      </c>
      <c r="Z3436" t="e" cm="1" vm="1">
        <f t="array" aca="1" ref="Z3436" ca="1">IFERROR(IF(_xlfn._xlws.FILTER(game_rosters!$J:$J,(game_rosters!$G:$G=events!$AN3436)*(game_rosters!$J:$J=events!$X3436))&gt;0,1,""),"")</f>
        <v>#VALUE!</v>
      </c>
      <c r="AA3436">
        <f t="shared" si="295"/>
        <v>1000</v>
      </c>
      <c r="AB3436" t="str">
        <f t="shared" si="296"/>
        <v/>
      </c>
      <c r="AC3436">
        <f t="shared" si="293"/>
        <v>1000</v>
      </c>
      <c r="AD3436" s="6"/>
    </row>
    <row r="3437" spans="1:30" x14ac:dyDescent="0.2">
      <c r="A3437" t="str">
        <f t="shared" si="294"/>
        <v/>
      </c>
      <c r="X3437" t="str" cm="1">
        <f t="array" ref="X3437">IF(S3437="","",IF($I3437&lt;&gt;"",$I3437,INDEX($I$2:$I3436,ROW()-COUNTIFS($T$2:$T3436,"="&amp;$T3437,$S$2:$S3436,"&lt;&gt;"&amp;$S3437)-1)))</f>
        <v/>
      </c>
      <c r="Y3437" t="b">
        <f>IF(X3437&lt;&gt;"",VLOOKUP(X3437,game_rosters!$C$43:$E$64,3,FALSE))</f>
        <v>0</v>
      </c>
      <c r="Z3437" t="e" cm="1" vm="1">
        <f t="array" aca="1" ref="Z3437" ca="1">IFERROR(IF(_xlfn._xlws.FILTER(game_rosters!$J:$J,(game_rosters!$G:$G=events!$AN3437)*(game_rosters!$J:$J=events!$X3437))&gt;0,1,""),"")</f>
        <v>#VALUE!</v>
      </c>
      <c r="AA3437">
        <f t="shared" si="295"/>
        <v>1000</v>
      </c>
      <c r="AB3437" t="str">
        <f t="shared" si="296"/>
        <v/>
      </c>
      <c r="AC3437">
        <f t="shared" si="293"/>
        <v>1000</v>
      </c>
      <c r="AD3437" s="6"/>
    </row>
    <row r="3438" spans="1:30" x14ac:dyDescent="0.2">
      <c r="A3438" t="str">
        <f t="shared" si="294"/>
        <v/>
      </c>
      <c r="X3438" t="str" cm="1">
        <f t="array" ref="X3438">IF(S3438="","",IF($I3438&lt;&gt;"",$I3438,INDEX($I$2:$I3437,ROW()-COUNTIFS($T$2:$T3437,"="&amp;$T3438,$S$2:$S3437,"&lt;&gt;"&amp;$S3438)-1)))</f>
        <v/>
      </c>
      <c r="Y3438" t="b">
        <f>IF(X3438&lt;&gt;"",VLOOKUP(X3438,game_rosters!$C$43:$E$64,3,FALSE))</f>
        <v>0</v>
      </c>
      <c r="Z3438" t="e" cm="1" vm="1">
        <f t="array" aca="1" ref="Z3438" ca="1">IFERROR(IF(_xlfn._xlws.FILTER(game_rosters!$J:$J,(game_rosters!$G:$G=events!$AN3438)*(game_rosters!$J:$J=events!$X3438))&gt;0,1,""),"")</f>
        <v>#VALUE!</v>
      </c>
      <c r="AA3438">
        <f t="shared" si="295"/>
        <v>1000</v>
      </c>
      <c r="AB3438" t="str">
        <f t="shared" si="296"/>
        <v/>
      </c>
      <c r="AC3438">
        <f t="shared" si="293"/>
        <v>1000</v>
      </c>
      <c r="AD3438" s="6"/>
    </row>
    <row r="3439" spans="1:30" x14ac:dyDescent="0.2">
      <c r="A3439" t="str">
        <f t="shared" si="294"/>
        <v/>
      </c>
      <c r="X3439" t="str" cm="1">
        <f t="array" ref="X3439">IF(S3439="","",IF($I3439&lt;&gt;"",$I3439,INDEX($I$2:$I3438,ROW()-COUNTIFS($T$2:$T3438,"="&amp;$T3439,$S$2:$S3438,"&lt;&gt;"&amp;$S3439)-1)))</f>
        <v/>
      </c>
      <c r="Y3439" t="b">
        <f>IF(X3439&lt;&gt;"",VLOOKUP(X3439,game_rosters!$C$43:$E$64,3,FALSE))</f>
        <v>0</v>
      </c>
      <c r="Z3439" t="e" cm="1" vm="1">
        <f t="array" aca="1" ref="Z3439" ca="1">IFERROR(IF(_xlfn._xlws.FILTER(game_rosters!$J:$J,(game_rosters!$G:$G=events!$AN3439)*(game_rosters!$J:$J=events!$X3439))&gt;0,1,""),"")</f>
        <v>#VALUE!</v>
      </c>
      <c r="AA3439">
        <f t="shared" si="295"/>
        <v>1000</v>
      </c>
      <c r="AB3439" t="str">
        <f t="shared" si="296"/>
        <v/>
      </c>
      <c r="AC3439">
        <f t="shared" si="293"/>
        <v>1000</v>
      </c>
      <c r="AD3439" s="6"/>
    </row>
    <row r="3440" spans="1:30" x14ac:dyDescent="0.2">
      <c r="A3440" t="str">
        <f t="shared" si="294"/>
        <v/>
      </c>
      <c r="X3440" t="str" cm="1">
        <f t="array" ref="X3440">IF(S3440="","",IF($I3440&lt;&gt;"",$I3440,INDEX($I$2:$I3439,ROW()-COUNTIFS($T$2:$T3439,"="&amp;$T3440,$S$2:$S3439,"&lt;&gt;"&amp;$S3440)-1)))</f>
        <v/>
      </c>
      <c r="Y3440" t="b">
        <f>IF(X3440&lt;&gt;"",VLOOKUP(X3440,game_rosters!$C$43:$E$64,3,FALSE))</f>
        <v>0</v>
      </c>
      <c r="Z3440" t="e" cm="1" vm="1">
        <f t="array" aca="1" ref="Z3440" ca="1">IFERROR(IF(_xlfn._xlws.FILTER(game_rosters!$J:$J,(game_rosters!$G:$G=events!$AN3440)*(game_rosters!$J:$J=events!$X3440))&gt;0,1,""),"")</f>
        <v>#VALUE!</v>
      </c>
      <c r="AA3440">
        <f t="shared" si="295"/>
        <v>1000</v>
      </c>
      <c r="AB3440" t="str">
        <f t="shared" si="296"/>
        <v/>
      </c>
      <c r="AC3440">
        <f t="shared" si="293"/>
        <v>1000</v>
      </c>
      <c r="AD3440" s="6"/>
    </row>
    <row r="3441" spans="1:30" x14ac:dyDescent="0.2">
      <c r="A3441" t="str">
        <f t="shared" si="294"/>
        <v/>
      </c>
      <c r="X3441" t="str" cm="1">
        <f t="array" ref="X3441">IF(S3441="","",IF($I3441&lt;&gt;"",$I3441,INDEX($I$2:$I3440,ROW()-COUNTIFS($T$2:$T3440,"="&amp;$T3441,$S$2:$S3440,"&lt;&gt;"&amp;$S3441)-1)))</f>
        <v/>
      </c>
      <c r="Y3441" t="b">
        <f>IF(X3441&lt;&gt;"",VLOOKUP(X3441,game_rosters!$C$43:$E$64,3,FALSE))</f>
        <v>0</v>
      </c>
      <c r="Z3441" t="e" cm="1" vm="1">
        <f t="array" aca="1" ref="Z3441" ca="1">IFERROR(IF(_xlfn._xlws.FILTER(game_rosters!$J:$J,(game_rosters!$G:$G=events!$AN3441)*(game_rosters!$J:$J=events!$X3441))&gt;0,1,""),"")</f>
        <v>#VALUE!</v>
      </c>
      <c r="AA3441">
        <f t="shared" si="295"/>
        <v>1000</v>
      </c>
      <c r="AB3441" t="str">
        <f t="shared" si="296"/>
        <v/>
      </c>
      <c r="AC3441">
        <f t="shared" si="293"/>
        <v>1000</v>
      </c>
      <c r="AD3441" s="6"/>
    </row>
    <row r="3442" spans="1:30" x14ac:dyDescent="0.2">
      <c r="A3442" t="str">
        <f t="shared" si="294"/>
        <v/>
      </c>
      <c r="X3442" t="str" cm="1">
        <f t="array" ref="X3442">IF(S3442="","",IF($I3442&lt;&gt;"",$I3442,INDEX($I$2:$I3441,ROW()-COUNTIFS($T$2:$T3441,"="&amp;$T3442,$S$2:$S3441,"&lt;&gt;"&amp;$S3442)-1)))</f>
        <v/>
      </c>
      <c r="Y3442" t="b">
        <f>IF(X3442&lt;&gt;"",VLOOKUP(X3442,game_rosters!$C$43:$E$64,3,FALSE))</f>
        <v>0</v>
      </c>
      <c r="Z3442" t="e" cm="1" vm="1">
        <f t="array" aca="1" ref="Z3442" ca="1">IFERROR(IF(_xlfn._xlws.FILTER(game_rosters!$J:$J,(game_rosters!$G:$G=events!$AN3442)*(game_rosters!$J:$J=events!$X3442))&gt;0,1,""),"")</f>
        <v>#VALUE!</v>
      </c>
      <c r="AA3442">
        <f t="shared" si="295"/>
        <v>1000</v>
      </c>
      <c r="AB3442" t="str">
        <f t="shared" si="296"/>
        <v/>
      </c>
      <c r="AC3442">
        <f t="shared" si="293"/>
        <v>1000</v>
      </c>
      <c r="AD3442" s="6"/>
    </row>
    <row r="3443" spans="1:30" x14ac:dyDescent="0.2">
      <c r="A3443" t="str">
        <f t="shared" si="294"/>
        <v/>
      </c>
      <c r="X3443" t="str" cm="1">
        <f t="array" ref="X3443">IF(S3443="","",IF($I3443&lt;&gt;"",$I3443,INDEX($I$2:$I3442,ROW()-COUNTIFS($T$2:$T3442,"="&amp;$T3443,$S$2:$S3442,"&lt;&gt;"&amp;$S3443)-1)))</f>
        <v/>
      </c>
      <c r="Y3443" t="b">
        <f>IF(X3443&lt;&gt;"",VLOOKUP(X3443,game_rosters!$C$43:$E$64,3,FALSE))</f>
        <v>0</v>
      </c>
      <c r="Z3443" t="e" cm="1" vm="1">
        <f t="array" aca="1" ref="Z3443" ca="1">IFERROR(IF(_xlfn._xlws.FILTER(game_rosters!$J:$J,(game_rosters!$G:$G=events!$AN3443)*(game_rosters!$J:$J=events!$X3443))&gt;0,1,""),"")</f>
        <v>#VALUE!</v>
      </c>
      <c r="AA3443">
        <f t="shared" si="295"/>
        <v>1000</v>
      </c>
      <c r="AB3443" t="str">
        <f t="shared" si="296"/>
        <v/>
      </c>
      <c r="AC3443">
        <f t="shared" si="293"/>
        <v>1000</v>
      </c>
      <c r="AD3443" s="6"/>
    </row>
    <row r="3444" spans="1:30" x14ac:dyDescent="0.2">
      <c r="A3444" t="str">
        <f t="shared" si="294"/>
        <v/>
      </c>
      <c r="X3444" t="str" cm="1">
        <f t="array" ref="X3444">IF(S3444="","",IF($I3444&lt;&gt;"",$I3444,INDEX($I$2:$I3443,ROW()-COUNTIFS($T$2:$T3443,"="&amp;$T3444,$S$2:$S3443,"&lt;&gt;"&amp;$S3444)-1)))</f>
        <v/>
      </c>
      <c r="Y3444" t="b">
        <f>IF(X3444&lt;&gt;"",VLOOKUP(X3444,game_rosters!$C$43:$E$64,3,FALSE))</f>
        <v>0</v>
      </c>
      <c r="Z3444" t="e" cm="1" vm="1">
        <f t="array" aca="1" ref="Z3444" ca="1">IFERROR(IF(_xlfn._xlws.FILTER(game_rosters!$J:$J,(game_rosters!$G:$G=events!$AN3444)*(game_rosters!$J:$J=events!$X3444))&gt;0,1,""),"")</f>
        <v>#VALUE!</v>
      </c>
      <c r="AA3444">
        <f t="shared" si="295"/>
        <v>1000</v>
      </c>
      <c r="AB3444" t="str">
        <f t="shared" si="296"/>
        <v/>
      </c>
      <c r="AC3444">
        <f t="shared" si="293"/>
        <v>1000</v>
      </c>
      <c r="AD3444" s="6"/>
    </row>
    <row r="3445" spans="1:30" x14ac:dyDescent="0.2">
      <c r="A3445" t="str">
        <f t="shared" si="294"/>
        <v/>
      </c>
      <c r="X3445" t="str" cm="1">
        <f t="array" ref="X3445">IF(S3445="","",IF($I3445&lt;&gt;"",$I3445,INDEX($I$2:$I3444,ROW()-COUNTIFS($T$2:$T3444,"="&amp;$T3445,$S$2:$S3444,"&lt;&gt;"&amp;$S3445)-1)))</f>
        <v/>
      </c>
      <c r="Y3445" t="b">
        <f>IF(X3445&lt;&gt;"",VLOOKUP(X3445,game_rosters!$C$43:$E$64,3,FALSE))</f>
        <v>0</v>
      </c>
      <c r="Z3445" t="e" cm="1" vm="1">
        <f t="array" aca="1" ref="Z3445" ca="1">IFERROR(IF(_xlfn._xlws.FILTER(game_rosters!$J:$J,(game_rosters!$G:$G=events!$AN3445)*(game_rosters!$J:$J=events!$X3445))&gt;0,1,""),"")</f>
        <v>#VALUE!</v>
      </c>
      <c r="AA3445">
        <f t="shared" si="295"/>
        <v>1000</v>
      </c>
      <c r="AB3445" t="str">
        <f t="shared" si="296"/>
        <v/>
      </c>
      <c r="AC3445">
        <f t="shared" si="293"/>
        <v>1000</v>
      </c>
      <c r="AD3445" s="6"/>
    </row>
    <row r="3446" spans="1:30" x14ac:dyDescent="0.2">
      <c r="A3446" t="str">
        <f t="shared" si="294"/>
        <v/>
      </c>
      <c r="X3446" t="str" cm="1">
        <f t="array" ref="X3446">IF(S3446="","",IF($I3446&lt;&gt;"",$I3446,INDEX($I$2:$I3445,ROW()-COUNTIFS($T$2:$T3445,"="&amp;$T3446,$S$2:$S3445,"&lt;&gt;"&amp;$S3446)-1)))</f>
        <v/>
      </c>
      <c r="Y3446" t="b">
        <f>IF(X3446&lt;&gt;"",VLOOKUP(X3446,game_rosters!$C$43:$E$64,3,FALSE))</f>
        <v>0</v>
      </c>
      <c r="Z3446" t="e" cm="1" vm="1">
        <f t="array" aca="1" ref="Z3446" ca="1">IFERROR(IF(_xlfn._xlws.FILTER(game_rosters!$J:$J,(game_rosters!$G:$G=events!$AN3446)*(game_rosters!$J:$J=events!$X3446))&gt;0,1,""),"")</f>
        <v>#VALUE!</v>
      </c>
      <c r="AA3446">
        <f t="shared" si="295"/>
        <v>1000</v>
      </c>
      <c r="AB3446" t="str">
        <f t="shared" si="296"/>
        <v/>
      </c>
      <c r="AC3446">
        <f t="shared" si="293"/>
        <v>1000</v>
      </c>
      <c r="AD3446" s="6"/>
    </row>
    <row r="3447" spans="1:30" x14ac:dyDescent="0.2">
      <c r="A3447" t="str">
        <f t="shared" si="294"/>
        <v/>
      </c>
      <c r="X3447" t="str" cm="1">
        <f t="array" ref="X3447">IF(S3447="","",IF($I3447&lt;&gt;"",$I3447,INDEX($I$2:$I3446,ROW()-COUNTIFS($T$2:$T3446,"="&amp;$T3447,$S$2:$S3446,"&lt;&gt;"&amp;$S3447)-1)))</f>
        <v/>
      </c>
      <c r="Y3447" t="b">
        <f>IF(X3447&lt;&gt;"",VLOOKUP(X3447,game_rosters!$C$43:$E$64,3,FALSE))</f>
        <v>0</v>
      </c>
      <c r="Z3447" t="e" cm="1" vm="1">
        <f t="array" aca="1" ref="Z3447" ca="1">IFERROR(IF(_xlfn._xlws.FILTER(game_rosters!$J:$J,(game_rosters!$G:$G=events!$AN3447)*(game_rosters!$J:$J=events!$X3447))&gt;0,1,""),"")</f>
        <v>#VALUE!</v>
      </c>
      <c r="AA3447">
        <f t="shared" si="295"/>
        <v>1000</v>
      </c>
      <c r="AB3447" t="str">
        <f t="shared" si="296"/>
        <v/>
      </c>
      <c r="AC3447">
        <f t="shared" si="293"/>
        <v>1000</v>
      </c>
      <c r="AD3447" s="6"/>
    </row>
    <row r="3448" spans="1:30" x14ac:dyDescent="0.2">
      <c r="A3448" t="str">
        <f t="shared" si="294"/>
        <v/>
      </c>
      <c r="X3448" t="str" cm="1">
        <f t="array" ref="X3448">IF(S3448="","",IF($I3448&lt;&gt;"",$I3448,INDEX($I$2:$I3447,ROW()-COUNTIFS($T$2:$T3447,"="&amp;$T3448,$S$2:$S3447,"&lt;&gt;"&amp;$S3448)-1)))</f>
        <v/>
      </c>
      <c r="Y3448" t="b">
        <f>IF(X3448&lt;&gt;"",VLOOKUP(X3448,game_rosters!$C$43:$E$64,3,FALSE))</f>
        <v>0</v>
      </c>
      <c r="Z3448" t="e" cm="1" vm="1">
        <f t="array" aca="1" ref="Z3448" ca="1">IFERROR(IF(_xlfn._xlws.FILTER(game_rosters!$J:$J,(game_rosters!$G:$G=events!$AN3448)*(game_rosters!$J:$J=events!$X3448))&gt;0,1,""),"")</f>
        <v>#VALUE!</v>
      </c>
      <c r="AA3448">
        <f t="shared" si="295"/>
        <v>1000</v>
      </c>
      <c r="AB3448" t="str">
        <f t="shared" si="296"/>
        <v/>
      </c>
      <c r="AC3448">
        <f t="shared" si="293"/>
        <v>1000</v>
      </c>
      <c r="AD3448" s="6"/>
    </row>
    <row r="3449" spans="1:30" x14ac:dyDescent="0.2">
      <c r="A3449" t="str">
        <f t="shared" si="294"/>
        <v/>
      </c>
      <c r="X3449" t="str" cm="1">
        <f t="array" ref="X3449">IF(S3449="","",IF($I3449&lt;&gt;"",$I3449,INDEX($I$2:$I3448,ROW()-COUNTIFS($T$2:$T3448,"="&amp;$T3449,$S$2:$S3448,"&lt;&gt;"&amp;$S3449)-1)))</f>
        <v/>
      </c>
      <c r="Y3449" t="b">
        <f>IF(X3449&lt;&gt;"",VLOOKUP(X3449,game_rosters!$C$43:$E$64,3,FALSE))</f>
        <v>0</v>
      </c>
      <c r="Z3449" t="e" cm="1" vm="1">
        <f t="array" aca="1" ref="Z3449" ca="1">IFERROR(IF(_xlfn._xlws.FILTER(game_rosters!$J:$J,(game_rosters!$G:$G=events!$AN3449)*(game_rosters!$J:$J=events!$X3449))&gt;0,1,""),"")</f>
        <v>#VALUE!</v>
      </c>
      <c r="AA3449">
        <f t="shared" si="295"/>
        <v>1000</v>
      </c>
      <c r="AB3449" t="str">
        <f t="shared" si="296"/>
        <v/>
      </c>
      <c r="AC3449">
        <f t="shared" si="293"/>
        <v>1000</v>
      </c>
      <c r="AD3449" s="6"/>
    </row>
    <row r="3450" spans="1:30" x14ac:dyDescent="0.2">
      <c r="A3450" t="str">
        <f t="shared" si="294"/>
        <v/>
      </c>
      <c r="X3450" t="str" cm="1">
        <f t="array" ref="X3450">IF(S3450="","",IF($I3450&lt;&gt;"",$I3450,INDEX($I$2:$I3449,ROW()-COUNTIFS($T$2:$T3449,"="&amp;$T3450,$S$2:$S3449,"&lt;&gt;"&amp;$S3450)-1)))</f>
        <v/>
      </c>
      <c r="Y3450" t="b">
        <f>IF(X3450&lt;&gt;"",VLOOKUP(X3450,game_rosters!$C$43:$E$64,3,FALSE))</f>
        <v>0</v>
      </c>
      <c r="Z3450" t="e" cm="1" vm="1">
        <f t="array" aca="1" ref="Z3450" ca="1">IFERROR(IF(_xlfn._xlws.FILTER(game_rosters!$J:$J,(game_rosters!$G:$G=events!$AN3450)*(game_rosters!$J:$J=events!$X3450))&gt;0,1,""),"")</f>
        <v>#VALUE!</v>
      </c>
      <c r="AA3450">
        <f t="shared" si="295"/>
        <v>1000</v>
      </c>
      <c r="AB3450" t="str">
        <f t="shared" si="296"/>
        <v/>
      </c>
      <c r="AC3450">
        <f t="shared" si="293"/>
        <v>1000</v>
      </c>
      <c r="AD3450" s="6"/>
    </row>
    <row r="3451" spans="1:30" x14ac:dyDescent="0.2">
      <c r="A3451" t="str">
        <f t="shared" si="294"/>
        <v/>
      </c>
      <c r="X3451" t="str" cm="1">
        <f t="array" ref="X3451">IF(S3451="","",IF($I3451&lt;&gt;"",$I3451,INDEX($I$2:$I3450,ROW()-COUNTIFS($T$2:$T3450,"="&amp;$T3451,$S$2:$S3450,"&lt;&gt;"&amp;$S3451)-1)))</f>
        <v/>
      </c>
      <c r="Y3451" t="b">
        <f>IF(X3451&lt;&gt;"",VLOOKUP(X3451,game_rosters!$C$43:$E$64,3,FALSE))</f>
        <v>0</v>
      </c>
      <c r="Z3451" t="e" cm="1" vm="1">
        <f t="array" aca="1" ref="Z3451" ca="1">IFERROR(IF(_xlfn._xlws.FILTER(game_rosters!$J:$J,(game_rosters!$G:$G=events!$AN3451)*(game_rosters!$J:$J=events!$X3451))&gt;0,1,""),"")</f>
        <v>#VALUE!</v>
      </c>
      <c r="AA3451">
        <f t="shared" si="295"/>
        <v>1000</v>
      </c>
      <c r="AB3451" t="str">
        <f t="shared" si="296"/>
        <v/>
      </c>
      <c r="AC3451">
        <f t="shared" si="293"/>
        <v>1000</v>
      </c>
      <c r="AD3451" s="6"/>
    </row>
    <row r="3452" spans="1:30" x14ac:dyDescent="0.2">
      <c r="A3452" t="str">
        <f t="shared" si="294"/>
        <v/>
      </c>
      <c r="X3452" t="str" cm="1">
        <f t="array" ref="X3452">IF(S3452="","",IF($I3452&lt;&gt;"",$I3452,INDEX($I$2:$I3451,ROW()-COUNTIFS($T$2:$T3451,"="&amp;$T3452,$S$2:$S3451,"&lt;&gt;"&amp;$S3452)-1)))</f>
        <v/>
      </c>
      <c r="Y3452" t="b">
        <f>IF(X3452&lt;&gt;"",VLOOKUP(X3452,game_rosters!$C$43:$E$64,3,FALSE))</f>
        <v>0</v>
      </c>
      <c r="Z3452" t="e" cm="1" vm="1">
        <f t="array" aca="1" ref="Z3452" ca="1">IFERROR(IF(_xlfn._xlws.FILTER(game_rosters!$J:$J,(game_rosters!$G:$G=events!$AN3452)*(game_rosters!$J:$J=events!$X3452))&gt;0,1,""),"")</f>
        <v>#VALUE!</v>
      </c>
      <c r="AA3452">
        <f t="shared" si="295"/>
        <v>1000</v>
      </c>
      <c r="AB3452" t="str">
        <f t="shared" si="296"/>
        <v/>
      </c>
      <c r="AC3452">
        <f t="shared" si="293"/>
        <v>1000</v>
      </c>
      <c r="AD3452" s="6"/>
    </row>
    <row r="3453" spans="1:30" x14ac:dyDescent="0.2">
      <c r="A3453" t="str">
        <f t="shared" si="294"/>
        <v/>
      </c>
      <c r="X3453" t="str" cm="1">
        <f t="array" ref="X3453">IF(S3453="","",IF($I3453&lt;&gt;"",$I3453,INDEX($I$2:$I3452,ROW()-COUNTIFS($T$2:$T3452,"="&amp;$T3453,$S$2:$S3452,"&lt;&gt;"&amp;$S3453)-1)))</f>
        <v/>
      </c>
      <c r="Y3453" t="b">
        <f>IF(X3453&lt;&gt;"",VLOOKUP(X3453,game_rosters!$C$43:$E$64,3,FALSE))</f>
        <v>0</v>
      </c>
      <c r="Z3453" t="e" cm="1" vm="1">
        <f t="array" aca="1" ref="Z3453" ca="1">IFERROR(IF(_xlfn._xlws.FILTER(game_rosters!$J:$J,(game_rosters!$G:$G=events!$AN3453)*(game_rosters!$J:$J=events!$X3453))&gt;0,1,""),"")</f>
        <v>#VALUE!</v>
      </c>
      <c r="AA3453">
        <f t="shared" si="295"/>
        <v>1000</v>
      </c>
      <c r="AB3453" t="str">
        <f t="shared" si="296"/>
        <v/>
      </c>
      <c r="AC3453">
        <f t="shared" si="293"/>
        <v>1000</v>
      </c>
      <c r="AD3453" s="6"/>
    </row>
    <row r="3454" spans="1:30" x14ac:dyDescent="0.2">
      <c r="A3454" t="str">
        <f t="shared" si="294"/>
        <v/>
      </c>
      <c r="X3454" t="str" cm="1">
        <f t="array" ref="X3454">IF(S3454="","",IF($I3454&lt;&gt;"",$I3454,INDEX($I$2:$I3453,ROW()-COUNTIFS($T$2:$T3453,"="&amp;$T3454,$S$2:$S3453,"&lt;&gt;"&amp;$S3454)-1)))</f>
        <v/>
      </c>
      <c r="Y3454" t="b">
        <f>IF(X3454&lt;&gt;"",VLOOKUP(X3454,game_rosters!$C$43:$E$64,3,FALSE))</f>
        <v>0</v>
      </c>
      <c r="Z3454" t="e" cm="1" vm="1">
        <f t="array" aca="1" ref="Z3454" ca="1">IFERROR(IF(_xlfn._xlws.FILTER(game_rosters!$J:$J,(game_rosters!$G:$G=events!$AN3454)*(game_rosters!$J:$J=events!$X3454))&gt;0,1,""),"")</f>
        <v>#VALUE!</v>
      </c>
      <c r="AA3454">
        <f t="shared" si="295"/>
        <v>1000</v>
      </c>
      <c r="AB3454" t="str">
        <f t="shared" si="296"/>
        <v/>
      </c>
      <c r="AC3454">
        <f t="shared" si="293"/>
        <v>1000</v>
      </c>
      <c r="AD3454" s="6"/>
    </row>
    <row r="3455" spans="1:30" x14ac:dyDescent="0.2">
      <c r="A3455" t="str">
        <f t="shared" si="294"/>
        <v/>
      </c>
      <c r="X3455" t="str" cm="1">
        <f t="array" ref="X3455">IF(S3455="","",IF($I3455&lt;&gt;"",$I3455,INDEX($I$2:$I3454,ROW()-COUNTIFS($T$2:$T3454,"="&amp;$T3455,$S$2:$S3454,"&lt;&gt;"&amp;$S3455)-1)))</f>
        <v/>
      </c>
      <c r="Y3455" t="b">
        <f>IF(X3455&lt;&gt;"",VLOOKUP(X3455,game_rosters!$C$43:$E$64,3,FALSE))</f>
        <v>0</v>
      </c>
      <c r="Z3455" t="e" cm="1" vm="1">
        <f t="array" aca="1" ref="Z3455" ca="1">IFERROR(IF(_xlfn._xlws.FILTER(game_rosters!$J:$J,(game_rosters!$G:$G=events!$AN3455)*(game_rosters!$J:$J=events!$X3455))&gt;0,1,""),"")</f>
        <v>#VALUE!</v>
      </c>
      <c r="AA3455">
        <f t="shared" si="295"/>
        <v>1000</v>
      </c>
      <c r="AB3455" t="str">
        <f t="shared" si="296"/>
        <v/>
      </c>
      <c r="AC3455">
        <f t="shared" si="293"/>
        <v>1000</v>
      </c>
      <c r="AD3455" s="6"/>
    </row>
    <row r="3456" spans="1:30" x14ac:dyDescent="0.2">
      <c r="A3456" t="str">
        <f t="shared" si="294"/>
        <v/>
      </c>
      <c r="X3456" t="str" cm="1">
        <f t="array" ref="X3456">IF(S3456="","",IF($I3456&lt;&gt;"",$I3456,INDEX($I$2:$I3455,ROW()-COUNTIFS($T$2:$T3455,"="&amp;$T3456,$S$2:$S3455,"&lt;&gt;"&amp;$S3456)-1)))</f>
        <v/>
      </c>
      <c r="Y3456" t="b">
        <f>IF(X3456&lt;&gt;"",VLOOKUP(X3456,game_rosters!$C$43:$E$64,3,FALSE))</f>
        <v>0</v>
      </c>
      <c r="Z3456" t="e" cm="1" vm="1">
        <f t="array" aca="1" ref="Z3456" ca="1">IFERROR(IF(_xlfn._xlws.FILTER(game_rosters!$J:$J,(game_rosters!$G:$G=events!$AN3456)*(game_rosters!$J:$J=events!$X3456))&gt;0,1,""),"")</f>
        <v>#VALUE!</v>
      </c>
      <c r="AA3456">
        <f t="shared" si="295"/>
        <v>1000</v>
      </c>
      <c r="AB3456" t="str">
        <f t="shared" si="296"/>
        <v/>
      </c>
      <c r="AC3456">
        <f t="shared" si="293"/>
        <v>1000</v>
      </c>
      <c r="AD3456" s="6"/>
    </row>
    <row r="3457" spans="1:30" x14ac:dyDescent="0.2">
      <c r="A3457" t="str">
        <f t="shared" si="294"/>
        <v/>
      </c>
      <c r="X3457" t="str" cm="1">
        <f t="array" ref="X3457">IF(S3457="","",IF($I3457&lt;&gt;"",$I3457,INDEX($I$2:$I3456,ROW()-COUNTIFS($T$2:$T3456,"="&amp;$T3457,$S$2:$S3456,"&lt;&gt;"&amp;$S3457)-1)))</f>
        <v/>
      </c>
      <c r="Y3457" t="b">
        <f>IF(X3457&lt;&gt;"",VLOOKUP(X3457,game_rosters!$C$43:$E$64,3,FALSE))</f>
        <v>0</v>
      </c>
      <c r="Z3457" t="e" cm="1" vm="1">
        <f t="array" aca="1" ref="Z3457" ca="1">IFERROR(IF(_xlfn._xlws.FILTER(game_rosters!$J:$J,(game_rosters!$G:$G=events!$AN3457)*(game_rosters!$J:$J=events!$X3457))&gt;0,1,""),"")</f>
        <v>#VALUE!</v>
      </c>
      <c r="AA3457">
        <f t="shared" si="295"/>
        <v>1000</v>
      </c>
      <c r="AB3457" t="str">
        <f t="shared" si="296"/>
        <v/>
      </c>
      <c r="AC3457">
        <f t="shared" si="293"/>
        <v>1000</v>
      </c>
      <c r="AD3457" s="6"/>
    </row>
    <row r="3458" spans="1:30" x14ac:dyDescent="0.2">
      <c r="A3458" t="str">
        <f t="shared" si="294"/>
        <v/>
      </c>
      <c r="X3458" t="str" cm="1">
        <f t="array" ref="X3458">IF(S3458="","",IF($I3458&lt;&gt;"",$I3458,INDEX($I$2:$I3457,ROW()-COUNTIFS($T$2:$T3457,"="&amp;$T3458,$S$2:$S3457,"&lt;&gt;"&amp;$S3458)-1)))</f>
        <v/>
      </c>
      <c r="Y3458" t="b">
        <f>IF(X3458&lt;&gt;"",VLOOKUP(X3458,game_rosters!$C$43:$E$64,3,FALSE))</f>
        <v>0</v>
      </c>
      <c r="Z3458" t="e" cm="1" vm="1">
        <f t="array" aca="1" ref="Z3458" ca="1">IFERROR(IF(_xlfn._xlws.FILTER(game_rosters!$J:$J,(game_rosters!$G:$G=events!$AN3458)*(game_rosters!$J:$J=events!$X3458))&gt;0,1,""),"")</f>
        <v>#VALUE!</v>
      </c>
      <c r="AA3458">
        <f t="shared" si="295"/>
        <v>1000</v>
      </c>
      <c r="AB3458" t="str">
        <f t="shared" si="296"/>
        <v/>
      </c>
      <c r="AC3458">
        <f t="shared" ref="AC3458:AC3521" si="297">IF(AB3458&lt;&gt;"",AB3458,S3458+1000)</f>
        <v>1000</v>
      </c>
      <c r="AD3458" s="6"/>
    </row>
    <row r="3459" spans="1:30" x14ac:dyDescent="0.2">
      <c r="A3459" t="str">
        <f t="shared" si="294"/>
        <v/>
      </c>
      <c r="X3459" t="str" cm="1">
        <f t="array" ref="X3459">IF(S3459="","",IF($I3459&lt;&gt;"",$I3459,INDEX($I$2:$I3458,ROW()-COUNTIFS($T$2:$T3458,"="&amp;$T3459,$S$2:$S3458,"&lt;&gt;"&amp;$S3459)-1)))</f>
        <v/>
      </c>
      <c r="Y3459" t="b">
        <f>IF(X3459&lt;&gt;"",VLOOKUP(X3459,game_rosters!$C$43:$E$64,3,FALSE))</f>
        <v>0</v>
      </c>
      <c r="Z3459" t="e" cm="1" vm="1">
        <f t="array" aca="1" ref="Z3459" ca="1">IFERROR(IF(_xlfn._xlws.FILTER(game_rosters!$J:$J,(game_rosters!$G:$G=events!$AN3459)*(game_rosters!$J:$J=events!$X3459))&gt;0,1,""),"")</f>
        <v>#VALUE!</v>
      </c>
      <c r="AA3459">
        <f t="shared" si="295"/>
        <v>1000</v>
      </c>
      <c r="AB3459" t="str">
        <f t="shared" si="296"/>
        <v/>
      </c>
      <c r="AC3459">
        <f t="shared" si="297"/>
        <v>1000</v>
      </c>
      <c r="AD3459" s="6"/>
    </row>
    <row r="3460" spans="1:30" x14ac:dyDescent="0.2">
      <c r="A3460" t="str">
        <f t="shared" si="294"/>
        <v/>
      </c>
      <c r="X3460" t="str" cm="1">
        <f t="array" ref="X3460">IF(S3460="","",IF($I3460&lt;&gt;"",$I3460,INDEX($I$2:$I3459,ROW()-COUNTIFS($T$2:$T3459,"="&amp;$T3460,$S$2:$S3459,"&lt;&gt;"&amp;$S3460)-1)))</f>
        <v/>
      </c>
      <c r="Y3460" t="b">
        <f>IF(X3460&lt;&gt;"",VLOOKUP(X3460,game_rosters!$C$43:$E$64,3,FALSE))</f>
        <v>0</v>
      </c>
      <c r="Z3460" t="e" cm="1" vm="1">
        <f t="array" aca="1" ref="Z3460" ca="1">IFERROR(IF(_xlfn._xlws.FILTER(game_rosters!$J:$J,(game_rosters!$G:$G=events!$AN3460)*(game_rosters!$J:$J=events!$X3460))&gt;0,1,""),"")</f>
        <v>#VALUE!</v>
      </c>
      <c r="AA3460">
        <f t="shared" si="295"/>
        <v>1000</v>
      </c>
      <c r="AB3460" t="str">
        <f t="shared" si="296"/>
        <v/>
      </c>
      <c r="AC3460">
        <f t="shared" si="297"/>
        <v>1000</v>
      </c>
      <c r="AD3460" s="6"/>
    </row>
    <row r="3461" spans="1:30" x14ac:dyDescent="0.2">
      <c r="A3461" t="str">
        <f t="shared" ref="A3461:A3524" si="298">IF(K3461&lt;&gt;"",1,IF(D3461="x","x",""))</f>
        <v/>
      </c>
      <c r="X3461" t="str" cm="1">
        <f t="array" ref="X3461">IF(S3461="","",IF($I3461&lt;&gt;"",$I3461,INDEX($I$2:$I3460,ROW()-COUNTIFS($T$2:$T3460,"="&amp;$T3461,$S$2:$S3460,"&lt;&gt;"&amp;$S3461)-1)))</f>
        <v/>
      </c>
      <c r="Y3461" t="b">
        <f>IF(X3461&lt;&gt;"",VLOOKUP(X3461,game_rosters!$C$43:$E$64,3,FALSE))</f>
        <v>0</v>
      </c>
      <c r="Z3461" t="e" cm="1" vm="1">
        <f t="array" aca="1" ref="Z3461" ca="1">IFERROR(IF(_xlfn._xlws.FILTER(game_rosters!$J:$J,(game_rosters!$G:$G=events!$AN3461)*(game_rosters!$J:$J=events!$X3461))&gt;0,1,""),"")</f>
        <v>#VALUE!</v>
      </c>
      <c r="AA3461">
        <f t="shared" si="295"/>
        <v>1000</v>
      </c>
      <c r="AB3461" t="str">
        <f t="shared" si="296"/>
        <v/>
      </c>
      <c r="AC3461">
        <f t="shared" si="297"/>
        <v>1000</v>
      </c>
      <c r="AD3461" s="6"/>
    </row>
    <row r="3462" spans="1:30" x14ac:dyDescent="0.2">
      <c r="A3462" t="str">
        <f t="shared" si="298"/>
        <v/>
      </c>
      <c r="X3462" t="str" cm="1">
        <f t="array" ref="X3462">IF(S3462="","",IF($I3462&lt;&gt;"",$I3462,INDEX($I$2:$I3461,ROW()-COUNTIFS($T$2:$T3461,"="&amp;$T3462,$S$2:$S3461,"&lt;&gt;"&amp;$S3462)-1)))</f>
        <v/>
      </c>
      <c r="Y3462" t="b">
        <f>IF(X3462&lt;&gt;"",VLOOKUP(X3462,game_rosters!$C$43:$E$64,3,FALSE))</f>
        <v>0</v>
      </c>
      <c r="Z3462" t="e" cm="1" vm="1">
        <f t="array" aca="1" ref="Z3462" ca="1">IFERROR(IF(_xlfn._xlws.FILTER(game_rosters!$J:$J,(game_rosters!$G:$G=events!$AN3462)*(game_rosters!$J:$J=events!$X3462))&gt;0,1,""),"")</f>
        <v>#VALUE!</v>
      </c>
      <c r="AA3462">
        <f t="shared" si="295"/>
        <v>1000</v>
      </c>
      <c r="AB3462" t="str">
        <f t="shared" si="296"/>
        <v/>
      </c>
      <c r="AC3462">
        <f t="shared" si="297"/>
        <v>1000</v>
      </c>
      <c r="AD3462" s="6"/>
    </row>
    <row r="3463" spans="1:30" x14ac:dyDescent="0.2">
      <c r="A3463" t="str">
        <f t="shared" si="298"/>
        <v/>
      </c>
      <c r="X3463" t="str" cm="1">
        <f t="array" ref="X3463">IF(S3463="","",IF($I3463&lt;&gt;"",$I3463,INDEX($I$2:$I3462,ROW()-COUNTIFS($T$2:$T3462,"="&amp;$T3463,$S$2:$S3462,"&lt;&gt;"&amp;$S3463)-1)))</f>
        <v/>
      </c>
      <c r="Y3463" t="b">
        <f>IF(X3463&lt;&gt;"",VLOOKUP(X3463,game_rosters!$C$43:$E$64,3,FALSE))</f>
        <v>0</v>
      </c>
      <c r="Z3463" t="e" cm="1" vm="1">
        <f t="array" aca="1" ref="Z3463" ca="1">IFERROR(IF(_xlfn._xlws.FILTER(game_rosters!$J:$J,(game_rosters!$G:$G=events!$AN3463)*(game_rosters!$J:$J=events!$X3463))&gt;0,1,""),"")</f>
        <v>#VALUE!</v>
      </c>
      <c r="AA3463">
        <f t="shared" si="295"/>
        <v>1000</v>
      </c>
      <c r="AB3463" t="str">
        <f t="shared" si="296"/>
        <v/>
      </c>
      <c r="AC3463">
        <f t="shared" si="297"/>
        <v>1000</v>
      </c>
      <c r="AD3463" s="6"/>
    </row>
    <row r="3464" spans="1:30" x14ac:dyDescent="0.2">
      <c r="A3464" t="str">
        <f t="shared" si="298"/>
        <v/>
      </c>
      <c r="X3464" t="str" cm="1">
        <f t="array" ref="X3464">IF(S3464="","",IF($I3464&lt;&gt;"",$I3464,INDEX($I$2:$I3463,ROW()-COUNTIFS($T$2:$T3463,"="&amp;$T3464,$S$2:$S3463,"&lt;&gt;"&amp;$S3464)-1)))</f>
        <v/>
      </c>
      <c r="Y3464" t="b">
        <f>IF(X3464&lt;&gt;"",VLOOKUP(X3464,game_rosters!$C$43:$E$64,3,FALSE))</f>
        <v>0</v>
      </c>
      <c r="Z3464" t="e" cm="1" vm="1">
        <f t="array" aca="1" ref="Z3464" ca="1">IFERROR(IF(_xlfn._xlws.FILTER(game_rosters!$J:$J,(game_rosters!$G:$G=events!$AN3464)*(game_rosters!$J:$J=events!$X3464))&gt;0,1,""),"")</f>
        <v>#VALUE!</v>
      </c>
      <c r="AA3464">
        <f t="shared" si="295"/>
        <v>1000</v>
      </c>
      <c r="AB3464" t="str">
        <f t="shared" si="296"/>
        <v/>
      </c>
      <c r="AC3464">
        <f t="shared" si="297"/>
        <v>1000</v>
      </c>
      <c r="AD3464" s="6"/>
    </row>
    <row r="3465" spans="1:30" x14ac:dyDescent="0.2">
      <c r="A3465" t="str">
        <f t="shared" si="298"/>
        <v/>
      </c>
      <c r="X3465" t="str" cm="1">
        <f t="array" ref="X3465">IF(S3465="","",IF($I3465&lt;&gt;"",$I3465,INDEX($I$2:$I3464,ROW()-COUNTIFS($T$2:$T3464,"="&amp;$T3465,$S$2:$S3464,"&lt;&gt;"&amp;$S3465)-1)))</f>
        <v/>
      </c>
      <c r="Y3465" t="b">
        <f>IF(X3465&lt;&gt;"",VLOOKUP(X3465,game_rosters!$C$43:$E$64,3,FALSE))</f>
        <v>0</v>
      </c>
      <c r="Z3465" t="e" cm="1" vm="1">
        <f t="array" aca="1" ref="Z3465" ca="1">IFERROR(IF(_xlfn._xlws.FILTER(game_rosters!$J:$J,(game_rosters!$G:$G=events!$AN3465)*(game_rosters!$J:$J=events!$X3465))&gt;0,1,""),"")</f>
        <v>#VALUE!</v>
      </c>
      <c r="AA3465">
        <f t="shared" si="295"/>
        <v>1000</v>
      </c>
      <c r="AB3465" t="str">
        <f t="shared" si="296"/>
        <v/>
      </c>
      <c r="AC3465">
        <f t="shared" si="297"/>
        <v>1000</v>
      </c>
      <c r="AD3465" s="6"/>
    </row>
    <row r="3466" spans="1:30" x14ac:dyDescent="0.2">
      <c r="A3466" t="str">
        <f t="shared" si="298"/>
        <v/>
      </c>
      <c r="X3466" t="str" cm="1">
        <f t="array" ref="X3466">IF(S3466="","",IF($I3466&lt;&gt;"",$I3466,INDEX($I$2:$I3465,ROW()-COUNTIFS($T$2:$T3465,"="&amp;$T3466,$S$2:$S3465,"&lt;&gt;"&amp;$S3466)-1)))</f>
        <v/>
      </c>
      <c r="Y3466" t="b">
        <f>IF(X3466&lt;&gt;"",VLOOKUP(X3466,game_rosters!$C$43:$E$64,3,FALSE))</f>
        <v>0</v>
      </c>
      <c r="Z3466" t="e" cm="1" vm="1">
        <f t="array" aca="1" ref="Z3466" ca="1">IFERROR(IF(_xlfn._xlws.FILTER(game_rosters!$J:$J,(game_rosters!$G:$G=events!$AN3466)*(game_rosters!$J:$J=events!$X3466))&gt;0,1,""),"")</f>
        <v>#VALUE!</v>
      </c>
      <c r="AA3466">
        <f t="shared" si="295"/>
        <v>1000</v>
      </c>
      <c r="AB3466" t="str">
        <f t="shared" si="296"/>
        <v/>
      </c>
      <c r="AC3466">
        <f t="shared" si="297"/>
        <v>1000</v>
      </c>
      <c r="AD3466" s="6"/>
    </row>
    <row r="3467" spans="1:30" x14ac:dyDescent="0.2">
      <c r="A3467" t="str">
        <f t="shared" si="298"/>
        <v/>
      </c>
      <c r="X3467" t="str" cm="1">
        <f t="array" ref="X3467">IF(S3467="","",IF($I3467&lt;&gt;"",$I3467,INDEX($I$2:$I3466,ROW()-COUNTIFS($T$2:$T3466,"="&amp;$T3467,$S$2:$S3466,"&lt;&gt;"&amp;$S3467)-1)))</f>
        <v/>
      </c>
      <c r="Y3467" t="b">
        <f>IF(X3467&lt;&gt;"",VLOOKUP(X3467,game_rosters!$C$43:$E$64,3,FALSE))</f>
        <v>0</v>
      </c>
      <c r="Z3467" t="e" cm="1" vm="1">
        <f t="array" aca="1" ref="Z3467" ca="1">IFERROR(IF(_xlfn._xlws.FILTER(game_rosters!$J:$J,(game_rosters!$G:$G=events!$AN3467)*(game_rosters!$J:$J=events!$X3467))&gt;0,1,""),"")</f>
        <v>#VALUE!</v>
      </c>
      <c r="AA3467">
        <f t="shared" si="295"/>
        <v>1000</v>
      </c>
      <c r="AB3467" t="str">
        <f t="shared" si="296"/>
        <v/>
      </c>
      <c r="AC3467">
        <f t="shared" si="297"/>
        <v>1000</v>
      </c>
      <c r="AD3467" s="6"/>
    </row>
    <row r="3468" spans="1:30" x14ac:dyDescent="0.2">
      <c r="A3468" t="str">
        <f t="shared" si="298"/>
        <v/>
      </c>
      <c r="X3468" t="str" cm="1">
        <f t="array" ref="X3468">IF(S3468="","",IF($I3468&lt;&gt;"",$I3468,INDEX($I$2:$I3467,ROW()-COUNTIFS($T$2:$T3467,"="&amp;$T3468,$S$2:$S3467,"&lt;&gt;"&amp;$S3468)-1)))</f>
        <v/>
      </c>
      <c r="Y3468" t="b">
        <f>IF(X3468&lt;&gt;"",VLOOKUP(X3468,game_rosters!$C$43:$E$64,3,FALSE))</f>
        <v>0</v>
      </c>
      <c r="Z3468" t="e" cm="1" vm="1">
        <f t="array" aca="1" ref="Z3468" ca="1">IFERROR(IF(_xlfn._xlws.FILTER(game_rosters!$J:$J,(game_rosters!$G:$G=events!$AN3468)*(game_rosters!$J:$J=events!$X3468))&gt;0,1,""),"")</f>
        <v>#VALUE!</v>
      </c>
      <c r="AA3468">
        <f t="shared" si="295"/>
        <v>1000</v>
      </c>
      <c r="AB3468" t="str">
        <f t="shared" si="296"/>
        <v/>
      </c>
      <c r="AC3468">
        <f t="shared" si="297"/>
        <v>1000</v>
      </c>
      <c r="AD3468" s="6"/>
    </row>
    <row r="3469" spans="1:30" x14ac:dyDescent="0.2">
      <c r="A3469" t="str">
        <f t="shared" si="298"/>
        <v/>
      </c>
      <c r="X3469" t="str" cm="1">
        <f t="array" ref="X3469">IF(S3469="","",IF($I3469&lt;&gt;"",$I3469,INDEX($I$2:$I3468,ROW()-COUNTIFS($T$2:$T3468,"="&amp;$T3469,$S$2:$S3468,"&lt;&gt;"&amp;$S3469)-1)))</f>
        <v/>
      </c>
      <c r="Y3469" t="b">
        <f>IF(X3469&lt;&gt;"",VLOOKUP(X3469,game_rosters!$C$43:$E$64,3,FALSE))</f>
        <v>0</v>
      </c>
      <c r="Z3469" t="e" cm="1" vm="1">
        <f t="array" aca="1" ref="Z3469" ca="1">IFERROR(IF(_xlfn._xlws.FILTER(game_rosters!$J:$J,(game_rosters!$G:$G=events!$AN3469)*(game_rosters!$J:$J=events!$X3469))&gt;0,1,""),"")</f>
        <v>#VALUE!</v>
      </c>
      <c r="AA3469">
        <f t="shared" si="295"/>
        <v>1000</v>
      </c>
      <c r="AB3469" t="str">
        <f t="shared" si="296"/>
        <v/>
      </c>
      <c r="AC3469">
        <f t="shared" si="297"/>
        <v>1000</v>
      </c>
      <c r="AD3469" s="6"/>
    </row>
    <row r="3470" spans="1:30" x14ac:dyDescent="0.2">
      <c r="A3470" t="str">
        <f t="shared" si="298"/>
        <v/>
      </c>
      <c r="X3470" t="str" cm="1">
        <f t="array" ref="X3470">IF(S3470="","",IF($I3470&lt;&gt;"",$I3470,INDEX($I$2:$I3469,ROW()-COUNTIFS($T$2:$T3469,"="&amp;$T3470,$S$2:$S3469,"&lt;&gt;"&amp;$S3470)-1)))</f>
        <v/>
      </c>
      <c r="Y3470" t="b">
        <f>IF(X3470&lt;&gt;"",VLOOKUP(X3470,game_rosters!$C$43:$E$64,3,FALSE))</f>
        <v>0</v>
      </c>
      <c r="Z3470" t="e" cm="1" vm="1">
        <f t="array" aca="1" ref="Z3470" ca="1">IFERROR(IF(_xlfn._xlws.FILTER(game_rosters!$J:$J,(game_rosters!$G:$G=events!$AN3470)*(game_rosters!$J:$J=events!$X3470))&gt;0,1,""),"")</f>
        <v>#VALUE!</v>
      </c>
      <c r="AA3470">
        <f t="shared" si="295"/>
        <v>1000</v>
      </c>
      <c r="AB3470" t="str">
        <f t="shared" si="296"/>
        <v/>
      </c>
      <c r="AC3470">
        <f t="shared" si="297"/>
        <v>1000</v>
      </c>
      <c r="AD3470" s="6"/>
    </row>
    <row r="3471" spans="1:30" x14ac:dyDescent="0.2">
      <c r="A3471" t="str">
        <f t="shared" si="298"/>
        <v/>
      </c>
      <c r="X3471" t="str" cm="1">
        <f t="array" ref="X3471">IF(S3471="","",IF($I3471&lt;&gt;"",$I3471,INDEX($I$2:$I3470,ROW()-COUNTIFS($T$2:$T3470,"="&amp;$T3471,$S$2:$S3470,"&lt;&gt;"&amp;$S3471)-1)))</f>
        <v/>
      </c>
      <c r="Y3471" t="b">
        <f>IF(X3471&lt;&gt;"",VLOOKUP(X3471,game_rosters!$C$43:$E$64,3,FALSE))</f>
        <v>0</v>
      </c>
      <c r="Z3471" t="e" cm="1" vm="1">
        <f t="array" aca="1" ref="Z3471" ca="1">IFERROR(IF(_xlfn._xlws.FILTER(game_rosters!$J:$J,(game_rosters!$G:$G=events!$AN3471)*(game_rosters!$J:$J=events!$X3471))&gt;0,1,""),"")</f>
        <v>#VALUE!</v>
      </c>
      <c r="AA3471">
        <f t="shared" si="295"/>
        <v>1000</v>
      </c>
      <c r="AB3471" t="str">
        <f t="shared" si="296"/>
        <v/>
      </c>
      <c r="AC3471">
        <f t="shared" si="297"/>
        <v>1000</v>
      </c>
      <c r="AD3471" s="6"/>
    </row>
    <row r="3472" spans="1:30" x14ac:dyDescent="0.2">
      <c r="A3472" t="str">
        <f t="shared" si="298"/>
        <v/>
      </c>
      <c r="X3472" t="str" cm="1">
        <f t="array" ref="X3472">IF(S3472="","",IF($I3472&lt;&gt;"",$I3472,INDEX($I$2:$I3471,ROW()-COUNTIFS($T$2:$T3471,"="&amp;$T3472,$S$2:$S3471,"&lt;&gt;"&amp;$S3472)-1)))</f>
        <v/>
      </c>
      <c r="Y3472" t="b">
        <f>IF(X3472&lt;&gt;"",VLOOKUP(X3472,game_rosters!$C$43:$E$64,3,FALSE))</f>
        <v>0</v>
      </c>
      <c r="Z3472" t="e" cm="1" vm="1">
        <f t="array" aca="1" ref="Z3472" ca="1">IFERROR(IF(_xlfn._xlws.FILTER(game_rosters!$J:$J,(game_rosters!$G:$G=events!$AN3472)*(game_rosters!$J:$J=events!$X3472))&gt;0,1,""),"")</f>
        <v>#VALUE!</v>
      </c>
      <c r="AA3472">
        <f t="shared" si="295"/>
        <v>1000</v>
      </c>
      <c r="AB3472" t="str">
        <f t="shared" si="296"/>
        <v/>
      </c>
      <c r="AC3472">
        <f t="shared" si="297"/>
        <v>1000</v>
      </c>
      <c r="AD3472" s="6"/>
    </row>
    <row r="3473" spans="1:30" x14ac:dyDescent="0.2">
      <c r="A3473" t="str">
        <f t="shared" si="298"/>
        <v/>
      </c>
      <c r="X3473" t="str" cm="1">
        <f t="array" ref="X3473">IF(S3473="","",IF($I3473&lt;&gt;"",$I3473,INDEX($I$2:$I3472,ROW()-COUNTIFS($T$2:$T3472,"="&amp;$T3473,$S$2:$S3472,"&lt;&gt;"&amp;$S3473)-1)))</f>
        <v/>
      </c>
      <c r="Y3473" t="b">
        <f>IF(X3473&lt;&gt;"",VLOOKUP(X3473,game_rosters!$C$43:$E$64,3,FALSE))</f>
        <v>0</v>
      </c>
      <c r="Z3473" t="e" cm="1" vm="1">
        <f t="array" aca="1" ref="Z3473" ca="1">IFERROR(IF(_xlfn._xlws.FILTER(game_rosters!$J:$J,(game_rosters!$G:$G=events!$AN3473)*(game_rosters!$J:$J=events!$X3473))&gt;0,1,""),"")</f>
        <v>#VALUE!</v>
      </c>
      <c r="AA3473">
        <f t="shared" si="295"/>
        <v>1000</v>
      </c>
      <c r="AB3473" t="str">
        <f t="shared" si="296"/>
        <v/>
      </c>
      <c r="AC3473">
        <f t="shared" si="297"/>
        <v>1000</v>
      </c>
      <c r="AD3473" s="6"/>
    </row>
    <row r="3474" spans="1:30" x14ac:dyDescent="0.2">
      <c r="A3474" t="str">
        <f t="shared" si="298"/>
        <v/>
      </c>
      <c r="X3474" t="str" cm="1">
        <f t="array" ref="X3474">IF(S3474="","",IF($I3474&lt;&gt;"",$I3474,INDEX($I$2:$I3473,ROW()-COUNTIFS($T$2:$T3473,"="&amp;$T3474,$S$2:$S3473,"&lt;&gt;"&amp;$S3474)-1)))</f>
        <v/>
      </c>
      <c r="Y3474" t="b">
        <f>IF(X3474&lt;&gt;"",VLOOKUP(X3474,game_rosters!$C$43:$E$64,3,FALSE))</f>
        <v>0</v>
      </c>
      <c r="Z3474" t="e" cm="1" vm="1">
        <f t="array" aca="1" ref="Z3474" ca="1">IFERROR(IF(_xlfn._xlws.FILTER(game_rosters!$J:$J,(game_rosters!$G:$G=events!$AN3474)*(game_rosters!$J:$J=events!$X3474))&gt;0,1,""),"")</f>
        <v>#VALUE!</v>
      </c>
      <c r="AA3474">
        <f t="shared" si="295"/>
        <v>1000</v>
      </c>
      <c r="AB3474" t="str">
        <f t="shared" si="296"/>
        <v/>
      </c>
      <c r="AC3474">
        <f t="shared" si="297"/>
        <v>1000</v>
      </c>
      <c r="AD3474" s="6"/>
    </row>
    <row r="3475" spans="1:30" x14ac:dyDescent="0.2">
      <c r="A3475" t="str">
        <f t="shared" si="298"/>
        <v/>
      </c>
      <c r="X3475" t="str" cm="1">
        <f t="array" ref="X3475">IF(S3475="","",IF($I3475&lt;&gt;"",$I3475,INDEX($I$2:$I3474,ROW()-COUNTIFS($T$2:$T3474,"="&amp;$T3475,$S$2:$S3474,"&lt;&gt;"&amp;$S3475)-1)))</f>
        <v/>
      </c>
      <c r="Y3475" t="b">
        <f>IF(X3475&lt;&gt;"",VLOOKUP(X3475,game_rosters!$C$43:$E$64,3,FALSE))</f>
        <v>0</v>
      </c>
      <c r="Z3475" t="e" cm="1" vm="1">
        <f t="array" aca="1" ref="Z3475" ca="1">IFERROR(IF(_xlfn._xlws.FILTER(game_rosters!$J:$J,(game_rosters!$G:$G=events!$AN3475)*(game_rosters!$J:$J=events!$X3475))&gt;0,1,""),"")</f>
        <v>#VALUE!</v>
      </c>
      <c r="AA3475">
        <f t="shared" si="295"/>
        <v>1000</v>
      </c>
      <c r="AB3475" t="str">
        <f t="shared" si="296"/>
        <v/>
      </c>
      <c r="AC3475">
        <f t="shared" si="297"/>
        <v>1000</v>
      </c>
      <c r="AD3475" s="6"/>
    </row>
    <row r="3476" spans="1:30" x14ac:dyDescent="0.2">
      <c r="A3476" t="str">
        <f t="shared" si="298"/>
        <v/>
      </c>
      <c r="X3476" t="str" cm="1">
        <f t="array" ref="X3476">IF(S3476="","",IF($I3476&lt;&gt;"",$I3476,INDEX($I$2:$I3475,ROW()-COUNTIFS($T$2:$T3475,"="&amp;$T3476,$S$2:$S3475,"&lt;&gt;"&amp;$S3476)-1)))</f>
        <v/>
      </c>
      <c r="Y3476" t="b">
        <f>IF(X3476&lt;&gt;"",VLOOKUP(X3476,game_rosters!$C$43:$E$64,3,FALSE))</f>
        <v>0</v>
      </c>
      <c r="Z3476" t="e" cm="1" vm="1">
        <f t="array" aca="1" ref="Z3476" ca="1">IFERROR(IF(_xlfn._xlws.FILTER(game_rosters!$J:$J,(game_rosters!$G:$G=events!$AN3476)*(game_rosters!$J:$J=events!$X3476))&gt;0,1,""),"")</f>
        <v>#VALUE!</v>
      </c>
      <c r="AA3476">
        <f t="shared" si="295"/>
        <v>1000</v>
      </c>
      <c r="AB3476" t="str">
        <f t="shared" si="296"/>
        <v/>
      </c>
      <c r="AC3476">
        <f t="shared" si="297"/>
        <v>1000</v>
      </c>
      <c r="AD3476" s="6"/>
    </row>
    <row r="3477" spans="1:30" x14ac:dyDescent="0.2">
      <c r="A3477" t="str">
        <f t="shared" si="298"/>
        <v/>
      </c>
      <c r="X3477" t="str" cm="1">
        <f t="array" ref="X3477">IF(S3477="","",IF($I3477&lt;&gt;"",$I3477,INDEX($I$2:$I3476,ROW()-COUNTIFS($T$2:$T3476,"="&amp;$T3477,$S$2:$S3476,"&lt;&gt;"&amp;$S3477)-1)))</f>
        <v/>
      </c>
      <c r="Y3477" t="b">
        <f>IF(X3477&lt;&gt;"",VLOOKUP(X3477,game_rosters!$C$43:$E$64,3,FALSE))</f>
        <v>0</v>
      </c>
      <c r="Z3477" t="e" cm="1" vm="1">
        <f t="array" aca="1" ref="Z3477" ca="1">IFERROR(IF(_xlfn._xlws.FILTER(game_rosters!$J:$J,(game_rosters!$G:$G=events!$AN3477)*(game_rosters!$J:$J=events!$X3477))&gt;0,1,""),"")</f>
        <v>#VALUE!</v>
      </c>
      <c r="AA3477">
        <f t="shared" si="295"/>
        <v>1000</v>
      </c>
      <c r="AB3477" t="str">
        <f t="shared" si="296"/>
        <v/>
      </c>
      <c r="AC3477">
        <f t="shared" si="297"/>
        <v>1000</v>
      </c>
      <c r="AD3477" s="6"/>
    </row>
    <row r="3478" spans="1:30" x14ac:dyDescent="0.2">
      <c r="A3478" t="str">
        <f t="shared" si="298"/>
        <v/>
      </c>
      <c r="X3478" t="str" cm="1">
        <f t="array" ref="X3478">IF(S3478="","",IF($I3478&lt;&gt;"",$I3478,INDEX($I$2:$I3477,ROW()-COUNTIFS($T$2:$T3477,"="&amp;$T3478,$S$2:$S3477,"&lt;&gt;"&amp;$S3478)-1)))</f>
        <v/>
      </c>
      <c r="Y3478" t="b">
        <f>IF(X3478&lt;&gt;"",VLOOKUP(X3478,game_rosters!$C$43:$E$64,3,FALSE))</f>
        <v>0</v>
      </c>
      <c r="Z3478" t="e" cm="1" vm="1">
        <f t="array" aca="1" ref="Z3478" ca="1">IFERROR(IF(_xlfn._xlws.FILTER(game_rosters!$J:$J,(game_rosters!$G:$G=events!$AN3478)*(game_rosters!$J:$J=events!$X3478))&gt;0,1,""),"")</f>
        <v>#VALUE!</v>
      </c>
      <c r="AA3478">
        <f t="shared" si="295"/>
        <v>1000</v>
      </c>
      <c r="AB3478" t="str">
        <f t="shared" si="296"/>
        <v/>
      </c>
      <c r="AC3478">
        <f t="shared" si="297"/>
        <v>1000</v>
      </c>
      <c r="AD3478" s="6"/>
    </row>
    <row r="3479" spans="1:30" x14ac:dyDescent="0.2">
      <c r="A3479" t="str">
        <f t="shared" si="298"/>
        <v/>
      </c>
      <c r="X3479" t="str" cm="1">
        <f t="array" ref="X3479">IF(S3479="","",IF($I3479&lt;&gt;"",$I3479,INDEX($I$2:$I3478,ROW()-COUNTIFS($T$2:$T3478,"="&amp;$T3479,$S$2:$S3478,"&lt;&gt;"&amp;$S3479)-1)))</f>
        <v/>
      </c>
      <c r="Y3479" t="b">
        <f>IF(X3479&lt;&gt;"",VLOOKUP(X3479,game_rosters!$C$43:$E$64,3,FALSE))</f>
        <v>0</v>
      </c>
      <c r="Z3479" t="e" cm="1" vm="1">
        <f t="array" aca="1" ref="Z3479" ca="1">IFERROR(IF(_xlfn._xlws.FILTER(game_rosters!$J:$J,(game_rosters!$G:$G=events!$AN3479)*(game_rosters!$J:$J=events!$X3479))&gt;0,1,""),"")</f>
        <v>#VALUE!</v>
      </c>
      <c r="AA3479">
        <f t="shared" si="295"/>
        <v>1000</v>
      </c>
      <c r="AB3479" t="str">
        <f t="shared" si="296"/>
        <v/>
      </c>
      <c r="AC3479">
        <f t="shared" si="297"/>
        <v>1000</v>
      </c>
      <c r="AD3479" s="6"/>
    </row>
    <row r="3480" spans="1:30" x14ac:dyDescent="0.2">
      <c r="A3480" t="str">
        <f t="shared" si="298"/>
        <v/>
      </c>
      <c r="X3480" t="str" cm="1">
        <f t="array" ref="X3480">IF(S3480="","",IF($I3480&lt;&gt;"",$I3480,INDEX($I$2:$I3479,ROW()-COUNTIFS($T$2:$T3479,"="&amp;$T3480,$S$2:$S3479,"&lt;&gt;"&amp;$S3480)-1)))</f>
        <v/>
      </c>
      <c r="Y3480" t="b">
        <f>IF(X3480&lt;&gt;"",VLOOKUP(X3480,game_rosters!$C$43:$E$64,3,FALSE))</f>
        <v>0</v>
      </c>
      <c r="Z3480" t="e" cm="1" vm="1">
        <f t="array" aca="1" ref="Z3480" ca="1">IFERROR(IF(_xlfn._xlws.FILTER(game_rosters!$J:$J,(game_rosters!$G:$G=events!$AN3480)*(game_rosters!$J:$J=events!$X3480))&gt;0,1,""),"")</f>
        <v>#VALUE!</v>
      </c>
      <c r="AA3480">
        <f t="shared" si="295"/>
        <v>1000</v>
      </c>
      <c r="AB3480" t="str">
        <f t="shared" si="296"/>
        <v/>
      </c>
      <c r="AC3480">
        <f t="shared" si="297"/>
        <v>1000</v>
      </c>
      <c r="AD3480" s="6"/>
    </row>
    <row r="3481" spans="1:30" x14ac:dyDescent="0.2">
      <c r="A3481" t="str">
        <f t="shared" si="298"/>
        <v/>
      </c>
      <c r="X3481" t="str" cm="1">
        <f t="array" ref="X3481">IF(S3481="","",IF($I3481&lt;&gt;"",$I3481,INDEX($I$2:$I3480,ROW()-COUNTIFS($T$2:$T3480,"="&amp;$T3481,$S$2:$S3480,"&lt;&gt;"&amp;$S3481)-1)))</f>
        <v/>
      </c>
      <c r="Y3481" t="b">
        <f>IF(X3481&lt;&gt;"",VLOOKUP(X3481,game_rosters!$C$43:$E$64,3,FALSE))</f>
        <v>0</v>
      </c>
      <c r="Z3481" t="e" cm="1" vm="1">
        <f t="array" aca="1" ref="Z3481" ca="1">IFERROR(IF(_xlfn._xlws.FILTER(game_rosters!$J:$J,(game_rosters!$G:$G=events!$AN3481)*(game_rosters!$J:$J=events!$X3481))&gt;0,1,""),"")</f>
        <v>#VALUE!</v>
      </c>
      <c r="AA3481">
        <f t="shared" si="295"/>
        <v>1000</v>
      </c>
      <c r="AB3481" t="str">
        <f t="shared" si="296"/>
        <v/>
      </c>
      <c r="AC3481">
        <f t="shared" si="297"/>
        <v>1000</v>
      </c>
      <c r="AD3481" s="6"/>
    </row>
    <row r="3482" spans="1:30" x14ac:dyDescent="0.2">
      <c r="A3482" t="str">
        <f t="shared" si="298"/>
        <v/>
      </c>
      <c r="X3482" t="str" cm="1">
        <f t="array" ref="X3482">IF(S3482="","",IF($I3482&lt;&gt;"",$I3482,INDEX($I$2:$I3481,ROW()-COUNTIFS($T$2:$T3481,"="&amp;$T3482,$S$2:$S3481,"&lt;&gt;"&amp;$S3482)-1)))</f>
        <v/>
      </c>
      <c r="Y3482" t="b">
        <f>IF(X3482&lt;&gt;"",VLOOKUP(X3482,game_rosters!$C$43:$E$64,3,FALSE))</f>
        <v>0</v>
      </c>
      <c r="Z3482" t="e" cm="1" vm="1">
        <f t="array" aca="1" ref="Z3482" ca="1">IFERROR(IF(_xlfn._xlws.FILTER(game_rosters!$J:$J,(game_rosters!$G:$G=events!$AN3482)*(game_rosters!$J:$J=events!$X3482))&gt;0,1,""),"")</f>
        <v>#VALUE!</v>
      </c>
      <c r="AA3482">
        <f t="shared" si="295"/>
        <v>1000</v>
      </c>
      <c r="AB3482" t="str">
        <f t="shared" si="296"/>
        <v/>
      </c>
      <c r="AC3482">
        <f t="shared" si="297"/>
        <v>1000</v>
      </c>
      <c r="AD3482" s="6"/>
    </row>
    <row r="3483" spans="1:30" x14ac:dyDescent="0.2">
      <c r="A3483" t="str">
        <f t="shared" si="298"/>
        <v/>
      </c>
      <c r="X3483" t="str" cm="1">
        <f t="array" ref="X3483">IF(S3483="","",IF($I3483&lt;&gt;"",$I3483,INDEX($I$2:$I3482,ROW()-COUNTIFS($T$2:$T3482,"="&amp;$T3483,$S$2:$S3482,"&lt;&gt;"&amp;$S3483)-1)))</f>
        <v/>
      </c>
      <c r="Y3483" t="b">
        <f>IF(X3483&lt;&gt;"",VLOOKUP(X3483,game_rosters!$C$43:$E$64,3,FALSE))</f>
        <v>0</v>
      </c>
      <c r="Z3483" t="e" cm="1" vm="1">
        <f t="array" aca="1" ref="Z3483" ca="1">IFERROR(IF(_xlfn._xlws.FILTER(game_rosters!$J:$J,(game_rosters!$G:$G=events!$AN3483)*(game_rosters!$J:$J=events!$X3483))&gt;0,1,""),"")</f>
        <v>#VALUE!</v>
      </c>
      <c r="AA3483">
        <f t="shared" si="295"/>
        <v>1000</v>
      </c>
      <c r="AB3483" t="str">
        <f t="shared" si="296"/>
        <v/>
      </c>
      <c r="AC3483">
        <f t="shared" si="297"/>
        <v>1000</v>
      </c>
      <c r="AD3483" s="6"/>
    </row>
    <row r="3484" spans="1:30" x14ac:dyDescent="0.2">
      <c r="A3484" t="str">
        <f t="shared" si="298"/>
        <v/>
      </c>
      <c r="X3484" t="str" cm="1">
        <f t="array" ref="X3484">IF(S3484="","",IF($I3484&lt;&gt;"",$I3484,INDEX($I$2:$I3483,ROW()-COUNTIFS($T$2:$T3483,"="&amp;$T3484,$S$2:$S3483,"&lt;&gt;"&amp;$S3484)-1)))</f>
        <v/>
      </c>
      <c r="Y3484" t="b">
        <f>IF(X3484&lt;&gt;"",VLOOKUP(X3484,game_rosters!$C$43:$E$64,3,FALSE))</f>
        <v>0</v>
      </c>
      <c r="Z3484" t="e" cm="1" vm="1">
        <f t="array" aca="1" ref="Z3484" ca="1">IFERROR(IF(_xlfn._xlws.FILTER(game_rosters!$J:$J,(game_rosters!$G:$G=events!$AN3484)*(game_rosters!$J:$J=events!$X3484))&gt;0,1,""),"")</f>
        <v>#VALUE!</v>
      </c>
      <c r="AA3484">
        <f t="shared" si="295"/>
        <v>1000</v>
      </c>
      <c r="AB3484" t="str">
        <f t="shared" si="296"/>
        <v/>
      </c>
      <c r="AC3484">
        <f t="shared" si="297"/>
        <v>1000</v>
      </c>
      <c r="AD3484" s="6"/>
    </row>
    <row r="3485" spans="1:30" x14ac:dyDescent="0.2">
      <c r="A3485" t="str">
        <f t="shared" si="298"/>
        <v/>
      </c>
      <c r="X3485" t="str" cm="1">
        <f t="array" ref="X3485">IF(S3485="","",IF($I3485&lt;&gt;"",$I3485,INDEX($I$2:$I3484,ROW()-COUNTIFS($T$2:$T3484,"="&amp;$T3485,$S$2:$S3484,"&lt;&gt;"&amp;$S3485)-1)))</f>
        <v/>
      </c>
      <c r="Y3485" t="b">
        <f>IF(X3485&lt;&gt;"",VLOOKUP(X3485,game_rosters!$C$43:$E$64,3,FALSE))</f>
        <v>0</v>
      </c>
      <c r="Z3485" t="e" cm="1" vm="1">
        <f t="array" aca="1" ref="Z3485" ca="1">IFERROR(IF(_xlfn._xlws.FILTER(game_rosters!$J:$J,(game_rosters!$G:$G=events!$AN3485)*(game_rosters!$J:$J=events!$X3485))&gt;0,1,""),"")</f>
        <v>#VALUE!</v>
      </c>
      <c r="AA3485">
        <f t="shared" ref="AA3485:AA3548" si="299">S3485+1000</f>
        <v>1000</v>
      </c>
      <c r="AB3485" t="str">
        <f t="shared" ref="AB3485:AB3548" si="300">IF(T3485&lt;&gt;"",9000+T3485,"")</f>
        <v/>
      </c>
      <c r="AC3485">
        <f t="shared" si="297"/>
        <v>1000</v>
      </c>
      <c r="AD3485" s="6"/>
    </row>
    <row r="3486" spans="1:30" x14ac:dyDescent="0.2">
      <c r="A3486" t="str">
        <f t="shared" si="298"/>
        <v/>
      </c>
      <c r="X3486" t="str" cm="1">
        <f t="array" ref="X3486">IF(S3486="","",IF($I3486&lt;&gt;"",$I3486,INDEX($I$2:$I3485,ROW()-COUNTIFS($T$2:$T3485,"="&amp;$T3486,$S$2:$S3485,"&lt;&gt;"&amp;$S3486)-1)))</f>
        <v/>
      </c>
      <c r="Y3486" t="b">
        <f>IF(X3486&lt;&gt;"",VLOOKUP(X3486,game_rosters!$C$43:$E$64,3,FALSE))</f>
        <v>0</v>
      </c>
      <c r="Z3486" t="e" cm="1" vm="1">
        <f t="array" aca="1" ref="Z3486" ca="1">IFERROR(IF(_xlfn._xlws.FILTER(game_rosters!$J:$J,(game_rosters!$G:$G=events!$AN3486)*(game_rosters!$J:$J=events!$X3486))&gt;0,1,""),"")</f>
        <v>#VALUE!</v>
      </c>
      <c r="AA3486">
        <f t="shared" si="299"/>
        <v>1000</v>
      </c>
      <c r="AB3486" t="str">
        <f t="shared" si="300"/>
        <v/>
      </c>
      <c r="AC3486">
        <f t="shared" si="297"/>
        <v>1000</v>
      </c>
      <c r="AD3486" s="6"/>
    </row>
    <row r="3487" spans="1:30" x14ac:dyDescent="0.2">
      <c r="A3487" t="str">
        <f t="shared" si="298"/>
        <v/>
      </c>
      <c r="X3487" t="str" cm="1">
        <f t="array" ref="X3487">IF(S3487="","",IF($I3487&lt;&gt;"",$I3487,INDEX($I$2:$I3486,ROW()-COUNTIFS($T$2:$T3486,"="&amp;$T3487,$S$2:$S3486,"&lt;&gt;"&amp;$S3487)-1)))</f>
        <v/>
      </c>
      <c r="Y3487" t="b">
        <f>IF(X3487&lt;&gt;"",VLOOKUP(X3487,game_rosters!$C$43:$E$64,3,FALSE))</f>
        <v>0</v>
      </c>
      <c r="Z3487" t="e" cm="1" vm="1">
        <f t="array" aca="1" ref="Z3487" ca="1">IFERROR(IF(_xlfn._xlws.FILTER(game_rosters!$J:$J,(game_rosters!$G:$G=events!$AN3487)*(game_rosters!$J:$J=events!$X3487))&gt;0,1,""),"")</f>
        <v>#VALUE!</v>
      </c>
      <c r="AA3487">
        <f t="shared" si="299"/>
        <v>1000</v>
      </c>
      <c r="AB3487" t="str">
        <f t="shared" si="300"/>
        <v/>
      </c>
      <c r="AC3487">
        <f t="shared" si="297"/>
        <v>1000</v>
      </c>
      <c r="AD3487" s="6"/>
    </row>
    <row r="3488" spans="1:30" x14ac:dyDescent="0.2">
      <c r="A3488" t="str">
        <f t="shared" si="298"/>
        <v/>
      </c>
      <c r="X3488" t="str" cm="1">
        <f t="array" ref="X3488">IF(S3488="","",IF($I3488&lt;&gt;"",$I3488,INDEX($I$2:$I3487,ROW()-COUNTIFS($T$2:$T3487,"="&amp;$T3488,$S$2:$S3487,"&lt;&gt;"&amp;$S3488)-1)))</f>
        <v/>
      </c>
      <c r="Y3488" t="b">
        <f>IF(X3488&lt;&gt;"",VLOOKUP(X3488,game_rosters!$C$43:$E$64,3,FALSE))</f>
        <v>0</v>
      </c>
      <c r="Z3488" t="e" cm="1" vm="1">
        <f t="array" aca="1" ref="Z3488" ca="1">IFERROR(IF(_xlfn._xlws.FILTER(game_rosters!$J:$J,(game_rosters!$G:$G=events!$AN3488)*(game_rosters!$J:$J=events!$X3488))&gt;0,1,""),"")</f>
        <v>#VALUE!</v>
      </c>
      <c r="AA3488">
        <f t="shared" si="299"/>
        <v>1000</v>
      </c>
      <c r="AB3488" t="str">
        <f t="shared" si="300"/>
        <v/>
      </c>
      <c r="AC3488">
        <f t="shared" si="297"/>
        <v>1000</v>
      </c>
      <c r="AD3488" s="6"/>
    </row>
    <row r="3489" spans="1:30" x14ac:dyDescent="0.2">
      <c r="A3489" t="str">
        <f t="shared" si="298"/>
        <v/>
      </c>
      <c r="X3489" t="str" cm="1">
        <f t="array" ref="X3489">IF(S3489="","",IF($I3489&lt;&gt;"",$I3489,INDEX($I$2:$I3488,ROW()-COUNTIFS($T$2:$T3488,"="&amp;$T3489,$S$2:$S3488,"&lt;&gt;"&amp;$S3489)-1)))</f>
        <v/>
      </c>
      <c r="Y3489" t="b">
        <f>IF(X3489&lt;&gt;"",VLOOKUP(X3489,game_rosters!$C$43:$E$64,3,FALSE))</f>
        <v>0</v>
      </c>
      <c r="Z3489" t="e" cm="1" vm="1">
        <f t="array" aca="1" ref="Z3489" ca="1">IFERROR(IF(_xlfn._xlws.FILTER(game_rosters!$J:$J,(game_rosters!$G:$G=events!$AN3489)*(game_rosters!$J:$J=events!$X3489))&gt;0,1,""),"")</f>
        <v>#VALUE!</v>
      </c>
      <c r="AA3489">
        <f t="shared" si="299"/>
        <v>1000</v>
      </c>
      <c r="AB3489" t="str">
        <f t="shared" si="300"/>
        <v/>
      </c>
      <c r="AC3489">
        <f t="shared" si="297"/>
        <v>1000</v>
      </c>
      <c r="AD3489" s="6"/>
    </row>
    <row r="3490" spans="1:30" x14ac:dyDescent="0.2">
      <c r="A3490" t="str">
        <f t="shared" si="298"/>
        <v/>
      </c>
      <c r="X3490" t="str" cm="1">
        <f t="array" ref="X3490">IF(S3490="","",IF($I3490&lt;&gt;"",$I3490,INDEX($I$2:$I3489,ROW()-COUNTIFS($T$2:$T3489,"="&amp;$T3490,$S$2:$S3489,"&lt;&gt;"&amp;$S3490)-1)))</f>
        <v/>
      </c>
      <c r="Y3490" t="b">
        <f>IF(X3490&lt;&gt;"",VLOOKUP(X3490,game_rosters!$C$43:$E$64,3,FALSE))</f>
        <v>0</v>
      </c>
      <c r="Z3490" t="e" cm="1" vm="1">
        <f t="array" aca="1" ref="Z3490" ca="1">IFERROR(IF(_xlfn._xlws.FILTER(game_rosters!$J:$J,(game_rosters!$G:$G=events!$AN3490)*(game_rosters!$J:$J=events!$X3490))&gt;0,1,""),"")</f>
        <v>#VALUE!</v>
      </c>
      <c r="AA3490">
        <f t="shared" si="299"/>
        <v>1000</v>
      </c>
      <c r="AB3490" t="str">
        <f t="shared" si="300"/>
        <v/>
      </c>
      <c r="AC3490">
        <f t="shared" si="297"/>
        <v>1000</v>
      </c>
      <c r="AD3490" s="6"/>
    </row>
    <row r="3491" spans="1:30" x14ac:dyDescent="0.2">
      <c r="A3491" t="str">
        <f t="shared" si="298"/>
        <v/>
      </c>
      <c r="X3491" t="str" cm="1">
        <f t="array" ref="X3491">IF(S3491="","",IF($I3491&lt;&gt;"",$I3491,INDEX($I$2:$I3490,ROW()-COUNTIFS($T$2:$T3490,"="&amp;$T3491,$S$2:$S3490,"&lt;&gt;"&amp;$S3491)-1)))</f>
        <v/>
      </c>
      <c r="Y3491" t="b">
        <f>IF(X3491&lt;&gt;"",VLOOKUP(X3491,game_rosters!$C$43:$E$64,3,FALSE))</f>
        <v>0</v>
      </c>
      <c r="Z3491" t="e" cm="1" vm="1">
        <f t="array" aca="1" ref="Z3491" ca="1">IFERROR(IF(_xlfn._xlws.FILTER(game_rosters!$J:$J,(game_rosters!$G:$G=events!$AN3491)*(game_rosters!$J:$J=events!$X3491))&gt;0,1,""),"")</f>
        <v>#VALUE!</v>
      </c>
      <c r="AA3491">
        <f t="shared" si="299"/>
        <v>1000</v>
      </c>
      <c r="AB3491" t="str">
        <f t="shared" si="300"/>
        <v/>
      </c>
      <c r="AC3491">
        <f t="shared" si="297"/>
        <v>1000</v>
      </c>
      <c r="AD3491" s="6"/>
    </row>
    <row r="3492" spans="1:30" x14ac:dyDescent="0.2">
      <c r="A3492" t="str">
        <f t="shared" si="298"/>
        <v/>
      </c>
      <c r="X3492" t="str" cm="1">
        <f t="array" ref="X3492">IF(S3492="","",IF($I3492&lt;&gt;"",$I3492,INDEX($I$2:$I3491,ROW()-COUNTIFS($T$2:$T3491,"="&amp;$T3492,$S$2:$S3491,"&lt;&gt;"&amp;$S3492)-1)))</f>
        <v/>
      </c>
      <c r="Y3492" t="b">
        <f>IF(X3492&lt;&gt;"",VLOOKUP(X3492,game_rosters!$C$43:$E$64,3,FALSE))</f>
        <v>0</v>
      </c>
      <c r="Z3492" t="e" cm="1" vm="1">
        <f t="array" aca="1" ref="Z3492" ca="1">IFERROR(IF(_xlfn._xlws.FILTER(game_rosters!$J:$J,(game_rosters!$G:$G=events!$AN3492)*(game_rosters!$J:$J=events!$X3492))&gt;0,1,""),"")</f>
        <v>#VALUE!</v>
      </c>
      <c r="AA3492">
        <f t="shared" si="299"/>
        <v>1000</v>
      </c>
      <c r="AB3492" t="str">
        <f t="shared" si="300"/>
        <v/>
      </c>
      <c r="AC3492">
        <f t="shared" si="297"/>
        <v>1000</v>
      </c>
      <c r="AD3492" s="6"/>
    </row>
    <row r="3493" spans="1:30" x14ac:dyDescent="0.2">
      <c r="A3493" t="str">
        <f t="shared" si="298"/>
        <v/>
      </c>
      <c r="X3493" t="str" cm="1">
        <f t="array" ref="X3493">IF(S3493="","",IF($I3493&lt;&gt;"",$I3493,INDEX($I$2:$I3492,ROW()-COUNTIFS($T$2:$T3492,"="&amp;$T3493,$S$2:$S3492,"&lt;&gt;"&amp;$S3493)-1)))</f>
        <v/>
      </c>
      <c r="Y3493" t="b">
        <f>IF(X3493&lt;&gt;"",VLOOKUP(X3493,game_rosters!$C$43:$E$64,3,FALSE))</f>
        <v>0</v>
      </c>
      <c r="Z3493" t="e" cm="1" vm="1">
        <f t="array" aca="1" ref="Z3493" ca="1">IFERROR(IF(_xlfn._xlws.FILTER(game_rosters!$J:$J,(game_rosters!$G:$G=events!$AN3493)*(game_rosters!$J:$J=events!$X3493))&gt;0,1,""),"")</f>
        <v>#VALUE!</v>
      </c>
      <c r="AA3493">
        <f t="shared" si="299"/>
        <v>1000</v>
      </c>
      <c r="AB3493" t="str">
        <f t="shared" si="300"/>
        <v/>
      </c>
      <c r="AC3493">
        <f t="shared" si="297"/>
        <v>1000</v>
      </c>
      <c r="AD3493" s="6"/>
    </row>
    <row r="3494" spans="1:30" x14ac:dyDescent="0.2">
      <c r="A3494" t="str">
        <f t="shared" si="298"/>
        <v/>
      </c>
      <c r="X3494" t="str" cm="1">
        <f t="array" ref="X3494">IF(S3494="","",IF($I3494&lt;&gt;"",$I3494,INDEX($I$2:$I3493,ROW()-COUNTIFS($T$2:$T3493,"="&amp;$T3494,$S$2:$S3493,"&lt;&gt;"&amp;$S3494)-1)))</f>
        <v/>
      </c>
      <c r="Y3494" t="b">
        <f>IF(X3494&lt;&gt;"",VLOOKUP(X3494,game_rosters!$C$43:$E$64,3,FALSE))</f>
        <v>0</v>
      </c>
      <c r="Z3494" t="e" cm="1" vm="1">
        <f t="array" aca="1" ref="Z3494" ca="1">IFERROR(IF(_xlfn._xlws.FILTER(game_rosters!$J:$J,(game_rosters!$G:$G=events!$AN3494)*(game_rosters!$J:$J=events!$X3494))&gt;0,1,""),"")</f>
        <v>#VALUE!</v>
      </c>
      <c r="AA3494">
        <f t="shared" si="299"/>
        <v>1000</v>
      </c>
      <c r="AB3494" t="str">
        <f t="shared" si="300"/>
        <v/>
      </c>
      <c r="AC3494">
        <f t="shared" si="297"/>
        <v>1000</v>
      </c>
      <c r="AD3494" s="6"/>
    </row>
    <row r="3495" spans="1:30" x14ac:dyDescent="0.2">
      <c r="A3495" t="str">
        <f t="shared" si="298"/>
        <v/>
      </c>
      <c r="X3495" t="str" cm="1">
        <f t="array" ref="X3495">IF(S3495="","",IF($I3495&lt;&gt;"",$I3495,INDEX($I$2:$I3494,ROW()-COUNTIFS($T$2:$T3494,"="&amp;$T3495,$S$2:$S3494,"&lt;&gt;"&amp;$S3495)-1)))</f>
        <v/>
      </c>
      <c r="Y3495" t="b">
        <f>IF(X3495&lt;&gt;"",VLOOKUP(X3495,game_rosters!$C$43:$E$64,3,FALSE))</f>
        <v>0</v>
      </c>
      <c r="Z3495" t="e" cm="1" vm="1">
        <f t="array" aca="1" ref="Z3495" ca="1">IFERROR(IF(_xlfn._xlws.FILTER(game_rosters!$J:$J,(game_rosters!$G:$G=events!$AN3495)*(game_rosters!$J:$J=events!$X3495))&gt;0,1,""),"")</f>
        <v>#VALUE!</v>
      </c>
      <c r="AA3495">
        <f t="shared" si="299"/>
        <v>1000</v>
      </c>
      <c r="AB3495" t="str">
        <f t="shared" si="300"/>
        <v/>
      </c>
      <c r="AC3495">
        <f t="shared" si="297"/>
        <v>1000</v>
      </c>
      <c r="AD3495" s="6"/>
    </row>
    <row r="3496" spans="1:30" x14ac:dyDescent="0.2">
      <c r="A3496" t="str">
        <f t="shared" si="298"/>
        <v/>
      </c>
      <c r="X3496" t="str" cm="1">
        <f t="array" ref="X3496">IF(S3496="","",IF($I3496&lt;&gt;"",$I3496,INDEX($I$2:$I3495,ROW()-COUNTIFS($T$2:$T3495,"="&amp;$T3496,$S$2:$S3495,"&lt;&gt;"&amp;$S3496)-1)))</f>
        <v/>
      </c>
      <c r="Y3496" t="b">
        <f>IF(X3496&lt;&gt;"",VLOOKUP(X3496,game_rosters!$C$43:$E$64,3,FALSE))</f>
        <v>0</v>
      </c>
      <c r="Z3496" t="e" cm="1" vm="1">
        <f t="array" aca="1" ref="Z3496" ca="1">IFERROR(IF(_xlfn._xlws.FILTER(game_rosters!$J:$J,(game_rosters!$G:$G=events!$AN3496)*(game_rosters!$J:$J=events!$X3496))&gt;0,1,""),"")</f>
        <v>#VALUE!</v>
      </c>
      <c r="AA3496">
        <f t="shared" si="299"/>
        <v>1000</v>
      </c>
      <c r="AB3496" t="str">
        <f t="shared" si="300"/>
        <v/>
      </c>
      <c r="AC3496">
        <f t="shared" si="297"/>
        <v>1000</v>
      </c>
      <c r="AD3496" s="6"/>
    </row>
    <row r="3497" spans="1:30" x14ac:dyDescent="0.2">
      <c r="A3497" t="str">
        <f t="shared" si="298"/>
        <v/>
      </c>
      <c r="X3497" t="str" cm="1">
        <f t="array" ref="X3497">IF(S3497="","",IF($I3497&lt;&gt;"",$I3497,INDEX($I$2:$I3496,ROW()-COUNTIFS($T$2:$T3496,"="&amp;$T3497,$S$2:$S3496,"&lt;&gt;"&amp;$S3497)-1)))</f>
        <v/>
      </c>
      <c r="Y3497" t="b">
        <f>IF(X3497&lt;&gt;"",VLOOKUP(X3497,game_rosters!$C$43:$E$64,3,FALSE))</f>
        <v>0</v>
      </c>
      <c r="Z3497" t="e" cm="1" vm="1">
        <f t="array" aca="1" ref="Z3497" ca="1">IFERROR(IF(_xlfn._xlws.FILTER(game_rosters!$J:$J,(game_rosters!$G:$G=events!$AN3497)*(game_rosters!$J:$J=events!$X3497))&gt;0,1,""),"")</f>
        <v>#VALUE!</v>
      </c>
      <c r="AA3497">
        <f t="shared" si="299"/>
        <v>1000</v>
      </c>
      <c r="AB3497" t="str">
        <f t="shared" si="300"/>
        <v/>
      </c>
      <c r="AC3497">
        <f t="shared" si="297"/>
        <v>1000</v>
      </c>
      <c r="AD3497" s="6"/>
    </row>
    <row r="3498" spans="1:30" x14ac:dyDescent="0.2">
      <c r="A3498" t="str">
        <f t="shared" si="298"/>
        <v/>
      </c>
      <c r="X3498" t="str" cm="1">
        <f t="array" ref="X3498">IF(S3498="","",IF($I3498&lt;&gt;"",$I3498,INDEX($I$2:$I3497,ROW()-COUNTIFS($T$2:$T3497,"="&amp;$T3498,$S$2:$S3497,"&lt;&gt;"&amp;$S3498)-1)))</f>
        <v/>
      </c>
      <c r="Y3498" t="b">
        <f>IF(X3498&lt;&gt;"",VLOOKUP(X3498,game_rosters!$C$43:$E$64,3,FALSE))</f>
        <v>0</v>
      </c>
      <c r="Z3498" t="e" cm="1" vm="1">
        <f t="array" aca="1" ref="Z3498" ca="1">IFERROR(IF(_xlfn._xlws.FILTER(game_rosters!$J:$J,(game_rosters!$G:$G=events!$AN3498)*(game_rosters!$J:$J=events!$X3498))&gt;0,1,""),"")</f>
        <v>#VALUE!</v>
      </c>
      <c r="AA3498">
        <f t="shared" si="299"/>
        <v>1000</v>
      </c>
      <c r="AB3498" t="str">
        <f t="shared" si="300"/>
        <v/>
      </c>
      <c r="AC3498">
        <f t="shared" si="297"/>
        <v>1000</v>
      </c>
      <c r="AD3498" s="6"/>
    </row>
    <row r="3499" spans="1:30" x14ac:dyDescent="0.2">
      <c r="A3499" t="str">
        <f t="shared" si="298"/>
        <v/>
      </c>
      <c r="X3499" t="str" cm="1">
        <f t="array" ref="X3499">IF(S3499="","",IF($I3499&lt;&gt;"",$I3499,INDEX($I$2:$I3498,ROW()-COUNTIFS($T$2:$T3498,"="&amp;$T3499,$S$2:$S3498,"&lt;&gt;"&amp;$S3499)-1)))</f>
        <v/>
      </c>
      <c r="Y3499" t="b">
        <f>IF(X3499&lt;&gt;"",VLOOKUP(X3499,game_rosters!$C$43:$E$64,3,FALSE))</f>
        <v>0</v>
      </c>
      <c r="Z3499" t="e" cm="1" vm="1">
        <f t="array" aca="1" ref="Z3499" ca="1">IFERROR(IF(_xlfn._xlws.FILTER(game_rosters!$J:$J,(game_rosters!$G:$G=events!$AN3499)*(game_rosters!$J:$J=events!$X3499))&gt;0,1,""),"")</f>
        <v>#VALUE!</v>
      </c>
      <c r="AA3499">
        <f t="shared" si="299"/>
        <v>1000</v>
      </c>
      <c r="AB3499" t="str">
        <f t="shared" si="300"/>
        <v/>
      </c>
      <c r="AC3499">
        <f t="shared" si="297"/>
        <v>1000</v>
      </c>
      <c r="AD3499" s="6"/>
    </row>
    <row r="3500" spans="1:30" x14ac:dyDescent="0.2">
      <c r="A3500" t="str">
        <f t="shared" si="298"/>
        <v/>
      </c>
      <c r="X3500" t="str" cm="1">
        <f t="array" ref="X3500">IF(S3500="","",IF($I3500&lt;&gt;"",$I3500,INDEX($I$2:$I3499,ROW()-COUNTIFS($T$2:$T3499,"="&amp;$T3500,$S$2:$S3499,"&lt;&gt;"&amp;$S3500)-1)))</f>
        <v/>
      </c>
      <c r="Y3500" t="b">
        <f>IF(X3500&lt;&gt;"",VLOOKUP(X3500,game_rosters!$C$43:$E$64,3,FALSE))</f>
        <v>0</v>
      </c>
      <c r="Z3500" t="e" cm="1" vm="1">
        <f t="array" aca="1" ref="Z3500" ca="1">IFERROR(IF(_xlfn._xlws.FILTER(game_rosters!$J:$J,(game_rosters!$G:$G=events!$AN3500)*(game_rosters!$J:$J=events!$X3500))&gt;0,1,""),"")</f>
        <v>#VALUE!</v>
      </c>
      <c r="AA3500">
        <f t="shared" si="299"/>
        <v>1000</v>
      </c>
      <c r="AB3500" t="str">
        <f t="shared" si="300"/>
        <v/>
      </c>
      <c r="AC3500">
        <f t="shared" si="297"/>
        <v>1000</v>
      </c>
      <c r="AD3500" s="6"/>
    </row>
    <row r="3501" spans="1:30" x14ac:dyDescent="0.2">
      <c r="A3501" t="str">
        <f t="shared" si="298"/>
        <v/>
      </c>
      <c r="X3501" t="str" cm="1">
        <f t="array" ref="X3501">IF(S3501="","",IF($I3501&lt;&gt;"",$I3501,INDEX($I$2:$I3500,ROW()-COUNTIFS($T$2:$T3500,"="&amp;$T3501,$S$2:$S3500,"&lt;&gt;"&amp;$S3501)-1)))</f>
        <v/>
      </c>
      <c r="Y3501" t="b">
        <f>IF(X3501&lt;&gt;"",VLOOKUP(X3501,game_rosters!$C$43:$E$64,3,FALSE))</f>
        <v>0</v>
      </c>
      <c r="Z3501" t="e" cm="1" vm="1">
        <f t="array" aca="1" ref="Z3501" ca="1">IFERROR(IF(_xlfn._xlws.FILTER(game_rosters!$J:$J,(game_rosters!$G:$G=events!$AN3501)*(game_rosters!$J:$J=events!$X3501))&gt;0,1,""),"")</f>
        <v>#VALUE!</v>
      </c>
      <c r="AA3501">
        <f t="shared" si="299"/>
        <v>1000</v>
      </c>
      <c r="AB3501" t="str">
        <f t="shared" si="300"/>
        <v/>
      </c>
      <c r="AC3501">
        <f t="shared" si="297"/>
        <v>1000</v>
      </c>
      <c r="AD3501" s="6"/>
    </row>
    <row r="3502" spans="1:30" x14ac:dyDescent="0.2">
      <c r="A3502" t="str">
        <f t="shared" si="298"/>
        <v/>
      </c>
      <c r="X3502" t="str" cm="1">
        <f t="array" ref="X3502">IF(S3502="","",IF($I3502&lt;&gt;"",$I3502,INDEX($I$2:$I3501,ROW()-COUNTIFS($T$2:$T3501,"="&amp;$T3502,$S$2:$S3501,"&lt;&gt;"&amp;$S3502)-1)))</f>
        <v/>
      </c>
      <c r="Y3502" t="b">
        <f>IF(X3502&lt;&gt;"",VLOOKUP(X3502,game_rosters!$C$43:$E$64,3,FALSE))</f>
        <v>0</v>
      </c>
      <c r="Z3502" t="e" cm="1" vm="1">
        <f t="array" aca="1" ref="Z3502" ca="1">IFERROR(IF(_xlfn._xlws.FILTER(game_rosters!$J:$J,(game_rosters!$G:$G=events!$AN3502)*(game_rosters!$J:$J=events!$X3502))&gt;0,1,""),"")</f>
        <v>#VALUE!</v>
      </c>
      <c r="AA3502">
        <f t="shared" si="299"/>
        <v>1000</v>
      </c>
      <c r="AB3502" t="str">
        <f t="shared" si="300"/>
        <v/>
      </c>
      <c r="AC3502">
        <f t="shared" si="297"/>
        <v>1000</v>
      </c>
      <c r="AD3502" s="6"/>
    </row>
    <row r="3503" spans="1:30" x14ac:dyDescent="0.2">
      <c r="A3503" t="str">
        <f t="shared" si="298"/>
        <v/>
      </c>
      <c r="X3503" t="str" cm="1">
        <f t="array" ref="X3503">IF(S3503="","",IF($I3503&lt;&gt;"",$I3503,INDEX($I$2:$I3502,ROW()-COUNTIFS($T$2:$T3502,"="&amp;$T3503,$S$2:$S3502,"&lt;&gt;"&amp;$S3503)-1)))</f>
        <v/>
      </c>
      <c r="Y3503" t="b">
        <f>IF(X3503&lt;&gt;"",VLOOKUP(X3503,game_rosters!$C$43:$E$64,3,FALSE))</f>
        <v>0</v>
      </c>
      <c r="Z3503" t="e" cm="1" vm="1">
        <f t="array" aca="1" ref="Z3503" ca="1">IFERROR(IF(_xlfn._xlws.FILTER(game_rosters!$J:$J,(game_rosters!$G:$G=events!$AN3503)*(game_rosters!$J:$J=events!$X3503))&gt;0,1,""),"")</f>
        <v>#VALUE!</v>
      </c>
      <c r="AA3503">
        <f t="shared" si="299"/>
        <v>1000</v>
      </c>
      <c r="AB3503" t="str">
        <f t="shared" si="300"/>
        <v/>
      </c>
      <c r="AC3503">
        <f t="shared" si="297"/>
        <v>1000</v>
      </c>
      <c r="AD3503" s="6"/>
    </row>
    <row r="3504" spans="1:30" x14ac:dyDescent="0.2">
      <c r="A3504" t="str">
        <f t="shared" si="298"/>
        <v/>
      </c>
      <c r="X3504" t="str" cm="1">
        <f t="array" ref="X3504">IF(S3504="","",IF($I3504&lt;&gt;"",$I3504,INDEX($I$2:$I3503,ROW()-COUNTIFS($T$2:$T3503,"="&amp;$T3504,$S$2:$S3503,"&lt;&gt;"&amp;$S3504)-1)))</f>
        <v/>
      </c>
      <c r="Y3504" t="b">
        <f>IF(X3504&lt;&gt;"",VLOOKUP(X3504,game_rosters!$C$43:$E$64,3,FALSE))</f>
        <v>0</v>
      </c>
      <c r="Z3504" t="e" cm="1" vm="1">
        <f t="array" aca="1" ref="Z3504" ca="1">IFERROR(IF(_xlfn._xlws.FILTER(game_rosters!$J:$J,(game_rosters!$G:$G=events!$AN3504)*(game_rosters!$J:$J=events!$X3504))&gt;0,1,""),"")</f>
        <v>#VALUE!</v>
      </c>
      <c r="AA3504">
        <f t="shared" si="299"/>
        <v>1000</v>
      </c>
      <c r="AB3504" t="str">
        <f t="shared" si="300"/>
        <v/>
      </c>
      <c r="AC3504">
        <f t="shared" si="297"/>
        <v>1000</v>
      </c>
      <c r="AD3504" s="6"/>
    </row>
    <row r="3505" spans="1:30" x14ac:dyDescent="0.2">
      <c r="A3505" t="str">
        <f t="shared" si="298"/>
        <v/>
      </c>
      <c r="X3505" t="str" cm="1">
        <f t="array" ref="X3505">IF(S3505="","",IF($I3505&lt;&gt;"",$I3505,INDEX($I$2:$I3504,ROW()-COUNTIFS($T$2:$T3504,"="&amp;$T3505,$S$2:$S3504,"&lt;&gt;"&amp;$S3505)-1)))</f>
        <v/>
      </c>
      <c r="Y3505" t="b">
        <f>IF(X3505&lt;&gt;"",VLOOKUP(X3505,game_rosters!$C$43:$E$64,3,FALSE))</f>
        <v>0</v>
      </c>
      <c r="Z3505" t="e" cm="1" vm="1">
        <f t="array" aca="1" ref="Z3505" ca="1">IFERROR(IF(_xlfn._xlws.FILTER(game_rosters!$J:$J,(game_rosters!$G:$G=events!$AN3505)*(game_rosters!$J:$J=events!$X3505))&gt;0,1,""),"")</f>
        <v>#VALUE!</v>
      </c>
      <c r="AA3505">
        <f t="shared" si="299"/>
        <v>1000</v>
      </c>
      <c r="AB3505" t="str">
        <f t="shared" si="300"/>
        <v/>
      </c>
      <c r="AC3505">
        <f t="shared" si="297"/>
        <v>1000</v>
      </c>
      <c r="AD3505" s="6"/>
    </row>
    <row r="3506" spans="1:30" x14ac:dyDescent="0.2">
      <c r="A3506" t="str">
        <f t="shared" si="298"/>
        <v/>
      </c>
      <c r="X3506" t="str" cm="1">
        <f t="array" ref="X3506">IF(S3506="","",IF($I3506&lt;&gt;"",$I3506,INDEX($I$2:$I3505,ROW()-COUNTIFS($T$2:$T3505,"="&amp;$T3506,$S$2:$S3505,"&lt;&gt;"&amp;$S3506)-1)))</f>
        <v/>
      </c>
      <c r="Y3506" t="b">
        <f>IF(X3506&lt;&gt;"",VLOOKUP(X3506,game_rosters!$C$43:$E$64,3,FALSE))</f>
        <v>0</v>
      </c>
      <c r="Z3506" t="e" cm="1" vm="1">
        <f t="array" aca="1" ref="Z3506" ca="1">IFERROR(IF(_xlfn._xlws.FILTER(game_rosters!$J:$J,(game_rosters!$G:$G=events!$AN3506)*(game_rosters!$J:$J=events!$X3506))&gt;0,1,""),"")</f>
        <v>#VALUE!</v>
      </c>
      <c r="AA3506">
        <f t="shared" si="299"/>
        <v>1000</v>
      </c>
      <c r="AB3506" t="str">
        <f t="shared" si="300"/>
        <v/>
      </c>
      <c r="AC3506">
        <f t="shared" si="297"/>
        <v>1000</v>
      </c>
      <c r="AD3506" s="6"/>
    </row>
    <row r="3507" spans="1:30" x14ac:dyDescent="0.2">
      <c r="A3507" t="str">
        <f t="shared" si="298"/>
        <v/>
      </c>
      <c r="X3507" t="str" cm="1">
        <f t="array" ref="X3507">IF(S3507="","",IF($I3507&lt;&gt;"",$I3507,INDEX($I$2:$I3506,ROW()-COUNTIFS($T$2:$T3506,"="&amp;$T3507,$S$2:$S3506,"&lt;&gt;"&amp;$S3507)-1)))</f>
        <v/>
      </c>
      <c r="Y3507" t="b">
        <f>IF(X3507&lt;&gt;"",VLOOKUP(X3507,game_rosters!$C$43:$E$64,3,FALSE))</f>
        <v>0</v>
      </c>
      <c r="Z3507" t="e" cm="1" vm="1">
        <f t="array" aca="1" ref="Z3507" ca="1">IFERROR(IF(_xlfn._xlws.FILTER(game_rosters!$J:$J,(game_rosters!$G:$G=events!$AN3507)*(game_rosters!$J:$J=events!$X3507))&gt;0,1,""),"")</f>
        <v>#VALUE!</v>
      </c>
      <c r="AA3507">
        <f t="shared" si="299"/>
        <v>1000</v>
      </c>
      <c r="AB3507" t="str">
        <f t="shared" si="300"/>
        <v/>
      </c>
      <c r="AC3507">
        <f t="shared" si="297"/>
        <v>1000</v>
      </c>
      <c r="AD3507" s="6"/>
    </row>
    <row r="3508" spans="1:30" x14ac:dyDescent="0.2">
      <c r="A3508" t="str">
        <f t="shared" si="298"/>
        <v/>
      </c>
      <c r="X3508" t="str" cm="1">
        <f t="array" ref="X3508">IF(S3508="","",IF($I3508&lt;&gt;"",$I3508,INDEX($I$2:$I3507,ROW()-COUNTIFS($T$2:$T3507,"="&amp;$T3508,$S$2:$S3507,"&lt;&gt;"&amp;$S3508)-1)))</f>
        <v/>
      </c>
      <c r="Y3508" t="b">
        <f>IF(X3508&lt;&gt;"",VLOOKUP(X3508,game_rosters!$C$43:$E$64,3,FALSE))</f>
        <v>0</v>
      </c>
      <c r="Z3508" t="e" cm="1" vm="1">
        <f t="array" aca="1" ref="Z3508" ca="1">IFERROR(IF(_xlfn._xlws.FILTER(game_rosters!$J:$J,(game_rosters!$G:$G=events!$AN3508)*(game_rosters!$J:$J=events!$X3508))&gt;0,1,""),"")</f>
        <v>#VALUE!</v>
      </c>
      <c r="AA3508">
        <f t="shared" si="299"/>
        <v>1000</v>
      </c>
      <c r="AB3508" t="str">
        <f t="shared" si="300"/>
        <v/>
      </c>
      <c r="AC3508">
        <f t="shared" si="297"/>
        <v>1000</v>
      </c>
      <c r="AD3508" s="6"/>
    </row>
    <row r="3509" spans="1:30" x14ac:dyDescent="0.2">
      <c r="A3509" t="str">
        <f t="shared" si="298"/>
        <v/>
      </c>
      <c r="X3509" t="str" cm="1">
        <f t="array" ref="X3509">IF(S3509="","",IF($I3509&lt;&gt;"",$I3509,INDEX($I$2:$I3508,ROW()-COUNTIFS($T$2:$T3508,"="&amp;$T3509,$S$2:$S3508,"&lt;&gt;"&amp;$S3509)-1)))</f>
        <v/>
      </c>
      <c r="Y3509" t="b">
        <f>IF(X3509&lt;&gt;"",VLOOKUP(X3509,game_rosters!$C$43:$E$64,3,FALSE))</f>
        <v>0</v>
      </c>
      <c r="Z3509" t="e" cm="1" vm="1">
        <f t="array" aca="1" ref="Z3509" ca="1">IFERROR(IF(_xlfn._xlws.FILTER(game_rosters!$J:$J,(game_rosters!$G:$G=events!$AN3509)*(game_rosters!$J:$J=events!$X3509))&gt;0,1,""),"")</f>
        <v>#VALUE!</v>
      </c>
      <c r="AA3509">
        <f t="shared" si="299"/>
        <v>1000</v>
      </c>
      <c r="AB3509" t="str">
        <f t="shared" si="300"/>
        <v/>
      </c>
      <c r="AC3509">
        <f t="shared" si="297"/>
        <v>1000</v>
      </c>
      <c r="AD3509" s="6"/>
    </row>
    <row r="3510" spans="1:30" x14ac:dyDescent="0.2">
      <c r="A3510" t="str">
        <f t="shared" si="298"/>
        <v/>
      </c>
      <c r="X3510" t="str" cm="1">
        <f t="array" ref="X3510">IF(S3510="","",IF($I3510&lt;&gt;"",$I3510,INDEX($I$2:$I3509,ROW()-COUNTIFS($T$2:$T3509,"="&amp;$T3510,$S$2:$S3509,"&lt;&gt;"&amp;$S3510)-1)))</f>
        <v/>
      </c>
      <c r="Y3510" t="b">
        <f>IF(X3510&lt;&gt;"",VLOOKUP(X3510,game_rosters!$C$43:$E$64,3,FALSE))</f>
        <v>0</v>
      </c>
      <c r="Z3510" t="e" cm="1" vm="1">
        <f t="array" aca="1" ref="Z3510" ca="1">IFERROR(IF(_xlfn._xlws.FILTER(game_rosters!$J:$J,(game_rosters!$G:$G=events!$AN3510)*(game_rosters!$J:$J=events!$X3510))&gt;0,1,""),"")</f>
        <v>#VALUE!</v>
      </c>
      <c r="AA3510">
        <f t="shared" si="299"/>
        <v>1000</v>
      </c>
      <c r="AB3510" t="str">
        <f t="shared" si="300"/>
        <v/>
      </c>
      <c r="AC3510">
        <f t="shared" si="297"/>
        <v>1000</v>
      </c>
      <c r="AD3510" s="6"/>
    </row>
    <row r="3511" spans="1:30" x14ac:dyDescent="0.2">
      <c r="A3511" t="str">
        <f t="shared" si="298"/>
        <v/>
      </c>
      <c r="X3511" t="str" cm="1">
        <f t="array" ref="X3511">IF(S3511="","",IF($I3511&lt;&gt;"",$I3511,INDEX($I$2:$I3510,ROW()-COUNTIFS($T$2:$T3510,"="&amp;$T3511,$S$2:$S3510,"&lt;&gt;"&amp;$S3511)-1)))</f>
        <v/>
      </c>
      <c r="Y3511" t="b">
        <f>IF(X3511&lt;&gt;"",VLOOKUP(X3511,game_rosters!$C$43:$E$64,3,FALSE))</f>
        <v>0</v>
      </c>
      <c r="Z3511" t="e" cm="1" vm="1">
        <f t="array" aca="1" ref="Z3511" ca="1">IFERROR(IF(_xlfn._xlws.FILTER(game_rosters!$J:$J,(game_rosters!$G:$G=events!$AN3511)*(game_rosters!$J:$J=events!$X3511))&gt;0,1,""),"")</f>
        <v>#VALUE!</v>
      </c>
      <c r="AA3511">
        <f t="shared" si="299"/>
        <v>1000</v>
      </c>
      <c r="AB3511" t="str">
        <f t="shared" si="300"/>
        <v/>
      </c>
      <c r="AC3511">
        <f t="shared" si="297"/>
        <v>1000</v>
      </c>
      <c r="AD3511" s="6"/>
    </row>
    <row r="3512" spans="1:30" x14ac:dyDescent="0.2">
      <c r="A3512" t="str">
        <f t="shared" si="298"/>
        <v/>
      </c>
      <c r="X3512" t="str" cm="1">
        <f t="array" ref="X3512">IF(S3512="","",IF($I3512&lt;&gt;"",$I3512,INDEX($I$2:$I3511,ROW()-COUNTIFS($T$2:$T3511,"="&amp;$T3512,$S$2:$S3511,"&lt;&gt;"&amp;$S3512)-1)))</f>
        <v/>
      </c>
      <c r="Y3512" t="b">
        <f>IF(X3512&lt;&gt;"",VLOOKUP(X3512,game_rosters!$C$43:$E$64,3,FALSE))</f>
        <v>0</v>
      </c>
      <c r="Z3512" t="e" cm="1" vm="1">
        <f t="array" aca="1" ref="Z3512" ca="1">IFERROR(IF(_xlfn._xlws.FILTER(game_rosters!$J:$J,(game_rosters!$G:$G=events!$AN3512)*(game_rosters!$J:$J=events!$X3512))&gt;0,1,""),"")</f>
        <v>#VALUE!</v>
      </c>
      <c r="AA3512">
        <f t="shared" si="299"/>
        <v>1000</v>
      </c>
      <c r="AB3512" t="str">
        <f t="shared" si="300"/>
        <v/>
      </c>
      <c r="AC3512">
        <f t="shared" si="297"/>
        <v>1000</v>
      </c>
      <c r="AD3512" s="6"/>
    </row>
    <row r="3513" spans="1:30" x14ac:dyDescent="0.2">
      <c r="A3513" t="str">
        <f t="shared" si="298"/>
        <v/>
      </c>
      <c r="X3513" t="str" cm="1">
        <f t="array" ref="X3513">IF(S3513="","",IF($I3513&lt;&gt;"",$I3513,INDEX($I$2:$I3512,ROW()-COUNTIFS($T$2:$T3512,"="&amp;$T3513,$S$2:$S3512,"&lt;&gt;"&amp;$S3513)-1)))</f>
        <v/>
      </c>
      <c r="Y3513" t="b">
        <f>IF(X3513&lt;&gt;"",VLOOKUP(X3513,game_rosters!$C$43:$E$64,3,FALSE))</f>
        <v>0</v>
      </c>
      <c r="Z3513" t="e" cm="1" vm="1">
        <f t="array" aca="1" ref="Z3513" ca="1">IFERROR(IF(_xlfn._xlws.FILTER(game_rosters!$J:$J,(game_rosters!$G:$G=events!$AN3513)*(game_rosters!$J:$J=events!$X3513))&gt;0,1,""),"")</f>
        <v>#VALUE!</v>
      </c>
      <c r="AA3513">
        <f t="shared" si="299"/>
        <v>1000</v>
      </c>
      <c r="AB3513" t="str">
        <f t="shared" si="300"/>
        <v/>
      </c>
      <c r="AC3513">
        <f t="shared" si="297"/>
        <v>1000</v>
      </c>
      <c r="AD3513" s="6"/>
    </row>
    <row r="3514" spans="1:30" x14ac:dyDescent="0.2">
      <c r="A3514" t="str">
        <f t="shared" si="298"/>
        <v/>
      </c>
      <c r="X3514" t="str" cm="1">
        <f t="array" ref="X3514">IF(S3514="","",IF($I3514&lt;&gt;"",$I3514,INDEX($I$2:$I3513,ROW()-COUNTIFS($T$2:$T3513,"="&amp;$T3514,$S$2:$S3513,"&lt;&gt;"&amp;$S3514)-1)))</f>
        <v/>
      </c>
      <c r="Y3514" t="b">
        <f>IF(X3514&lt;&gt;"",VLOOKUP(X3514,game_rosters!$C$43:$E$64,3,FALSE))</f>
        <v>0</v>
      </c>
      <c r="Z3514" t="e" cm="1" vm="1">
        <f t="array" aca="1" ref="Z3514" ca="1">IFERROR(IF(_xlfn._xlws.FILTER(game_rosters!$J:$J,(game_rosters!$G:$G=events!$AN3514)*(game_rosters!$J:$J=events!$X3514))&gt;0,1,""),"")</f>
        <v>#VALUE!</v>
      </c>
      <c r="AA3514">
        <f t="shared" si="299"/>
        <v>1000</v>
      </c>
      <c r="AB3514" t="str">
        <f t="shared" si="300"/>
        <v/>
      </c>
      <c r="AC3514">
        <f t="shared" si="297"/>
        <v>1000</v>
      </c>
      <c r="AD3514" s="6"/>
    </row>
    <row r="3515" spans="1:30" x14ac:dyDescent="0.2">
      <c r="A3515" t="str">
        <f t="shared" si="298"/>
        <v/>
      </c>
      <c r="X3515" t="str" cm="1">
        <f t="array" ref="X3515">IF(S3515="","",IF($I3515&lt;&gt;"",$I3515,INDEX($I$2:$I3514,ROW()-COUNTIFS($T$2:$T3514,"="&amp;$T3515,$S$2:$S3514,"&lt;&gt;"&amp;$S3515)-1)))</f>
        <v/>
      </c>
      <c r="Y3515" t="b">
        <f>IF(X3515&lt;&gt;"",VLOOKUP(X3515,game_rosters!$C$43:$E$64,3,FALSE))</f>
        <v>0</v>
      </c>
      <c r="Z3515" t="e" cm="1" vm="1">
        <f t="array" aca="1" ref="Z3515" ca="1">IFERROR(IF(_xlfn._xlws.FILTER(game_rosters!$J:$J,(game_rosters!$G:$G=events!$AN3515)*(game_rosters!$J:$J=events!$X3515))&gt;0,1,""),"")</f>
        <v>#VALUE!</v>
      </c>
      <c r="AA3515">
        <f t="shared" si="299"/>
        <v>1000</v>
      </c>
      <c r="AB3515" t="str">
        <f t="shared" si="300"/>
        <v/>
      </c>
      <c r="AC3515">
        <f t="shared" si="297"/>
        <v>1000</v>
      </c>
      <c r="AD3515" s="6"/>
    </row>
    <row r="3516" spans="1:30" x14ac:dyDescent="0.2">
      <c r="A3516" t="str">
        <f t="shared" si="298"/>
        <v/>
      </c>
      <c r="X3516" t="str" cm="1">
        <f t="array" ref="X3516">IF(S3516="","",IF($I3516&lt;&gt;"",$I3516,INDEX($I$2:$I3515,ROW()-COUNTIFS($T$2:$T3515,"="&amp;$T3516,$S$2:$S3515,"&lt;&gt;"&amp;$S3516)-1)))</f>
        <v/>
      </c>
      <c r="Y3516" t="b">
        <f>IF(X3516&lt;&gt;"",VLOOKUP(X3516,game_rosters!$C$43:$E$64,3,FALSE))</f>
        <v>0</v>
      </c>
      <c r="Z3516" t="e" cm="1" vm="1">
        <f t="array" aca="1" ref="Z3516" ca="1">IFERROR(IF(_xlfn._xlws.FILTER(game_rosters!$J:$J,(game_rosters!$G:$G=events!$AN3516)*(game_rosters!$J:$J=events!$X3516))&gt;0,1,""),"")</f>
        <v>#VALUE!</v>
      </c>
      <c r="AA3516">
        <f t="shared" si="299"/>
        <v>1000</v>
      </c>
      <c r="AB3516" t="str">
        <f t="shared" si="300"/>
        <v/>
      </c>
      <c r="AC3516">
        <f t="shared" si="297"/>
        <v>1000</v>
      </c>
      <c r="AD3516" s="6"/>
    </row>
    <row r="3517" spans="1:30" x14ac:dyDescent="0.2">
      <c r="A3517" t="str">
        <f t="shared" si="298"/>
        <v/>
      </c>
      <c r="X3517" t="str" cm="1">
        <f t="array" ref="X3517">IF(S3517="","",IF($I3517&lt;&gt;"",$I3517,INDEX($I$2:$I3516,ROW()-COUNTIFS($T$2:$T3516,"="&amp;$T3517,$S$2:$S3516,"&lt;&gt;"&amp;$S3517)-1)))</f>
        <v/>
      </c>
      <c r="Y3517" t="b">
        <f>IF(X3517&lt;&gt;"",VLOOKUP(X3517,game_rosters!$C$43:$E$64,3,FALSE))</f>
        <v>0</v>
      </c>
      <c r="Z3517" t="e" cm="1" vm="1">
        <f t="array" aca="1" ref="Z3517" ca="1">IFERROR(IF(_xlfn._xlws.FILTER(game_rosters!$J:$J,(game_rosters!$G:$G=events!$AN3517)*(game_rosters!$J:$J=events!$X3517))&gt;0,1,""),"")</f>
        <v>#VALUE!</v>
      </c>
      <c r="AA3517">
        <f t="shared" si="299"/>
        <v>1000</v>
      </c>
      <c r="AB3517" t="str">
        <f t="shared" si="300"/>
        <v/>
      </c>
      <c r="AC3517">
        <f t="shared" si="297"/>
        <v>1000</v>
      </c>
      <c r="AD3517" s="6"/>
    </row>
    <row r="3518" spans="1:30" x14ac:dyDescent="0.2">
      <c r="A3518" t="str">
        <f t="shared" si="298"/>
        <v/>
      </c>
      <c r="X3518" t="str" cm="1">
        <f t="array" ref="X3518">IF(S3518="","",IF($I3518&lt;&gt;"",$I3518,INDEX($I$2:$I3517,ROW()-COUNTIFS($T$2:$T3517,"="&amp;$T3518,$S$2:$S3517,"&lt;&gt;"&amp;$S3518)-1)))</f>
        <v/>
      </c>
      <c r="Y3518" t="b">
        <f>IF(X3518&lt;&gt;"",VLOOKUP(X3518,game_rosters!$C$43:$E$64,3,FALSE))</f>
        <v>0</v>
      </c>
      <c r="Z3518" t="e" cm="1" vm="1">
        <f t="array" aca="1" ref="Z3518" ca="1">IFERROR(IF(_xlfn._xlws.FILTER(game_rosters!$J:$J,(game_rosters!$G:$G=events!$AN3518)*(game_rosters!$J:$J=events!$X3518))&gt;0,1,""),"")</f>
        <v>#VALUE!</v>
      </c>
      <c r="AA3518">
        <f t="shared" si="299"/>
        <v>1000</v>
      </c>
      <c r="AB3518" t="str">
        <f t="shared" si="300"/>
        <v/>
      </c>
      <c r="AC3518">
        <f t="shared" si="297"/>
        <v>1000</v>
      </c>
      <c r="AD3518" s="6"/>
    </row>
    <row r="3519" spans="1:30" x14ac:dyDescent="0.2">
      <c r="A3519" t="str">
        <f t="shared" si="298"/>
        <v/>
      </c>
      <c r="X3519" t="str" cm="1">
        <f t="array" ref="X3519">IF(S3519="","",IF($I3519&lt;&gt;"",$I3519,INDEX($I$2:$I3518,ROW()-COUNTIFS($T$2:$T3518,"="&amp;$T3519,$S$2:$S3518,"&lt;&gt;"&amp;$S3519)-1)))</f>
        <v/>
      </c>
      <c r="Y3519" t="b">
        <f>IF(X3519&lt;&gt;"",VLOOKUP(X3519,game_rosters!$C$43:$E$64,3,FALSE))</f>
        <v>0</v>
      </c>
      <c r="Z3519" t="e" cm="1" vm="1">
        <f t="array" aca="1" ref="Z3519" ca="1">IFERROR(IF(_xlfn._xlws.FILTER(game_rosters!$J:$J,(game_rosters!$G:$G=events!$AN3519)*(game_rosters!$J:$J=events!$X3519))&gt;0,1,""),"")</f>
        <v>#VALUE!</v>
      </c>
      <c r="AA3519">
        <f t="shared" si="299"/>
        <v>1000</v>
      </c>
      <c r="AB3519" t="str">
        <f t="shared" si="300"/>
        <v/>
      </c>
      <c r="AC3519">
        <f t="shared" si="297"/>
        <v>1000</v>
      </c>
      <c r="AD3519" s="6"/>
    </row>
    <row r="3520" spans="1:30" x14ac:dyDescent="0.2">
      <c r="A3520" t="str">
        <f t="shared" si="298"/>
        <v/>
      </c>
      <c r="X3520" t="str" cm="1">
        <f t="array" ref="X3520">IF(S3520="","",IF($I3520&lt;&gt;"",$I3520,INDEX($I$2:$I3519,ROW()-COUNTIFS($T$2:$T3519,"="&amp;$T3520,$S$2:$S3519,"&lt;&gt;"&amp;$S3520)-1)))</f>
        <v/>
      </c>
      <c r="Y3520" t="b">
        <f>IF(X3520&lt;&gt;"",VLOOKUP(X3520,game_rosters!$C$43:$E$64,3,FALSE))</f>
        <v>0</v>
      </c>
      <c r="Z3520" t="e" cm="1" vm="1">
        <f t="array" aca="1" ref="Z3520" ca="1">IFERROR(IF(_xlfn._xlws.FILTER(game_rosters!$J:$J,(game_rosters!$G:$G=events!$AN3520)*(game_rosters!$J:$J=events!$X3520))&gt;0,1,""),"")</f>
        <v>#VALUE!</v>
      </c>
      <c r="AA3520">
        <f t="shared" si="299"/>
        <v>1000</v>
      </c>
      <c r="AB3520" t="str">
        <f t="shared" si="300"/>
        <v/>
      </c>
      <c r="AC3520">
        <f t="shared" si="297"/>
        <v>1000</v>
      </c>
      <c r="AD3520" s="6"/>
    </row>
    <row r="3521" spans="1:30" x14ac:dyDescent="0.2">
      <c r="A3521" t="str">
        <f t="shared" si="298"/>
        <v/>
      </c>
      <c r="X3521" t="str" cm="1">
        <f t="array" ref="X3521">IF(S3521="","",IF($I3521&lt;&gt;"",$I3521,INDEX($I$2:$I3520,ROW()-COUNTIFS($T$2:$T3520,"="&amp;$T3521,$S$2:$S3520,"&lt;&gt;"&amp;$S3521)-1)))</f>
        <v/>
      </c>
      <c r="Y3521" t="b">
        <f>IF(X3521&lt;&gt;"",VLOOKUP(X3521,game_rosters!$C$43:$E$64,3,FALSE))</f>
        <v>0</v>
      </c>
      <c r="Z3521" t="e" cm="1" vm="1">
        <f t="array" aca="1" ref="Z3521" ca="1">IFERROR(IF(_xlfn._xlws.FILTER(game_rosters!$J:$J,(game_rosters!$G:$G=events!$AN3521)*(game_rosters!$J:$J=events!$X3521))&gt;0,1,""),"")</f>
        <v>#VALUE!</v>
      </c>
      <c r="AA3521">
        <f t="shared" si="299"/>
        <v>1000</v>
      </c>
      <c r="AB3521" t="str">
        <f t="shared" si="300"/>
        <v/>
      </c>
      <c r="AC3521">
        <f t="shared" si="297"/>
        <v>1000</v>
      </c>
      <c r="AD3521" s="6"/>
    </row>
    <row r="3522" spans="1:30" x14ac:dyDescent="0.2">
      <c r="A3522" t="str">
        <f t="shared" si="298"/>
        <v/>
      </c>
      <c r="X3522" t="str" cm="1">
        <f t="array" ref="X3522">IF(S3522="","",IF($I3522&lt;&gt;"",$I3522,INDEX($I$2:$I3521,ROW()-COUNTIFS($T$2:$T3521,"="&amp;$T3522,$S$2:$S3521,"&lt;&gt;"&amp;$S3522)-1)))</f>
        <v/>
      </c>
      <c r="Y3522" t="b">
        <f>IF(X3522&lt;&gt;"",VLOOKUP(X3522,game_rosters!$C$43:$E$64,3,FALSE))</f>
        <v>0</v>
      </c>
      <c r="Z3522" t="e" cm="1" vm="1">
        <f t="array" aca="1" ref="Z3522" ca="1">IFERROR(IF(_xlfn._xlws.FILTER(game_rosters!$J:$J,(game_rosters!$G:$G=events!$AN3522)*(game_rosters!$J:$J=events!$X3522))&gt;0,1,""),"")</f>
        <v>#VALUE!</v>
      </c>
      <c r="AA3522">
        <f t="shared" si="299"/>
        <v>1000</v>
      </c>
      <c r="AB3522" t="str">
        <f t="shared" si="300"/>
        <v/>
      </c>
      <c r="AC3522">
        <f t="shared" ref="AC3522:AC3585" si="301">IF(AB3522&lt;&gt;"",AB3522,S3522+1000)</f>
        <v>1000</v>
      </c>
      <c r="AD3522" s="6"/>
    </row>
    <row r="3523" spans="1:30" x14ac:dyDescent="0.2">
      <c r="A3523" t="str">
        <f t="shared" si="298"/>
        <v/>
      </c>
      <c r="X3523" t="str" cm="1">
        <f t="array" ref="X3523">IF(S3523="","",IF($I3523&lt;&gt;"",$I3523,INDEX($I$2:$I3522,ROW()-COUNTIFS($T$2:$T3522,"="&amp;$T3523,$S$2:$S3522,"&lt;&gt;"&amp;$S3523)-1)))</f>
        <v/>
      </c>
      <c r="Y3523" t="b">
        <f>IF(X3523&lt;&gt;"",VLOOKUP(X3523,game_rosters!$C$43:$E$64,3,FALSE))</f>
        <v>0</v>
      </c>
      <c r="Z3523" t="e" cm="1" vm="1">
        <f t="array" aca="1" ref="Z3523" ca="1">IFERROR(IF(_xlfn._xlws.FILTER(game_rosters!$J:$J,(game_rosters!$G:$G=events!$AN3523)*(game_rosters!$J:$J=events!$X3523))&gt;0,1,""),"")</f>
        <v>#VALUE!</v>
      </c>
      <c r="AA3523">
        <f t="shared" si="299"/>
        <v>1000</v>
      </c>
      <c r="AB3523" t="str">
        <f t="shared" si="300"/>
        <v/>
      </c>
      <c r="AC3523">
        <f t="shared" si="301"/>
        <v>1000</v>
      </c>
      <c r="AD3523" s="6"/>
    </row>
    <row r="3524" spans="1:30" x14ac:dyDescent="0.2">
      <c r="A3524" t="str">
        <f t="shared" si="298"/>
        <v/>
      </c>
      <c r="X3524" t="str" cm="1">
        <f t="array" ref="X3524">IF(S3524="","",IF($I3524&lt;&gt;"",$I3524,INDEX($I$2:$I3523,ROW()-COUNTIFS($T$2:$T3523,"="&amp;$T3524,$S$2:$S3523,"&lt;&gt;"&amp;$S3524)-1)))</f>
        <v/>
      </c>
      <c r="Y3524" t="b">
        <f>IF(X3524&lt;&gt;"",VLOOKUP(X3524,game_rosters!$C$43:$E$64,3,FALSE))</f>
        <v>0</v>
      </c>
      <c r="Z3524" t="e" cm="1" vm="1">
        <f t="array" aca="1" ref="Z3524" ca="1">IFERROR(IF(_xlfn._xlws.FILTER(game_rosters!$J:$J,(game_rosters!$G:$G=events!$AN3524)*(game_rosters!$J:$J=events!$X3524))&gt;0,1,""),"")</f>
        <v>#VALUE!</v>
      </c>
      <c r="AA3524">
        <f t="shared" si="299"/>
        <v>1000</v>
      </c>
      <c r="AB3524" t="str">
        <f t="shared" si="300"/>
        <v/>
      </c>
      <c r="AC3524">
        <f t="shared" si="301"/>
        <v>1000</v>
      </c>
      <c r="AD3524" s="6"/>
    </row>
    <row r="3525" spans="1:30" x14ac:dyDescent="0.2">
      <c r="A3525" t="str">
        <f t="shared" ref="A3525:A3588" si="302">IF(K3525&lt;&gt;"",1,IF(D3525="x","x",""))</f>
        <v/>
      </c>
      <c r="X3525" t="str" cm="1">
        <f t="array" ref="X3525">IF(S3525="","",IF($I3525&lt;&gt;"",$I3525,INDEX($I$2:$I3524,ROW()-COUNTIFS($T$2:$T3524,"="&amp;$T3525,$S$2:$S3524,"&lt;&gt;"&amp;$S3525)-1)))</f>
        <v/>
      </c>
      <c r="Y3525" t="b">
        <f>IF(X3525&lt;&gt;"",VLOOKUP(X3525,game_rosters!$C$43:$E$64,3,FALSE))</f>
        <v>0</v>
      </c>
      <c r="Z3525" t="e" cm="1" vm="1">
        <f t="array" aca="1" ref="Z3525" ca="1">IFERROR(IF(_xlfn._xlws.FILTER(game_rosters!$J:$J,(game_rosters!$G:$G=events!$AN3525)*(game_rosters!$J:$J=events!$X3525))&gt;0,1,""),"")</f>
        <v>#VALUE!</v>
      </c>
      <c r="AA3525">
        <f t="shared" si="299"/>
        <v>1000</v>
      </c>
      <c r="AB3525" t="str">
        <f t="shared" si="300"/>
        <v/>
      </c>
      <c r="AC3525">
        <f t="shared" si="301"/>
        <v>1000</v>
      </c>
      <c r="AD3525" s="6"/>
    </row>
    <row r="3526" spans="1:30" x14ac:dyDescent="0.2">
      <c r="A3526" t="str">
        <f t="shared" si="302"/>
        <v/>
      </c>
      <c r="X3526" t="str" cm="1">
        <f t="array" ref="X3526">IF(S3526="","",IF($I3526&lt;&gt;"",$I3526,INDEX($I$2:$I3525,ROW()-COUNTIFS($T$2:$T3525,"="&amp;$T3526,$S$2:$S3525,"&lt;&gt;"&amp;$S3526)-1)))</f>
        <v/>
      </c>
      <c r="Y3526" t="b">
        <f>IF(X3526&lt;&gt;"",VLOOKUP(X3526,game_rosters!$C$43:$E$64,3,FALSE))</f>
        <v>0</v>
      </c>
      <c r="Z3526" t="e" cm="1" vm="1">
        <f t="array" aca="1" ref="Z3526" ca="1">IFERROR(IF(_xlfn._xlws.FILTER(game_rosters!$J:$J,(game_rosters!$G:$G=events!$AN3526)*(game_rosters!$J:$J=events!$X3526))&gt;0,1,""),"")</f>
        <v>#VALUE!</v>
      </c>
      <c r="AA3526">
        <f t="shared" si="299"/>
        <v>1000</v>
      </c>
      <c r="AB3526" t="str">
        <f t="shared" si="300"/>
        <v/>
      </c>
      <c r="AC3526">
        <f t="shared" si="301"/>
        <v>1000</v>
      </c>
      <c r="AD3526" s="6"/>
    </row>
    <row r="3527" spans="1:30" x14ac:dyDescent="0.2">
      <c r="A3527" t="str">
        <f t="shared" si="302"/>
        <v/>
      </c>
      <c r="X3527" t="str" cm="1">
        <f t="array" ref="X3527">IF(S3527="","",IF($I3527&lt;&gt;"",$I3527,INDEX($I$2:$I3526,ROW()-COUNTIFS($T$2:$T3526,"="&amp;$T3527,$S$2:$S3526,"&lt;&gt;"&amp;$S3527)-1)))</f>
        <v/>
      </c>
      <c r="Y3527" t="b">
        <f>IF(X3527&lt;&gt;"",VLOOKUP(X3527,game_rosters!$C$43:$E$64,3,FALSE))</f>
        <v>0</v>
      </c>
      <c r="Z3527" t="e" cm="1" vm="1">
        <f t="array" aca="1" ref="Z3527" ca="1">IFERROR(IF(_xlfn._xlws.FILTER(game_rosters!$J:$J,(game_rosters!$G:$G=events!$AN3527)*(game_rosters!$J:$J=events!$X3527))&gt;0,1,""),"")</f>
        <v>#VALUE!</v>
      </c>
      <c r="AA3527">
        <f t="shared" si="299"/>
        <v>1000</v>
      </c>
      <c r="AB3527" t="str">
        <f t="shared" si="300"/>
        <v/>
      </c>
      <c r="AC3527">
        <f t="shared" si="301"/>
        <v>1000</v>
      </c>
      <c r="AD3527" s="6"/>
    </row>
    <row r="3528" spans="1:30" x14ac:dyDescent="0.2">
      <c r="A3528" t="str">
        <f t="shared" si="302"/>
        <v/>
      </c>
      <c r="X3528" t="str" cm="1">
        <f t="array" ref="X3528">IF(S3528="","",IF($I3528&lt;&gt;"",$I3528,INDEX($I$2:$I3527,ROW()-COUNTIFS($T$2:$T3527,"="&amp;$T3528,$S$2:$S3527,"&lt;&gt;"&amp;$S3528)-1)))</f>
        <v/>
      </c>
      <c r="Y3528" t="b">
        <f>IF(X3528&lt;&gt;"",VLOOKUP(X3528,game_rosters!$C$43:$E$64,3,FALSE))</f>
        <v>0</v>
      </c>
      <c r="Z3528" t="e" cm="1" vm="1">
        <f t="array" aca="1" ref="Z3528" ca="1">IFERROR(IF(_xlfn._xlws.FILTER(game_rosters!$J:$J,(game_rosters!$G:$G=events!$AN3528)*(game_rosters!$J:$J=events!$X3528))&gt;0,1,""),"")</f>
        <v>#VALUE!</v>
      </c>
      <c r="AA3528">
        <f t="shared" si="299"/>
        <v>1000</v>
      </c>
      <c r="AB3528" t="str">
        <f t="shared" si="300"/>
        <v/>
      </c>
      <c r="AC3528">
        <f t="shared" si="301"/>
        <v>1000</v>
      </c>
      <c r="AD3528" s="6"/>
    </row>
    <row r="3529" spans="1:30" x14ac:dyDescent="0.2">
      <c r="A3529" t="str">
        <f t="shared" si="302"/>
        <v/>
      </c>
      <c r="X3529" t="str" cm="1">
        <f t="array" ref="X3529">IF(S3529="","",IF($I3529&lt;&gt;"",$I3529,INDEX($I$2:$I3528,ROW()-COUNTIFS($T$2:$T3528,"="&amp;$T3529,$S$2:$S3528,"&lt;&gt;"&amp;$S3529)-1)))</f>
        <v/>
      </c>
      <c r="Y3529" t="b">
        <f>IF(X3529&lt;&gt;"",VLOOKUP(X3529,game_rosters!$C$43:$E$64,3,FALSE))</f>
        <v>0</v>
      </c>
      <c r="Z3529" t="e" cm="1" vm="1">
        <f t="array" aca="1" ref="Z3529" ca="1">IFERROR(IF(_xlfn._xlws.FILTER(game_rosters!$J:$J,(game_rosters!$G:$G=events!$AN3529)*(game_rosters!$J:$J=events!$X3529))&gt;0,1,""),"")</f>
        <v>#VALUE!</v>
      </c>
      <c r="AA3529">
        <f t="shared" si="299"/>
        <v>1000</v>
      </c>
      <c r="AB3529" t="str">
        <f t="shared" si="300"/>
        <v/>
      </c>
      <c r="AC3529">
        <f t="shared" si="301"/>
        <v>1000</v>
      </c>
      <c r="AD3529" s="6"/>
    </row>
    <row r="3530" spans="1:30" x14ac:dyDescent="0.2">
      <c r="A3530" t="str">
        <f t="shared" si="302"/>
        <v/>
      </c>
      <c r="X3530" t="str" cm="1">
        <f t="array" ref="X3530">IF(S3530="","",IF($I3530&lt;&gt;"",$I3530,INDEX($I$2:$I3529,ROW()-COUNTIFS($T$2:$T3529,"="&amp;$T3530,$S$2:$S3529,"&lt;&gt;"&amp;$S3530)-1)))</f>
        <v/>
      </c>
      <c r="Y3530" t="b">
        <f>IF(X3530&lt;&gt;"",VLOOKUP(X3530,game_rosters!$C$43:$E$64,3,FALSE))</f>
        <v>0</v>
      </c>
      <c r="Z3530" t="e" cm="1" vm="1">
        <f t="array" aca="1" ref="Z3530" ca="1">IFERROR(IF(_xlfn._xlws.FILTER(game_rosters!$J:$J,(game_rosters!$G:$G=events!$AN3530)*(game_rosters!$J:$J=events!$X3530))&gt;0,1,""),"")</f>
        <v>#VALUE!</v>
      </c>
      <c r="AA3530">
        <f t="shared" si="299"/>
        <v>1000</v>
      </c>
      <c r="AB3530" t="str">
        <f t="shared" si="300"/>
        <v/>
      </c>
      <c r="AC3530">
        <f t="shared" si="301"/>
        <v>1000</v>
      </c>
      <c r="AD3530" s="6"/>
    </row>
    <row r="3531" spans="1:30" x14ac:dyDescent="0.2">
      <c r="A3531" t="str">
        <f t="shared" si="302"/>
        <v/>
      </c>
      <c r="X3531" t="str" cm="1">
        <f t="array" ref="X3531">IF(S3531="","",IF($I3531&lt;&gt;"",$I3531,INDEX($I$2:$I3530,ROW()-COUNTIFS($T$2:$T3530,"="&amp;$T3531,$S$2:$S3530,"&lt;&gt;"&amp;$S3531)-1)))</f>
        <v/>
      </c>
      <c r="Y3531" t="b">
        <f>IF(X3531&lt;&gt;"",VLOOKUP(X3531,game_rosters!$C$43:$E$64,3,FALSE))</f>
        <v>0</v>
      </c>
      <c r="Z3531" t="e" cm="1" vm="1">
        <f t="array" aca="1" ref="Z3531" ca="1">IFERROR(IF(_xlfn._xlws.FILTER(game_rosters!$J:$J,(game_rosters!$G:$G=events!$AN3531)*(game_rosters!$J:$J=events!$X3531))&gt;0,1,""),"")</f>
        <v>#VALUE!</v>
      </c>
      <c r="AA3531">
        <f t="shared" si="299"/>
        <v>1000</v>
      </c>
      <c r="AB3531" t="str">
        <f t="shared" si="300"/>
        <v/>
      </c>
      <c r="AC3531">
        <f t="shared" si="301"/>
        <v>1000</v>
      </c>
      <c r="AD3531" s="6"/>
    </row>
    <row r="3532" spans="1:30" x14ac:dyDescent="0.2">
      <c r="A3532" t="str">
        <f t="shared" si="302"/>
        <v/>
      </c>
      <c r="X3532" t="str" cm="1">
        <f t="array" ref="X3532">IF(S3532="","",IF($I3532&lt;&gt;"",$I3532,INDEX($I$2:$I3531,ROW()-COUNTIFS($T$2:$T3531,"="&amp;$T3532,$S$2:$S3531,"&lt;&gt;"&amp;$S3532)-1)))</f>
        <v/>
      </c>
      <c r="Y3532" t="b">
        <f>IF(X3532&lt;&gt;"",VLOOKUP(X3532,game_rosters!$C$43:$E$64,3,FALSE))</f>
        <v>0</v>
      </c>
      <c r="Z3532" t="e" cm="1" vm="1">
        <f t="array" aca="1" ref="Z3532" ca="1">IFERROR(IF(_xlfn._xlws.FILTER(game_rosters!$J:$J,(game_rosters!$G:$G=events!$AN3532)*(game_rosters!$J:$J=events!$X3532))&gt;0,1,""),"")</f>
        <v>#VALUE!</v>
      </c>
      <c r="AA3532">
        <f t="shared" si="299"/>
        <v>1000</v>
      </c>
      <c r="AB3532" t="str">
        <f t="shared" si="300"/>
        <v/>
      </c>
      <c r="AC3532">
        <f t="shared" si="301"/>
        <v>1000</v>
      </c>
      <c r="AD3532" s="6"/>
    </row>
    <row r="3533" spans="1:30" x14ac:dyDescent="0.2">
      <c r="A3533" t="str">
        <f t="shared" si="302"/>
        <v/>
      </c>
      <c r="X3533" t="str" cm="1">
        <f t="array" ref="X3533">IF(S3533="","",IF($I3533&lt;&gt;"",$I3533,INDEX($I$2:$I3532,ROW()-COUNTIFS($T$2:$T3532,"="&amp;$T3533,$S$2:$S3532,"&lt;&gt;"&amp;$S3533)-1)))</f>
        <v/>
      </c>
      <c r="Y3533" t="b">
        <f>IF(X3533&lt;&gt;"",VLOOKUP(X3533,game_rosters!$C$43:$E$64,3,FALSE))</f>
        <v>0</v>
      </c>
      <c r="Z3533" t="e" cm="1" vm="1">
        <f t="array" aca="1" ref="Z3533" ca="1">IFERROR(IF(_xlfn._xlws.FILTER(game_rosters!$J:$J,(game_rosters!$G:$G=events!$AN3533)*(game_rosters!$J:$J=events!$X3533))&gt;0,1,""),"")</f>
        <v>#VALUE!</v>
      </c>
      <c r="AA3533">
        <f t="shared" si="299"/>
        <v>1000</v>
      </c>
      <c r="AB3533" t="str">
        <f t="shared" si="300"/>
        <v/>
      </c>
      <c r="AC3533">
        <f t="shared" si="301"/>
        <v>1000</v>
      </c>
      <c r="AD3533" s="6"/>
    </row>
    <row r="3534" spans="1:30" x14ac:dyDescent="0.2">
      <c r="A3534" t="str">
        <f t="shared" si="302"/>
        <v/>
      </c>
      <c r="X3534" t="str" cm="1">
        <f t="array" ref="X3534">IF(S3534="","",IF($I3534&lt;&gt;"",$I3534,INDEX($I$2:$I3533,ROW()-COUNTIFS($T$2:$T3533,"="&amp;$T3534,$S$2:$S3533,"&lt;&gt;"&amp;$S3534)-1)))</f>
        <v/>
      </c>
      <c r="Y3534" t="b">
        <f>IF(X3534&lt;&gt;"",VLOOKUP(X3534,game_rosters!$C$43:$E$64,3,FALSE))</f>
        <v>0</v>
      </c>
      <c r="Z3534" t="e" cm="1" vm="1">
        <f t="array" aca="1" ref="Z3534" ca="1">IFERROR(IF(_xlfn._xlws.FILTER(game_rosters!$J:$J,(game_rosters!$G:$G=events!$AN3534)*(game_rosters!$J:$J=events!$X3534))&gt;0,1,""),"")</f>
        <v>#VALUE!</v>
      </c>
      <c r="AA3534">
        <f t="shared" si="299"/>
        <v>1000</v>
      </c>
      <c r="AB3534" t="str">
        <f t="shared" si="300"/>
        <v/>
      </c>
      <c r="AC3534">
        <f t="shared" si="301"/>
        <v>1000</v>
      </c>
      <c r="AD3534" s="6"/>
    </row>
    <row r="3535" spans="1:30" x14ac:dyDescent="0.2">
      <c r="A3535" t="str">
        <f t="shared" si="302"/>
        <v/>
      </c>
      <c r="X3535" t="str" cm="1">
        <f t="array" ref="X3535">IF(S3535="","",IF($I3535&lt;&gt;"",$I3535,INDEX($I$2:$I3534,ROW()-COUNTIFS($T$2:$T3534,"="&amp;$T3535,$S$2:$S3534,"&lt;&gt;"&amp;$S3535)-1)))</f>
        <v/>
      </c>
      <c r="Y3535" t="b">
        <f>IF(X3535&lt;&gt;"",VLOOKUP(X3535,game_rosters!$C$43:$E$64,3,FALSE))</f>
        <v>0</v>
      </c>
      <c r="Z3535" t="e" cm="1" vm="1">
        <f t="array" aca="1" ref="Z3535" ca="1">IFERROR(IF(_xlfn._xlws.FILTER(game_rosters!$J:$J,(game_rosters!$G:$G=events!$AN3535)*(game_rosters!$J:$J=events!$X3535))&gt;0,1,""),"")</f>
        <v>#VALUE!</v>
      </c>
      <c r="AA3535">
        <f t="shared" si="299"/>
        <v>1000</v>
      </c>
      <c r="AB3535" t="str">
        <f t="shared" si="300"/>
        <v/>
      </c>
      <c r="AC3535">
        <f t="shared" si="301"/>
        <v>1000</v>
      </c>
      <c r="AD3535" s="6"/>
    </row>
    <row r="3536" spans="1:30" x14ac:dyDescent="0.2">
      <c r="A3536" t="str">
        <f t="shared" si="302"/>
        <v/>
      </c>
      <c r="X3536" t="str" cm="1">
        <f t="array" ref="X3536">IF(S3536="","",IF($I3536&lt;&gt;"",$I3536,INDEX($I$2:$I3535,ROW()-COUNTIFS($T$2:$T3535,"="&amp;$T3536,$S$2:$S3535,"&lt;&gt;"&amp;$S3536)-1)))</f>
        <v/>
      </c>
      <c r="Y3536" t="b">
        <f>IF(X3536&lt;&gt;"",VLOOKUP(X3536,game_rosters!$C$43:$E$64,3,FALSE))</f>
        <v>0</v>
      </c>
      <c r="Z3536" t="e" cm="1" vm="1">
        <f t="array" aca="1" ref="Z3536" ca="1">IFERROR(IF(_xlfn._xlws.FILTER(game_rosters!$J:$J,(game_rosters!$G:$G=events!$AN3536)*(game_rosters!$J:$J=events!$X3536))&gt;0,1,""),"")</f>
        <v>#VALUE!</v>
      </c>
      <c r="AA3536">
        <f t="shared" si="299"/>
        <v>1000</v>
      </c>
      <c r="AB3536" t="str">
        <f t="shared" si="300"/>
        <v/>
      </c>
      <c r="AC3536">
        <f t="shared" si="301"/>
        <v>1000</v>
      </c>
      <c r="AD3536" s="6"/>
    </row>
    <row r="3537" spans="1:30" x14ac:dyDescent="0.2">
      <c r="A3537" t="str">
        <f t="shared" si="302"/>
        <v/>
      </c>
      <c r="X3537" t="str" cm="1">
        <f t="array" ref="X3537">IF(S3537="","",IF($I3537&lt;&gt;"",$I3537,INDEX($I$2:$I3536,ROW()-COUNTIFS($T$2:$T3536,"="&amp;$T3537,$S$2:$S3536,"&lt;&gt;"&amp;$S3537)-1)))</f>
        <v/>
      </c>
      <c r="Y3537" t="b">
        <f>IF(X3537&lt;&gt;"",VLOOKUP(X3537,game_rosters!$C$43:$E$64,3,FALSE))</f>
        <v>0</v>
      </c>
      <c r="Z3537" t="e" cm="1" vm="1">
        <f t="array" aca="1" ref="Z3537" ca="1">IFERROR(IF(_xlfn._xlws.FILTER(game_rosters!$J:$J,(game_rosters!$G:$G=events!$AN3537)*(game_rosters!$J:$J=events!$X3537))&gt;0,1,""),"")</f>
        <v>#VALUE!</v>
      </c>
      <c r="AA3537">
        <f t="shared" si="299"/>
        <v>1000</v>
      </c>
      <c r="AB3537" t="str">
        <f t="shared" si="300"/>
        <v/>
      </c>
      <c r="AC3537">
        <f t="shared" si="301"/>
        <v>1000</v>
      </c>
      <c r="AD3537" s="6"/>
    </row>
    <row r="3538" spans="1:30" x14ac:dyDescent="0.2">
      <c r="A3538" t="str">
        <f t="shared" si="302"/>
        <v/>
      </c>
      <c r="X3538" t="str" cm="1">
        <f t="array" ref="X3538">IF(S3538="","",IF($I3538&lt;&gt;"",$I3538,INDEX($I$2:$I3537,ROW()-COUNTIFS($T$2:$T3537,"="&amp;$T3538,$S$2:$S3537,"&lt;&gt;"&amp;$S3538)-1)))</f>
        <v/>
      </c>
      <c r="Y3538" t="b">
        <f>IF(X3538&lt;&gt;"",VLOOKUP(X3538,game_rosters!$C$43:$E$64,3,FALSE))</f>
        <v>0</v>
      </c>
      <c r="Z3538" t="e" cm="1" vm="1">
        <f t="array" aca="1" ref="Z3538" ca="1">IFERROR(IF(_xlfn._xlws.FILTER(game_rosters!$J:$J,(game_rosters!$G:$G=events!$AN3538)*(game_rosters!$J:$J=events!$X3538))&gt;0,1,""),"")</f>
        <v>#VALUE!</v>
      </c>
      <c r="AA3538">
        <f t="shared" si="299"/>
        <v>1000</v>
      </c>
      <c r="AB3538" t="str">
        <f t="shared" si="300"/>
        <v/>
      </c>
      <c r="AC3538">
        <f t="shared" si="301"/>
        <v>1000</v>
      </c>
      <c r="AD3538" s="6"/>
    </row>
    <row r="3539" spans="1:30" x14ac:dyDescent="0.2">
      <c r="A3539" t="str">
        <f t="shared" si="302"/>
        <v/>
      </c>
      <c r="X3539" t="str" cm="1">
        <f t="array" ref="X3539">IF(S3539="","",IF($I3539&lt;&gt;"",$I3539,INDEX($I$2:$I3538,ROW()-COUNTIFS($T$2:$T3538,"="&amp;$T3539,$S$2:$S3538,"&lt;&gt;"&amp;$S3539)-1)))</f>
        <v/>
      </c>
      <c r="Y3539" t="b">
        <f>IF(X3539&lt;&gt;"",VLOOKUP(X3539,game_rosters!$C$43:$E$64,3,FALSE))</f>
        <v>0</v>
      </c>
      <c r="Z3539" t="e" cm="1" vm="1">
        <f t="array" aca="1" ref="Z3539" ca="1">IFERROR(IF(_xlfn._xlws.FILTER(game_rosters!$J:$J,(game_rosters!$G:$G=events!$AN3539)*(game_rosters!$J:$J=events!$X3539))&gt;0,1,""),"")</f>
        <v>#VALUE!</v>
      </c>
      <c r="AA3539">
        <f t="shared" si="299"/>
        <v>1000</v>
      </c>
      <c r="AB3539" t="str">
        <f t="shared" si="300"/>
        <v/>
      </c>
      <c r="AC3539">
        <f t="shared" si="301"/>
        <v>1000</v>
      </c>
      <c r="AD3539" s="6"/>
    </row>
    <row r="3540" spans="1:30" x14ac:dyDescent="0.2">
      <c r="A3540" t="str">
        <f t="shared" si="302"/>
        <v/>
      </c>
      <c r="X3540" t="str" cm="1">
        <f t="array" ref="X3540">IF(S3540="","",IF($I3540&lt;&gt;"",$I3540,INDEX($I$2:$I3539,ROW()-COUNTIFS($T$2:$T3539,"="&amp;$T3540,$S$2:$S3539,"&lt;&gt;"&amp;$S3540)-1)))</f>
        <v/>
      </c>
      <c r="Y3540" t="b">
        <f>IF(X3540&lt;&gt;"",VLOOKUP(X3540,game_rosters!$C$43:$E$64,3,FALSE))</f>
        <v>0</v>
      </c>
      <c r="Z3540" t="e" cm="1" vm="1">
        <f t="array" aca="1" ref="Z3540" ca="1">IFERROR(IF(_xlfn._xlws.FILTER(game_rosters!$J:$J,(game_rosters!$G:$G=events!$AN3540)*(game_rosters!$J:$J=events!$X3540))&gt;0,1,""),"")</f>
        <v>#VALUE!</v>
      </c>
      <c r="AA3540">
        <f t="shared" si="299"/>
        <v>1000</v>
      </c>
      <c r="AB3540" t="str">
        <f t="shared" si="300"/>
        <v/>
      </c>
      <c r="AC3540">
        <f t="shared" si="301"/>
        <v>1000</v>
      </c>
      <c r="AD3540" s="6"/>
    </row>
    <row r="3541" spans="1:30" x14ac:dyDescent="0.2">
      <c r="A3541" t="str">
        <f t="shared" si="302"/>
        <v/>
      </c>
      <c r="X3541" t="str" cm="1">
        <f t="array" ref="X3541">IF(S3541="","",IF($I3541&lt;&gt;"",$I3541,INDEX($I$2:$I3540,ROW()-COUNTIFS($T$2:$T3540,"="&amp;$T3541,$S$2:$S3540,"&lt;&gt;"&amp;$S3541)-1)))</f>
        <v/>
      </c>
      <c r="Y3541" t="b">
        <f>IF(X3541&lt;&gt;"",VLOOKUP(X3541,game_rosters!$C$43:$E$64,3,FALSE))</f>
        <v>0</v>
      </c>
      <c r="Z3541" t="e" cm="1" vm="1">
        <f t="array" aca="1" ref="Z3541" ca="1">IFERROR(IF(_xlfn._xlws.FILTER(game_rosters!$J:$J,(game_rosters!$G:$G=events!$AN3541)*(game_rosters!$J:$J=events!$X3541))&gt;0,1,""),"")</f>
        <v>#VALUE!</v>
      </c>
      <c r="AA3541">
        <f t="shared" si="299"/>
        <v>1000</v>
      </c>
      <c r="AB3541" t="str">
        <f t="shared" si="300"/>
        <v/>
      </c>
      <c r="AC3541">
        <f t="shared" si="301"/>
        <v>1000</v>
      </c>
      <c r="AD3541" s="6"/>
    </row>
    <row r="3542" spans="1:30" x14ac:dyDescent="0.2">
      <c r="A3542" t="str">
        <f t="shared" si="302"/>
        <v/>
      </c>
      <c r="X3542" t="str" cm="1">
        <f t="array" ref="X3542">IF(S3542="","",IF($I3542&lt;&gt;"",$I3542,INDEX($I$2:$I3541,ROW()-COUNTIFS($T$2:$T3541,"="&amp;$T3542,$S$2:$S3541,"&lt;&gt;"&amp;$S3542)-1)))</f>
        <v/>
      </c>
      <c r="Y3542" t="b">
        <f>IF(X3542&lt;&gt;"",VLOOKUP(X3542,game_rosters!$C$43:$E$64,3,FALSE))</f>
        <v>0</v>
      </c>
      <c r="Z3542" t="e" cm="1" vm="1">
        <f t="array" aca="1" ref="Z3542" ca="1">IFERROR(IF(_xlfn._xlws.FILTER(game_rosters!$J:$J,(game_rosters!$G:$G=events!$AN3542)*(game_rosters!$J:$J=events!$X3542))&gt;0,1,""),"")</f>
        <v>#VALUE!</v>
      </c>
      <c r="AA3542">
        <f t="shared" si="299"/>
        <v>1000</v>
      </c>
      <c r="AB3542" t="str">
        <f t="shared" si="300"/>
        <v/>
      </c>
      <c r="AC3542">
        <f t="shared" si="301"/>
        <v>1000</v>
      </c>
      <c r="AD3542" s="6"/>
    </row>
    <row r="3543" spans="1:30" x14ac:dyDescent="0.2">
      <c r="A3543" t="str">
        <f t="shared" si="302"/>
        <v/>
      </c>
      <c r="X3543" t="str" cm="1">
        <f t="array" ref="X3543">IF(S3543="","",IF($I3543&lt;&gt;"",$I3543,INDEX($I$2:$I3542,ROW()-COUNTIFS($T$2:$T3542,"="&amp;$T3543,$S$2:$S3542,"&lt;&gt;"&amp;$S3543)-1)))</f>
        <v/>
      </c>
      <c r="Y3543" t="b">
        <f>IF(X3543&lt;&gt;"",VLOOKUP(X3543,game_rosters!$C$43:$E$64,3,FALSE))</f>
        <v>0</v>
      </c>
      <c r="Z3543" t="e" cm="1" vm="1">
        <f t="array" aca="1" ref="Z3543" ca="1">IFERROR(IF(_xlfn._xlws.FILTER(game_rosters!$J:$J,(game_rosters!$G:$G=events!$AN3543)*(game_rosters!$J:$J=events!$X3543))&gt;0,1,""),"")</f>
        <v>#VALUE!</v>
      </c>
      <c r="AA3543">
        <f t="shared" si="299"/>
        <v>1000</v>
      </c>
      <c r="AB3543" t="str">
        <f t="shared" si="300"/>
        <v/>
      </c>
      <c r="AC3543">
        <f t="shared" si="301"/>
        <v>1000</v>
      </c>
      <c r="AD3543" s="6"/>
    </row>
    <row r="3544" spans="1:30" x14ac:dyDescent="0.2">
      <c r="A3544" t="str">
        <f t="shared" si="302"/>
        <v/>
      </c>
      <c r="X3544" t="str" cm="1">
        <f t="array" ref="X3544">IF(S3544="","",IF($I3544&lt;&gt;"",$I3544,INDEX($I$2:$I3543,ROW()-COUNTIFS($T$2:$T3543,"="&amp;$T3544,$S$2:$S3543,"&lt;&gt;"&amp;$S3544)-1)))</f>
        <v/>
      </c>
      <c r="Y3544" t="b">
        <f>IF(X3544&lt;&gt;"",VLOOKUP(X3544,game_rosters!$C$43:$E$64,3,FALSE))</f>
        <v>0</v>
      </c>
      <c r="Z3544" t="e" cm="1" vm="1">
        <f t="array" aca="1" ref="Z3544" ca="1">IFERROR(IF(_xlfn._xlws.FILTER(game_rosters!$J:$J,(game_rosters!$G:$G=events!$AN3544)*(game_rosters!$J:$J=events!$X3544))&gt;0,1,""),"")</f>
        <v>#VALUE!</v>
      </c>
      <c r="AA3544">
        <f t="shared" si="299"/>
        <v>1000</v>
      </c>
      <c r="AB3544" t="str">
        <f t="shared" si="300"/>
        <v/>
      </c>
      <c r="AC3544">
        <f t="shared" si="301"/>
        <v>1000</v>
      </c>
      <c r="AD3544" s="6"/>
    </row>
    <row r="3545" spans="1:30" x14ac:dyDescent="0.2">
      <c r="A3545" t="str">
        <f t="shared" si="302"/>
        <v/>
      </c>
      <c r="X3545" t="str" cm="1">
        <f t="array" ref="X3545">IF(S3545="","",IF($I3545&lt;&gt;"",$I3545,INDEX($I$2:$I3544,ROW()-COUNTIFS($T$2:$T3544,"="&amp;$T3545,$S$2:$S3544,"&lt;&gt;"&amp;$S3545)-1)))</f>
        <v/>
      </c>
      <c r="Y3545" t="b">
        <f>IF(X3545&lt;&gt;"",VLOOKUP(X3545,game_rosters!$C$43:$E$64,3,FALSE))</f>
        <v>0</v>
      </c>
      <c r="Z3545" t="e" cm="1" vm="1">
        <f t="array" aca="1" ref="Z3545" ca="1">IFERROR(IF(_xlfn._xlws.FILTER(game_rosters!$J:$J,(game_rosters!$G:$G=events!$AN3545)*(game_rosters!$J:$J=events!$X3545))&gt;0,1,""),"")</f>
        <v>#VALUE!</v>
      </c>
      <c r="AA3545">
        <f t="shared" si="299"/>
        <v>1000</v>
      </c>
      <c r="AB3545" t="str">
        <f t="shared" si="300"/>
        <v/>
      </c>
      <c r="AC3545">
        <f t="shared" si="301"/>
        <v>1000</v>
      </c>
      <c r="AD3545" s="6"/>
    </row>
    <row r="3546" spans="1:30" x14ac:dyDescent="0.2">
      <c r="A3546" t="str">
        <f t="shared" si="302"/>
        <v/>
      </c>
      <c r="X3546" t="str" cm="1">
        <f t="array" ref="X3546">IF(S3546="","",IF($I3546&lt;&gt;"",$I3546,INDEX($I$2:$I3545,ROW()-COUNTIFS($T$2:$T3545,"="&amp;$T3546,$S$2:$S3545,"&lt;&gt;"&amp;$S3546)-1)))</f>
        <v/>
      </c>
      <c r="Y3546" t="b">
        <f>IF(X3546&lt;&gt;"",VLOOKUP(X3546,game_rosters!$C$43:$E$64,3,FALSE))</f>
        <v>0</v>
      </c>
      <c r="Z3546" t="e" cm="1" vm="1">
        <f t="array" aca="1" ref="Z3546" ca="1">IFERROR(IF(_xlfn._xlws.FILTER(game_rosters!$J:$J,(game_rosters!$G:$G=events!$AN3546)*(game_rosters!$J:$J=events!$X3546))&gt;0,1,""),"")</f>
        <v>#VALUE!</v>
      </c>
      <c r="AA3546">
        <f t="shared" si="299"/>
        <v>1000</v>
      </c>
      <c r="AB3546" t="str">
        <f t="shared" si="300"/>
        <v/>
      </c>
      <c r="AC3546">
        <f t="shared" si="301"/>
        <v>1000</v>
      </c>
      <c r="AD3546" s="6"/>
    </row>
    <row r="3547" spans="1:30" x14ac:dyDescent="0.2">
      <c r="A3547" t="str">
        <f t="shared" si="302"/>
        <v/>
      </c>
      <c r="X3547" t="str" cm="1">
        <f t="array" ref="X3547">IF(S3547="","",IF($I3547&lt;&gt;"",$I3547,INDEX($I$2:$I3546,ROW()-COUNTIFS($T$2:$T3546,"="&amp;$T3547,$S$2:$S3546,"&lt;&gt;"&amp;$S3547)-1)))</f>
        <v/>
      </c>
      <c r="Y3547" t="b">
        <f>IF(X3547&lt;&gt;"",VLOOKUP(X3547,game_rosters!$C$43:$E$64,3,FALSE))</f>
        <v>0</v>
      </c>
      <c r="Z3547" t="e" cm="1" vm="1">
        <f t="array" aca="1" ref="Z3547" ca="1">IFERROR(IF(_xlfn._xlws.FILTER(game_rosters!$J:$J,(game_rosters!$G:$G=events!$AN3547)*(game_rosters!$J:$J=events!$X3547))&gt;0,1,""),"")</f>
        <v>#VALUE!</v>
      </c>
      <c r="AA3547">
        <f t="shared" si="299"/>
        <v>1000</v>
      </c>
      <c r="AB3547" t="str">
        <f t="shared" si="300"/>
        <v/>
      </c>
      <c r="AC3547">
        <f t="shared" si="301"/>
        <v>1000</v>
      </c>
      <c r="AD3547" s="6"/>
    </row>
    <row r="3548" spans="1:30" x14ac:dyDescent="0.2">
      <c r="A3548" t="str">
        <f t="shared" si="302"/>
        <v/>
      </c>
      <c r="X3548" t="str" cm="1">
        <f t="array" ref="X3548">IF(S3548="","",IF($I3548&lt;&gt;"",$I3548,INDEX($I$2:$I3547,ROW()-COUNTIFS($T$2:$T3547,"="&amp;$T3548,$S$2:$S3547,"&lt;&gt;"&amp;$S3548)-1)))</f>
        <v/>
      </c>
      <c r="Y3548" t="b">
        <f>IF(X3548&lt;&gt;"",VLOOKUP(X3548,game_rosters!$C$43:$E$64,3,FALSE))</f>
        <v>0</v>
      </c>
      <c r="Z3548" t="e" cm="1" vm="1">
        <f t="array" aca="1" ref="Z3548" ca="1">IFERROR(IF(_xlfn._xlws.FILTER(game_rosters!$J:$J,(game_rosters!$G:$G=events!$AN3548)*(game_rosters!$J:$J=events!$X3548))&gt;0,1,""),"")</f>
        <v>#VALUE!</v>
      </c>
      <c r="AA3548">
        <f t="shared" si="299"/>
        <v>1000</v>
      </c>
      <c r="AB3548" t="str">
        <f t="shared" si="300"/>
        <v/>
      </c>
      <c r="AC3548">
        <f t="shared" si="301"/>
        <v>1000</v>
      </c>
      <c r="AD3548" s="6"/>
    </row>
    <row r="3549" spans="1:30" x14ac:dyDescent="0.2">
      <c r="A3549" t="str">
        <f t="shared" si="302"/>
        <v/>
      </c>
      <c r="X3549" t="str" cm="1">
        <f t="array" ref="X3549">IF(S3549="","",IF($I3549&lt;&gt;"",$I3549,INDEX($I$2:$I3548,ROW()-COUNTIFS($T$2:$T3548,"="&amp;$T3549,$S$2:$S3548,"&lt;&gt;"&amp;$S3549)-1)))</f>
        <v/>
      </c>
      <c r="Y3549" t="b">
        <f>IF(X3549&lt;&gt;"",VLOOKUP(X3549,game_rosters!$C$43:$E$64,3,FALSE))</f>
        <v>0</v>
      </c>
      <c r="Z3549" t="e" cm="1" vm="1">
        <f t="array" aca="1" ref="Z3549" ca="1">IFERROR(IF(_xlfn._xlws.FILTER(game_rosters!$J:$J,(game_rosters!$G:$G=events!$AN3549)*(game_rosters!$J:$J=events!$X3549))&gt;0,1,""),"")</f>
        <v>#VALUE!</v>
      </c>
      <c r="AA3549">
        <f t="shared" ref="AA3549:AA3612" si="303">S3549+1000</f>
        <v>1000</v>
      </c>
      <c r="AB3549" t="str">
        <f t="shared" ref="AB3549:AB3612" si="304">IF(T3549&lt;&gt;"",9000+T3549,"")</f>
        <v/>
      </c>
      <c r="AC3549">
        <f t="shared" si="301"/>
        <v>1000</v>
      </c>
      <c r="AD3549" s="6"/>
    </row>
    <row r="3550" spans="1:30" x14ac:dyDescent="0.2">
      <c r="A3550" t="str">
        <f t="shared" si="302"/>
        <v/>
      </c>
      <c r="X3550" t="str" cm="1">
        <f t="array" ref="X3550">IF(S3550="","",IF($I3550&lt;&gt;"",$I3550,INDEX($I$2:$I3549,ROW()-COUNTIFS($T$2:$T3549,"="&amp;$T3550,$S$2:$S3549,"&lt;&gt;"&amp;$S3550)-1)))</f>
        <v/>
      </c>
      <c r="Y3550" t="b">
        <f>IF(X3550&lt;&gt;"",VLOOKUP(X3550,game_rosters!$C$43:$E$64,3,FALSE))</f>
        <v>0</v>
      </c>
      <c r="Z3550" t="e" cm="1" vm="1">
        <f t="array" aca="1" ref="Z3550" ca="1">IFERROR(IF(_xlfn._xlws.FILTER(game_rosters!$J:$J,(game_rosters!$G:$G=events!$AN3550)*(game_rosters!$J:$J=events!$X3550))&gt;0,1,""),"")</f>
        <v>#VALUE!</v>
      </c>
      <c r="AA3550">
        <f t="shared" si="303"/>
        <v>1000</v>
      </c>
      <c r="AB3550" t="str">
        <f t="shared" si="304"/>
        <v/>
      </c>
      <c r="AC3550">
        <f t="shared" si="301"/>
        <v>1000</v>
      </c>
      <c r="AD3550" s="6"/>
    </row>
    <row r="3551" spans="1:30" x14ac:dyDescent="0.2">
      <c r="A3551" t="str">
        <f t="shared" si="302"/>
        <v/>
      </c>
      <c r="X3551" t="str" cm="1">
        <f t="array" ref="X3551">IF(S3551="","",IF($I3551&lt;&gt;"",$I3551,INDEX($I$2:$I3550,ROW()-COUNTIFS($T$2:$T3550,"="&amp;$T3551,$S$2:$S3550,"&lt;&gt;"&amp;$S3551)-1)))</f>
        <v/>
      </c>
      <c r="Y3551" t="b">
        <f>IF(X3551&lt;&gt;"",VLOOKUP(X3551,game_rosters!$C$43:$E$64,3,FALSE))</f>
        <v>0</v>
      </c>
      <c r="Z3551" t="e" cm="1" vm="1">
        <f t="array" aca="1" ref="Z3551" ca="1">IFERROR(IF(_xlfn._xlws.FILTER(game_rosters!$J:$J,(game_rosters!$G:$G=events!$AN3551)*(game_rosters!$J:$J=events!$X3551))&gt;0,1,""),"")</f>
        <v>#VALUE!</v>
      </c>
      <c r="AA3551">
        <f t="shared" si="303"/>
        <v>1000</v>
      </c>
      <c r="AB3551" t="str">
        <f t="shared" si="304"/>
        <v/>
      </c>
      <c r="AC3551">
        <f t="shared" si="301"/>
        <v>1000</v>
      </c>
      <c r="AD3551" s="6"/>
    </row>
    <row r="3552" spans="1:30" x14ac:dyDescent="0.2">
      <c r="A3552" t="str">
        <f t="shared" si="302"/>
        <v/>
      </c>
      <c r="X3552" t="str" cm="1">
        <f t="array" ref="X3552">IF(S3552="","",IF($I3552&lt;&gt;"",$I3552,INDEX($I$2:$I3551,ROW()-COUNTIFS($T$2:$T3551,"="&amp;$T3552,$S$2:$S3551,"&lt;&gt;"&amp;$S3552)-1)))</f>
        <v/>
      </c>
      <c r="Y3552" t="b">
        <f>IF(X3552&lt;&gt;"",VLOOKUP(X3552,game_rosters!$C$43:$E$64,3,FALSE))</f>
        <v>0</v>
      </c>
      <c r="Z3552" t="e" cm="1" vm="1">
        <f t="array" aca="1" ref="Z3552" ca="1">IFERROR(IF(_xlfn._xlws.FILTER(game_rosters!$J:$J,(game_rosters!$G:$G=events!$AN3552)*(game_rosters!$J:$J=events!$X3552))&gt;0,1,""),"")</f>
        <v>#VALUE!</v>
      </c>
      <c r="AA3552">
        <f t="shared" si="303"/>
        <v>1000</v>
      </c>
      <c r="AB3552" t="str">
        <f t="shared" si="304"/>
        <v/>
      </c>
      <c r="AC3552">
        <f t="shared" si="301"/>
        <v>1000</v>
      </c>
      <c r="AD3552" s="6"/>
    </row>
    <row r="3553" spans="1:30" x14ac:dyDescent="0.2">
      <c r="A3553" t="str">
        <f t="shared" si="302"/>
        <v/>
      </c>
      <c r="X3553" t="str" cm="1">
        <f t="array" ref="X3553">IF(S3553="","",IF($I3553&lt;&gt;"",$I3553,INDEX($I$2:$I3552,ROW()-COUNTIFS($T$2:$T3552,"="&amp;$T3553,$S$2:$S3552,"&lt;&gt;"&amp;$S3553)-1)))</f>
        <v/>
      </c>
      <c r="Y3553" t="b">
        <f>IF(X3553&lt;&gt;"",VLOOKUP(X3553,game_rosters!$C$43:$E$64,3,FALSE))</f>
        <v>0</v>
      </c>
      <c r="Z3553" t="e" cm="1" vm="1">
        <f t="array" aca="1" ref="Z3553" ca="1">IFERROR(IF(_xlfn._xlws.FILTER(game_rosters!$J:$J,(game_rosters!$G:$G=events!$AN3553)*(game_rosters!$J:$J=events!$X3553))&gt;0,1,""),"")</f>
        <v>#VALUE!</v>
      </c>
      <c r="AA3553">
        <f t="shared" si="303"/>
        <v>1000</v>
      </c>
      <c r="AB3553" t="str">
        <f t="shared" si="304"/>
        <v/>
      </c>
      <c r="AC3553">
        <f t="shared" si="301"/>
        <v>1000</v>
      </c>
      <c r="AD3553" s="6"/>
    </row>
    <row r="3554" spans="1:30" x14ac:dyDescent="0.2">
      <c r="A3554" t="str">
        <f t="shared" si="302"/>
        <v/>
      </c>
      <c r="X3554" t="str" cm="1">
        <f t="array" ref="X3554">IF(S3554="","",IF($I3554&lt;&gt;"",$I3554,INDEX($I$2:$I3553,ROW()-COUNTIFS($T$2:$T3553,"="&amp;$T3554,$S$2:$S3553,"&lt;&gt;"&amp;$S3554)-1)))</f>
        <v/>
      </c>
      <c r="Y3554" t="b">
        <f>IF(X3554&lt;&gt;"",VLOOKUP(X3554,game_rosters!$C$43:$E$64,3,FALSE))</f>
        <v>0</v>
      </c>
      <c r="Z3554" t="e" cm="1" vm="1">
        <f t="array" aca="1" ref="Z3554" ca="1">IFERROR(IF(_xlfn._xlws.FILTER(game_rosters!$J:$J,(game_rosters!$G:$G=events!$AN3554)*(game_rosters!$J:$J=events!$X3554))&gt;0,1,""),"")</f>
        <v>#VALUE!</v>
      </c>
      <c r="AA3554">
        <f t="shared" si="303"/>
        <v>1000</v>
      </c>
      <c r="AB3554" t="str">
        <f t="shared" si="304"/>
        <v/>
      </c>
      <c r="AC3554">
        <f t="shared" si="301"/>
        <v>1000</v>
      </c>
      <c r="AD3554" s="6"/>
    </row>
    <row r="3555" spans="1:30" x14ac:dyDescent="0.2">
      <c r="A3555" t="str">
        <f t="shared" si="302"/>
        <v/>
      </c>
      <c r="X3555" t="str" cm="1">
        <f t="array" ref="X3555">IF(S3555="","",IF($I3555&lt;&gt;"",$I3555,INDEX($I$2:$I3554,ROW()-COUNTIFS($T$2:$T3554,"="&amp;$T3555,$S$2:$S3554,"&lt;&gt;"&amp;$S3555)-1)))</f>
        <v/>
      </c>
      <c r="Y3555" t="b">
        <f>IF(X3555&lt;&gt;"",VLOOKUP(X3555,game_rosters!$C$43:$E$64,3,FALSE))</f>
        <v>0</v>
      </c>
      <c r="Z3555" t="e" cm="1" vm="1">
        <f t="array" aca="1" ref="Z3555" ca="1">IFERROR(IF(_xlfn._xlws.FILTER(game_rosters!$J:$J,(game_rosters!$G:$G=events!$AN3555)*(game_rosters!$J:$J=events!$X3555))&gt;0,1,""),"")</f>
        <v>#VALUE!</v>
      </c>
      <c r="AA3555">
        <f t="shared" si="303"/>
        <v>1000</v>
      </c>
      <c r="AB3555" t="str">
        <f t="shared" si="304"/>
        <v/>
      </c>
      <c r="AC3555">
        <f t="shared" si="301"/>
        <v>1000</v>
      </c>
      <c r="AD3555" s="6"/>
    </row>
    <row r="3556" spans="1:30" x14ac:dyDescent="0.2">
      <c r="A3556" t="str">
        <f t="shared" si="302"/>
        <v/>
      </c>
      <c r="X3556" t="str" cm="1">
        <f t="array" ref="X3556">IF(S3556="","",IF($I3556&lt;&gt;"",$I3556,INDEX($I$2:$I3555,ROW()-COUNTIFS($T$2:$T3555,"="&amp;$T3556,$S$2:$S3555,"&lt;&gt;"&amp;$S3556)-1)))</f>
        <v/>
      </c>
      <c r="Y3556" t="b">
        <f>IF(X3556&lt;&gt;"",VLOOKUP(X3556,game_rosters!$C$43:$E$64,3,FALSE))</f>
        <v>0</v>
      </c>
      <c r="Z3556" t="e" cm="1" vm="1">
        <f t="array" aca="1" ref="Z3556" ca="1">IFERROR(IF(_xlfn._xlws.FILTER(game_rosters!$J:$J,(game_rosters!$G:$G=events!$AN3556)*(game_rosters!$J:$J=events!$X3556))&gt;0,1,""),"")</f>
        <v>#VALUE!</v>
      </c>
      <c r="AA3556">
        <f t="shared" si="303"/>
        <v>1000</v>
      </c>
      <c r="AB3556" t="str">
        <f t="shared" si="304"/>
        <v/>
      </c>
      <c r="AC3556">
        <f t="shared" si="301"/>
        <v>1000</v>
      </c>
      <c r="AD3556" s="6"/>
    </row>
    <row r="3557" spans="1:30" x14ac:dyDescent="0.2">
      <c r="A3557" t="str">
        <f t="shared" si="302"/>
        <v/>
      </c>
      <c r="X3557" t="str" cm="1">
        <f t="array" ref="X3557">IF(S3557="","",IF($I3557&lt;&gt;"",$I3557,INDEX($I$2:$I3556,ROW()-COUNTIFS($T$2:$T3556,"="&amp;$T3557,$S$2:$S3556,"&lt;&gt;"&amp;$S3557)-1)))</f>
        <v/>
      </c>
      <c r="Y3557" t="b">
        <f>IF(X3557&lt;&gt;"",VLOOKUP(X3557,game_rosters!$C$43:$E$64,3,FALSE))</f>
        <v>0</v>
      </c>
      <c r="Z3557" t="e" cm="1" vm="1">
        <f t="array" aca="1" ref="Z3557" ca="1">IFERROR(IF(_xlfn._xlws.FILTER(game_rosters!$J:$J,(game_rosters!$G:$G=events!$AN3557)*(game_rosters!$J:$J=events!$X3557))&gt;0,1,""),"")</f>
        <v>#VALUE!</v>
      </c>
      <c r="AA3557">
        <f t="shared" si="303"/>
        <v>1000</v>
      </c>
      <c r="AB3557" t="str">
        <f t="shared" si="304"/>
        <v/>
      </c>
      <c r="AC3557">
        <f t="shared" si="301"/>
        <v>1000</v>
      </c>
      <c r="AD3557" s="6"/>
    </row>
    <row r="3558" spans="1:30" x14ac:dyDescent="0.2">
      <c r="A3558" t="str">
        <f t="shared" si="302"/>
        <v/>
      </c>
      <c r="X3558" t="str" cm="1">
        <f t="array" ref="X3558">IF(S3558="","",IF($I3558&lt;&gt;"",$I3558,INDEX($I$2:$I3557,ROW()-COUNTIFS($T$2:$T3557,"="&amp;$T3558,$S$2:$S3557,"&lt;&gt;"&amp;$S3558)-1)))</f>
        <v/>
      </c>
      <c r="Y3558" t="b">
        <f>IF(X3558&lt;&gt;"",VLOOKUP(X3558,game_rosters!$C$43:$E$64,3,FALSE))</f>
        <v>0</v>
      </c>
      <c r="Z3558" t="e" cm="1" vm="1">
        <f t="array" aca="1" ref="Z3558" ca="1">IFERROR(IF(_xlfn._xlws.FILTER(game_rosters!$J:$J,(game_rosters!$G:$G=events!$AN3558)*(game_rosters!$J:$J=events!$X3558))&gt;0,1,""),"")</f>
        <v>#VALUE!</v>
      </c>
      <c r="AA3558">
        <f t="shared" si="303"/>
        <v>1000</v>
      </c>
      <c r="AB3558" t="str">
        <f t="shared" si="304"/>
        <v/>
      </c>
      <c r="AC3558">
        <f t="shared" si="301"/>
        <v>1000</v>
      </c>
      <c r="AD3558" s="6"/>
    </row>
    <row r="3559" spans="1:30" x14ac:dyDescent="0.2">
      <c r="A3559" t="str">
        <f t="shared" si="302"/>
        <v/>
      </c>
      <c r="X3559" t="str" cm="1">
        <f t="array" ref="X3559">IF(S3559="","",IF($I3559&lt;&gt;"",$I3559,INDEX($I$2:$I3558,ROW()-COUNTIFS($T$2:$T3558,"="&amp;$T3559,$S$2:$S3558,"&lt;&gt;"&amp;$S3559)-1)))</f>
        <v/>
      </c>
      <c r="Y3559" t="b">
        <f>IF(X3559&lt;&gt;"",VLOOKUP(X3559,game_rosters!$C$43:$E$64,3,FALSE))</f>
        <v>0</v>
      </c>
      <c r="Z3559" t="e" cm="1" vm="1">
        <f t="array" aca="1" ref="Z3559" ca="1">IFERROR(IF(_xlfn._xlws.FILTER(game_rosters!$J:$J,(game_rosters!$G:$G=events!$AN3559)*(game_rosters!$J:$J=events!$X3559))&gt;0,1,""),"")</f>
        <v>#VALUE!</v>
      </c>
      <c r="AA3559">
        <f t="shared" si="303"/>
        <v>1000</v>
      </c>
      <c r="AB3559" t="str">
        <f t="shared" si="304"/>
        <v/>
      </c>
      <c r="AC3559">
        <f t="shared" si="301"/>
        <v>1000</v>
      </c>
      <c r="AD3559" s="6"/>
    </row>
    <row r="3560" spans="1:30" x14ac:dyDescent="0.2">
      <c r="A3560" t="str">
        <f t="shared" si="302"/>
        <v/>
      </c>
      <c r="X3560" t="str" cm="1">
        <f t="array" ref="X3560">IF(S3560="","",IF($I3560&lt;&gt;"",$I3560,INDEX($I$2:$I3559,ROW()-COUNTIFS($T$2:$T3559,"="&amp;$T3560,$S$2:$S3559,"&lt;&gt;"&amp;$S3560)-1)))</f>
        <v/>
      </c>
      <c r="Y3560" t="b">
        <f>IF(X3560&lt;&gt;"",VLOOKUP(X3560,game_rosters!$C$43:$E$64,3,FALSE))</f>
        <v>0</v>
      </c>
      <c r="Z3560" t="e" cm="1" vm="1">
        <f t="array" aca="1" ref="Z3560" ca="1">IFERROR(IF(_xlfn._xlws.FILTER(game_rosters!$J:$J,(game_rosters!$G:$G=events!$AN3560)*(game_rosters!$J:$J=events!$X3560))&gt;0,1,""),"")</f>
        <v>#VALUE!</v>
      </c>
      <c r="AA3560">
        <f t="shared" si="303"/>
        <v>1000</v>
      </c>
      <c r="AB3560" t="str">
        <f t="shared" si="304"/>
        <v/>
      </c>
      <c r="AC3560">
        <f t="shared" si="301"/>
        <v>1000</v>
      </c>
      <c r="AD3560" s="6"/>
    </row>
    <row r="3561" spans="1:30" x14ac:dyDescent="0.2">
      <c r="A3561" t="str">
        <f t="shared" si="302"/>
        <v/>
      </c>
      <c r="X3561" t="str" cm="1">
        <f t="array" ref="X3561">IF(S3561="","",IF($I3561&lt;&gt;"",$I3561,INDEX($I$2:$I3560,ROW()-COUNTIFS($T$2:$T3560,"="&amp;$T3561,$S$2:$S3560,"&lt;&gt;"&amp;$S3561)-1)))</f>
        <v/>
      </c>
      <c r="Y3561" t="b">
        <f>IF(X3561&lt;&gt;"",VLOOKUP(X3561,game_rosters!$C$43:$E$64,3,FALSE))</f>
        <v>0</v>
      </c>
      <c r="Z3561" t="e" cm="1" vm="1">
        <f t="array" aca="1" ref="Z3561" ca="1">IFERROR(IF(_xlfn._xlws.FILTER(game_rosters!$J:$J,(game_rosters!$G:$G=events!$AN3561)*(game_rosters!$J:$J=events!$X3561))&gt;0,1,""),"")</f>
        <v>#VALUE!</v>
      </c>
      <c r="AA3561">
        <f t="shared" si="303"/>
        <v>1000</v>
      </c>
      <c r="AB3561" t="str">
        <f t="shared" si="304"/>
        <v/>
      </c>
      <c r="AC3561">
        <f t="shared" si="301"/>
        <v>1000</v>
      </c>
      <c r="AD3561" s="6"/>
    </row>
    <row r="3562" spans="1:30" x14ac:dyDescent="0.2">
      <c r="A3562" t="str">
        <f t="shared" si="302"/>
        <v/>
      </c>
      <c r="X3562" t="str" cm="1">
        <f t="array" ref="X3562">IF(S3562="","",IF($I3562&lt;&gt;"",$I3562,INDEX($I$2:$I3561,ROW()-COUNTIFS($T$2:$T3561,"="&amp;$T3562,$S$2:$S3561,"&lt;&gt;"&amp;$S3562)-1)))</f>
        <v/>
      </c>
      <c r="Y3562" t="b">
        <f>IF(X3562&lt;&gt;"",VLOOKUP(X3562,game_rosters!$C$43:$E$64,3,FALSE))</f>
        <v>0</v>
      </c>
      <c r="Z3562" t="e" cm="1" vm="1">
        <f t="array" aca="1" ref="Z3562" ca="1">IFERROR(IF(_xlfn._xlws.FILTER(game_rosters!$J:$J,(game_rosters!$G:$G=events!$AN3562)*(game_rosters!$J:$J=events!$X3562))&gt;0,1,""),"")</f>
        <v>#VALUE!</v>
      </c>
      <c r="AA3562">
        <f t="shared" si="303"/>
        <v>1000</v>
      </c>
      <c r="AB3562" t="str">
        <f t="shared" si="304"/>
        <v/>
      </c>
      <c r="AC3562">
        <f t="shared" si="301"/>
        <v>1000</v>
      </c>
      <c r="AD3562" s="6"/>
    </row>
    <row r="3563" spans="1:30" x14ac:dyDescent="0.2">
      <c r="A3563" t="str">
        <f t="shared" si="302"/>
        <v/>
      </c>
      <c r="X3563" t="str" cm="1">
        <f t="array" ref="X3563">IF(S3563="","",IF($I3563&lt;&gt;"",$I3563,INDEX($I$2:$I3562,ROW()-COUNTIFS($T$2:$T3562,"="&amp;$T3563,$S$2:$S3562,"&lt;&gt;"&amp;$S3563)-1)))</f>
        <v/>
      </c>
      <c r="Y3563" t="b">
        <f>IF(X3563&lt;&gt;"",VLOOKUP(X3563,game_rosters!$C$43:$E$64,3,FALSE))</f>
        <v>0</v>
      </c>
      <c r="Z3563" t="e" cm="1" vm="1">
        <f t="array" aca="1" ref="Z3563" ca="1">IFERROR(IF(_xlfn._xlws.FILTER(game_rosters!$J:$J,(game_rosters!$G:$G=events!$AN3563)*(game_rosters!$J:$J=events!$X3563))&gt;0,1,""),"")</f>
        <v>#VALUE!</v>
      </c>
      <c r="AA3563">
        <f t="shared" si="303"/>
        <v>1000</v>
      </c>
      <c r="AB3563" t="str">
        <f t="shared" si="304"/>
        <v/>
      </c>
      <c r="AC3563">
        <f t="shared" si="301"/>
        <v>1000</v>
      </c>
      <c r="AD3563" s="6"/>
    </row>
    <row r="3564" spans="1:30" x14ac:dyDescent="0.2">
      <c r="A3564" t="str">
        <f t="shared" si="302"/>
        <v/>
      </c>
      <c r="X3564" t="str" cm="1">
        <f t="array" ref="X3564">IF(S3564="","",IF($I3564&lt;&gt;"",$I3564,INDEX($I$2:$I3563,ROW()-COUNTIFS($T$2:$T3563,"="&amp;$T3564,$S$2:$S3563,"&lt;&gt;"&amp;$S3564)-1)))</f>
        <v/>
      </c>
      <c r="Y3564" t="b">
        <f>IF(X3564&lt;&gt;"",VLOOKUP(X3564,game_rosters!$C$43:$E$64,3,FALSE))</f>
        <v>0</v>
      </c>
      <c r="Z3564" t="e" cm="1" vm="1">
        <f t="array" aca="1" ref="Z3564" ca="1">IFERROR(IF(_xlfn._xlws.FILTER(game_rosters!$J:$J,(game_rosters!$G:$G=events!$AN3564)*(game_rosters!$J:$J=events!$X3564))&gt;0,1,""),"")</f>
        <v>#VALUE!</v>
      </c>
      <c r="AA3564">
        <f t="shared" si="303"/>
        <v>1000</v>
      </c>
      <c r="AB3564" t="str">
        <f t="shared" si="304"/>
        <v/>
      </c>
      <c r="AC3564">
        <f t="shared" si="301"/>
        <v>1000</v>
      </c>
      <c r="AD3564" s="6"/>
    </row>
    <row r="3565" spans="1:30" x14ac:dyDescent="0.2">
      <c r="A3565" t="str">
        <f t="shared" si="302"/>
        <v/>
      </c>
      <c r="X3565" t="str" cm="1">
        <f t="array" ref="X3565">IF(S3565="","",IF($I3565&lt;&gt;"",$I3565,INDEX($I$2:$I3564,ROW()-COUNTIFS($T$2:$T3564,"="&amp;$T3565,$S$2:$S3564,"&lt;&gt;"&amp;$S3565)-1)))</f>
        <v/>
      </c>
      <c r="Y3565" t="b">
        <f>IF(X3565&lt;&gt;"",VLOOKUP(X3565,game_rosters!$C$43:$E$64,3,FALSE))</f>
        <v>0</v>
      </c>
      <c r="Z3565" t="e" cm="1" vm="1">
        <f t="array" aca="1" ref="Z3565" ca="1">IFERROR(IF(_xlfn._xlws.FILTER(game_rosters!$J:$J,(game_rosters!$G:$G=events!$AN3565)*(game_rosters!$J:$J=events!$X3565))&gt;0,1,""),"")</f>
        <v>#VALUE!</v>
      </c>
      <c r="AA3565">
        <f t="shared" si="303"/>
        <v>1000</v>
      </c>
      <c r="AB3565" t="str">
        <f t="shared" si="304"/>
        <v/>
      </c>
      <c r="AC3565">
        <f t="shared" si="301"/>
        <v>1000</v>
      </c>
      <c r="AD3565" s="6"/>
    </row>
    <row r="3566" spans="1:30" x14ac:dyDescent="0.2">
      <c r="A3566" t="str">
        <f t="shared" si="302"/>
        <v/>
      </c>
      <c r="X3566" t="str" cm="1">
        <f t="array" ref="X3566">IF(S3566="","",IF($I3566&lt;&gt;"",$I3566,INDEX($I$2:$I3565,ROW()-COUNTIFS($T$2:$T3565,"="&amp;$T3566,$S$2:$S3565,"&lt;&gt;"&amp;$S3566)-1)))</f>
        <v/>
      </c>
      <c r="Y3566" t="b">
        <f>IF(X3566&lt;&gt;"",VLOOKUP(X3566,game_rosters!$C$43:$E$64,3,FALSE))</f>
        <v>0</v>
      </c>
      <c r="Z3566" t="e" cm="1" vm="1">
        <f t="array" aca="1" ref="Z3566" ca="1">IFERROR(IF(_xlfn._xlws.FILTER(game_rosters!$J:$J,(game_rosters!$G:$G=events!$AN3566)*(game_rosters!$J:$J=events!$X3566))&gt;0,1,""),"")</f>
        <v>#VALUE!</v>
      </c>
      <c r="AA3566">
        <f t="shared" si="303"/>
        <v>1000</v>
      </c>
      <c r="AB3566" t="str">
        <f t="shared" si="304"/>
        <v/>
      </c>
      <c r="AC3566">
        <f t="shared" si="301"/>
        <v>1000</v>
      </c>
      <c r="AD3566" s="6"/>
    </row>
    <row r="3567" spans="1:30" x14ac:dyDescent="0.2">
      <c r="A3567" t="str">
        <f t="shared" si="302"/>
        <v/>
      </c>
      <c r="X3567" t="str" cm="1">
        <f t="array" ref="X3567">IF(S3567="","",IF($I3567&lt;&gt;"",$I3567,INDEX($I$2:$I3566,ROW()-COUNTIFS($T$2:$T3566,"="&amp;$T3567,$S$2:$S3566,"&lt;&gt;"&amp;$S3567)-1)))</f>
        <v/>
      </c>
      <c r="Y3567" t="b">
        <f>IF(X3567&lt;&gt;"",VLOOKUP(X3567,game_rosters!$C$43:$E$64,3,FALSE))</f>
        <v>0</v>
      </c>
      <c r="Z3567" t="e" cm="1" vm="1">
        <f t="array" aca="1" ref="Z3567" ca="1">IFERROR(IF(_xlfn._xlws.FILTER(game_rosters!$J:$J,(game_rosters!$G:$G=events!$AN3567)*(game_rosters!$J:$J=events!$X3567))&gt;0,1,""),"")</f>
        <v>#VALUE!</v>
      </c>
      <c r="AA3567">
        <f t="shared" si="303"/>
        <v>1000</v>
      </c>
      <c r="AB3567" t="str">
        <f t="shared" si="304"/>
        <v/>
      </c>
      <c r="AC3567">
        <f t="shared" si="301"/>
        <v>1000</v>
      </c>
      <c r="AD3567" s="6"/>
    </row>
    <row r="3568" spans="1:30" x14ac:dyDescent="0.2">
      <c r="A3568" t="str">
        <f t="shared" si="302"/>
        <v/>
      </c>
      <c r="X3568" t="str" cm="1">
        <f t="array" ref="X3568">IF(S3568="","",IF($I3568&lt;&gt;"",$I3568,INDEX($I$2:$I3567,ROW()-COUNTIFS($T$2:$T3567,"="&amp;$T3568,$S$2:$S3567,"&lt;&gt;"&amp;$S3568)-1)))</f>
        <v/>
      </c>
      <c r="Y3568" t="b">
        <f>IF(X3568&lt;&gt;"",VLOOKUP(X3568,game_rosters!$C$43:$E$64,3,FALSE))</f>
        <v>0</v>
      </c>
      <c r="Z3568" t="e" cm="1" vm="1">
        <f t="array" aca="1" ref="Z3568" ca="1">IFERROR(IF(_xlfn._xlws.FILTER(game_rosters!$J:$J,(game_rosters!$G:$G=events!$AN3568)*(game_rosters!$J:$J=events!$X3568))&gt;0,1,""),"")</f>
        <v>#VALUE!</v>
      </c>
      <c r="AA3568">
        <f t="shared" si="303"/>
        <v>1000</v>
      </c>
      <c r="AB3568" t="str">
        <f t="shared" si="304"/>
        <v/>
      </c>
      <c r="AC3568">
        <f t="shared" si="301"/>
        <v>1000</v>
      </c>
      <c r="AD3568" s="6"/>
    </row>
    <row r="3569" spans="1:30" x14ac:dyDescent="0.2">
      <c r="A3569" t="str">
        <f t="shared" si="302"/>
        <v/>
      </c>
      <c r="X3569" t="str" cm="1">
        <f t="array" ref="X3569">IF(S3569="","",IF($I3569&lt;&gt;"",$I3569,INDEX($I$2:$I3568,ROW()-COUNTIFS($T$2:$T3568,"="&amp;$T3569,$S$2:$S3568,"&lt;&gt;"&amp;$S3569)-1)))</f>
        <v/>
      </c>
      <c r="Y3569" t="b">
        <f>IF(X3569&lt;&gt;"",VLOOKUP(X3569,game_rosters!$C$43:$E$64,3,FALSE))</f>
        <v>0</v>
      </c>
      <c r="Z3569" t="e" cm="1" vm="1">
        <f t="array" aca="1" ref="Z3569" ca="1">IFERROR(IF(_xlfn._xlws.FILTER(game_rosters!$J:$J,(game_rosters!$G:$G=events!$AN3569)*(game_rosters!$J:$J=events!$X3569))&gt;0,1,""),"")</f>
        <v>#VALUE!</v>
      </c>
      <c r="AA3569">
        <f t="shared" si="303"/>
        <v>1000</v>
      </c>
      <c r="AB3569" t="str">
        <f t="shared" si="304"/>
        <v/>
      </c>
      <c r="AC3569">
        <f t="shared" si="301"/>
        <v>1000</v>
      </c>
      <c r="AD3569" s="6"/>
    </row>
    <row r="3570" spans="1:30" x14ac:dyDescent="0.2">
      <c r="A3570" t="str">
        <f t="shared" si="302"/>
        <v/>
      </c>
      <c r="X3570" t="str" cm="1">
        <f t="array" ref="X3570">IF(S3570="","",IF($I3570&lt;&gt;"",$I3570,INDEX($I$2:$I3569,ROW()-COUNTIFS($T$2:$T3569,"="&amp;$T3570,$S$2:$S3569,"&lt;&gt;"&amp;$S3570)-1)))</f>
        <v/>
      </c>
      <c r="Y3570" t="b">
        <f>IF(X3570&lt;&gt;"",VLOOKUP(X3570,game_rosters!$C$43:$E$64,3,FALSE))</f>
        <v>0</v>
      </c>
      <c r="Z3570" t="e" cm="1" vm="1">
        <f t="array" aca="1" ref="Z3570" ca="1">IFERROR(IF(_xlfn._xlws.FILTER(game_rosters!$J:$J,(game_rosters!$G:$G=events!$AN3570)*(game_rosters!$J:$J=events!$X3570))&gt;0,1,""),"")</f>
        <v>#VALUE!</v>
      </c>
      <c r="AA3570">
        <f t="shared" si="303"/>
        <v>1000</v>
      </c>
      <c r="AB3570" t="str">
        <f t="shared" si="304"/>
        <v/>
      </c>
      <c r="AC3570">
        <f t="shared" si="301"/>
        <v>1000</v>
      </c>
      <c r="AD3570" s="6"/>
    </row>
    <row r="3571" spans="1:30" x14ac:dyDescent="0.2">
      <c r="A3571" t="str">
        <f t="shared" si="302"/>
        <v/>
      </c>
      <c r="X3571" t="str" cm="1">
        <f t="array" ref="X3571">IF(S3571="","",IF($I3571&lt;&gt;"",$I3571,INDEX($I$2:$I3570,ROW()-COUNTIFS($T$2:$T3570,"="&amp;$T3571,$S$2:$S3570,"&lt;&gt;"&amp;$S3571)-1)))</f>
        <v/>
      </c>
      <c r="Y3571" t="b">
        <f>IF(X3571&lt;&gt;"",VLOOKUP(X3571,game_rosters!$C$43:$E$64,3,FALSE))</f>
        <v>0</v>
      </c>
      <c r="Z3571" t="e" cm="1" vm="1">
        <f t="array" aca="1" ref="Z3571" ca="1">IFERROR(IF(_xlfn._xlws.FILTER(game_rosters!$J:$J,(game_rosters!$G:$G=events!$AN3571)*(game_rosters!$J:$J=events!$X3571))&gt;0,1,""),"")</f>
        <v>#VALUE!</v>
      </c>
      <c r="AA3571">
        <f t="shared" si="303"/>
        <v>1000</v>
      </c>
      <c r="AB3571" t="str">
        <f t="shared" si="304"/>
        <v/>
      </c>
      <c r="AC3571">
        <f t="shared" si="301"/>
        <v>1000</v>
      </c>
      <c r="AD3571" s="6"/>
    </row>
    <row r="3572" spans="1:30" x14ac:dyDescent="0.2">
      <c r="A3572" t="str">
        <f t="shared" si="302"/>
        <v/>
      </c>
      <c r="X3572" t="str" cm="1">
        <f t="array" ref="X3572">IF(S3572="","",IF($I3572&lt;&gt;"",$I3572,INDEX($I$2:$I3571,ROW()-COUNTIFS($T$2:$T3571,"="&amp;$T3572,$S$2:$S3571,"&lt;&gt;"&amp;$S3572)-1)))</f>
        <v/>
      </c>
      <c r="Y3572" t="b">
        <f>IF(X3572&lt;&gt;"",VLOOKUP(X3572,game_rosters!$C$43:$E$64,3,FALSE))</f>
        <v>0</v>
      </c>
      <c r="Z3572" t="e" cm="1" vm="1">
        <f t="array" aca="1" ref="Z3572" ca="1">IFERROR(IF(_xlfn._xlws.FILTER(game_rosters!$J:$J,(game_rosters!$G:$G=events!$AN3572)*(game_rosters!$J:$J=events!$X3572))&gt;0,1,""),"")</f>
        <v>#VALUE!</v>
      </c>
      <c r="AA3572">
        <f t="shared" si="303"/>
        <v>1000</v>
      </c>
      <c r="AB3572" t="str">
        <f t="shared" si="304"/>
        <v/>
      </c>
      <c r="AC3572">
        <f t="shared" si="301"/>
        <v>1000</v>
      </c>
      <c r="AD3572" s="6"/>
    </row>
    <row r="3573" spans="1:30" x14ac:dyDescent="0.2">
      <c r="A3573" t="str">
        <f t="shared" si="302"/>
        <v/>
      </c>
      <c r="X3573" t="str" cm="1">
        <f t="array" ref="X3573">IF(S3573="","",IF($I3573&lt;&gt;"",$I3573,INDEX($I$2:$I3572,ROW()-COUNTIFS($T$2:$T3572,"="&amp;$T3573,$S$2:$S3572,"&lt;&gt;"&amp;$S3573)-1)))</f>
        <v/>
      </c>
      <c r="Y3573" t="b">
        <f>IF(X3573&lt;&gt;"",VLOOKUP(X3573,game_rosters!$C$43:$E$64,3,FALSE))</f>
        <v>0</v>
      </c>
      <c r="Z3573" t="e" cm="1" vm="1">
        <f t="array" aca="1" ref="Z3573" ca="1">IFERROR(IF(_xlfn._xlws.FILTER(game_rosters!$J:$J,(game_rosters!$G:$G=events!$AN3573)*(game_rosters!$J:$J=events!$X3573))&gt;0,1,""),"")</f>
        <v>#VALUE!</v>
      </c>
      <c r="AA3573">
        <f t="shared" si="303"/>
        <v>1000</v>
      </c>
      <c r="AB3573" t="str">
        <f t="shared" si="304"/>
        <v/>
      </c>
      <c r="AC3573">
        <f t="shared" si="301"/>
        <v>1000</v>
      </c>
      <c r="AD3573" s="6"/>
    </row>
    <row r="3574" spans="1:30" x14ac:dyDescent="0.2">
      <c r="A3574" t="str">
        <f t="shared" si="302"/>
        <v/>
      </c>
      <c r="X3574" t="str" cm="1">
        <f t="array" ref="X3574">IF(S3574="","",IF($I3574&lt;&gt;"",$I3574,INDEX($I$2:$I3573,ROW()-COUNTIFS($T$2:$T3573,"="&amp;$T3574,$S$2:$S3573,"&lt;&gt;"&amp;$S3574)-1)))</f>
        <v/>
      </c>
      <c r="Y3574" t="b">
        <f>IF(X3574&lt;&gt;"",VLOOKUP(X3574,game_rosters!$C$43:$E$64,3,FALSE))</f>
        <v>0</v>
      </c>
      <c r="Z3574" t="e" cm="1" vm="1">
        <f t="array" aca="1" ref="Z3574" ca="1">IFERROR(IF(_xlfn._xlws.FILTER(game_rosters!$J:$J,(game_rosters!$G:$G=events!$AN3574)*(game_rosters!$J:$J=events!$X3574))&gt;0,1,""),"")</f>
        <v>#VALUE!</v>
      </c>
      <c r="AA3574">
        <f t="shared" si="303"/>
        <v>1000</v>
      </c>
      <c r="AB3574" t="str">
        <f t="shared" si="304"/>
        <v/>
      </c>
      <c r="AC3574">
        <f t="shared" si="301"/>
        <v>1000</v>
      </c>
      <c r="AD3574" s="6"/>
    </row>
    <row r="3575" spans="1:30" x14ac:dyDescent="0.2">
      <c r="A3575" t="str">
        <f t="shared" si="302"/>
        <v/>
      </c>
      <c r="X3575" t="str" cm="1">
        <f t="array" ref="X3575">IF(S3575="","",IF($I3575&lt;&gt;"",$I3575,INDEX($I$2:$I3574,ROW()-COUNTIFS($T$2:$T3574,"="&amp;$T3575,$S$2:$S3574,"&lt;&gt;"&amp;$S3575)-1)))</f>
        <v/>
      </c>
      <c r="Y3575" t="b">
        <f>IF(X3575&lt;&gt;"",VLOOKUP(X3575,game_rosters!$C$43:$E$64,3,FALSE))</f>
        <v>0</v>
      </c>
      <c r="Z3575" t="e" cm="1" vm="1">
        <f t="array" aca="1" ref="Z3575" ca="1">IFERROR(IF(_xlfn._xlws.FILTER(game_rosters!$J:$J,(game_rosters!$G:$G=events!$AN3575)*(game_rosters!$J:$J=events!$X3575))&gt;0,1,""),"")</f>
        <v>#VALUE!</v>
      </c>
      <c r="AA3575">
        <f t="shared" si="303"/>
        <v>1000</v>
      </c>
      <c r="AB3575" t="str">
        <f t="shared" si="304"/>
        <v/>
      </c>
      <c r="AC3575">
        <f t="shared" si="301"/>
        <v>1000</v>
      </c>
      <c r="AD3575" s="6"/>
    </row>
    <row r="3576" spans="1:30" x14ac:dyDescent="0.2">
      <c r="A3576" t="str">
        <f t="shared" si="302"/>
        <v/>
      </c>
      <c r="X3576" t="str" cm="1">
        <f t="array" ref="X3576">IF(S3576="","",IF($I3576&lt;&gt;"",$I3576,INDEX($I$2:$I3575,ROW()-COUNTIFS($T$2:$T3575,"="&amp;$T3576,$S$2:$S3575,"&lt;&gt;"&amp;$S3576)-1)))</f>
        <v/>
      </c>
      <c r="Y3576" t="b">
        <f>IF(X3576&lt;&gt;"",VLOOKUP(X3576,game_rosters!$C$43:$E$64,3,FALSE))</f>
        <v>0</v>
      </c>
      <c r="Z3576" t="e" cm="1" vm="1">
        <f t="array" aca="1" ref="Z3576" ca="1">IFERROR(IF(_xlfn._xlws.FILTER(game_rosters!$J:$J,(game_rosters!$G:$G=events!$AN3576)*(game_rosters!$J:$J=events!$X3576))&gt;0,1,""),"")</f>
        <v>#VALUE!</v>
      </c>
      <c r="AA3576">
        <f t="shared" si="303"/>
        <v>1000</v>
      </c>
      <c r="AB3576" t="str">
        <f t="shared" si="304"/>
        <v/>
      </c>
      <c r="AC3576">
        <f t="shared" si="301"/>
        <v>1000</v>
      </c>
      <c r="AD3576" s="6"/>
    </row>
    <row r="3577" spans="1:30" x14ac:dyDescent="0.2">
      <c r="A3577" t="str">
        <f t="shared" si="302"/>
        <v/>
      </c>
      <c r="X3577" t="str" cm="1">
        <f t="array" ref="X3577">IF(S3577="","",IF($I3577&lt;&gt;"",$I3577,INDEX($I$2:$I3576,ROW()-COUNTIFS($T$2:$T3576,"="&amp;$T3577,$S$2:$S3576,"&lt;&gt;"&amp;$S3577)-1)))</f>
        <v/>
      </c>
      <c r="Y3577" t="b">
        <f>IF(X3577&lt;&gt;"",VLOOKUP(X3577,game_rosters!$C$43:$E$64,3,FALSE))</f>
        <v>0</v>
      </c>
      <c r="Z3577" t="e" cm="1" vm="1">
        <f t="array" aca="1" ref="Z3577" ca="1">IFERROR(IF(_xlfn._xlws.FILTER(game_rosters!$J:$J,(game_rosters!$G:$G=events!$AN3577)*(game_rosters!$J:$J=events!$X3577))&gt;0,1,""),"")</f>
        <v>#VALUE!</v>
      </c>
      <c r="AA3577">
        <f t="shared" si="303"/>
        <v>1000</v>
      </c>
      <c r="AB3577" t="str">
        <f t="shared" si="304"/>
        <v/>
      </c>
      <c r="AC3577">
        <f t="shared" si="301"/>
        <v>1000</v>
      </c>
      <c r="AD3577" s="6"/>
    </row>
    <row r="3578" spans="1:30" x14ac:dyDescent="0.2">
      <c r="A3578" t="str">
        <f t="shared" si="302"/>
        <v/>
      </c>
      <c r="X3578" t="str" cm="1">
        <f t="array" ref="X3578">IF(S3578="","",IF($I3578&lt;&gt;"",$I3578,INDEX($I$2:$I3577,ROW()-COUNTIFS($T$2:$T3577,"="&amp;$T3578,$S$2:$S3577,"&lt;&gt;"&amp;$S3578)-1)))</f>
        <v/>
      </c>
      <c r="Y3578" t="b">
        <f>IF(X3578&lt;&gt;"",VLOOKUP(X3578,game_rosters!$C$43:$E$64,3,FALSE))</f>
        <v>0</v>
      </c>
      <c r="Z3578" t="e" cm="1" vm="1">
        <f t="array" aca="1" ref="Z3578" ca="1">IFERROR(IF(_xlfn._xlws.FILTER(game_rosters!$J:$J,(game_rosters!$G:$G=events!$AN3578)*(game_rosters!$J:$J=events!$X3578))&gt;0,1,""),"")</f>
        <v>#VALUE!</v>
      </c>
      <c r="AA3578">
        <f t="shared" si="303"/>
        <v>1000</v>
      </c>
      <c r="AB3578" t="str">
        <f t="shared" si="304"/>
        <v/>
      </c>
      <c r="AC3578">
        <f t="shared" si="301"/>
        <v>1000</v>
      </c>
      <c r="AD3578" s="6"/>
    </row>
    <row r="3579" spans="1:30" x14ac:dyDescent="0.2">
      <c r="A3579" t="str">
        <f t="shared" si="302"/>
        <v/>
      </c>
      <c r="X3579" t="str" cm="1">
        <f t="array" ref="X3579">IF(S3579="","",IF($I3579&lt;&gt;"",$I3579,INDEX($I$2:$I3578,ROW()-COUNTIFS($T$2:$T3578,"="&amp;$T3579,$S$2:$S3578,"&lt;&gt;"&amp;$S3579)-1)))</f>
        <v/>
      </c>
      <c r="Y3579" t="b">
        <f>IF(X3579&lt;&gt;"",VLOOKUP(X3579,game_rosters!$C$43:$E$64,3,FALSE))</f>
        <v>0</v>
      </c>
      <c r="Z3579" t="e" cm="1" vm="1">
        <f t="array" aca="1" ref="Z3579" ca="1">IFERROR(IF(_xlfn._xlws.FILTER(game_rosters!$J:$J,(game_rosters!$G:$G=events!$AN3579)*(game_rosters!$J:$J=events!$X3579))&gt;0,1,""),"")</f>
        <v>#VALUE!</v>
      </c>
      <c r="AA3579">
        <f t="shared" si="303"/>
        <v>1000</v>
      </c>
      <c r="AB3579" t="str">
        <f t="shared" si="304"/>
        <v/>
      </c>
      <c r="AC3579">
        <f t="shared" si="301"/>
        <v>1000</v>
      </c>
      <c r="AD3579" s="6"/>
    </row>
    <row r="3580" spans="1:30" x14ac:dyDescent="0.2">
      <c r="A3580" t="str">
        <f t="shared" si="302"/>
        <v/>
      </c>
      <c r="X3580" t="str" cm="1">
        <f t="array" ref="X3580">IF(S3580="","",IF($I3580&lt;&gt;"",$I3580,INDEX($I$2:$I3579,ROW()-COUNTIFS($T$2:$T3579,"="&amp;$T3580,$S$2:$S3579,"&lt;&gt;"&amp;$S3580)-1)))</f>
        <v/>
      </c>
      <c r="Y3580" t="b">
        <f>IF(X3580&lt;&gt;"",VLOOKUP(X3580,game_rosters!$C$43:$E$64,3,FALSE))</f>
        <v>0</v>
      </c>
      <c r="Z3580" t="e" cm="1" vm="1">
        <f t="array" aca="1" ref="Z3580" ca="1">IFERROR(IF(_xlfn._xlws.FILTER(game_rosters!$J:$J,(game_rosters!$G:$G=events!$AN3580)*(game_rosters!$J:$J=events!$X3580))&gt;0,1,""),"")</f>
        <v>#VALUE!</v>
      </c>
      <c r="AA3580">
        <f t="shared" si="303"/>
        <v>1000</v>
      </c>
      <c r="AB3580" t="str">
        <f t="shared" si="304"/>
        <v/>
      </c>
      <c r="AC3580">
        <f t="shared" si="301"/>
        <v>1000</v>
      </c>
      <c r="AD3580" s="6"/>
    </row>
    <row r="3581" spans="1:30" x14ac:dyDescent="0.2">
      <c r="A3581" t="str">
        <f t="shared" si="302"/>
        <v/>
      </c>
      <c r="X3581" t="str" cm="1">
        <f t="array" ref="X3581">IF(S3581="","",IF($I3581&lt;&gt;"",$I3581,INDEX($I$2:$I3580,ROW()-COUNTIFS($T$2:$T3580,"="&amp;$T3581,$S$2:$S3580,"&lt;&gt;"&amp;$S3581)-1)))</f>
        <v/>
      </c>
      <c r="Y3581" t="b">
        <f>IF(X3581&lt;&gt;"",VLOOKUP(X3581,game_rosters!$C$43:$E$64,3,FALSE))</f>
        <v>0</v>
      </c>
      <c r="Z3581" t="e" cm="1" vm="1">
        <f t="array" aca="1" ref="Z3581" ca="1">IFERROR(IF(_xlfn._xlws.FILTER(game_rosters!$J:$J,(game_rosters!$G:$G=events!$AN3581)*(game_rosters!$J:$J=events!$X3581))&gt;0,1,""),"")</f>
        <v>#VALUE!</v>
      </c>
      <c r="AA3581">
        <f t="shared" si="303"/>
        <v>1000</v>
      </c>
      <c r="AB3581" t="str">
        <f t="shared" si="304"/>
        <v/>
      </c>
      <c r="AC3581">
        <f t="shared" si="301"/>
        <v>1000</v>
      </c>
      <c r="AD3581" s="6"/>
    </row>
    <row r="3582" spans="1:30" x14ac:dyDescent="0.2">
      <c r="A3582" t="str">
        <f t="shared" si="302"/>
        <v/>
      </c>
      <c r="X3582" t="str" cm="1">
        <f t="array" ref="X3582">IF(S3582="","",IF($I3582&lt;&gt;"",$I3582,INDEX($I$2:$I3581,ROW()-COUNTIFS($T$2:$T3581,"="&amp;$T3582,$S$2:$S3581,"&lt;&gt;"&amp;$S3582)-1)))</f>
        <v/>
      </c>
      <c r="Y3582" t="b">
        <f>IF(X3582&lt;&gt;"",VLOOKUP(X3582,game_rosters!$C$43:$E$64,3,FALSE))</f>
        <v>0</v>
      </c>
      <c r="Z3582" t="e" cm="1" vm="1">
        <f t="array" aca="1" ref="Z3582" ca="1">IFERROR(IF(_xlfn._xlws.FILTER(game_rosters!$J:$J,(game_rosters!$G:$G=events!$AN3582)*(game_rosters!$J:$J=events!$X3582))&gt;0,1,""),"")</f>
        <v>#VALUE!</v>
      </c>
      <c r="AA3582">
        <f t="shared" si="303"/>
        <v>1000</v>
      </c>
      <c r="AB3582" t="str">
        <f t="shared" si="304"/>
        <v/>
      </c>
      <c r="AC3582">
        <f t="shared" si="301"/>
        <v>1000</v>
      </c>
      <c r="AD3582" s="6"/>
    </row>
    <row r="3583" spans="1:30" x14ac:dyDescent="0.2">
      <c r="A3583" t="str">
        <f t="shared" si="302"/>
        <v/>
      </c>
      <c r="X3583" t="str" cm="1">
        <f t="array" ref="X3583">IF(S3583="","",IF($I3583&lt;&gt;"",$I3583,INDEX($I$2:$I3582,ROW()-COUNTIFS($T$2:$T3582,"="&amp;$T3583,$S$2:$S3582,"&lt;&gt;"&amp;$S3583)-1)))</f>
        <v/>
      </c>
      <c r="Y3583" t="b">
        <f>IF(X3583&lt;&gt;"",VLOOKUP(X3583,game_rosters!$C$43:$E$64,3,FALSE))</f>
        <v>0</v>
      </c>
      <c r="Z3583" t="e" cm="1" vm="1">
        <f t="array" aca="1" ref="Z3583" ca="1">IFERROR(IF(_xlfn._xlws.FILTER(game_rosters!$J:$J,(game_rosters!$G:$G=events!$AN3583)*(game_rosters!$J:$J=events!$X3583))&gt;0,1,""),"")</f>
        <v>#VALUE!</v>
      </c>
      <c r="AA3583">
        <f t="shared" si="303"/>
        <v>1000</v>
      </c>
      <c r="AB3583" t="str">
        <f t="shared" si="304"/>
        <v/>
      </c>
      <c r="AC3583">
        <f t="shared" si="301"/>
        <v>1000</v>
      </c>
      <c r="AD3583" s="6"/>
    </row>
    <row r="3584" spans="1:30" x14ac:dyDescent="0.2">
      <c r="A3584" t="str">
        <f t="shared" si="302"/>
        <v/>
      </c>
      <c r="X3584" t="str" cm="1">
        <f t="array" ref="X3584">IF(S3584="","",IF($I3584&lt;&gt;"",$I3584,INDEX($I$2:$I3583,ROW()-COUNTIFS($T$2:$T3583,"="&amp;$T3584,$S$2:$S3583,"&lt;&gt;"&amp;$S3584)-1)))</f>
        <v/>
      </c>
      <c r="Y3584" t="b">
        <f>IF(X3584&lt;&gt;"",VLOOKUP(X3584,game_rosters!$C$43:$E$64,3,FALSE))</f>
        <v>0</v>
      </c>
      <c r="Z3584" t="e" cm="1" vm="1">
        <f t="array" aca="1" ref="Z3584" ca="1">IFERROR(IF(_xlfn._xlws.FILTER(game_rosters!$J:$J,(game_rosters!$G:$G=events!$AN3584)*(game_rosters!$J:$J=events!$X3584))&gt;0,1,""),"")</f>
        <v>#VALUE!</v>
      </c>
      <c r="AA3584">
        <f t="shared" si="303"/>
        <v>1000</v>
      </c>
      <c r="AB3584" t="str">
        <f t="shared" si="304"/>
        <v/>
      </c>
      <c r="AC3584">
        <f t="shared" si="301"/>
        <v>1000</v>
      </c>
      <c r="AD3584" s="6"/>
    </row>
    <row r="3585" spans="1:30" x14ac:dyDescent="0.2">
      <c r="A3585" t="str">
        <f t="shared" si="302"/>
        <v/>
      </c>
      <c r="X3585" t="str" cm="1">
        <f t="array" ref="X3585">IF(S3585="","",IF($I3585&lt;&gt;"",$I3585,INDEX($I$2:$I3584,ROW()-COUNTIFS($T$2:$T3584,"="&amp;$T3585,$S$2:$S3584,"&lt;&gt;"&amp;$S3585)-1)))</f>
        <v/>
      </c>
      <c r="Y3585" t="b">
        <f>IF(X3585&lt;&gt;"",VLOOKUP(X3585,game_rosters!$C$43:$E$64,3,FALSE))</f>
        <v>0</v>
      </c>
      <c r="Z3585" t="e" cm="1" vm="1">
        <f t="array" aca="1" ref="Z3585" ca="1">IFERROR(IF(_xlfn._xlws.FILTER(game_rosters!$J:$J,(game_rosters!$G:$G=events!$AN3585)*(game_rosters!$J:$J=events!$X3585))&gt;0,1,""),"")</f>
        <v>#VALUE!</v>
      </c>
      <c r="AA3585">
        <f t="shared" si="303"/>
        <v>1000</v>
      </c>
      <c r="AB3585" t="str">
        <f t="shared" si="304"/>
        <v/>
      </c>
      <c r="AC3585">
        <f t="shared" si="301"/>
        <v>1000</v>
      </c>
      <c r="AD3585" s="6"/>
    </row>
    <row r="3586" spans="1:30" x14ac:dyDescent="0.2">
      <c r="A3586" t="str">
        <f t="shared" si="302"/>
        <v/>
      </c>
      <c r="X3586" t="str" cm="1">
        <f t="array" ref="X3586">IF(S3586="","",IF($I3586&lt;&gt;"",$I3586,INDEX($I$2:$I3585,ROW()-COUNTIFS($T$2:$T3585,"="&amp;$T3586,$S$2:$S3585,"&lt;&gt;"&amp;$S3586)-1)))</f>
        <v/>
      </c>
      <c r="Y3586" t="b">
        <f>IF(X3586&lt;&gt;"",VLOOKUP(X3586,game_rosters!$C$43:$E$64,3,FALSE))</f>
        <v>0</v>
      </c>
      <c r="Z3586" t="e" cm="1" vm="1">
        <f t="array" aca="1" ref="Z3586" ca="1">IFERROR(IF(_xlfn._xlws.FILTER(game_rosters!$J:$J,(game_rosters!$G:$G=events!$AN3586)*(game_rosters!$J:$J=events!$X3586))&gt;0,1,""),"")</f>
        <v>#VALUE!</v>
      </c>
      <c r="AA3586">
        <f t="shared" si="303"/>
        <v>1000</v>
      </c>
      <c r="AB3586" t="str">
        <f t="shared" si="304"/>
        <v/>
      </c>
      <c r="AC3586">
        <f t="shared" ref="AC3586:AC3649" si="305">IF(AB3586&lt;&gt;"",AB3586,S3586+1000)</f>
        <v>1000</v>
      </c>
      <c r="AD3586" s="6"/>
    </row>
    <row r="3587" spans="1:30" x14ac:dyDescent="0.2">
      <c r="A3587" t="str">
        <f t="shared" si="302"/>
        <v/>
      </c>
      <c r="X3587" t="str" cm="1">
        <f t="array" ref="X3587">IF(S3587="","",IF($I3587&lt;&gt;"",$I3587,INDEX($I$2:$I3586,ROW()-COUNTIFS($T$2:$T3586,"="&amp;$T3587,$S$2:$S3586,"&lt;&gt;"&amp;$S3587)-1)))</f>
        <v/>
      </c>
      <c r="Y3587" t="b">
        <f>IF(X3587&lt;&gt;"",VLOOKUP(X3587,game_rosters!$C$43:$E$64,3,FALSE))</f>
        <v>0</v>
      </c>
      <c r="Z3587" t="e" cm="1" vm="1">
        <f t="array" aca="1" ref="Z3587" ca="1">IFERROR(IF(_xlfn._xlws.FILTER(game_rosters!$J:$J,(game_rosters!$G:$G=events!$AN3587)*(game_rosters!$J:$J=events!$X3587))&gt;0,1,""),"")</f>
        <v>#VALUE!</v>
      </c>
      <c r="AA3587">
        <f t="shared" si="303"/>
        <v>1000</v>
      </c>
      <c r="AB3587" t="str">
        <f t="shared" si="304"/>
        <v/>
      </c>
      <c r="AC3587">
        <f t="shared" si="305"/>
        <v>1000</v>
      </c>
      <c r="AD3587" s="6"/>
    </row>
    <row r="3588" spans="1:30" x14ac:dyDescent="0.2">
      <c r="A3588" t="str">
        <f t="shared" si="302"/>
        <v/>
      </c>
      <c r="X3588" t="str" cm="1">
        <f t="array" ref="X3588">IF(S3588="","",IF($I3588&lt;&gt;"",$I3588,INDEX($I$2:$I3587,ROW()-COUNTIFS($T$2:$T3587,"="&amp;$T3588,$S$2:$S3587,"&lt;&gt;"&amp;$S3588)-1)))</f>
        <v/>
      </c>
      <c r="Y3588" t="b">
        <f>IF(X3588&lt;&gt;"",VLOOKUP(X3588,game_rosters!$C$43:$E$64,3,FALSE))</f>
        <v>0</v>
      </c>
      <c r="Z3588" t="e" cm="1" vm="1">
        <f t="array" aca="1" ref="Z3588" ca="1">IFERROR(IF(_xlfn._xlws.FILTER(game_rosters!$J:$J,(game_rosters!$G:$G=events!$AN3588)*(game_rosters!$J:$J=events!$X3588))&gt;0,1,""),"")</f>
        <v>#VALUE!</v>
      </c>
      <c r="AA3588">
        <f t="shared" si="303"/>
        <v>1000</v>
      </c>
      <c r="AB3588" t="str">
        <f t="shared" si="304"/>
        <v/>
      </c>
      <c r="AC3588">
        <f t="shared" si="305"/>
        <v>1000</v>
      </c>
      <c r="AD3588" s="6"/>
    </row>
    <row r="3589" spans="1:30" x14ac:dyDescent="0.2">
      <c r="A3589" t="str">
        <f t="shared" ref="A3589:A3652" si="306">IF(K3589&lt;&gt;"",1,IF(D3589="x","x",""))</f>
        <v/>
      </c>
      <c r="X3589" t="str" cm="1">
        <f t="array" ref="X3589">IF(S3589="","",IF($I3589&lt;&gt;"",$I3589,INDEX($I$2:$I3588,ROW()-COUNTIFS($T$2:$T3588,"="&amp;$T3589,$S$2:$S3588,"&lt;&gt;"&amp;$S3589)-1)))</f>
        <v/>
      </c>
      <c r="Y3589" t="b">
        <f>IF(X3589&lt;&gt;"",VLOOKUP(X3589,game_rosters!$C$43:$E$64,3,FALSE))</f>
        <v>0</v>
      </c>
      <c r="Z3589" t="e" cm="1" vm="1">
        <f t="array" aca="1" ref="Z3589" ca="1">IFERROR(IF(_xlfn._xlws.FILTER(game_rosters!$J:$J,(game_rosters!$G:$G=events!$AN3589)*(game_rosters!$J:$J=events!$X3589))&gt;0,1,""),"")</f>
        <v>#VALUE!</v>
      </c>
      <c r="AA3589">
        <f t="shared" si="303"/>
        <v>1000</v>
      </c>
      <c r="AB3589" t="str">
        <f t="shared" si="304"/>
        <v/>
      </c>
      <c r="AC3589">
        <f t="shared" si="305"/>
        <v>1000</v>
      </c>
      <c r="AD3589" s="6"/>
    </row>
    <row r="3590" spans="1:30" x14ac:dyDescent="0.2">
      <c r="A3590" t="str">
        <f t="shared" si="306"/>
        <v/>
      </c>
      <c r="X3590" t="str" cm="1">
        <f t="array" ref="X3590">IF(S3590="","",IF($I3590&lt;&gt;"",$I3590,INDEX($I$2:$I3589,ROW()-COUNTIFS($T$2:$T3589,"="&amp;$T3590,$S$2:$S3589,"&lt;&gt;"&amp;$S3590)-1)))</f>
        <v/>
      </c>
      <c r="Y3590" t="b">
        <f>IF(X3590&lt;&gt;"",VLOOKUP(X3590,game_rosters!$C$43:$E$64,3,FALSE))</f>
        <v>0</v>
      </c>
      <c r="Z3590" t="e" cm="1" vm="1">
        <f t="array" aca="1" ref="Z3590" ca="1">IFERROR(IF(_xlfn._xlws.FILTER(game_rosters!$J:$J,(game_rosters!$G:$G=events!$AN3590)*(game_rosters!$J:$J=events!$X3590))&gt;0,1,""),"")</f>
        <v>#VALUE!</v>
      </c>
      <c r="AA3590">
        <f t="shared" si="303"/>
        <v>1000</v>
      </c>
      <c r="AB3590" t="str">
        <f t="shared" si="304"/>
        <v/>
      </c>
      <c r="AC3590">
        <f t="shared" si="305"/>
        <v>1000</v>
      </c>
      <c r="AD3590" s="6"/>
    </row>
    <row r="3591" spans="1:30" x14ac:dyDescent="0.2">
      <c r="A3591" t="str">
        <f t="shared" si="306"/>
        <v/>
      </c>
      <c r="X3591" t="str" cm="1">
        <f t="array" ref="X3591">IF(S3591="","",IF($I3591&lt;&gt;"",$I3591,INDEX($I$2:$I3590,ROW()-COUNTIFS($T$2:$T3590,"="&amp;$T3591,$S$2:$S3590,"&lt;&gt;"&amp;$S3591)-1)))</f>
        <v/>
      </c>
      <c r="Y3591" t="b">
        <f>IF(X3591&lt;&gt;"",VLOOKUP(X3591,game_rosters!$C$43:$E$64,3,FALSE))</f>
        <v>0</v>
      </c>
      <c r="Z3591" t="e" cm="1" vm="1">
        <f t="array" aca="1" ref="Z3591" ca="1">IFERROR(IF(_xlfn._xlws.FILTER(game_rosters!$J:$J,(game_rosters!$G:$G=events!$AN3591)*(game_rosters!$J:$J=events!$X3591))&gt;0,1,""),"")</f>
        <v>#VALUE!</v>
      </c>
      <c r="AA3591">
        <f t="shared" si="303"/>
        <v>1000</v>
      </c>
      <c r="AB3591" t="str">
        <f t="shared" si="304"/>
        <v/>
      </c>
      <c r="AC3591">
        <f t="shared" si="305"/>
        <v>1000</v>
      </c>
      <c r="AD3591" s="6"/>
    </row>
    <row r="3592" spans="1:30" x14ac:dyDescent="0.2">
      <c r="A3592" t="str">
        <f t="shared" si="306"/>
        <v/>
      </c>
      <c r="X3592" t="str" cm="1">
        <f t="array" ref="X3592">IF(S3592="","",IF($I3592&lt;&gt;"",$I3592,INDEX($I$2:$I3591,ROW()-COUNTIFS($T$2:$T3591,"="&amp;$T3592,$S$2:$S3591,"&lt;&gt;"&amp;$S3592)-1)))</f>
        <v/>
      </c>
      <c r="Y3592" t="b">
        <f>IF(X3592&lt;&gt;"",VLOOKUP(X3592,game_rosters!$C$43:$E$64,3,FALSE))</f>
        <v>0</v>
      </c>
      <c r="Z3592" t="e" cm="1" vm="1">
        <f t="array" aca="1" ref="Z3592" ca="1">IFERROR(IF(_xlfn._xlws.FILTER(game_rosters!$J:$J,(game_rosters!$G:$G=events!$AN3592)*(game_rosters!$J:$J=events!$X3592))&gt;0,1,""),"")</f>
        <v>#VALUE!</v>
      </c>
      <c r="AA3592">
        <f t="shared" si="303"/>
        <v>1000</v>
      </c>
      <c r="AB3592" t="str">
        <f t="shared" si="304"/>
        <v/>
      </c>
      <c r="AC3592">
        <f t="shared" si="305"/>
        <v>1000</v>
      </c>
      <c r="AD3592" s="6"/>
    </row>
    <row r="3593" spans="1:30" x14ac:dyDescent="0.2">
      <c r="A3593" t="str">
        <f t="shared" si="306"/>
        <v/>
      </c>
      <c r="X3593" t="str" cm="1">
        <f t="array" ref="X3593">IF(S3593="","",IF($I3593&lt;&gt;"",$I3593,INDEX($I$2:$I3592,ROW()-COUNTIFS($T$2:$T3592,"="&amp;$T3593,$S$2:$S3592,"&lt;&gt;"&amp;$S3593)-1)))</f>
        <v/>
      </c>
      <c r="Y3593" t="b">
        <f>IF(X3593&lt;&gt;"",VLOOKUP(X3593,game_rosters!$C$43:$E$64,3,FALSE))</f>
        <v>0</v>
      </c>
      <c r="Z3593" t="e" cm="1" vm="1">
        <f t="array" aca="1" ref="Z3593" ca="1">IFERROR(IF(_xlfn._xlws.FILTER(game_rosters!$J:$J,(game_rosters!$G:$G=events!$AN3593)*(game_rosters!$J:$J=events!$X3593))&gt;0,1,""),"")</f>
        <v>#VALUE!</v>
      </c>
      <c r="AA3593">
        <f t="shared" si="303"/>
        <v>1000</v>
      </c>
      <c r="AB3593" t="str">
        <f t="shared" si="304"/>
        <v/>
      </c>
      <c r="AC3593">
        <f t="shared" si="305"/>
        <v>1000</v>
      </c>
      <c r="AD3593" s="6"/>
    </row>
    <row r="3594" spans="1:30" x14ac:dyDescent="0.2">
      <c r="A3594" t="str">
        <f t="shared" si="306"/>
        <v/>
      </c>
      <c r="X3594" t="str" cm="1">
        <f t="array" ref="X3594">IF(S3594="","",IF($I3594&lt;&gt;"",$I3594,INDEX($I$2:$I3593,ROW()-COUNTIFS($T$2:$T3593,"="&amp;$T3594,$S$2:$S3593,"&lt;&gt;"&amp;$S3594)-1)))</f>
        <v/>
      </c>
      <c r="Y3594" t="b">
        <f>IF(X3594&lt;&gt;"",VLOOKUP(X3594,game_rosters!$C$43:$E$64,3,FALSE))</f>
        <v>0</v>
      </c>
      <c r="Z3594" t="e" cm="1" vm="1">
        <f t="array" aca="1" ref="Z3594" ca="1">IFERROR(IF(_xlfn._xlws.FILTER(game_rosters!$J:$J,(game_rosters!$G:$G=events!$AN3594)*(game_rosters!$J:$J=events!$X3594))&gt;0,1,""),"")</f>
        <v>#VALUE!</v>
      </c>
      <c r="AA3594">
        <f t="shared" si="303"/>
        <v>1000</v>
      </c>
      <c r="AB3594" t="str">
        <f t="shared" si="304"/>
        <v/>
      </c>
      <c r="AC3594">
        <f t="shared" si="305"/>
        <v>1000</v>
      </c>
      <c r="AD3594" s="6"/>
    </row>
    <row r="3595" spans="1:30" x14ac:dyDescent="0.2">
      <c r="A3595" t="str">
        <f t="shared" si="306"/>
        <v/>
      </c>
      <c r="X3595" t="str" cm="1">
        <f t="array" ref="X3595">IF(S3595="","",IF($I3595&lt;&gt;"",$I3595,INDEX($I$2:$I3594,ROW()-COUNTIFS($T$2:$T3594,"="&amp;$T3595,$S$2:$S3594,"&lt;&gt;"&amp;$S3595)-1)))</f>
        <v/>
      </c>
      <c r="Y3595" t="b">
        <f>IF(X3595&lt;&gt;"",VLOOKUP(X3595,game_rosters!$C$43:$E$64,3,FALSE))</f>
        <v>0</v>
      </c>
      <c r="Z3595" t="e" cm="1" vm="1">
        <f t="array" aca="1" ref="Z3595" ca="1">IFERROR(IF(_xlfn._xlws.FILTER(game_rosters!$J:$J,(game_rosters!$G:$G=events!$AN3595)*(game_rosters!$J:$J=events!$X3595))&gt;0,1,""),"")</f>
        <v>#VALUE!</v>
      </c>
      <c r="AA3595">
        <f t="shared" si="303"/>
        <v>1000</v>
      </c>
      <c r="AB3595" t="str">
        <f t="shared" si="304"/>
        <v/>
      </c>
      <c r="AC3595">
        <f t="shared" si="305"/>
        <v>1000</v>
      </c>
      <c r="AD3595" s="6"/>
    </row>
    <row r="3596" spans="1:30" x14ac:dyDescent="0.2">
      <c r="A3596" t="str">
        <f t="shared" si="306"/>
        <v/>
      </c>
      <c r="X3596" t="str" cm="1">
        <f t="array" ref="X3596">IF(S3596="","",IF($I3596&lt;&gt;"",$I3596,INDEX($I$2:$I3595,ROW()-COUNTIFS($T$2:$T3595,"="&amp;$T3596,$S$2:$S3595,"&lt;&gt;"&amp;$S3596)-1)))</f>
        <v/>
      </c>
      <c r="Y3596" t="b">
        <f>IF(X3596&lt;&gt;"",VLOOKUP(X3596,game_rosters!$C$43:$E$64,3,FALSE))</f>
        <v>0</v>
      </c>
      <c r="Z3596" t="e" cm="1" vm="1">
        <f t="array" aca="1" ref="Z3596" ca="1">IFERROR(IF(_xlfn._xlws.FILTER(game_rosters!$J:$J,(game_rosters!$G:$G=events!$AN3596)*(game_rosters!$J:$J=events!$X3596))&gt;0,1,""),"")</f>
        <v>#VALUE!</v>
      </c>
      <c r="AA3596">
        <f t="shared" si="303"/>
        <v>1000</v>
      </c>
      <c r="AB3596" t="str">
        <f t="shared" si="304"/>
        <v/>
      </c>
      <c r="AC3596">
        <f t="shared" si="305"/>
        <v>1000</v>
      </c>
      <c r="AD3596" s="6"/>
    </row>
    <row r="3597" spans="1:30" x14ac:dyDescent="0.2">
      <c r="A3597" t="str">
        <f t="shared" si="306"/>
        <v/>
      </c>
      <c r="X3597" t="str" cm="1">
        <f t="array" ref="X3597">IF(S3597="","",IF($I3597&lt;&gt;"",$I3597,INDEX($I$2:$I3596,ROW()-COUNTIFS($T$2:$T3596,"="&amp;$T3597,$S$2:$S3596,"&lt;&gt;"&amp;$S3597)-1)))</f>
        <v/>
      </c>
      <c r="Y3597" t="b">
        <f>IF(X3597&lt;&gt;"",VLOOKUP(X3597,game_rosters!$C$43:$E$64,3,FALSE))</f>
        <v>0</v>
      </c>
      <c r="Z3597" t="e" cm="1" vm="1">
        <f t="array" aca="1" ref="Z3597" ca="1">IFERROR(IF(_xlfn._xlws.FILTER(game_rosters!$J:$J,(game_rosters!$G:$G=events!$AN3597)*(game_rosters!$J:$J=events!$X3597))&gt;0,1,""),"")</f>
        <v>#VALUE!</v>
      </c>
      <c r="AA3597">
        <f t="shared" si="303"/>
        <v>1000</v>
      </c>
      <c r="AB3597" t="str">
        <f t="shared" si="304"/>
        <v/>
      </c>
      <c r="AC3597">
        <f t="shared" si="305"/>
        <v>1000</v>
      </c>
      <c r="AD3597" s="6"/>
    </row>
    <row r="3598" spans="1:30" x14ac:dyDescent="0.2">
      <c r="A3598" t="str">
        <f t="shared" si="306"/>
        <v/>
      </c>
      <c r="X3598" t="str" cm="1">
        <f t="array" ref="X3598">IF(S3598="","",IF($I3598&lt;&gt;"",$I3598,INDEX($I$2:$I3597,ROW()-COUNTIFS($T$2:$T3597,"="&amp;$T3598,$S$2:$S3597,"&lt;&gt;"&amp;$S3598)-1)))</f>
        <v/>
      </c>
      <c r="Y3598" t="b">
        <f>IF(X3598&lt;&gt;"",VLOOKUP(X3598,game_rosters!$C$43:$E$64,3,FALSE))</f>
        <v>0</v>
      </c>
      <c r="Z3598" t="e" cm="1" vm="1">
        <f t="array" aca="1" ref="Z3598" ca="1">IFERROR(IF(_xlfn._xlws.FILTER(game_rosters!$J:$J,(game_rosters!$G:$G=events!$AN3598)*(game_rosters!$J:$J=events!$X3598))&gt;0,1,""),"")</f>
        <v>#VALUE!</v>
      </c>
      <c r="AA3598">
        <f t="shared" si="303"/>
        <v>1000</v>
      </c>
      <c r="AB3598" t="str">
        <f t="shared" si="304"/>
        <v/>
      </c>
      <c r="AC3598">
        <f t="shared" si="305"/>
        <v>1000</v>
      </c>
      <c r="AD3598" s="6"/>
    </row>
    <row r="3599" spans="1:30" x14ac:dyDescent="0.2">
      <c r="A3599" t="str">
        <f t="shared" si="306"/>
        <v/>
      </c>
      <c r="X3599" t="str" cm="1">
        <f t="array" ref="X3599">IF(S3599="","",IF($I3599&lt;&gt;"",$I3599,INDEX($I$2:$I3598,ROW()-COUNTIFS($T$2:$T3598,"="&amp;$T3599,$S$2:$S3598,"&lt;&gt;"&amp;$S3599)-1)))</f>
        <v/>
      </c>
      <c r="Y3599" t="b">
        <f>IF(X3599&lt;&gt;"",VLOOKUP(X3599,game_rosters!$C$43:$E$64,3,FALSE))</f>
        <v>0</v>
      </c>
      <c r="Z3599" t="e" cm="1" vm="1">
        <f t="array" aca="1" ref="Z3599" ca="1">IFERROR(IF(_xlfn._xlws.FILTER(game_rosters!$J:$J,(game_rosters!$G:$G=events!$AN3599)*(game_rosters!$J:$J=events!$X3599))&gt;0,1,""),"")</f>
        <v>#VALUE!</v>
      </c>
      <c r="AA3599">
        <f t="shared" si="303"/>
        <v>1000</v>
      </c>
      <c r="AB3599" t="str">
        <f t="shared" si="304"/>
        <v/>
      </c>
      <c r="AC3599">
        <f t="shared" si="305"/>
        <v>1000</v>
      </c>
      <c r="AD3599" s="6"/>
    </row>
    <row r="3600" spans="1:30" x14ac:dyDescent="0.2">
      <c r="A3600" t="str">
        <f t="shared" si="306"/>
        <v/>
      </c>
      <c r="X3600" t="str" cm="1">
        <f t="array" ref="X3600">IF(S3600="","",IF($I3600&lt;&gt;"",$I3600,INDEX($I$2:$I3599,ROW()-COUNTIFS($T$2:$T3599,"="&amp;$T3600,$S$2:$S3599,"&lt;&gt;"&amp;$S3600)-1)))</f>
        <v/>
      </c>
      <c r="Y3600" t="b">
        <f>IF(X3600&lt;&gt;"",VLOOKUP(X3600,game_rosters!$C$43:$E$64,3,FALSE))</f>
        <v>0</v>
      </c>
      <c r="Z3600" t="e" cm="1" vm="1">
        <f t="array" aca="1" ref="Z3600" ca="1">IFERROR(IF(_xlfn._xlws.FILTER(game_rosters!$J:$J,(game_rosters!$G:$G=events!$AN3600)*(game_rosters!$J:$J=events!$X3600))&gt;0,1,""),"")</f>
        <v>#VALUE!</v>
      </c>
      <c r="AA3600">
        <f t="shared" si="303"/>
        <v>1000</v>
      </c>
      <c r="AB3600" t="str">
        <f t="shared" si="304"/>
        <v/>
      </c>
      <c r="AC3600">
        <f t="shared" si="305"/>
        <v>1000</v>
      </c>
      <c r="AD3600" s="6"/>
    </row>
    <row r="3601" spans="1:30" x14ac:dyDescent="0.2">
      <c r="A3601" t="str">
        <f t="shared" si="306"/>
        <v/>
      </c>
      <c r="X3601" t="str" cm="1">
        <f t="array" ref="X3601">IF(S3601="","",IF($I3601&lt;&gt;"",$I3601,INDEX($I$2:$I3600,ROW()-COUNTIFS($T$2:$T3600,"="&amp;$T3601,$S$2:$S3600,"&lt;&gt;"&amp;$S3601)-1)))</f>
        <v/>
      </c>
      <c r="Y3601" t="b">
        <f>IF(X3601&lt;&gt;"",VLOOKUP(X3601,game_rosters!$C$43:$E$64,3,FALSE))</f>
        <v>0</v>
      </c>
      <c r="Z3601" t="e" cm="1" vm="1">
        <f t="array" aca="1" ref="Z3601" ca="1">IFERROR(IF(_xlfn._xlws.FILTER(game_rosters!$J:$J,(game_rosters!$G:$G=events!$AN3601)*(game_rosters!$J:$J=events!$X3601))&gt;0,1,""),"")</f>
        <v>#VALUE!</v>
      </c>
      <c r="AA3601">
        <f t="shared" si="303"/>
        <v>1000</v>
      </c>
      <c r="AB3601" t="str">
        <f t="shared" si="304"/>
        <v/>
      </c>
      <c r="AC3601">
        <f t="shared" si="305"/>
        <v>1000</v>
      </c>
      <c r="AD3601" s="6"/>
    </row>
    <row r="3602" spans="1:30" x14ac:dyDescent="0.2">
      <c r="A3602" t="str">
        <f t="shared" si="306"/>
        <v/>
      </c>
      <c r="X3602" t="str" cm="1">
        <f t="array" ref="X3602">IF(S3602="","",IF($I3602&lt;&gt;"",$I3602,INDEX($I$2:$I3601,ROW()-COUNTIFS($T$2:$T3601,"="&amp;$T3602,$S$2:$S3601,"&lt;&gt;"&amp;$S3602)-1)))</f>
        <v/>
      </c>
      <c r="Y3602" t="b">
        <f>IF(X3602&lt;&gt;"",VLOOKUP(X3602,game_rosters!$C$43:$E$64,3,FALSE))</f>
        <v>0</v>
      </c>
      <c r="Z3602" t="e" cm="1" vm="1">
        <f t="array" aca="1" ref="Z3602" ca="1">IFERROR(IF(_xlfn._xlws.FILTER(game_rosters!$J:$J,(game_rosters!$G:$G=events!$AN3602)*(game_rosters!$J:$J=events!$X3602))&gt;0,1,""),"")</f>
        <v>#VALUE!</v>
      </c>
      <c r="AA3602">
        <f t="shared" si="303"/>
        <v>1000</v>
      </c>
      <c r="AB3602" t="str">
        <f t="shared" si="304"/>
        <v/>
      </c>
      <c r="AC3602">
        <f t="shared" si="305"/>
        <v>1000</v>
      </c>
      <c r="AD3602" s="6"/>
    </row>
    <row r="3603" spans="1:30" x14ac:dyDescent="0.2">
      <c r="A3603" t="str">
        <f t="shared" si="306"/>
        <v/>
      </c>
      <c r="X3603" t="str" cm="1">
        <f t="array" ref="X3603">IF(S3603="","",IF($I3603&lt;&gt;"",$I3603,INDEX($I$2:$I3602,ROW()-COUNTIFS($T$2:$T3602,"="&amp;$T3603,$S$2:$S3602,"&lt;&gt;"&amp;$S3603)-1)))</f>
        <v/>
      </c>
      <c r="Y3603" t="b">
        <f>IF(X3603&lt;&gt;"",VLOOKUP(X3603,game_rosters!$C$43:$E$64,3,FALSE))</f>
        <v>0</v>
      </c>
      <c r="Z3603" t="e" cm="1" vm="1">
        <f t="array" aca="1" ref="Z3603" ca="1">IFERROR(IF(_xlfn._xlws.FILTER(game_rosters!$J:$J,(game_rosters!$G:$G=events!$AN3603)*(game_rosters!$J:$J=events!$X3603))&gt;0,1,""),"")</f>
        <v>#VALUE!</v>
      </c>
      <c r="AA3603">
        <f t="shared" si="303"/>
        <v>1000</v>
      </c>
      <c r="AB3603" t="str">
        <f t="shared" si="304"/>
        <v/>
      </c>
      <c r="AC3603">
        <f t="shared" si="305"/>
        <v>1000</v>
      </c>
      <c r="AD3603" s="6"/>
    </row>
    <row r="3604" spans="1:30" x14ac:dyDescent="0.2">
      <c r="A3604" t="str">
        <f t="shared" si="306"/>
        <v/>
      </c>
      <c r="X3604" t="str" cm="1">
        <f t="array" ref="X3604">IF(S3604="","",IF($I3604&lt;&gt;"",$I3604,INDEX($I$2:$I3603,ROW()-COUNTIFS($T$2:$T3603,"="&amp;$T3604,$S$2:$S3603,"&lt;&gt;"&amp;$S3604)-1)))</f>
        <v/>
      </c>
      <c r="Y3604" t="b">
        <f>IF(X3604&lt;&gt;"",VLOOKUP(X3604,game_rosters!$C$43:$E$64,3,FALSE))</f>
        <v>0</v>
      </c>
      <c r="Z3604" t="e" cm="1" vm="1">
        <f t="array" aca="1" ref="Z3604" ca="1">IFERROR(IF(_xlfn._xlws.FILTER(game_rosters!$J:$J,(game_rosters!$G:$G=events!$AN3604)*(game_rosters!$J:$J=events!$X3604))&gt;0,1,""),"")</f>
        <v>#VALUE!</v>
      </c>
      <c r="AA3604">
        <f t="shared" si="303"/>
        <v>1000</v>
      </c>
      <c r="AB3604" t="str">
        <f t="shared" si="304"/>
        <v/>
      </c>
      <c r="AC3604">
        <f t="shared" si="305"/>
        <v>1000</v>
      </c>
      <c r="AD3604" s="6"/>
    </row>
    <row r="3605" spans="1:30" x14ac:dyDescent="0.2">
      <c r="A3605" t="str">
        <f t="shared" si="306"/>
        <v/>
      </c>
      <c r="X3605" t="str" cm="1">
        <f t="array" ref="X3605">IF(S3605="","",IF($I3605&lt;&gt;"",$I3605,INDEX($I$2:$I3604,ROW()-COUNTIFS($T$2:$T3604,"="&amp;$T3605,$S$2:$S3604,"&lt;&gt;"&amp;$S3605)-1)))</f>
        <v/>
      </c>
      <c r="Y3605" t="b">
        <f>IF(X3605&lt;&gt;"",VLOOKUP(X3605,game_rosters!$C$43:$E$64,3,FALSE))</f>
        <v>0</v>
      </c>
      <c r="Z3605" t="e" cm="1" vm="1">
        <f t="array" aca="1" ref="Z3605" ca="1">IFERROR(IF(_xlfn._xlws.FILTER(game_rosters!$J:$J,(game_rosters!$G:$G=events!$AN3605)*(game_rosters!$J:$J=events!$X3605))&gt;0,1,""),"")</f>
        <v>#VALUE!</v>
      </c>
      <c r="AA3605">
        <f t="shared" si="303"/>
        <v>1000</v>
      </c>
      <c r="AB3605" t="str">
        <f t="shared" si="304"/>
        <v/>
      </c>
      <c r="AC3605">
        <f t="shared" si="305"/>
        <v>1000</v>
      </c>
      <c r="AD3605" s="6"/>
    </row>
    <row r="3606" spans="1:30" x14ac:dyDescent="0.2">
      <c r="A3606" t="str">
        <f t="shared" si="306"/>
        <v/>
      </c>
      <c r="X3606" t="str" cm="1">
        <f t="array" ref="X3606">IF(S3606="","",IF($I3606&lt;&gt;"",$I3606,INDEX($I$2:$I3605,ROW()-COUNTIFS($T$2:$T3605,"="&amp;$T3606,$S$2:$S3605,"&lt;&gt;"&amp;$S3606)-1)))</f>
        <v/>
      </c>
      <c r="Y3606" t="b">
        <f>IF(X3606&lt;&gt;"",VLOOKUP(X3606,game_rosters!$C$43:$E$64,3,FALSE))</f>
        <v>0</v>
      </c>
      <c r="Z3606" t="e" cm="1" vm="1">
        <f t="array" aca="1" ref="Z3606" ca="1">IFERROR(IF(_xlfn._xlws.FILTER(game_rosters!$J:$J,(game_rosters!$G:$G=events!$AN3606)*(game_rosters!$J:$J=events!$X3606))&gt;0,1,""),"")</f>
        <v>#VALUE!</v>
      </c>
      <c r="AA3606">
        <f t="shared" si="303"/>
        <v>1000</v>
      </c>
      <c r="AB3606" t="str">
        <f t="shared" si="304"/>
        <v/>
      </c>
      <c r="AC3606">
        <f t="shared" si="305"/>
        <v>1000</v>
      </c>
      <c r="AD3606" s="6"/>
    </row>
    <row r="3607" spans="1:30" x14ac:dyDescent="0.2">
      <c r="A3607" t="str">
        <f t="shared" si="306"/>
        <v/>
      </c>
      <c r="X3607" t="str" cm="1">
        <f t="array" ref="X3607">IF(S3607="","",IF($I3607&lt;&gt;"",$I3607,INDEX($I$2:$I3606,ROW()-COUNTIFS($T$2:$T3606,"="&amp;$T3607,$S$2:$S3606,"&lt;&gt;"&amp;$S3607)-1)))</f>
        <v/>
      </c>
      <c r="Y3607" t="b">
        <f>IF(X3607&lt;&gt;"",VLOOKUP(X3607,game_rosters!$C$43:$E$64,3,FALSE))</f>
        <v>0</v>
      </c>
      <c r="Z3607" t="e" cm="1" vm="1">
        <f t="array" aca="1" ref="Z3607" ca="1">IFERROR(IF(_xlfn._xlws.FILTER(game_rosters!$J:$J,(game_rosters!$G:$G=events!$AN3607)*(game_rosters!$J:$J=events!$X3607))&gt;0,1,""),"")</f>
        <v>#VALUE!</v>
      </c>
      <c r="AA3607">
        <f t="shared" si="303"/>
        <v>1000</v>
      </c>
      <c r="AB3607" t="str">
        <f t="shared" si="304"/>
        <v/>
      </c>
      <c r="AC3607">
        <f t="shared" si="305"/>
        <v>1000</v>
      </c>
      <c r="AD3607" s="6"/>
    </row>
    <row r="3608" spans="1:30" x14ac:dyDescent="0.2">
      <c r="A3608" t="str">
        <f t="shared" si="306"/>
        <v/>
      </c>
      <c r="X3608" t="str" cm="1">
        <f t="array" ref="X3608">IF(S3608="","",IF($I3608&lt;&gt;"",$I3608,INDEX($I$2:$I3607,ROW()-COUNTIFS($T$2:$T3607,"="&amp;$T3608,$S$2:$S3607,"&lt;&gt;"&amp;$S3608)-1)))</f>
        <v/>
      </c>
      <c r="Y3608" t="b">
        <f>IF(X3608&lt;&gt;"",VLOOKUP(X3608,game_rosters!$C$43:$E$64,3,FALSE))</f>
        <v>0</v>
      </c>
      <c r="Z3608" t="e" cm="1" vm="1">
        <f t="array" aca="1" ref="Z3608" ca="1">IFERROR(IF(_xlfn._xlws.FILTER(game_rosters!$J:$J,(game_rosters!$G:$G=events!$AN3608)*(game_rosters!$J:$J=events!$X3608))&gt;0,1,""),"")</f>
        <v>#VALUE!</v>
      </c>
      <c r="AA3608">
        <f t="shared" si="303"/>
        <v>1000</v>
      </c>
      <c r="AB3608" t="str">
        <f t="shared" si="304"/>
        <v/>
      </c>
      <c r="AC3608">
        <f t="shared" si="305"/>
        <v>1000</v>
      </c>
      <c r="AD3608" s="6"/>
    </row>
    <row r="3609" spans="1:30" x14ac:dyDescent="0.2">
      <c r="A3609" t="str">
        <f t="shared" si="306"/>
        <v/>
      </c>
      <c r="X3609" t="str" cm="1">
        <f t="array" ref="X3609">IF(S3609="","",IF($I3609&lt;&gt;"",$I3609,INDEX($I$2:$I3608,ROW()-COUNTIFS($T$2:$T3608,"="&amp;$T3609,$S$2:$S3608,"&lt;&gt;"&amp;$S3609)-1)))</f>
        <v/>
      </c>
      <c r="Y3609" t="b">
        <f>IF(X3609&lt;&gt;"",VLOOKUP(X3609,game_rosters!$C$43:$E$64,3,FALSE))</f>
        <v>0</v>
      </c>
      <c r="Z3609" t="e" cm="1" vm="1">
        <f t="array" aca="1" ref="Z3609" ca="1">IFERROR(IF(_xlfn._xlws.FILTER(game_rosters!$J:$J,(game_rosters!$G:$G=events!$AN3609)*(game_rosters!$J:$J=events!$X3609))&gt;0,1,""),"")</f>
        <v>#VALUE!</v>
      </c>
      <c r="AA3609">
        <f t="shared" si="303"/>
        <v>1000</v>
      </c>
      <c r="AB3609" t="str">
        <f t="shared" si="304"/>
        <v/>
      </c>
      <c r="AC3609">
        <f t="shared" si="305"/>
        <v>1000</v>
      </c>
      <c r="AD3609" s="6"/>
    </row>
    <row r="3610" spans="1:30" x14ac:dyDescent="0.2">
      <c r="A3610" t="str">
        <f t="shared" si="306"/>
        <v/>
      </c>
      <c r="X3610" t="str" cm="1">
        <f t="array" ref="X3610">IF(S3610="","",IF($I3610&lt;&gt;"",$I3610,INDEX($I$2:$I3609,ROW()-COUNTIFS($T$2:$T3609,"="&amp;$T3610,$S$2:$S3609,"&lt;&gt;"&amp;$S3610)-1)))</f>
        <v/>
      </c>
      <c r="Y3610" t="b">
        <f>IF(X3610&lt;&gt;"",VLOOKUP(X3610,game_rosters!$C$43:$E$64,3,FALSE))</f>
        <v>0</v>
      </c>
      <c r="Z3610" t="e" cm="1" vm="1">
        <f t="array" aca="1" ref="Z3610" ca="1">IFERROR(IF(_xlfn._xlws.FILTER(game_rosters!$J:$J,(game_rosters!$G:$G=events!$AN3610)*(game_rosters!$J:$J=events!$X3610))&gt;0,1,""),"")</f>
        <v>#VALUE!</v>
      </c>
      <c r="AA3610">
        <f t="shared" si="303"/>
        <v>1000</v>
      </c>
      <c r="AB3610" t="str">
        <f t="shared" si="304"/>
        <v/>
      </c>
      <c r="AC3610">
        <f t="shared" si="305"/>
        <v>1000</v>
      </c>
      <c r="AD3610" s="6"/>
    </row>
    <row r="3611" spans="1:30" x14ac:dyDescent="0.2">
      <c r="A3611" t="str">
        <f t="shared" si="306"/>
        <v/>
      </c>
      <c r="X3611" t="str" cm="1">
        <f t="array" ref="X3611">IF(S3611="","",IF($I3611&lt;&gt;"",$I3611,INDEX($I$2:$I3610,ROW()-COUNTIFS($T$2:$T3610,"="&amp;$T3611,$S$2:$S3610,"&lt;&gt;"&amp;$S3611)-1)))</f>
        <v/>
      </c>
      <c r="Y3611" t="b">
        <f>IF(X3611&lt;&gt;"",VLOOKUP(X3611,game_rosters!$C$43:$E$64,3,FALSE))</f>
        <v>0</v>
      </c>
      <c r="Z3611" t="e" cm="1" vm="1">
        <f t="array" aca="1" ref="Z3611" ca="1">IFERROR(IF(_xlfn._xlws.FILTER(game_rosters!$J:$J,(game_rosters!$G:$G=events!$AN3611)*(game_rosters!$J:$J=events!$X3611))&gt;0,1,""),"")</f>
        <v>#VALUE!</v>
      </c>
      <c r="AA3611">
        <f t="shared" si="303"/>
        <v>1000</v>
      </c>
      <c r="AB3611" t="str">
        <f t="shared" si="304"/>
        <v/>
      </c>
      <c r="AC3611">
        <f t="shared" si="305"/>
        <v>1000</v>
      </c>
      <c r="AD3611" s="6"/>
    </row>
    <row r="3612" spans="1:30" x14ac:dyDescent="0.2">
      <c r="A3612" t="str">
        <f t="shared" si="306"/>
        <v/>
      </c>
      <c r="X3612" t="str" cm="1">
        <f t="array" ref="X3612">IF(S3612="","",IF($I3612&lt;&gt;"",$I3612,INDEX($I$2:$I3611,ROW()-COUNTIFS($T$2:$T3611,"="&amp;$T3612,$S$2:$S3611,"&lt;&gt;"&amp;$S3612)-1)))</f>
        <v/>
      </c>
      <c r="Y3612" t="b">
        <f>IF(X3612&lt;&gt;"",VLOOKUP(X3612,game_rosters!$C$43:$E$64,3,FALSE))</f>
        <v>0</v>
      </c>
      <c r="Z3612" t="e" cm="1" vm="1">
        <f t="array" aca="1" ref="Z3612" ca="1">IFERROR(IF(_xlfn._xlws.FILTER(game_rosters!$J:$J,(game_rosters!$G:$G=events!$AN3612)*(game_rosters!$J:$J=events!$X3612))&gt;0,1,""),"")</f>
        <v>#VALUE!</v>
      </c>
      <c r="AA3612">
        <f t="shared" si="303"/>
        <v>1000</v>
      </c>
      <c r="AB3612" t="str">
        <f t="shared" si="304"/>
        <v/>
      </c>
      <c r="AC3612">
        <f t="shared" si="305"/>
        <v>1000</v>
      </c>
      <c r="AD3612" s="6"/>
    </row>
    <row r="3613" spans="1:30" x14ac:dyDescent="0.2">
      <c r="A3613" t="str">
        <f t="shared" si="306"/>
        <v/>
      </c>
      <c r="X3613" t="str" cm="1">
        <f t="array" ref="X3613">IF(S3613="","",IF($I3613&lt;&gt;"",$I3613,INDEX($I$2:$I3612,ROW()-COUNTIFS($T$2:$T3612,"="&amp;$T3613,$S$2:$S3612,"&lt;&gt;"&amp;$S3613)-1)))</f>
        <v/>
      </c>
      <c r="Y3613" t="b">
        <f>IF(X3613&lt;&gt;"",VLOOKUP(X3613,game_rosters!$C$43:$E$64,3,FALSE))</f>
        <v>0</v>
      </c>
      <c r="Z3613" t="e" cm="1" vm="1">
        <f t="array" aca="1" ref="Z3613" ca="1">IFERROR(IF(_xlfn._xlws.FILTER(game_rosters!$J:$J,(game_rosters!$G:$G=events!$AN3613)*(game_rosters!$J:$J=events!$X3613))&gt;0,1,""),"")</f>
        <v>#VALUE!</v>
      </c>
      <c r="AA3613">
        <f t="shared" ref="AA3613:AA3676" si="307">S3613+1000</f>
        <v>1000</v>
      </c>
      <c r="AB3613" t="str">
        <f t="shared" ref="AB3613:AB3676" si="308">IF(T3613&lt;&gt;"",9000+T3613,"")</f>
        <v/>
      </c>
      <c r="AC3613">
        <f t="shared" si="305"/>
        <v>1000</v>
      </c>
      <c r="AD3613" s="6"/>
    </row>
    <row r="3614" spans="1:30" x14ac:dyDescent="0.2">
      <c r="A3614" t="str">
        <f t="shared" si="306"/>
        <v/>
      </c>
      <c r="X3614" t="str" cm="1">
        <f t="array" ref="X3614">IF(S3614="","",IF($I3614&lt;&gt;"",$I3614,INDEX($I$2:$I3613,ROW()-COUNTIFS($T$2:$T3613,"="&amp;$T3614,$S$2:$S3613,"&lt;&gt;"&amp;$S3614)-1)))</f>
        <v/>
      </c>
      <c r="Y3614" t="b">
        <f>IF(X3614&lt;&gt;"",VLOOKUP(X3614,game_rosters!$C$43:$E$64,3,FALSE))</f>
        <v>0</v>
      </c>
      <c r="Z3614" t="e" cm="1" vm="1">
        <f t="array" aca="1" ref="Z3614" ca="1">IFERROR(IF(_xlfn._xlws.FILTER(game_rosters!$J:$J,(game_rosters!$G:$G=events!$AN3614)*(game_rosters!$J:$J=events!$X3614))&gt;0,1,""),"")</f>
        <v>#VALUE!</v>
      </c>
      <c r="AA3614">
        <f t="shared" si="307"/>
        <v>1000</v>
      </c>
      <c r="AB3614" t="str">
        <f t="shared" si="308"/>
        <v/>
      </c>
      <c r="AC3614">
        <f t="shared" si="305"/>
        <v>1000</v>
      </c>
      <c r="AD3614" s="6"/>
    </row>
    <row r="3615" spans="1:30" x14ac:dyDescent="0.2">
      <c r="A3615" t="str">
        <f t="shared" si="306"/>
        <v/>
      </c>
      <c r="X3615" t="str" cm="1">
        <f t="array" ref="X3615">IF(S3615="","",IF($I3615&lt;&gt;"",$I3615,INDEX($I$2:$I3614,ROW()-COUNTIFS($T$2:$T3614,"="&amp;$T3615,$S$2:$S3614,"&lt;&gt;"&amp;$S3615)-1)))</f>
        <v/>
      </c>
      <c r="Y3615" t="b">
        <f>IF(X3615&lt;&gt;"",VLOOKUP(X3615,game_rosters!$C$43:$E$64,3,FALSE))</f>
        <v>0</v>
      </c>
      <c r="Z3615" t="e" cm="1" vm="1">
        <f t="array" aca="1" ref="Z3615" ca="1">IFERROR(IF(_xlfn._xlws.FILTER(game_rosters!$J:$J,(game_rosters!$G:$G=events!$AN3615)*(game_rosters!$J:$J=events!$X3615))&gt;0,1,""),"")</f>
        <v>#VALUE!</v>
      </c>
      <c r="AA3615">
        <f t="shared" si="307"/>
        <v>1000</v>
      </c>
      <c r="AB3615" t="str">
        <f t="shared" si="308"/>
        <v/>
      </c>
      <c r="AC3615">
        <f t="shared" si="305"/>
        <v>1000</v>
      </c>
      <c r="AD3615" s="6"/>
    </row>
    <row r="3616" spans="1:30" x14ac:dyDescent="0.2">
      <c r="A3616" t="str">
        <f t="shared" si="306"/>
        <v/>
      </c>
      <c r="X3616" t="str" cm="1">
        <f t="array" ref="X3616">IF(S3616="","",IF($I3616&lt;&gt;"",$I3616,INDEX($I$2:$I3615,ROW()-COUNTIFS($T$2:$T3615,"="&amp;$T3616,$S$2:$S3615,"&lt;&gt;"&amp;$S3616)-1)))</f>
        <v/>
      </c>
      <c r="Y3616" t="b">
        <f>IF(X3616&lt;&gt;"",VLOOKUP(X3616,game_rosters!$C$43:$E$64,3,FALSE))</f>
        <v>0</v>
      </c>
      <c r="Z3616" t="e" cm="1" vm="1">
        <f t="array" aca="1" ref="Z3616" ca="1">IFERROR(IF(_xlfn._xlws.FILTER(game_rosters!$J:$J,(game_rosters!$G:$G=events!$AN3616)*(game_rosters!$J:$J=events!$X3616))&gt;0,1,""),"")</f>
        <v>#VALUE!</v>
      </c>
      <c r="AA3616">
        <f t="shared" si="307"/>
        <v>1000</v>
      </c>
      <c r="AB3616" t="str">
        <f t="shared" si="308"/>
        <v/>
      </c>
      <c r="AC3616">
        <f t="shared" si="305"/>
        <v>1000</v>
      </c>
      <c r="AD3616" s="6"/>
    </row>
    <row r="3617" spans="1:30" x14ac:dyDescent="0.2">
      <c r="A3617" t="str">
        <f t="shared" si="306"/>
        <v/>
      </c>
      <c r="X3617" t="str" cm="1">
        <f t="array" ref="X3617">IF(S3617="","",IF($I3617&lt;&gt;"",$I3617,INDEX($I$2:$I3616,ROW()-COUNTIFS($T$2:$T3616,"="&amp;$T3617,$S$2:$S3616,"&lt;&gt;"&amp;$S3617)-1)))</f>
        <v/>
      </c>
      <c r="Y3617" t="b">
        <f>IF(X3617&lt;&gt;"",VLOOKUP(X3617,game_rosters!$C$43:$E$64,3,FALSE))</f>
        <v>0</v>
      </c>
      <c r="Z3617" t="e" cm="1" vm="1">
        <f t="array" aca="1" ref="Z3617" ca="1">IFERROR(IF(_xlfn._xlws.FILTER(game_rosters!$J:$J,(game_rosters!$G:$G=events!$AN3617)*(game_rosters!$J:$J=events!$X3617))&gt;0,1,""),"")</f>
        <v>#VALUE!</v>
      </c>
      <c r="AA3617">
        <f t="shared" si="307"/>
        <v>1000</v>
      </c>
      <c r="AB3617" t="str">
        <f t="shared" si="308"/>
        <v/>
      </c>
      <c r="AC3617">
        <f t="shared" si="305"/>
        <v>1000</v>
      </c>
      <c r="AD3617" s="6"/>
    </row>
    <row r="3618" spans="1:30" x14ac:dyDescent="0.2">
      <c r="A3618" t="str">
        <f t="shared" si="306"/>
        <v/>
      </c>
      <c r="X3618" t="str" cm="1">
        <f t="array" ref="X3618">IF(S3618="","",IF($I3618&lt;&gt;"",$I3618,INDEX($I$2:$I3617,ROW()-COUNTIFS($T$2:$T3617,"="&amp;$T3618,$S$2:$S3617,"&lt;&gt;"&amp;$S3618)-1)))</f>
        <v/>
      </c>
      <c r="Y3618" t="b">
        <f>IF(X3618&lt;&gt;"",VLOOKUP(X3618,game_rosters!$C$43:$E$64,3,FALSE))</f>
        <v>0</v>
      </c>
      <c r="Z3618" t="e" cm="1" vm="1">
        <f t="array" aca="1" ref="Z3618" ca="1">IFERROR(IF(_xlfn._xlws.FILTER(game_rosters!$J:$J,(game_rosters!$G:$G=events!$AN3618)*(game_rosters!$J:$J=events!$X3618))&gt;0,1,""),"")</f>
        <v>#VALUE!</v>
      </c>
      <c r="AA3618">
        <f t="shared" si="307"/>
        <v>1000</v>
      </c>
      <c r="AB3618" t="str">
        <f t="shared" si="308"/>
        <v/>
      </c>
      <c r="AC3618">
        <f t="shared" si="305"/>
        <v>1000</v>
      </c>
      <c r="AD3618" s="6"/>
    </row>
    <row r="3619" spans="1:30" x14ac:dyDescent="0.2">
      <c r="A3619" t="str">
        <f t="shared" si="306"/>
        <v/>
      </c>
      <c r="X3619" t="str" cm="1">
        <f t="array" ref="X3619">IF(S3619="","",IF($I3619&lt;&gt;"",$I3619,INDEX($I$2:$I3618,ROW()-COUNTIFS($T$2:$T3618,"="&amp;$T3619,$S$2:$S3618,"&lt;&gt;"&amp;$S3619)-1)))</f>
        <v/>
      </c>
      <c r="Y3619" t="b">
        <f>IF(X3619&lt;&gt;"",VLOOKUP(X3619,game_rosters!$C$43:$E$64,3,FALSE))</f>
        <v>0</v>
      </c>
      <c r="Z3619" t="e" cm="1" vm="1">
        <f t="array" aca="1" ref="Z3619" ca="1">IFERROR(IF(_xlfn._xlws.FILTER(game_rosters!$J:$J,(game_rosters!$G:$G=events!$AN3619)*(game_rosters!$J:$J=events!$X3619))&gt;0,1,""),"")</f>
        <v>#VALUE!</v>
      </c>
      <c r="AA3619">
        <f t="shared" si="307"/>
        <v>1000</v>
      </c>
      <c r="AB3619" t="str">
        <f t="shared" si="308"/>
        <v/>
      </c>
      <c r="AC3619">
        <f t="shared" si="305"/>
        <v>1000</v>
      </c>
      <c r="AD3619" s="6"/>
    </row>
    <row r="3620" spans="1:30" x14ac:dyDescent="0.2">
      <c r="A3620" t="str">
        <f t="shared" si="306"/>
        <v/>
      </c>
      <c r="X3620" t="str" cm="1">
        <f t="array" ref="X3620">IF(S3620="","",IF($I3620&lt;&gt;"",$I3620,INDEX($I$2:$I3619,ROW()-COUNTIFS($T$2:$T3619,"="&amp;$T3620,$S$2:$S3619,"&lt;&gt;"&amp;$S3620)-1)))</f>
        <v/>
      </c>
      <c r="Y3620" t="b">
        <f>IF(X3620&lt;&gt;"",VLOOKUP(X3620,game_rosters!$C$43:$E$64,3,FALSE))</f>
        <v>0</v>
      </c>
      <c r="Z3620" t="e" cm="1" vm="1">
        <f t="array" aca="1" ref="Z3620" ca="1">IFERROR(IF(_xlfn._xlws.FILTER(game_rosters!$J:$J,(game_rosters!$G:$G=events!$AN3620)*(game_rosters!$J:$J=events!$X3620))&gt;0,1,""),"")</f>
        <v>#VALUE!</v>
      </c>
      <c r="AA3620">
        <f t="shared" si="307"/>
        <v>1000</v>
      </c>
      <c r="AB3620" t="str">
        <f t="shared" si="308"/>
        <v/>
      </c>
      <c r="AC3620">
        <f t="shared" si="305"/>
        <v>1000</v>
      </c>
      <c r="AD3620" s="6"/>
    </row>
    <row r="3621" spans="1:30" x14ac:dyDescent="0.2">
      <c r="A3621" t="str">
        <f t="shared" si="306"/>
        <v/>
      </c>
      <c r="X3621" t="str" cm="1">
        <f t="array" ref="X3621">IF(S3621="","",IF($I3621&lt;&gt;"",$I3621,INDEX($I$2:$I3620,ROW()-COUNTIFS($T$2:$T3620,"="&amp;$T3621,$S$2:$S3620,"&lt;&gt;"&amp;$S3621)-1)))</f>
        <v/>
      </c>
      <c r="Y3621" t="b">
        <f>IF(X3621&lt;&gt;"",VLOOKUP(X3621,game_rosters!$C$43:$E$64,3,FALSE))</f>
        <v>0</v>
      </c>
      <c r="Z3621" t="e" cm="1" vm="1">
        <f t="array" aca="1" ref="Z3621" ca="1">IFERROR(IF(_xlfn._xlws.FILTER(game_rosters!$J:$J,(game_rosters!$G:$G=events!$AN3621)*(game_rosters!$J:$J=events!$X3621))&gt;0,1,""),"")</f>
        <v>#VALUE!</v>
      </c>
      <c r="AA3621">
        <f t="shared" si="307"/>
        <v>1000</v>
      </c>
      <c r="AB3621" t="str">
        <f t="shared" si="308"/>
        <v/>
      </c>
      <c r="AC3621">
        <f t="shared" si="305"/>
        <v>1000</v>
      </c>
      <c r="AD3621" s="6"/>
    </row>
    <row r="3622" spans="1:30" x14ac:dyDescent="0.2">
      <c r="A3622" t="str">
        <f t="shared" si="306"/>
        <v/>
      </c>
      <c r="X3622" t="str" cm="1">
        <f t="array" ref="X3622">IF(S3622="","",IF($I3622&lt;&gt;"",$I3622,INDEX($I$2:$I3621,ROW()-COUNTIFS($T$2:$T3621,"="&amp;$T3622,$S$2:$S3621,"&lt;&gt;"&amp;$S3622)-1)))</f>
        <v/>
      </c>
      <c r="Y3622" t="b">
        <f>IF(X3622&lt;&gt;"",VLOOKUP(X3622,game_rosters!$C$43:$E$64,3,FALSE))</f>
        <v>0</v>
      </c>
      <c r="Z3622" t="e" cm="1" vm="1">
        <f t="array" aca="1" ref="Z3622" ca="1">IFERROR(IF(_xlfn._xlws.FILTER(game_rosters!$J:$J,(game_rosters!$G:$G=events!$AN3622)*(game_rosters!$J:$J=events!$X3622))&gt;0,1,""),"")</f>
        <v>#VALUE!</v>
      </c>
      <c r="AA3622">
        <f t="shared" si="307"/>
        <v>1000</v>
      </c>
      <c r="AB3622" t="str">
        <f t="shared" si="308"/>
        <v/>
      </c>
      <c r="AC3622">
        <f t="shared" si="305"/>
        <v>1000</v>
      </c>
      <c r="AD3622" s="6"/>
    </row>
    <row r="3623" spans="1:30" x14ac:dyDescent="0.2">
      <c r="A3623" t="str">
        <f t="shared" si="306"/>
        <v/>
      </c>
      <c r="X3623" t="str" cm="1">
        <f t="array" ref="X3623">IF(S3623="","",IF($I3623&lt;&gt;"",$I3623,INDEX($I$2:$I3622,ROW()-COUNTIFS($T$2:$T3622,"="&amp;$T3623,$S$2:$S3622,"&lt;&gt;"&amp;$S3623)-1)))</f>
        <v/>
      </c>
      <c r="Y3623" t="b">
        <f>IF(X3623&lt;&gt;"",VLOOKUP(X3623,game_rosters!$C$43:$E$64,3,FALSE))</f>
        <v>0</v>
      </c>
      <c r="Z3623" t="e" cm="1" vm="1">
        <f t="array" aca="1" ref="Z3623" ca="1">IFERROR(IF(_xlfn._xlws.FILTER(game_rosters!$J:$J,(game_rosters!$G:$G=events!$AN3623)*(game_rosters!$J:$J=events!$X3623))&gt;0,1,""),"")</f>
        <v>#VALUE!</v>
      </c>
      <c r="AA3623">
        <f t="shared" si="307"/>
        <v>1000</v>
      </c>
      <c r="AB3623" t="str">
        <f t="shared" si="308"/>
        <v/>
      </c>
      <c r="AC3623">
        <f t="shared" si="305"/>
        <v>1000</v>
      </c>
      <c r="AD3623" s="6"/>
    </row>
    <row r="3624" spans="1:30" x14ac:dyDescent="0.2">
      <c r="A3624" t="str">
        <f t="shared" si="306"/>
        <v/>
      </c>
      <c r="X3624" t="str" cm="1">
        <f t="array" ref="X3624">IF(S3624="","",IF($I3624&lt;&gt;"",$I3624,INDEX($I$2:$I3623,ROW()-COUNTIFS($T$2:$T3623,"="&amp;$T3624,$S$2:$S3623,"&lt;&gt;"&amp;$S3624)-1)))</f>
        <v/>
      </c>
      <c r="Y3624" t="b">
        <f>IF(X3624&lt;&gt;"",VLOOKUP(X3624,game_rosters!$C$43:$E$64,3,FALSE))</f>
        <v>0</v>
      </c>
      <c r="Z3624" t="e" cm="1" vm="1">
        <f t="array" aca="1" ref="Z3624" ca="1">IFERROR(IF(_xlfn._xlws.FILTER(game_rosters!$J:$J,(game_rosters!$G:$G=events!$AN3624)*(game_rosters!$J:$J=events!$X3624))&gt;0,1,""),"")</f>
        <v>#VALUE!</v>
      </c>
      <c r="AA3624">
        <f t="shared" si="307"/>
        <v>1000</v>
      </c>
      <c r="AB3624" t="str">
        <f t="shared" si="308"/>
        <v/>
      </c>
      <c r="AC3624">
        <f t="shared" si="305"/>
        <v>1000</v>
      </c>
      <c r="AD3624" s="6"/>
    </row>
    <row r="3625" spans="1:30" x14ac:dyDescent="0.2">
      <c r="A3625" t="str">
        <f t="shared" si="306"/>
        <v/>
      </c>
      <c r="X3625" t="str" cm="1">
        <f t="array" ref="X3625">IF(S3625="","",IF($I3625&lt;&gt;"",$I3625,INDEX($I$2:$I3624,ROW()-COUNTIFS($T$2:$T3624,"="&amp;$T3625,$S$2:$S3624,"&lt;&gt;"&amp;$S3625)-1)))</f>
        <v/>
      </c>
      <c r="Y3625" t="b">
        <f>IF(X3625&lt;&gt;"",VLOOKUP(X3625,game_rosters!$C$43:$E$64,3,FALSE))</f>
        <v>0</v>
      </c>
      <c r="Z3625" t="e" cm="1" vm="1">
        <f t="array" aca="1" ref="Z3625" ca="1">IFERROR(IF(_xlfn._xlws.FILTER(game_rosters!$J:$J,(game_rosters!$G:$G=events!$AN3625)*(game_rosters!$J:$J=events!$X3625))&gt;0,1,""),"")</f>
        <v>#VALUE!</v>
      </c>
      <c r="AA3625">
        <f t="shared" si="307"/>
        <v>1000</v>
      </c>
      <c r="AB3625" t="str">
        <f t="shared" si="308"/>
        <v/>
      </c>
      <c r="AC3625">
        <f t="shared" si="305"/>
        <v>1000</v>
      </c>
      <c r="AD3625" s="6"/>
    </row>
    <row r="3626" spans="1:30" x14ac:dyDescent="0.2">
      <c r="A3626" t="str">
        <f t="shared" si="306"/>
        <v/>
      </c>
      <c r="X3626" t="str" cm="1">
        <f t="array" ref="X3626">IF(S3626="","",IF($I3626&lt;&gt;"",$I3626,INDEX($I$2:$I3625,ROW()-COUNTIFS($T$2:$T3625,"="&amp;$T3626,$S$2:$S3625,"&lt;&gt;"&amp;$S3626)-1)))</f>
        <v/>
      </c>
      <c r="Y3626" t="b">
        <f>IF(X3626&lt;&gt;"",VLOOKUP(X3626,game_rosters!$C$43:$E$64,3,FALSE))</f>
        <v>0</v>
      </c>
      <c r="Z3626" t="e" cm="1" vm="1">
        <f t="array" aca="1" ref="Z3626" ca="1">IFERROR(IF(_xlfn._xlws.FILTER(game_rosters!$J:$J,(game_rosters!$G:$G=events!$AN3626)*(game_rosters!$J:$J=events!$X3626))&gt;0,1,""),"")</f>
        <v>#VALUE!</v>
      </c>
      <c r="AA3626">
        <f t="shared" si="307"/>
        <v>1000</v>
      </c>
      <c r="AB3626" t="str">
        <f t="shared" si="308"/>
        <v/>
      </c>
      <c r="AC3626">
        <f t="shared" si="305"/>
        <v>1000</v>
      </c>
      <c r="AD3626" s="6"/>
    </row>
    <row r="3627" spans="1:30" x14ac:dyDescent="0.2">
      <c r="A3627" t="str">
        <f t="shared" si="306"/>
        <v/>
      </c>
      <c r="X3627" t="str" cm="1">
        <f t="array" ref="X3627">IF(S3627="","",IF($I3627&lt;&gt;"",$I3627,INDEX($I$2:$I3626,ROW()-COUNTIFS($T$2:$T3626,"="&amp;$T3627,$S$2:$S3626,"&lt;&gt;"&amp;$S3627)-1)))</f>
        <v/>
      </c>
      <c r="Y3627" t="b">
        <f>IF(X3627&lt;&gt;"",VLOOKUP(X3627,game_rosters!$C$43:$E$64,3,FALSE))</f>
        <v>0</v>
      </c>
      <c r="Z3627" t="e" cm="1" vm="1">
        <f t="array" aca="1" ref="Z3627" ca="1">IFERROR(IF(_xlfn._xlws.FILTER(game_rosters!$J:$J,(game_rosters!$G:$G=events!$AN3627)*(game_rosters!$J:$J=events!$X3627))&gt;0,1,""),"")</f>
        <v>#VALUE!</v>
      </c>
      <c r="AA3627">
        <f t="shared" si="307"/>
        <v>1000</v>
      </c>
      <c r="AB3627" t="str">
        <f t="shared" si="308"/>
        <v/>
      </c>
      <c r="AC3627">
        <f t="shared" si="305"/>
        <v>1000</v>
      </c>
      <c r="AD3627" s="6"/>
    </row>
    <row r="3628" spans="1:30" x14ac:dyDescent="0.2">
      <c r="A3628" t="str">
        <f t="shared" si="306"/>
        <v/>
      </c>
      <c r="X3628" t="str" cm="1">
        <f t="array" ref="X3628">IF(S3628="","",IF($I3628&lt;&gt;"",$I3628,INDEX($I$2:$I3627,ROW()-COUNTIFS($T$2:$T3627,"="&amp;$T3628,$S$2:$S3627,"&lt;&gt;"&amp;$S3628)-1)))</f>
        <v/>
      </c>
      <c r="Y3628" t="b">
        <f>IF(X3628&lt;&gt;"",VLOOKUP(X3628,game_rosters!$C$43:$E$64,3,FALSE))</f>
        <v>0</v>
      </c>
      <c r="Z3628" t="e" cm="1" vm="1">
        <f t="array" aca="1" ref="Z3628" ca="1">IFERROR(IF(_xlfn._xlws.FILTER(game_rosters!$J:$J,(game_rosters!$G:$G=events!$AN3628)*(game_rosters!$J:$J=events!$X3628))&gt;0,1,""),"")</f>
        <v>#VALUE!</v>
      </c>
      <c r="AA3628">
        <f t="shared" si="307"/>
        <v>1000</v>
      </c>
      <c r="AB3628" t="str">
        <f t="shared" si="308"/>
        <v/>
      </c>
      <c r="AC3628">
        <f t="shared" si="305"/>
        <v>1000</v>
      </c>
      <c r="AD3628" s="6"/>
    </row>
    <row r="3629" spans="1:30" x14ac:dyDescent="0.2">
      <c r="A3629" t="str">
        <f t="shared" si="306"/>
        <v/>
      </c>
      <c r="X3629" t="str" cm="1">
        <f t="array" ref="X3629">IF(S3629="","",IF($I3629&lt;&gt;"",$I3629,INDEX($I$2:$I3628,ROW()-COUNTIFS($T$2:$T3628,"="&amp;$T3629,$S$2:$S3628,"&lt;&gt;"&amp;$S3629)-1)))</f>
        <v/>
      </c>
      <c r="Y3629" t="b">
        <f>IF(X3629&lt;&gt;"",VLOOKUP(X3629,game_rosters!$C$43:$E$64,3,FALSE))</f>
        <v>0</v>
      </c>
      <c r="Z3629" t="e" cm="1" vm="1">
        <f t="array" aca="1" ref="Z3629" ca="1">IFERROR(IF(_xlfn._xlws.FILTER(game_rosters!$J:$J,(game_rosters!$G:$G=events!$AN3629)*(game_rosters!$J:$J=events!$X3629))&gt;0,1,""),"")</f>
        <v>#VALUE!</v>
      </c>
      <c r="AA3629">
        <f t="shared" si="307"/>
        <v>1000</v>
      </c>
      <c r="AB3629" t="str">
        <f t="shared" si="308"/>
        <v/>
      </c>
      <c r="AC3629">
        <f t="shared" si="305"/>
        <v>1000</v>
      </c>
      <c r="AD3629" s="6"/>
    </row>
    <row r="3630" spans="1:30" x14ac:dyDescent="0.2">
      <c r="A3630" t="str">
        <f t="shared" si="306"/>
        <v/>
      </c>
      <c r="X3630" t="str" cm="1">
        <f t="array" ref="X3630">IF(S3630="","",IF($I3630&lt;&gt;"",$I3630,INDEX($I$2:$I3629,ROW()-COUNTIFS($T$2:$T3629,"="&amp;$T3630,$S$2:$S3629,"&lt;&gt;"&amp;$S3630)-1)))</f>
        <v/>
      </c>
      <c r="Y3630" t="b">
        <f>IF(X3630&lt;&gt;"",VLOOKUP(X3630,game_rosters!$C$43:$E$64,3,FALSE))</f>
        <v>0</v>
      </c>
      <c r="Z3630" t="e" cm="1" vm="1">
        <f t="array" aca="1" ref="Z3630" ca="1">IFERROR(IF(_xlfn._xlws.FILTER(game_rosters!$J:$J,(game_rosters!$G:$G=events!$AN3630)*(game_rosters!$J:$J=events!$X3630))&gt;0,1,""),"")</f>
        <v>#VALUE!</v>
      </c>
      <c r="AA3630">
        <f t="shared" si="307"/>
        <v>1000</v>
      </c>
      <c r="AB3630" t="str">
        <f t="shared" si="308"/>
        <v/>
      </c>
      <c r="AC3630">
        <f t="shared" si="305"/>
        <v>1000</v>
      </c>
      <c r="AD3630" s="6"/>
    </row>
    <row r="3631" spans="1:30" x14ac:dyDescent="0.2">
      <c r="A3631" t="str">
        <f t="shared" si="306"/>
        <v/>
      </c>
      <c r="X3631" t="str" cm="1">
        <f t="array" ref="X3631">IF(S3631="","",IF($I3631&lt;&gt;"",$I3631,INDEX($I$2:$I3630,ROW()-COUNTIFS($T$2:$T3630,"="&amp;$T3631,$S$2:$S3630,"&lt;&gt;"&amp;$S3631)-1)))</f>
        <v/>
      </c>
      <c r="Y3631" t="b">
        <f>IF(X3631&lt;&gt;"",VLOOKUP(X3631,game_rosters!$C$43:$E$64,3,FALSE))</f>
        <v>0</v>
      </c>
      <c r="Z3631" t="e" cm="1" vm="1">
        <f t="array" aca="1" ref="Z3631" ca="1">IFERROR(IF(_xlfn._xlws.FILTER(game_rosters!$J:$J,(game_rosters!$G:$G=events!$AN3631)*(game_rosters!$J:$J=events!$X3631))&gt;0,1,""),"")</f>
        <v>#VALUE!</v>
      </c>
      <c r="AA3631">
        <f t="shared" si="307"/>
        <v>1000</v>
      </c>
      <c r="AB3631" t="str">
        <f t="shared" si="308"/>
        <v/>
      </c>
      <c r="AC3631">
        <f t="shared" si="305"/>
        <v>1000</v>
      </c>
      <c r="AD3631" s="6"/>
    </row>
    <row r="3632" spans="1:30" x14ac:dyDescent="0.2">
      <c r="A3632" t="str">
        <f t="shared" si="306"/>
        <v/>
      </c>
      <c r="X3632" t="str" cm="1">
        <f t="array" ref="X3632">IF(S3632="","",IF($I3632&lt;&gt;"",$I3632,INDEX($I$2:$I3631,ROW()-COUNTIFS($T$2:$T3631,"="&amp;$T3632,$S$2:$S3631,"&lt;&gt;"&amp;$S3632)-1)))</f>
        <v/>
      </c>
      <c r="Y3632" t="b">
        <f>IF(X3632&lt;&gt;"",VLOOKUP(X3632,game_rosters!$C$43:$E$64,3,FALSE))</f>
        <v>0</v>
      </c>
      <c r="Z3632" t="e" cm="1" vm="1">
        <f t="array" aca="1" ref="Z3632" ca="1">IFERROR(IF(_xlfn._xlws.FILTER(game_rosters!$J:$J,(game_rosters!$G:$G=events!$AN3632)*(game_rosters!$J:$J=events!$X3632))&gt;0,1,""),"")</f>
        <v>#VALUE!</v>
      </c>
      <c r="AA3632">
        <f t="shared" si="307"/>
        <v>1000</v>
      </c>
      <c r="AB3632" t="str">
        <f t="shared" si="308"/>
        <v/>
      </c>
      <c r="AC3632">
        <f t="shared" si="305"/>
        <v>1000</v>
      </c>
      <c r="AD3632" s="6"/>
    </row>
    <row r="3633" spans="1:30" x14ac:dyDescent="0.2">
      <c r="A3633" t="str">
        <f t="shared" si="306"/>
        <v/>
      </c>
      <c r="X3633" t="str" cm="1">
        <f t="array" ref="X3633">IF(S3633="","",IF($I3633&lt;&gt;"",$I3633,INDEX($I$2:$I3632,ROW()-COUNTIFS($T$2:$T3632,"="&amp;$T3633,$S$2:$S3632,"&lt;&gt;"&amp;$S3633)-1)))</f>
        <v/>
      </c>
      <c r="Y3633" t="b">
        <f>IF(X3633&lt;&gt;"",VLOOKUP(X3633,game_rosters!$C$43:$E$64,3,FALSE))</f>
        <v>0</v>
      </c>
      <c r="Z3633" t="e" cm="1" vm="1">
        <f t="array" aca="1" ref="Z3633" ca="1">IFERROR(IF(_xlfn._xlws.FILTER(game_rosters!$J:$J,(game_rosters!$G:$G=events!$AN3633)*(game_rosters!$J:$J=events!$X3633))&gt;0,1,""),"")</f>
        <v>#VALUE!</v>
      </c>
      <c r="AA3633">
        <f t="shared" si="307"/>
        <v>1000</v>
      </c>
      <c r="AB3633" t="str">
        <f t="shared" si="308"/>
        <v/>
      </c>
      <c r="AC3633">
        <f t="shared" si="305"/>
        <v>1000</v>
      </c>
      <c r="AD3633" s="6"/>
    </row>
    <row r="3634" spans="1:30" x14ac:dyDescent="0.2">
      <c r="A3634" t="str">
        <f t="shared" si="306"/>
        <v/>
      </c>
      <c r="X3634" t="str" cm="1">
        <f t="array" ref="X3634">IF(S3634="","",IF($I3634&lt;&gt;"",$I3634,INDEX($I$2:$I3633,ROW()-COUNTIFS($T$2:$T3633,"="&amp;$T3634,$S$2:$S3633,"&lt;&gt;"&amp;$S3634)-1)))</f>
        <v/>
      </c>
      <c r="Y3634" t="b">
        <f>IF(X3634&lt;&gt;"",VLOOKUP(X3634,game_rosters!$C$43:$E$64,3,FALSE))</f>
        <v>0</v>
      </c>
      <c r="Z3634" t="e" cm="1" vm="1">
        <f t="array" aca="1" ref="Z3634" ca="1">IFERROR(IF(_xlfn._xlws.FILTER(game_rosters!$J:$J,(game_rosters!$G:$G=events!$AN3634)*(game_rosters!$J:$J=events!$X3634))&gt;0,1,""),"")</f>
        <v>#VALUE!</v>
      </c>
      <c r="AA3634">
        <f t="shared" si="307"/>
        <v>1000</v>
      </c>
      <c r="AB3634" t="str">
        <f t="shared" si="308"/>
        <v/>
      </c>
      <c r="AC3634">
        <f t="shared" si="305"/>
        <v>1000</v>
      </c>
      <c r="AD3634" s="6"/>
    </row>
    <row r="3635" spans="1:30" x14ac:dyDescent="0.2">
      <c r="A3635" t="str">
        <f t="shared" si="306"/>
        <v/>
      </c>
      <c r="X3635" t="str" cm="1">
        <f t="array" ref="X3635">IF(S3635="","",IF($I3635&lt;&gt;"",$I3635,INDEX($I$2:$I3634,ROW()-COUNTIFS($T$2:$T3634,"="&amp;$T3635,$S$2:$S3634,"&lt;&gt;"&amp;$S3635)-1)))</f>
        <v/>
      </c>
      <c r="Y3635" t="b">
        <f>IF(X3635&lt;&gt;"",VLOOKUP(X3635,game_rosters!$C$43:$E$64,3,FALSE))</f>
        <v>0</v>
      </c>
      <c r="Z3635" t="e" cm="1" vm="1">
        <f t="array" aca="1" ref="Z3635" ca="1">IFERROR(IF(_xlfn._xlws.FILTER(game_rosters!$J:$J,(game_rosters!$G:$G=events!$AN3635)*(game_rosters!$J:$J=events!$X3635))&gt;0,1,""),"")</f>
        <v>#VALUE!</v>
      </c>
      <c r="AA3635">
        <f t="shared" si="307"/>
        <v>1000</v>
      </c>
      <c r="AB3635" t="str">
        <f t="shared" si="308"/>
        <v/>
      </c>
      <c r="AC3635">
        <f t="shared" si="305"/>
        <v>1000</v>
      </c>
      <c r="AD3635" s="6"/>
    </row>
    <row r="3636" spans="1:30" x14ac:dyDescent="0.2">
      <c r="A3636" t="str">
        <f t="shared" si="306"/>
        <v/>
      </c>
      <c r="X3636" t="str" cm="1">
        <f t="array" ref="X3636">IF(S3636="","",IF($I3636&lt;&gt;"",$I3636,INDEX($I$2:$I3635,ROW()-COUNTIFS($T$2:$T3635,"="&amp;$T3636,$S$2:$S3635,"&lt;&gt;"&amp;$S3636)-1)))</f>
        <v/>
      </c>
      <c r="Y3636" t="b">
        <f>IF(X3636&lt;&gt;"",VLOOKUP(X3636,game_rosters!$C$43:$E$64,3,FALSE))</f>
        <v>0</v>
      </c>
      <c r="Z3636" t="e" cm="1" vm="1">
        <f t="array" aca="1" ref="Z3636" ca="1">IFERROR(IF(_xlfn._xlws.FILTER(game_rosters!$J:$J,(game_rosters!$G:$G=events!$AN3636)*(game_rosters!$J:$J=events!$X3636))&gt;0,1,""),"")</f>
        <v>#VALUE!</v>
      </c>
      <c r="AA3636">
        <f t="shared" si="307"/>
        <v>1000</v>
      </c>
      <c r="AB3636" t="str">
        <f t="shared" si="308"/>
        <v/>
      </c>
      <c r="AC3636">
        <f t="shared" si="305"/>
        <v>1000</v>
      </c>
      <c r="AD3636" s="6"/>
    </row>
    <row r="3637" spans="1:30" x14ac:dyDescent="0.2">
      <c r="A3637" t="str">
        <f t="shared" si="306"/>
        <v/>
      </c>
      <c r="X3637" t="str" cm="1">
        <f t="array" ref="X3637">IF(S3637="","",IF($I3637&lt;&gt;"",$I3637,INDEX($I$2:$I3636,ROW()-COUNTIFS($T$2:$T3636,"="&amp;$T3637,$S$2:$S3636,"&lt;&gt;"&amp;$S3637)-1)))</f>
        <v/>
      </c>
      <c r="Y3637" t="b">
        <f>IF(X3637&lt;&gt;"",VLOOKUP(X3637,game_rosters!$C$43:$E$64,3,FALSE))</f>
        <v>0</v>
      </c>
      <c r="Z3637" t="e" cm="1" vm="1">
        <f t="array" aca="1" ref="Z3637" ca="1">IFERROR(IF(_xlfn._xlws.FILTER(game_rosters!$J:$J,(game_rosters!$G:$G=events!$AN3637)*(game_rosters!$J:$J=events!$X3637))&gt;0,1,""),"")</f>
        <v>#VALUE!</v>
      </c>
      <c r="AA3637">
        <f t="shared" si="307"/>
        <v>1000</v>
      </c>
      <c r="AB3637" t="str">
        <f t="shared" si="308"/>
        <v/>
      </c>
      <c r="AC3637">
        <f t="shared" si="305"/>
        <v>1000</v>
      </c>
      <c r="AD3637" s="6"/>
    </row>
    <row r="3638" spans="1:30" x14ac:dyDescent="0.2">
      <c r="A3638" t="str">
        <f t="shared" si="306"/>
        <v/>
      </c>
      <c r="X3638" t="str" cm="1">
        <f t="array" ref="X3638">IF(S3638="","",IF($I3638&lt;&gt;"",$I3638,INDEX($I$2:$I3637,ROW()-COUNTIFS($T$2:$T3637,"="&amp;$T3638,$S$2:$S3637,"&lt;&gt;"&amp;$S3638)-1)))</f>
        <v/>
      </c>
      <c r="Y3638" t="b">
        <f>IF(X3638&lt;&gt;"",VLOOKUP(X3638,game_rosters!$C$43:$E$64,3,FALSE))</f>
        <v>0</v>
      </c>
      <c r="Z3638" t="e" cm="1" vm="1">
        <f t="array" aca="1" ref="Z3638" ca="1">IFERROR(IF(_xlfn._xlws.FILTER(game_rosters!$J:$J,(game_rosters!$G:$G=events!$AN3638)*(game_rosters!$J:$J=events!$X3638))&gt;0,1,""),"")</f>
        <v>#VALUE!</v>
      </c>
      <c r="AA3638">
        <f t="shared" si="307"/>
        <v>1000</v>
      </c>
      <c r="AB3638" t="str">
        <f t="shared" si="308"/>
        <v/>
      </c>
      <c r="AC3638">
        <f t="shared" si="305"/>
        <v>1000</v>
      </c>
      <c r="AD3638" s="6"/>
    </row>
    <row r="3639" spans="1:30" x14ac:dyDescent="0.2">
      <c r="A3639" t="str">
        <f t="shared" si="306"/>
        <v/>
      </c>
      <c r="X3639" t="str" cm="1">
        <f t="array" ref="X3639">IF(S3639="","",IF($I3639&lt;&gt;"",$I3639,INDEX($I$2:$I3638,ROW()-COUNTIFS($T$2:$T3638,"="&amp;$T3639,$S$2:$S3638,"&lt;&gt;"&amp;$S3639)-1)))</f>
        <v/>
      </c>
      <c r="Y3639" t="b">
        <f>IF(X3639&lt;&gt;"",VLOOKUP(X3639,game_rosters!$C$43:$E$64,3,FALSE))</f>
        <v>0</v>
      </c>
      <c r="Z3639" t="e" cm="1" vm="1">
        <f t="array" aca="1" ref="Z3639" ca="1">IFERROR(IF(_xlfn._xlws.FILTER(game_rosters!$J:$J,(game_rosters!$G:$G=events!$AN3639)*(game_rosters!$J:$J=events!$X3639))&gt;0,1,""),"")</f>
        <v>#VALUE!</v>
      </c>
      <c r="AA3639">
        <f t="shared" si="307"/>
        <v>1000</v>
      </c>
      <c r="AB3639" t="str">
        <f t="shared" si="308"/>
        <v/>
      </c>
      <c r="AC3639">
        <f t="shared" si="305"/>
        <v>1000</v>
      </c>
      <c r="AD3639" s="6"/>
    </row>
    <row r="3640" spans="1:30" x14ac:dyDescent="0.2">
      <c r="A3640" t="str">
        <f t="shared" si="306"/>
        <v/>
      </c>
      <c r="X3640" t="str" cm="1">
        <f t="array" ref="X3640">IF(S3640="","",IF($I3640&lt;&gt;"",$I3640,INDEX($I$2:$I3639,ROW()-COUNTIFS($T$2:$T3639,"="&amp;$T3640,$S$2:$S3639,"&lt;&gt;"&amp;$S3640)-1)))</f>
        <v/>
      </c>
      <c r="Y3640" t="b">
        <f>IF(X3640&lt;&gt;"",VLOOKUP(X3640,game_rosters!$C$43:$E$64,3,FALSE))</f>
        <v>0</v>
      </c>
      <c r="Z3640" t="e" cm="1" vm="1">
        <f t="array" aca="1" ref="Z3640" ca="1">IFERROR(IF(_xlfn._xlws.FILTER(game_rosters!$J:$J,(game_rosters!$G:$G=events!$AN3640)*(game_rosters!$J:$J=events!$X3640))&gt;0,1,""),"")</f>
        <v>#VALUE!</v>
      </c>
      <c r="AA3640">
        <f t="shared" si="307"/>
        <v>1000</v>
      </c>
      <c r="AB3640" t="str">
        <f t="shared" si="308"/>
        <v/>
      </c>
      <c r="AC3640">
        <f t="shared" si="305"/>
        <v>1000</v>
      </c>
      <c r="AD3640" s="6"/>
    </row>
    <row r="3641" spans="1:30" x14ac:dyDescent="0.2">
      <c r="A3641" t="str">
        <f t="shared" si="306"/>
        <v/>
      </c>
      <c r="X3641" t="str" cm="1">
        <f t="array" ref="X3641">IF(S3641="","",IF($I3641&lt;&gt;"",$I3641,INDEX($I$2:$I3640,ROW()-COUNTIFS($T$2:$T3640,"="&amp;$T3641,$S$2:$S3640,"&lt;&gt;"&amp;$S3641)-1)))</f>
        <v/>
      </c>
      <c r="Y3641" t="b">
        <f>IF(X3641&lt;&gt;"",VLOOKUP(X3641,game_rosters!$C$43:$E$64,3,FALSE))</f>
        <v>0</v>
      </c>
      <c r="Z3641" t="e" cm="1" vm="1">
        <f t="array" aca="1" ref="Z3641" ca="1">IFERROR(IF(_xlfn._xlws.FILTER(game_rosters!$J:$J,(game_rosters!$G:$G=events!$AN3641)*(game_rosters!$J:$J=events!$X3641))&gt;0,1,""),"")</f>
        <v>#VALUE!</v>
      </c>
      <c r="AA3641">
        <f t="shared" si="307"/>
        <v>1000</v>
      </c>
      <c r="AB3641" t="str">
        <f t="shared" si="308"/>
        <v/>
      </c>
      <c r="AC3641">
        <f t="shared" si="305"/>
        <v>1000</v>
      </c>
      <c r="AD3641" s="6"/>
    </row>
    <row r="3642" spans="1:30" x14ac:dyDescent="0.2">
      <c r="A3642" t="str">
        <f t="shared" si="306"/>
        <v/>
      </c>
      <c r="X3642" t="str" cm="1">
        <f t="array" ref="X3642">IF(S3642="","",IF($I3642&lt;&gt;"",$I3642,INDEX($I$2:$I3641,ROW()-COUNTIFS($T$2:$T3641,"="&amp;$T3642,$S$2:$S3641,"&lt;&gt;"&amp;$S3642)-1)))</f>
        <v/>
      </c>
      <c r="Y3642" t="b">
        <f>IF(X3642&lt;&gt;"",VLOOKUP(X3642,game_rosters!$C$43:$E$64,3,FALSE))</f>
        <v>0</v>
      </c>
      <c r="Z3642" t="e" cm="1" vm="1">
        <f t="array" aca="1" ref="Z3642" ca="1">IFERROR(IF(_xlfn._xlws.FILTER(game_rosters!$J:$J,(game_rosters!$G:$G=events!$AN3642)*(game_rosters!$J:$J=events!$X3642))&gt;0,1,""),"")</f>
        <v>#VALUE!</v>
      </c>
      <c r="AA3642">
        <f t="shared" si="307"/>
        <v>1000</v>
      </c>
      <c r="AB3642" t="str">
        <f t="shared" si="308"/>
        <v/>
      </c>
      <c r="AC3642">
        <f t="shared" si="305"/>
        <v>1000</v>
      </c>
      <c r="AD3642" s="6"/>
    </row>
    <row r="3643" spans="1:30" x14ac:dyDescent="0.2">
      <c r="A3643" t="str">
        <f t="shared" si="306"/>
        <v/>
      </c>
      <c r="X3643" t="str" cm="1">
        <f t="array" ref="X3643">IF(S3643="","",IF($I3643&lt;&gt;"",$I3643,INDEX($I$2:$I3642,ROW()-COUNTIFS($T$2:$T3642,"="&amp;$T3643,$S$2:$S3642,"&lt;&gt;"&amp;$S3643)-1)))</f>
        <v/>
      </c>
      <c r="Y3643" t="b">
        <f>IF(X3643&lt;&gt;"",VLOOKUP(X3643,game_rosters!$C$43:$E$64,3,FALSE))</f>
        <v>0</v>
      </c>
      <c r="Z3643" t="e" cm="1" vm="1">
        <f t="array" aca="1" ref="Z3643" ca="1">IFERROR(IF(_xlfn._xlws.FILTER(game_rosters!$J:$J,(game_rosters!$G:$G=events!$AN3643)*(game_rosters!$J:$J=events!$X3643))&gt;0,1,""),"")</f>
        <v>#VALUE!</v>
      </c>
      <c r="AA3643">
        <f t="shared" si="307"/>
        <v>1000</v>
      </c>
      <c r="AB3643" t="str">
        <f t="shared" si="308"/>
        <v/>
      </c>
      <c r="AC3643">
        <f t="shared" si="305"/>
        <v>1000</v>
      </c>
      <c r="AD3643" s="6"/>
    </row>
    <row r="3644" spans="1:30" x14ac:dyDescent="0.2">
      <c r="A3644" t="str">
        <f t="shared" si="306"/>
        <v/>
      </c>
      <c r="X3644" t="str" cm="1">
        <f t="array" ref="X3644">IF(S3644="","",IF($I3644&lt;&gt;"",$I3644,INDEX($I$2:$I3643,ROW()-COUNTIFS($T$2:$T3643,"="&amp;$T3644,$S$2:$S3643,"&lt;&gt;"&amp;$S3644)-1)))</f>
        <v/>
      </c>
      <c r="Y3644" t="b">
        <f>IF(X3644&lt;&gt;"",VLOOKUP(X3644,game_rosters!$C$43:$E$64,3,FALSE))</f>
        <v>0</v>
      </c>
      <c r="Z3644" t="e" cm="1" vm="1">
        <f t="array" aca="1" ref="Z3644" ca="1">IFERROR(IF(_xlfn._xlws.FILTER(game_rosters!$J:$J,(game_rosters!$G:$G=events!$AN3644)*(game_rosters!$J:$J=events!$X3644))&gt;0,1,""),"")</f>
        <v>#VALUE!</v>
      </c>
      <c r="AA3644">
        <f t="shared" si="307"/>
        <v>1000</v>
      </c>
      <c r="AB3644" t="str">
        <f t="shared" si="308"/>
        <v/>
      </c>
      <c r="AC3644">
        <f t="shared" si="305"/>
        <v>1000</v>
      </c>
      <c r="AD3644" s="6"/>
    </row>
    <row r="3645" spans="1:30" x14ac:dyDescent="0.2">
      <c r="A3645" t="str">
        <f t="shared" si="306"/>
        <v/>
      </c>
      <c r="X3645" t="str" cm="1">
        <f t="array" ref="X3645">IF(S3645="","",IF($I3645&lt;&gt;"",$I3645,INDEX($I$2:$I3644,ROW()-COUNTIFS($T$2:$T3644,"="&amp;$T3645,$S$2:$S3644,"&lt;&gt;"&amp;$S3645)-1)))</f>
        <v/>
      </c>
      <c r="Y3645" t="b">
        <f>IF(X3645&lt;&gt;"",VLOOKUP(X3645,game_rosters!$C$43:$E$64,3,FALSE))</f>
        <v>0</v>
      </c>
      <c r="Z3645" t="e" cm="1" vm="1">
        <f t="array" aca="1" ref="Z3645" ca="1">IFERROR(IF(_xlfn._xlws.FILTER(game_rosters!$J:$J,(game_rosters!$G:$G=events!$AN3645)*(game_rosters!$J:$J=events!$X3645))&gt;0,1,""),"")</f>
        <v>#VALUE!</v>
      </c>
      <c r="AA3645">
        <f t="shared" si="307"/>
        <v>1000</v>
      </c>
      <c r="AB3645" t="str">
        <f t="shared" si="308"/>
        <v/>
      </c>
      <c r="AC3645">
        <f t="shared" si="305"/>
        <v>1000</v>
      </c>
      <c r="AD3645" s="6"/>
    </row>
    <row r="3646" spans="1:30" x14ac:dyDescent="0.2">
      <c r="A3646" t="str">
        <f t="shared" si="306"/>
        <v/>
      </c>
      <c r="X3646" t="str" cm="1">
        <f t="array" ref="X3646">IF(S3646="","",IF($I3646&lt;&gt;"",$I3646,INDEX($I$2:$I3645,ROW()-COUNTIFS($T$2:$T3645,"="&amp;$T3646,$S$2:$S3645,"&lt;&gt;"&amp;$S3646)-1)))</f>
        <v/>
      </c>
      <c r="Y3646" t="b">
        <f>IF(X3646&lt;&gt;"",VLOOKUP(X3646,game_rosters!$C$43:$E$64,3,FALSE))</f>
        <v>0</v>
      </c>
      <c r="Z3646" t="e" cm="1" vm="1">
        <f t="array" aca="1" ref="Z3646" ca="1">IFERROR(IF(_xlfn._xlws.FILTER(game_rosters!$J:$J,(game_rosters!$G:$G=events!$AN3646)*(game_rosters!$J:$J=events!$X3646))&gt;0,1,""),"")</f>
        <v>#VALUE!</v>
      </c>
      <c r="AA3646">
        <f t="shared" si="307"/>
        <v>1000</v>
      </c>
      <c r="AB3646" t="str">
        <f t="shared" si="308"/>
        <v/>
      </c>
      <c r="AC3646">
        <f t="shared" si="305"/>
        <v>1000</v>
      </c>
      <c r="AD3646" s="6"/>
    </row>
    <row r="3647" spans="1:30" x14ac:dyDescent="0.2">
      <c r="A3647" t="str">
        <f t="shared" si="306"/>
        <v/>
      </c>
      <c r="X3647" t="str" cm="1">
        <f t="array" ref="X3647">IF(S3647="","",IF($I3647&lt;&gt;"",$I3647,INDEX($I$2:$I3646,ROW()-COUNTIFS($T$2:$T3646,"="&amp;$T3647,$S$2:$S3646,"&lt;&gt;"&amp;$S3647)-1)))</f>
        <v/>
      </c>
      <c r="Y3647" t="b">
        <f>IF(X3647&lt;&gt;"",VLOOKUP(X3647,game_rosters!$C$43:$E$64,3,FALSE))</f>
        <v>0</v>
      </c>
      <c r="Z3647" t="e" cm="1" vm="1">
        <f t="array" aca="1" ref="Z3647" ca="1">IFERROR(IF(_xlfn._xlws.FILTER(game_rosters!$J:$J,(game_rosters!$G:$G=events!$AN3647)*(game_rosters!$J:$J=events!$X3647))&gt;0,1,""),"")</f>
        <v>#VALUE!</v>
      </c>
      <c r="AA3647">
        <f t="shared" si="307"/>
        <v>1000</v>
      </c>
      <c r="AB3647" t="str">
        <f t="shared" si="308"/>
        <v/>
      </c>
      <c r="AC3647">
        <f t="shared" si="305"/>
        <v>1000</v>
      </c>
      <c r="AD3647" s="6"/>
    </row>
    <row r="3648" spans="1:30" x14ac:dyDescent="0.2">
      <c r="A3648" t="str">
        <f t="shared" si="306"/>
        <v/>
      </c>
      <c r="X3648" t="str" cm="1">
        <f t="array" ref="X3648">IF(S3648="","",IF($I3648&lt;&gt;"",$I3648,INDEX($I$2:$I3647,ROW()-COUNTIFS($T$2:$T3647,"="&amp;$T3648,$S$2:$S3647,"&lt;&gt;"&amp;$S3648)-1)))</f>
        <v/>
      </c>
      <c r="Y3648" t="b">
        <f>IF(X3648&lt;&gt;"",VLOOKUP(X3648,game_rosters!$C$43:$E$64,3,FALSE))</f>
        <v>0</v>
      </c>
      <c r="Z3648" t="e" cm="1" vm="1">
        <f t="array" aca="1" ref="Z3648" ca="1">IFERROR(IF(_xlfn._xlws.FILTER(game_rosters!$J:$J,(game_rosters!$G:$G=events!$AN3648)*(game_rosters!$J:$J=events!$X3648))&gt;0,1,""),"")</f>
        <v>#VALUE!</v>
      </c>
      <c r="AA3648">
        <f t="shared" si="307"/>
        <v>1000</v>
      </c>
      <c r="AB3648" t="str">
        <f t="shared" si="308"/>
        <v/>
      </c>
      <c r="AC3648">
        <f t="shared" si="305"/>
        <v>1000</v>
      </c>
      <c r="AD3648" s="6"/>
    </row>
    <row r="3649" spans="1:30" x14ac:dyDescent="0.2">
      <c r="A3649" t="str">
        <f t="shared" si="306"/>
        <v/>
      </c>
      <c r="X3649" t="str" cm="1">
        <f t="array" ref="X3649">IF(S3649="","",IF($I3649&lt;&gt;"",$I3649,INDEX($I$2:$I3648,ROW()-COUNTIFS($T$2:$T3648,"="&amp;$T3649,$S$2:$S3648,"&lt;&gt;"&amp;$S3649)-1)))</f>
        <v/>
      </c>
      <c r="Y3649" t="b">
        <f>IF(X3649&lt;&gt;"",VLOOKUP(X3649,game_rosters!$C$43:$E$64,3,FALSE))</f>
        <v>0</v>
      </c>
      <c r="Z3649" t="e" cm="1" vm="1">
        <f t="array" aca="1" ref="Z3649" ca="1">IFERROR(IF(_xlfn._xlws.FILTER(game_rosters!$J:$J,(game_rosters!$G:$G=events!$AN3649)*(game_rosters!$J:$J=events!$X3649))&gt;0,1,""),"")</f>
        <v>#VALUE!</v>
      </c>
      <c r="AA3649">
        <f t="shared" si="307"/>
        <v>1000</v>
      </c>
      <c r="AB3649" t="str">
        <f t="shared" si="308"/>
        <v/>
      </c>
      <c r="AC3649">
        <f t="shared" si="305"/>
        <v>1000</v>
      </c>
      <c r="AD3649" s="6"/>
    </row>
    <row r="3650" spans="1:30" x14ac:dyDescent="0.2">
      <c r="A3650" t="str">
        <f t="shared" si="306"/>
        <v/>
      </c>
      <c r="X3650" t="str" cm="1">
        <f t="array" ref="X3650">IF(S3650="","",IF($I3650&lt;&gt;"",$I3650,INDEX($I$2:$I3649,ROW()-COUNTIFS($T$2:$T3649,"="&amp;$T3650,$S$2:$S3649,"&lt;&gt;"&amp;$S3650)-1)))</f>
        <v/>
      </c>
      <c r="Y3650" t="b">
        <f>IF(X3650&lt;&gt;"",VLOOKUP(X3650,game_rosters!$C$43:$E$64,3,FALSE))</f>
        <v>0</v>
      </c>
      <c r="Z3650" t="e" cm="1" vm="1">
        <f t="array" aca="1" ref="Z3650" ca="1">IFERROR(IF(_xlfn._xlws.FILTER(game_rosters!$J:$J,(game_rosters!$G:$G=events!$AN3650)*(game_rosters!$J:$J=events!$X3650))&gt;0,1,""),"")</f>
        <v>#VALUE!</v>
      </c>
      <c r="AA3650">
        <f t="shared" si="307"/>
        <v>1000</v>
      </c>
      <c r="AB3650" t="str">
        <f t="shared" si="308"/>
        <v/>
      </c>
      <c r="AC3650">
        <f t="shared" ref="AC3650:AC3713" si="309">IF(AB3650&lt;&gt;"",AB3650,S3650+1000)</f>
        <v>1000</v>
      </c>
      <c r="AD3650" s="6"/>
    </row>
    <row r="3651" spans="1:30" x14ac:dyDescent="0.2">
      <c r="A3651" t="str">
        <f t="shared" si="306"/>
        <v/>
      </c>
      <c r="X3651" t="str" cm="1">
        <f t="array" ref="X3651">IF(S3651="","",IF($I3651&lt;&gt;"",$I3651,INDEX($I$2:$I3650,ROW()-COUNTIFS($T$2:$T3650,"="&amp;$T3651,$S$2:$S3650,"&lt;&gt;"&amp;$S3651)-1)))</f>
        <v/>
      </c>
      <c r="Y3651" t="b">
        <f>IF(X3651&lt;&gt;"",VLOOKUP(X3651,game_rosters!$C$43:$E$64,3,FALSE))</f>
        <v>0</v>
      </c>
      <c r="Z3651" t="e" cm="1" vm="1">
        <f t="array" aca="1" ref="Z3651" ca="1">IFERROR(IF(_xlfn._xlws.FILTER(game_rosters!$J:$J,(game_rosters!$G:$G=events!$AN3651)*(game_rosters!$J:$J=events!$X3651))&gt;0,1,""),"")</f>
        <v>#VALUE!</v>
      </c>
      <c r="AA3651">
        <f t="shared" si="307"/>
        <v>1000</v>
      </c>
      <c r="AB3651" t="str">
        <f t="shared" si="308"/>
        <v/>
      </c>
      <c r="AC3651">
        <f t="shared" si="309"/>
        <v>1000</v>
      </c>
      <c r="AD3651" s="6"/>
    </row>
    <row r="3652" spans="1:30" x14ac:dyDescent="0.2">
      <c r="A3652" t="str">
        <f t="shared" si="306"/>
        <v/>
      </c>
      <c r="X3652" t="str" cm="1">
        <f t="array" ref="X3652">IF(S3652="","",IF($I3652&lt;&gt;"",$I3652,INDEX($I$2:$I3651,ROW()-COUNTIFS($T$2:$T3651,"="&amp;$T3652,$S$2:$S3651,"&lt;&gt;"&amp;$S3652)-1)))</f>
        <v/>
      </c>
      <c r="Y3652" t="b">
        <f>IF(X3652&lt;&gt;"",VLOOKUP(X3652,game_rosters!$C$43:$E$64,3,FALSE))</f>
        <v>0</v>
      </c>
      <c r="Z3652" t="e" cm="1" vm="1">
        <f t="array" aca="1" ref="Z3652" ca="1">IFERROR(IF(_xlfn._xlws.FILTER(game_rosters!$J:$J,(game_rosters!$G:$G=events!$AN3652)*(game_rosters!$J:$J=events!$X3652))&gt;0,1,""),"")</f>
        <v>#VALUE!</v>
      </c>
      <c r="AA3652">
        <f t="shared" si="307"/>
        <v>1000</v>
      </c>
      <c r="AB3652" t="str">
        <f t="shared" si="308"/>
        <v/>
      </c>
      <c r="AC3652">
        <f t="shared" si="309"/>
        <v>1000</v>
      </c>
      <c r="AD3652" s="6"/>
    </row>
    <row r="3653" spans="1:30" x14ac:dyDescent="0.2">
      <c r="A3653" t="str">
        <f t="shared" ref="A3653:A3716" si="310">IF(K3653&lt;&gt;"",1,IF(D3653="x","x",""))</f>
        <v/>
      </c>
      <c r="X3653" t="str" cm="1">
        <f t="array" ref="X3653">IF(S3653="","",IF($I3653&lt;&gt;"",$I3653,INDEX($I$2:$I3652,ROW()-COUNTIFS($T$2:$T3652,"="&amp;$T3653,$S$2:$S3652,"&lt;&gt;"&amp;$S3653)-1)))</f>
        <v/>
      </c>
      <c r="Y3653" t="b">
        <f>IF(X3653&lt;&gt;"",VLOOKUP(X3653,game_rosters!$C$43:$E$64,3,FALSE))</f>
        <v>0</v>
      </c>
      <c r="Z3653" t="e" cm="1" vm="1">
        <f t="array" aca="1" ref="Z3653" ca="1">IFERROR(IF(_xlfn._xlws.FILTER(game_rosters!$J:$J,(game_rosters!$G:$G=events!$AN3653)*(game_rosters!$J:$J=events!$X3653))&gt;0,1,""),"")</f>
        <v>#VALUE!</v>
      </c>
      <c r="AA3653">
        <f t="shared" si="307"/>
        <v>1000</v>
      </c>
      <c r="AB3653" t="str">
        <f t="shared" si="308"/>
        <v/>
      </c>
      <c r="AC3653">
        <f t="shared" si="309"/>
        <v>1000</v>
      </c>
      <c r="AD3653" s="6"/>
    </row>
    <row r="3654" spans="1:30" x14ac:dyDescent="0.2">
      <c r="A3654" t="str">
        <f t="shared" si="310"/>
        <v/>
      </c>
      <c r="X3654" t="str" cm="1">
        <f t="array" ref="X3654">IF(S3654="","",IF($I3654&lt;&gt;"",$I3654,INDEX($I$2:$I3653,ROW()-COUNTIFS($T$2:$T3653,"="&amp;$T3654,$S$2:$S3653,"&lt;&gt;"&amp;$S3654)-1)))</f>
        <v/>
      </c>
      <c r="Y3654" t="b">
        <f>IF(X3654&lt;&gt;"",VLOOKUP(X3654,game_rosters!$C$43:$E$64,3,FALSE))</f>
        <v>0</v>
      </c>
      <c r="Z3654" t="e" cm="1" vm="1">
        <f t="array" aca="1" ref="Z3654" ca="1">IFERROR(IF(_xlfn._xlws.FILTER(game_rosters!$J:$J,(game_rosters!$G:$G=events!$AN3654)*(game_rosters!$J:$J=events!$X3654))&gt;0,1,""),"")</f>
        <v>#VALUE!</v>
      </c>
      <c r="AA3654">
        <f t="shared" si="307"/>
        <v>1000</v>
      </c>
      <c r="AB3654" t="str">
        <f t="shared" si="308"/>
        <v/>
      </c>
      <c r="AC3654">
        <f t="shared" si="309"/>
        <v>1000</v>
      </c>
      <c r="AD3654" s="6"/>
    </row>
    <row r="3655" spans="1:30" x14ac:dyDescent="0.2">
      <c r="A3655" t="str">
        <f t="shared" si="310"/>
        <v/>
      </c>
      <c r="X3655" t="str" cm="1">
        <f t="array" ref="X3655">IF(S3655="","",IF($I3655&lt;&gt;"",$I3655,INDEX($I$2:$I3654,ROW()-COUNTIFS($T$2:$T3654,"="&amp;$T3655,$S$2:$S3654,"&lt;&gt;"&amp;$S3655)-1)))</f>
        <v/>
      </c>
      <c r="Y3655" t="b">
        <f>IF(X3655&lt;&gt;"",VLOOKUP(X3655,game_rosters!$C$43:$E$64,3,FALSE))</f>
        <v>0</v>
      </c>
      <c r="Z3655" t="e" cm="1" vm="1">
        <f t="array" aca="1" ref="Z3655" ca="1">IFERROR(IF(_xlfn._xlws.FILTER(game_rosters!$J:$J,(game_rosters!$G:$G=events!$AN3655)*(game_rosters!$J:$J=events!$X3655))&gt;0,1,""),"")</f>
        <v>#VALUE!</v>
      </c>
      <c r="AA3655">
        <f t="shared" si="307"/>
        <v>1000</v>
      </c>
      <c r="AB3655" t="str">
        <f t="shared" si="308"/>
        <v/>
      </c>
      <c r="AC3655">
        <f t="shared" si="309"/>
        <v>1000</v>
      </c>
      <c r="AD3655" s="6"/>
    </row>
    <row r="3656" spans="1:30" x14ac:dyDescent="0.2">
      <c r="A3656" t="str">
        <f t="shared" si="310"/>
        <v/>
      </c>
      <c r="X3656" t="str" cm="1">
        <f t="array" ref="X3656">IF(S3656="","",IF($I3656&lt;&gt;"",$I3656,INDEX($I$2:$I3655,ROW()-COUNTIFS($T$2:$T3655,"="&amp;$T3656,$S$2:$S3655,"&lt;&gt;"&amp;$S3656)-1)))</f>
        <v/>
      </c>
      <c r="Y3656" t="b">
        <f>IF(X3656&lt;&gt;"",VLOOKUP(X3656,game_rosters!$C$43:$E$64,3,FALSE))</f>
        <v>0</v>
      </c>
      <c r="Z3656" t="e" cm="1" vm="1">
        <f t="array" aca="1" ref="Z3656" ca="1">IFERROR(IF(_xlfn._xlws.FILTER(game_rosters!$J:$J,(game_rosters!$G:$G=events!$AN3656)*(game_rosters!$J:$J=events!$X3656))&gt;0,1,""),"")</f>
        <v>#VALUE!</v>
      </c>
      <c r="AA3656">
        <f t="shared" si="307"/>
        <v>1000</v>
      </c>
      <c r="AB3656" t="str">
        <f t="shared" si="308"/>
        <v/>
      </c>
      <c r="AC3656">
        <f t="shared" si="309"/>
        <v>1000</v>
      </c>
      <c r="AD3656" s="6"/>
    </row>
    <row r="3657" spans="1:30" x14ac:dyDescent="0.2">
      <c r="A3657" t="str">
        <f t="shared" si="310"/>
        <v/>
      </c>
      <c r="X3657" t="str" cm="1">
        <f t="array" ref="X3657">IF(S3657="","",IF($I3657&lt;&gt;"",$I3657,INDEX($I$2:$I3656,ROW()-COUNTIFS($T$2:$T3656,"="&amp;$T3657,$S$2:$S3656,"&lt;&gt;"&amp;$S3657)-1)))</f>
        <v/>
      </c>
      <c r="Y3657" t="b">
        <f>IF(X3657&lt;&gt;"",VLOOKUP(X3657,game_rosters!$C$43:$E$64,3,FALSE))</f>
        <v>0</v>
      </c>
      <c r="Z3657" t="e" cm="1" vm="1">
        <f t="array" aca="1" ref="Z3657" ca="1">IFERROR(IF(_xlfn._xlws.FILTER(game_rosters!$J:$J,(game_rosters!$G:$G=events!$AN3657)*(game_rosters!$J:$J=events!$X3657))&gt;0,1,""),"")</f>
        <v>#VALUE!</v>
      </c>
      <c r="AA3657">
        <f t="shared" si="307"/>
        <v>1000</v>
      </c>
      <c r="AB3657" t="str">
        <f t="shared" si="308"/>
        <v/>
      </c>
      <c r="AC3657">
        <f t="shared" si="309"/>
        <v>1000</v>
      </c>
      <c r="AD3657" s="6"/>
    </row>
    <row r="3658" spans="1:30" x14ac:dyDescent="0.2">
      <c r="A3658" t="str">
        <f t="shared" si="310"/>
        <v/>
      </c>
      <c r="X3658" t="str" cm="1">
        <f t="array" ref="X3658">IF(S3658="","",IF($I3658&lt;&gt;"",$I3658,INDEX($I$2:$I3657,ROW()-COUNTIFS($T$2:$T3657,"="&amp;$T3658,$S$2:$S3657,"&lt;&gt;"&amp;$S3658)-1)))</f>
        <v/>
      </c>
      <c r="Y3658" t="b">
        <f>IF(X3658&lt;&gt;"",VLOOKUP(X3658,game_rosters!$C$43:$E$64,3,FALSE))</f>
        <v>0</v>
      </c>
      <c r="Z3658" t="e" cm="1" vm="1">
        <f t="array" aca="1" ref="Z3658" ca="1">IFERROR(IF(_xlfn._xlws.FILTER(game_rosters!$J:$J,(game_rosters!$G:$G=events!$AN3658)*(game_rosters!$J:$J=events!$X3658))&gt;0,1,""),"")</f>
        <v>#VALUE!</v>
      </c>
      <c r="AA3658">
        <f t="shared" si="307"/>
        <v>1000</v>
      </c>
      <c r="AB3658" t="str">
        <f t="shared" si="308"/>
        <v/>
      </c>
      <c r="AC3658">
        <f t="shared" si="309"/>
        <v>1000</v>
      </c>
      <c r="AD3658" s="6"/>
    </row>
    <row r="3659" spans="1:30" x14ac:dyDescent="0.2">
      <c r="A3659" t="str">
        <f t="shared" si="310"/>
        <v/>
      </c>
      <c r="X3659" t="str" cm="1">
        <f t="array" ref="X3659">IF(S3659="","",IF($I3659&lt;&gt;"",$I3659,INDEX($I$2:$I3658,ROW()-COUNTIFS($T$2:$T3658,"="&amp;$T3659,$S$2:$S3658,"&lt;&gt;"&amp;$S3659)-1)))</f>
        <v/>
      </c>
      <c r="Y3659" t="b">
        <f>IF(X3659&lt;&gt;"",VLOOKUP(X3659,game_rosters!$C$43:$E$64,3,FALSE))</f>
        <v>0</v>
      </c>
      <c r="Z3659" t="e" cm="1" vm="1">
        <f t="array" aca="1" ref="Z3659" ca="1">IFERROR(IF(_xlfn._xlws.FILTER(game_rosters!$J:$J,(game_rosters!$G:$G=events!$AN3659)*(game_rosters!$J:$J=events!$X3659))&gt;0,1,""),"")</f>
        <v>#VALUE!</v>
      </c>
      <c r="AA3659">
        <f t="shared" si="307"/>
        <v>1000</v>
      </c>
      <c r="AB3659" t="str">
        <f t="shared" si="308"/>
        <v/>
      </c>
      <c r="AC3659">
        <f t="shared" si="309"/>
        <v>1000</v>
      </c>
      <c r="AD3659" s="6"/>
    </row>
    <row r="3660" spans="1:30" x14ac:dyDescent="0.2">
      <c r="A3660" t="str">
        <f t="shared" si="310"/>
        <v/>
      </c>
      <c r="X3660" t="str" cm="1">
        <f t="array" ref="X3660">IF(S3660="","",IF($I3660&lt;&gt;"",$I3660,INDEX($I$2:$I3659,ROW()-COUNTIFS($T$2:$T3659,"="&amp;$T3660,$S$2:$S3659,"&lt;&gt;"&amp;$S3660)-1)))</f>
        <v/>
      </c>
      <c r="Y3660" t="b">
        <f>IF(X3660&lt;&gt;"",VLOOKUP(X3660,game_rosters!$C$43:$E$64,3,FALSE))</f>
        <v>0</v>
      </c>
      <c r="Z3660" t="e" cm="1" vm="1">
        <f t="array" aca="1" ref="Z3660" ca="1">IFERROR(IF(_xlfn._xlws.FILTER(game_rosters!$J:$J,(game_rosters!$G:$G=events!$AN3660)*(game_rosters!$J:$J=events!$X3660))&gt;0,1,""),"")</f>
        <v>#VALUE!</v>
      </c>
      <c r="AA3660">
        <f t="shared" si="307"/>
        <v>1000</v>
      </c>
      <c r="AB3660" t="str">
        <f t="shared" si="308"/>
        <v/>
      </c>
      <c r="AC3660">
        <f t="shared" si="309"/>
        <v>1000</v>
      </c>
      <c r="AD3660" s="6"/>
    </row>
    <row r="3661" spans="1:30" x14ac:dyDescent="0.2">
      <c r="A3661" t="str">
        <f t="shared" si="310"/>
        <v/>
      </c>
      <c r="X3661" t="str" cm="1">
        <f t="array" ref="X3661">IF(S3661="","",IF($I3661&lt;&gt;"",$I3661,INDEX($I$2:$I3660,ROW()-COUNTIFS($T$2:$T3660,"="&amp;$T3661,$S$2:$S3660,"&lt;&gt;"&amp;$S3661)-1)))</f>
        <v/>
      </c>
      <c r="Y3661" t="b">
        <f>IF(X3661&lt;&gt;"",VLOOKUP(X3661,game_rosters!$C$43:$E$64,3,FALSE))</f>
        <v>0</v>
      </c>
      <c r="Z3661" t="e" cm="1" vm="1">
        <f t="array" aca="1" ref="Z3661" ca="1">IFERROR(IF(_xlfn._xlws.FILTER(game_rosters!$J:$J,(game_rosters!$G:$G=events!$AN3661)*(game_rosters!$J:$J=events!$X3661))&gt;0,1,""),"")</f>
        <v>#VALUE!</v>
      </c>
      <c r="AA3661">
        <f t="shared" si="307"/>
        <v>1000</v>
      </c>
      <c r="AB3661" t="str">
        <f t="shared" si="308"/>
        <v/>
      </c>
      <c r="AC3661">
        <f t="shared" si="309"/>
        <v>1000</v>
      </c>
      <c r="AD3661" s="6"/>
    </row>
    <row r="3662" spans="1:30" x14ac:dyDescent="0.2">
      <c r="A3662" t="str">
        <f t="shared" si="310"/>
        <v/>
      </c>
      <c r="X3662" t="str" cm="1">
        <f t="array" ref="X3662">IF(S3662="","",IF($I3662&lt;&gt;"",$I3662,INDEX($I$2:$I3661,ROW()-COUNTIFS($T$2:$T3661,"="&amp;$T3662,$S$2:$S3661,"&lt;&gt;"&amp;$S3662)-1)))</f>
        <v/>
      </c>
      <c r="Y3662" t="b">
        <f>IF(X3662&lt;&gt;"",VLOOKUP(X3662,game_rosters!$C$43:$E$64,3,FALSE))</f>
        <v>0</v>
      </c>
      <c r="Z3662" t="e" cm="1" vm="1">
        <f t="array" aca="1" ref="Z3662" ca="1">IFERROR(IF(_xlfn._xlws.FILTER(game_rosters!$J:$J,(game_rosters!$G:$G=events!$AN3662)*(game_rosters!$J:$J=events!$X3662))&gt;0,1,""),"")</f>
        <v>#VALUE!</v>
      </c>
      <c r="AA3662">
        <f t="shared" si="307"/>
        <v>1000</v>
      </c>
      <c r="AB3662" t="str">
        <f t="shared" si="308"/>
        <v/>
      </c>
      <c r="AC3662">
        <f t="shared" si="309"/>
        <v>1000</v>
      </c>
      <c r="AD3662" s="6"/>
    </row>
    <row r="3663" spans="1:30" x14ac:dyDescent="0.2">
      <c r="A3663" t="str">
        <f t="shared" si="310"/>
        <v/>
      </c>
      <c r="X3663" t="str" cm="1">
        <f t="array" ref="X3663">IF(S3663="","",IF($I3663&lt;&gt;"",$I3663,INDEX($I$2:$I3662,ROW()-COUNTIFS($T$2:$T3662,"="&amp;$T3663,$S$2:$S3662,"&lt;&gt;"&amp;$S3663)-1)))</f>
        <v/>
      </c>
      <c r="Y3663" t="b">
        <f>IF(X3663&lt;&gt;"",VLOOKUP(X3663,game_rosters!$C$43:$E$64,3,FALSE))</f>
        <v>0</v>
      </c>
      <c r="Z3663" t="e" cm="1" vm="1">
        <f t="array" aca="1" ref="Z3663" ca="1">IFERROR(IF(_xlfn._xlws.FILTER(game_rosters!$J:$J,(game_rosters!$G:$G=events!$AN3663)*(game_rosters!$J:$J=events!$X3663))&gt;0,1,""),"")</f>
        <v>#VALUE!</v>
      </c>
      <c r="AA3663">
        <f t="shared" si="307"/>
        <v>1000</v>
      </c>
      <c r="AB3663" t="str">
        <f t="shared" si="308"/>
        <v/>
      </c>
      <c r="AC3663">
        <f t="shared" si="309"/>
        <v>1000</v>
      </c>
      <c r="AD3663" s="6"/>
    </row>
    <row r="3664" spans="1:30" x14ac:dyDescent="0.2">
      <c r="A3664" t="str">
        <f t="shared" si="310"/>
        <v/>
      </c>
      <c r="X3664" t="str" cm="1">
        <f t="array" ref="X3664">IF(S3664="","",IF($I3664&lt;&gt;"",$I3664,INDEX($I$2:$I3663,ROW()-COUNTIFS($T$2:$T3663,"="&amp;$T3664,$S$2:$S3663,"&lt;&gt;"&amp;$S3664)-1)))</f>
        <v/>
      </c>
      <c r="Y3664" t="b">
        <f>IF(X3664&lt;&gt;"",VLOOKUP(X3664,game_rosters!$C$43:$E$64,3,FALSE))</f>
        <v>0</v>
      </c>
      <c r="Z3664" t="e" cm="1" vm="1">
        <f t="array" aca="1" ref="Z3664" ca="1">IFERROR(IF(_xlfn._xlws.FILTER(game_rosters!$J:$J,(game_rosters!$G:$G=events!$AN3664)*(game_rosters!$J:$J=events!$X3664))&gt;0,1,""),"")</f>
        <v>#VALUE!</v>
      </c>
      <c r="AA3664">
        <f t="shared" si="307"/>
        <v>1000</v>
      </c>
      <c r="AB3664" t="str">
        <f t="shared" si="308"/>
        <v/>
      </c>
      <c r="AC3664">
        <f t="shared" si="309"/>
        <v>1000</v>
      </c>
      <c r="AD3664" s="6"/>
    </row>
    <row r="3665" spans="1:30" x14ac:dyDescent="0.2">
      <c r="A3665" t="str">
        <f t="shared" si="310"/>
        <v/>
      </c>
      <c r="X3665" t="str" cm="1">
        <f t="array" ref="X3665">IF(S3665="","",IF($I3665&lt;&gt;"",$I3665,INDEX($I$2:$I3664,ROW()-COUNTIFS($T$2:$T3664,"="&amp;$T3665,$S$2:$S3664,"&lt;&gt;"&amp;$S3665)-1)))</f>
        <v/>
      </c>
      <c r="Y3665" t="b">
        <f>IF(X3665&lt;&gt;"",VLOOKUP(X3665,game_rosters!$C$43:$E$64,3,FALSE))</f>
        <v>0</v>
      </c>
      <c r="Z3665" t="e" cm="1" vm="1">
        <f t="array" aca="1" ref="Z3665" ca="1">IFERROR(IF(_xlfn._xlws.FILTER(game_rosters!$J:$J,(game_rosters!$G:$G=events!$AN3665)*(game_rosters!$J:$J=events!$X3665))&gt;0,1,""),"")</f>
        <v>#VALUE!</v>
      </c>
      <c r="AA3665">
        <f t="shared" si="307"/>
        <v>1000</v>
      </c>
      <c r="AB3665" t="str">
        <f t="shared" si="308"/>
        <v/>
      </c>
      <c r="AC3665">
        <f t="shared" si="309"/>
        <v>1000</v>
      </c>
      <c r="AD3665" s="6"/>
    </row>
    <row r="3666" spans="1:30" x14ac:dyDescent="0.2">
      <c r="A3666" t="str">
        <f t="shared" si="310"/>
        <v/>
      </c>
      <c r="X3666" t="str" cm="1">
        <f t="array" ref="X3666">IF(S3666="","",IF($I3666&lt;&gt;"",$I3666,INDEX($I$2:$I3665,ROW()-COUNTIFS($T$2:$T3665,"="&amp;$T3666,$S$2:$S3665,"&lt;&gt;"&amp;$S3666)-1)))</f>
        <v/>
      </c>
      <c r="Y3666" t="b">
        <f>IF(X3666&lt;&gt;"",VLOOKUP(X3666,game_rosters!$C$43:$E$64,3,FALSE))</f>
        <v>0</v>
      </c>
      <c r="Z3666" t="e" cm="1" vm="1">
        <f t="array" aca="1" ref="Z3666" ca="1">IFERROR(IF(_xlfn._xlws.FILTER(game_rosters!$J:$J,(game_rosters!$G:$G=events!$AN3666)*(game_rosters!$J:$J=events!$X3666))&gt;0,1,""),"")</f>
        <v>#VALUE!</v>
      </c>
      <c r="AA3666">
        <f t="shared" si="307"/>
        <v>1000</v>
      </c>
      <c r="AB3666" t="str">
        <f t="shared" si="308"/>
        <v/>
      </c>
      <c r="AC3666">
        <f t="shared" si="309"/>
        <v>1000</v>
      </c>
      <c r="AD3666" s="6"/>
    </row>
    <row r="3667" spans="1:30" x14ac:dyDescent="0.2">
      <c r="A3667" t="str">
        <f t="shared" si="310"/>
        <v/>
      </c>
      <c r="X3667" t="str" cm="1">
        <f t="array" ref="X3667">IF(S3667="","",IF($I3667&lt;&gt;"",$I3667,INDEX($I$2:$I3666,ROW()-COUNTIFS($T$2:$T3666,"="&amp;$T3667,$S$2:$S3666,"&lt;&gt;"&amp;$S3667)-1)))</f>
        <v/>
      </c>
      <c r="Y3667" t="b">
        <f>IF(X3667&lt;&gt;"",VLOOKUP(X3667,game_rosters!$C$43:$E$64,3,FALSE))</f>
        <v>0</v>
      </c>
      <c r="Z3667" t="e" cm="1" vm="1">
        <f t="array" aca="1" ref="Z3667" ca="1">IFERROR(IF(_xlfn._xlws.FILTER(game_rosters!$J:$J,(game_rosters!$G:$G=events!$AN3667)*(game_rosters!$J:$J=events!$X3667))&gt;0,1,""),"")</f>
        <v>#VALUE!</v>
      </c>
      <c r="AA3667">
        <f t="shared" si="307"/>
        <v>1000</v>
      </c>
      <c r="AB3667" t="str">
        <f t="shared" si="308"/>
        <v/>
      </c>
      <c r="AC3667">
        <f t="shared" si="309"/>
        <v>1000</v>
      </c>
      <c r="AD3667" s="6"/>
    </row>
    <row r="3668" spans="1:30" x14ac:dyDescent="0.2">
      <c r="A3668" t="str">
        <f t="shared" si="310"/>
        <v/>
      </c>
      <c r="X3668" t="str" cm="1">
        <f t="array" ref="X3668">IF(S3668="","",IF($I3668&lt;&gt;"",$I3668,INDEX($I$2:$I3667,ROW()-COUNTIFS($T$2:$T3667,"="&amp;$T3668,$S$2:$S3667,"&lt;&gt;"&amp;$S3668)-1)))</f>
        <v/>
      </c>
      <c r="Y3668" t="b">
        <f>IF(X3668&lt;&gt;"",VLOOKUP(X3668,game_rosters!$C$43:$E$64,3,FALSE))</f>
        <v>0</v>
      </c>
      <c r="Z3668" t="e" cm="1" vm="1">
        <f t="array" aca="1" ref="Z3668" ca="1">IFERROR(IF(_xlfn._xlws.FILTER(game_rosters!$J:$J,(game_rosters!$G:$G=events!$AN3668)*(game_rosters!$J:$J=events!$X3668))&gt;0,1,""),"")</f>
        <v>#VALUE!</v>
      </c>
      <c r="AA3668">
        <f t="shared" si="307"/>
        <v>1000</v>
      </c>
      <c r="AB3668" t="str">
        <f t="shared" si="308"/>
        <v/>
      </c>
      <c r="AC3668">
        <f t="shared" si="309"/>
        <v>1000</v>
      </c>
      <c r="AD3668" s="6"/>
    </row>
    <row r="3669" spans="1:30" x14ac:dyDescent="0.2">
      <c r="A3669" t="str">
        <f t="shared" si="310"/>
        <v/>
      </c>
      <c r="X3669" t="str" cm="1">
        <f t="array" ref="X3669">IF(S3669="","",IF($I3669&lt;&gt;"",$I3669,INDEX($I$2:$I3668,ROW()-COUNTIFS($T$2:$T3668,"="&amp;$T3669,$S$2:$S3668,"&lt;&gt;"&amp;$S3669)-1)))</f>
        <v/>
      </c>
      <c r="Y3669" t="b">
        <f>IF(X3669&lt;&gt;"",VLOOKUP(X3669,game_rosters!$C$43:$E$64,3,FALSE))</f>
        <v>0</v>
      </c>
      <c r="Z3669" t="e" cm="1" vm="1">
        <f t="array" aca="1" ref="Z3669" ca="1">IFERROR(IF(_xlfn._xlws.FILTER(game_rosters!$J:$J,(game_rosters!$G:$G=events!$AN3669)*(game_rosters!$J:$J=events!$X3669))&gt;0,1,""),"")</f>
        <v>#VALUE!</v>
      </c>
      <c r="AA3669">
        <f t="shared" si="307"/>
        <v>1000</v>
      </c>
      <c r="AB3669" t="str">
        <f t="shared" si="308"/>
        <v/>
      </c>
      <c r="AC3669">
        <f t="shared" si="309"/>
        <v>1000</v>
      </c>
      <c r="AD3669" s="6"/>
    </row>
    <row r="3670" spans="1:30" x14ac:dyDescent="0.2">
      <c r="A3670" t="str">
        <f t="shared" si="310"/>
        <v/>
      </c>
      <c r="X3670" t="str" cm="1">
        <f t="array" ref="X3670">IF(S3670="","",IF($I3670&lt;&gt;"",$I3670,INDEX($I$2:$I3669,ROW()-COUNTIFS($T$2:$T3669,"="&amp;$T3670,$S$2:$S3669,"&lt;&gt;"&amp;$S3670)-1)))</f>
        <v/>
      </c>
      <c r="Y3670" t="b">
        <f>IF(X3670&lt;&gt;"",VLOOKUP(X3670,game_rosters!$C$43:$E$64,3,FALSE))</f>
        <v>0</v>
      </c>
      <c r="Z3670" t="e" cm="1" vm="1">
        <f t="array" aca="1" ref="Z3670" ca="1">IFERROR(IF(_xlfn._xlws.FILTER(game_rosters!$J:$J,(game_rosters!$G:$G=events!$AN3670)*(game_rosters!$J:$J=events!$X3670))&gt;0,1,""),"")</f>
        <v>#VALUE!</v>
      </c>
      <c r="AA3670">
        <f t="shared" si="307"/>
        <v>1000</v>
      </c>
      <c r="AB3670" t="str">
        <f t="shared" si="308"/>
        <v/>
      </c>
      <c r="AC3670">
        <f t="shared" si="309"/>
        <v>1000</v>
      </c>
      <c r="AD3670" s="6"/>
    </row>
    <row r="3671" spans="1:30" x14ac:dyDescent="0.2">
      <c r="A3671" t="str">
        <f t="shared" si="310"/>
        <v/>
      </c>
      <c r="X3671" t="str" cm="1">
        <f t="array" ref="X3671">IF(S3671="","",IF($I3671&lt;&gt;"",$I3671,INDEX($I$2:$I3670,ROW()-COUNTIFS($T$2:$T3670,"="&amp;$T3671,$S$2:$S3670,"&lt;&gt;"&amp;$S3671)-1)))</f>
        <v/>
      </c>
      <c r="Y3671" t="b">
        <f>IF(X3671&lt;&gt;"",VLOOKUP(X3671,game_rosters!$C$43:$E$64,3,FALSE))</f>
        <v>0</v>
      </c>
      <c r="Z3671" t="e" cm="1" vm="1">
        <f t="array" aca="1" ref="Z3671" ca="1">IFERROR(IF(_xlfn._xlws.FILTER(game_rosters!$J:$J,(game_rosters!$G:$G=events!$AN3671)*(game_rosters!$J:$J=events!$X3671))&gt;0,1,""),"")</f>
        <v>#VALUE!</v>
      </c>
      <c r="AA3671">
        <f t="shared" si="307"/>
        <v>1000</v>
      </c>
      <c r="AB3671" t="str">
        <f t="shared" si="308"/>
        <v/>
      </c>
      <c r="AC3671">
        <f t="shared" si="309"/>
        <v>1000</v>
      </c>
      <c r="AD3671" s="6"/>
    </row>
    <row r="3672" spans="1:30" x14ac:dyDescent="0.2">
      <c r="A3672" t="str">
        <f t="shared" si="310"/>
        <v/>
      </c>
      <c r="X3672" t="str" cm="1">
        <f t="array" ref="X3672">IF(S3672="","",IF($I3672&lt;&gt;"",$I3672,INDEX($I$2:$I3671,ROW()-COUNTIFS($T$2:$T3671,"="&amp;$T3672,$S$2:$S3671,"&lt;&gt;"&amp;$S3672)-1)))</f>
        <v/>
      </c>
      <c r="Y3672" t="b">
        <f>IF(X3672&lt;&gt;"",VLOOKUP(X3672,game_rosters!$C$43:$E$64,3,FALSE))</f>
        <v>0</v>
      </c>
      <c r="Z3672" t="e" cm="1" vm="1">
        <f t="array" aca="1" ref="Z3672" ca="1">IFERROR(IF(_xlfn._xlws.FILTER(game_rosters!$J:$J,(game_rosters!$G:$G=events!$AN3672)*(game_rosters!$J:$J=events!$X3672))&gt;0,1,""),"")</f>
        <v>#VALUE!</v>
      </c>
      <c r="AA3672">
        <f t="shared" si="307"/>
        <v>1000</v>
      </c>
      <c r="AB3672" t="str">
        <f t="shared" si="308"/>
        <v/>
      </c>
      <c r="AC3672">
        <f t="shared" si="309"/>
        <v>1000</v>
      </c>
      <c r="AD3672" s="6"/>
    </row>
    <row r="3673" spans="1:30" x14ac:dyDescent="0.2">
      <c r="A3673" t="str">
        <f t="shared" si="310"/>
        <v/>
      </c>
      <c r="X3673" t="str" cm="1">
        <f t="array" ref="X3673">IF(S3673="","",IF($I3673&lt;&gt;"",$I3673,INDEX($I$2:$I3672,ROW()-COUNTIFS($T$2:$T3672,"="&amp;$T3673,$S$2:$S3672,"&lt;&gt;"&amp;$S3673)-1)))</f>
        <v/>
      </c>
      <c r="Y3673" t="b">
        <f>IF(X3673&lt;&gt;"",VLOOKUP(X3673,game_rosters!$C$43:$E$64,3,FALSE))</f>
        <v>0</v>
      </c>
      <c r="Z3673" t="e" cm="1" vm="1">
        <f t="array" aca="1" ref="Z3673" ca="1">IFERROR(IF(_xlfn._xlws.FILTER(game_rosters!$J:$J,(game_rosters!$G:$G=events!$AN3673)*(game_rosters!$J:$J=events!$X3673))&gt;0,1,""),"")</f>
        <v>#VALUE!</v>
      </c>
      <c r="AA3673">
        <f t="shared" si="307"/>
        <v>1000</v>
      </c>
      <c r="AB3673" t="str">
        <f t="shared" si="308"/>
        <v/>
      </c>
      <c r="AC3673">
        <f t="shared" si="309"/>
        <v>1000</v>
      </c>
      <c r="AD3673" s="6"/>
    </row>
    <row r="3674" spans="1:30" x14ac:dyDescent="0.2">
      <c r="A3674" t="str">
        <f t="shared" si="310"/>
        <v/>
      </c>
      <c r="X3674" t="str" cm="1">
        <f t="array" ref="X3674">IF(S3674="","",IF($I3674&lt;&gt;"",$I3674,INDEX($I$2:$I3673,ROW()-COUNTIFS($T$2:$T3673,"="&amp;$T3674,$S$2:$S3673,"&lt;&gt;"&amp;$S3674)-1)))</f>
        <v/>
      </c>
      <c r="Y3674" t="b">
        <f>IF(X3674&lt;&gt;"",VLOOKUP(X3674,game_rosters!$C$43:$E$64,3,FALSE))</f>
        <v>0</v>
      </c>
      <c r="Z3674" t="e" cm="1" vm="1">
        <f t="array" aca="1" ref="Z3674" ca="1">IFERROR(IF(_xlfn._xlws.FILTER(game_rosters!$J:$J,(game_rosters!$G:$G=events!$AN3674)*(game_rosters!$J:$J=events!$X3674))&gt;0,1,""),"")</f>
        <v>#VALUE!</v>
      </c>
      <c r="AA3674">
        <f t="shared" si="307"/>
        <v>1000</v>
      </c>
      <c r="AB3674" t="str">
        <f t="shared" si="308"/>
        <v/>
      </c>
      <c r="AC3674">
        <f t="shared" si="309"/>
        <v>1000</v>
      </c>
      <c r="AD3674" s="6"/>
    </row>
    <row r="3675" spans="1:30" x14ac:dyDescent="0.2">
      <c r="A3675" t="str">
        <f t="shared" si="310"/>
        <v/>
      </c>
      <c r="X3675" t="str" cm="1">
        <f t="array" ref="X3675">IF(S3675="","",IF($I3675&lt;&gt;"",$I3675,INDEX($I$2:$I3674,ROW()-COUNTIFS($T$2:$T3674,"="&amp;$T3675,$S$2:$S3674,"&lt;&gt;"&amp;$S3675)-1)))</f>
        <v/>
      </c>
      <c r="Y3675" t="b">
        <f>IF(X3675&lt;&gt;"",VLOOKUP(X3675,game_rosters!$C$43:$E$64,3,FALSE))</f>
        <v>0</v>
      </c>
      <c r="Z3675" t="e" cm="1" vm="1">
        <f t="array" aca="1" ref="Z3675" ca="1">IFERROR(IF(_xlfn._xlws.FILTER(game_rosters!$J:$J,(game_rosters!$G:$G=events!$AN3675)*(game_rosters!$J:$J=events!$X3675))&gt;0,1,""),"")</f>
        <v>#VALUE!</v>
      </c>
      <c r="AA3675">
        <f t="shared" si="307"/>
        <v>1000</v>
      </c>
      <c r="AB3675" t="str">
        <f t="shared" si="308"/>
        <v/>
      </c>
      <c r="AC3675">
        <f t="shared" si="309"/>
        <v>1000</v>
      </c>
      <c r="AD3675" s="6"/>
    </row>
    <row r="3676" spans="1:30" x14ac:dyDescent="0.2">
      <c r="A3676" t="str">
        <f t="shared" si="310"/>
        <v/>
      </c>
      <c r="X3676" t="str" cm="1">
        <f t="array" ref="X3676">IF(S3676="","",IF($I3676&lt;&gt;"",$I3676,INDEX($I$2:$I3675,ROW()-COUNTIFS($T$2:$T3675,"="&amp;$T3676,$S$2:$S3675,"&lt;&gt;"&amp;$S3676)-1)))</f>
        <v/>
      </c>
      <c r="Y3676" t="b">
        <f>IF(X3676&lt;&gt;"",VLOOKUP(X3676,game_rosters!$C$43:$E$64,3,FALSE))</f>
        <v>0</v>
      </c>
      <c r="Z3676" t="e" cm="1" vm="1">
        <f t="array" aca="1" ref="Z3676" ca="1">IFERROR(IF(_xlfn._xlws.FILTER(game_rosters!$J:$J,(game_rosters!$G:$G=events!$AN3676)*(game_rosters!$J:$J=events!$X3676))&gt;0,1,""),"")</f>
        <v>#VALUE!</v>
      </c>
      <c r="AA3676">
        <f t="shared" si="307"/>
        <v>1000</v>
      </c>
      <c r="AB3676" t="str">
        <f t="shared" si="308"/>
        <v/>
      </c>
      <c r="AC3676">
        <f t="shared" si="309"/>
        <v>1000</v>
      </c>
      <c r="AD3676" s="6"/>
    </row>
    <row r="3677" spans="1:30" x14ac:dyDescent="0.2">
      <c r="A3677" t="str">
        <f t="shared" si="310"/>
        <v/>
      </c>
      <c r="X3677" t="str" cm="1">
        <f t="array" ref="X3677">IF(S3677="","",IF($I3677&lt;&gt;"",$I3677,INDEX($I$2:$I3676,ROW()-COUNTIFS($T$2:$T3676,"="&amp;$T3677,$S$2:$S3676,"&lt;&gt;"&amp;$S3677)-1)))</f>
        <v/>
      </c>
      <c r="Y3677" t="b">
        <f>IF(X3677&lt;&gt;"",VLOOKUP(X3677,game_rosters!$C$43:$E$64,3,FALSE))</f>
        <v>0</v>
      </c>
      <c r="Z3677" t="e" cm="1" vm="1">
        <f t="array" aca="1" ref="Z3677" ca="1">IFERROR(IF(_xlfn._xlws.FILTER(game_rosters!$J:$J,(game_rosters!$G:$G=events!$AN3677)*(game_rosters!$J:$J=events!$X3677))&gt;0,1,""),"")</f>
        <v>#VALUE!</v>
      </c>
      <c r="AA3677">
        <f t="shared" ref="AA3677:AA3740" si="311">S3677+1000</f>
        <v>1000</v>
      </c>
      <c r="AB3677" t="str">
        <f t="shared" ref="AB3677:AB3740" si="312">IF(T3677&lt;&gt;"",9000+T3677,"")</f>
        <v/>
      </c>
      <c r="AC3677">
        <f t="shared" si="309"/>
        <v>1000</v>
      </c>
      <c r="AD3677" s="6"/>
    </row>
    <row r="3678" spans="1:30" x14ac:dyDescent="0.2">
      <c r="A3678" t="str">
        <f t="shared" si="310"/>
        <v/>
      </c>
      <c r="X3678" t="str" cm="1">
        <f t="array" ref="X3678">IF(S3678="","",IF($I3678&lt;&gt;"",$I3678,INDEX($I$2:$I3677,ROW()-COUNTIFS($T$2:$T3677,"="&amp;$T3678,$S$2:$S3677,"&lt;&gt;"&amp;$S3678)-1)))</f>
        <v/>
      </c>
      <c r="Y3678" t="b">
        <f>IF(X3678&lt;&gt;"",VLOOKUP(X3678,game_rosters!$C$43:$E$64,3,FALSE))</f>
        <v>0</v>
      </c>
      <c r="Z3678" t="e" cm="1" vm="1">
        <f t="array" aca="1" ref="Z3678" ca="1">IFERROR(IF(_xlfn._xlws.FILTER(game_rosters!$J:$J,(game_rosters!$G:$G=events!$AN3678)*(game_rosters!$J:$J=events!$X3678))&gt;0,1,""),"")</f>
        <v>#VALUE!</v>
      </c>
      <c r="AA3678">
        <f t="shared" si="311"/>
        <v>1000</v>
      </c>
      <c r="AB3678" t="str">
        <f t="shared" si="312"/>
        <v/>
      </c>
      <c r="AC3678">
        <f t="shared" si="309"/>
        <v>1000</v>
      </c>
      <c r="AD3678" s="6"/>
    </row>
    <row r="3679" spans="1:30" x14ac:dyDescent="0.2">
      <c r="A3679" t="str">
        <f t="shared" si="310"/>
        <v/>
      </c>
      <c r="X3679" t="str" cm="1">
        <f t="array" ref="X3679">IF(S3679="","",IF($I3679&lt;&gt;"",$I3679,INDEX($I$2:$I3678,ROW()-COUNTIFS($T$2:$T3678,"="&amp;$T3679,$S$2:$S3678,"&lt;&gt;"&amp;$S3679)-1)))</f>
        <v/>
      </c>
      <c r="Y3679" t="b">
        <f>IF(X3679&lt;&gt;"",VLOOKUP(X3679,game_rosters!$C$43:$E$64,3,FALSE))</f>
        <v>0</v>
      </c>
      <c r="Z3679" t="e" cm="1" vm="1">
        <f t="array" aca="1" ref="Z3679" ca="1">IFERROR(IF(_xlfn._xlws.FILTER(game_rosters!$J:$J,(game_rosters!$G:$G=events!$AN3679)*(game_rosters!$J:$J=events!$X3679))&gt;0,1,""),"")</f>
        <v>#VALUE!</v>
      </c>
      <c r="AA3679">
        <f t="shared" si="311"/>
        <v>1000</v>
      </c>
      <c r="AB3679" t="str">
        <f t="shared" si="312"/>
        <v/>
      </c>
      <c r="AC3679">
        <f t="shared" si="309"/>
        <v>1000</v>
      </c>
      <c r="AD3679" s="6"/>
    </row>
    <row r="3680" spans="1:30" x14ac:dyDescent="0.2">
      <c r="A3680" t="str">
        <f t="shared" si="310"/>
        <v/>
      </c>
      <c r="X3680" t="str" cm="1">
        <f t="array" ref="X3680">IF(S3680="","",IF($I3680&lt;&gt;"",$I3680,INDEX($I$2:$I3679,ROW()-COUNTIFS($T$2:$T3679,"="&amp;$T3680,$S$2:$S3679,"&lt;&gt;"&amp;$S3680)-1)))</f>
        <v/>
      </c>
      <c r="Y3680" t="b">
        <f>IF(X3680&lt;&gt;"",VLOOKUP(X3680,game_rosters!$C$43:$E$64,3,FALSE))</f>
        <v>0</v>
      </c>
      <c r="Z3680" t="e" cm="1" vm="1">
        <f t="array" aca="1" ref="Z3680" ca="1">IFERROR(IF(_xlfn._xlws.FILTER(game_rosters!$J:$J,(game_rosters!$G:$G=events!$AN3680)*(game_rosters!$J:$J=events!$X3680))&gt;0,1,""),"")</f>
        <v>#VALUE!</v>
      </c>
      <c r="AA3680">
        <f t="shared" si="311"/>
        <v>1000</v>
      </c>
      <c r="AB3680" t="str">
        <f t="shared" si="312"/>
        <v/>
      </c>
      <c r="AC3680">
        <f t="shared" si="309"/>
        <v>1000</v>
      </c>
      <c r="AD3680" s="6"/>
    </row>
    <row r="3681" spans="1:30" x14ac:dyDescent="0.2">
      <c r="A3681" t="str">
        <f t="shared" si="310"/>
        <v/>
      </c>
      <c r="X3681" t="str" cm="1">
        <f t="array" ref="X3681">IF(S3681="","",IF($I3681&lt;&gt;"",$I3681,INDEX($I$2:$I3680,ROW()-COUNTIFS($T$2:$T3680,"="&amp;$T3681,$S$2:$S3680,"&lt;&gt;"&amp;$S3681)-1)))</f>
        <v/>
      </c>
      <c r="Y3681" t="b">
        <f>IF(X3681&lt;&gt;"",VLOOKUP(X3681,game_rosters!$C$43:$E$64,3,FALSE))</f>
        <v>0</v>
      </c>
      <c r="Z3681" t="e" cm="1" vm="1">
        <f t="array" aca="1" ref="Z3681" ca="1">IFERROR(IF(_xlfn._xlws.FILTER(game_rosters!$J:$J,(game_rosters!$G:$G=events!$AN3681)*(game_rosters!$J:$J=events!$X3681))&gt;0,1,""),"")</f>
        <v>#VALUE!</v>
      </c>
      <c r="AA3681">
        <f t="shared" si="311"/>
        <v>1000</v>
      </c>
      <c r="AB3681" t="str">
        <f t="shared" si="312"/>
        <v/>
      </c>
      <c r="AC3681">
        <f t="shared" si="309"/>
        <v>1000</v>
      </c>
      <c r="AD3681" s="6"/>
    </row>
    <row r="3682" spans="1:30" x14ac:dyDescent="0.2">
      <c r="A3682" t="str">
        <f t="shared" si="310"/>
        <v/>
      </c>
      <c r="X3682" t="str" cm="1">
        <f t="array" ref="X3682">IF(S3682="","",IF($I3682&lt;&gt;"",$I3682,INDEX($I$2:$I3681,ROW()-COUNTIFS($T$2:$T3681,"="&amp;$T3682,$S$2:$S3681,"&lt;&gt;"&amp;$S3682)-1)))</f>
        <v/>
      </c>
      <c r="Y3682" t="b">
        <f>IF(X3682&lt;&gt;"",VLOOKUP(X3682,game_rosters!$C$43:$E$64,3,FALSE))</f>
        <v>0</v>
      </c>
      <c r="Z3682" t="e" cm="1" vm="1">
        <f t="array" aca="1" ref="Z3682" ca="1">IFERROR(IF(_xlfn._xlws.FILTER(game_rosters!$J:$J,(game_rosters!$G:$G=events!$AN3682)*(game_rosters!$J:$J=events!$X3682))&gt;0,1,""),"")</f>
        <v>#VALUE!</v>
      </c>
      <c r="AA3682">
        <f t="shared" si="311"/>
        <v>1000</v>
      </c>
      <c r="AB3682" t="str">
        <f t="shared" si="312"/>
        <v/>
      </c>
      <c r="AC3682">
        <f t="shared" si="309"/>
        <v>1000</v>
      </c>
      <c r="AD3682" s="6"/>
    </row>
    <row r="3683" spans="1:30" x14ac:dyDescent="0.2">
      <c r="A3683" t="str">
        <f t="shared" si="310"/>
        <v/>
      </c>
      <c r="X3683" t="str" cm="1">
        <f t="array" ref="X3683">IF(S3683="","",IF($I3683&lt;&gt;"",$I3683,INDEX($I$2:$I3682,ROW()-COUNTIFS($T$2:$T3682,"="&amp;$T3683,$S$2:$S3682,"&lt;&gt;"&amp;$S3683)-1)))</f>
        <v/>
      </c>
      <c r="Y3683" t="b">
        <f>IF(X3683&lt;&gt;"",VLOOKUP(X3683,game_rosters!$C$43:$E$64,3,FALSE))</f>
        <v>0</v>
      </c>
      <c r="Z3683" t="e" cm="1" vm="1">
        <f t="array" aca="1" ref="Z3683" ca="1">IFERROR(IF(_xlfn._xlws.FILTER(game_rosters!$J:$J,(game_rosters!$G:$G=events!$AN3683)*(game_rosters!$J:$J=events!$X3683))&gt;0,1,""),"")</f>
        <v>#VALUE!</v>
      </c>
      <c r="AA3683">
        <f t="shared" si="311"/>
        <v>1000</v>
      </c>
      <c r="AB3683" t="str">
        <f t="shared" si="312"/>
        <v/>
      </c>
      <c r="AC3683">
        <f t="shared" si="309"/>
        <v>1000</v>
      </c>
      <c r="AD3683" s="6"/>
    </row>
    <row r="3684" spans="1:30" x14ac:dyDescent="0.2">
      <c r="A3684" t="str">
        <f t="shared" si="310"/>
        <v/>
      </c>
      <c r="X3684" t="str" cm="1">
        <f t="array" ref="X3684">IF(S3684="","",IF($I3684&lt;&gt;"",$I3684,INDEX($I$2:$I3683,ROW()-COUNTIFS($T$2:$T3683,"="&amp;$T3684,$S$2:$S3683,"&lt;&gt;"&amp;$S3684)-1)))</f>
        <v/>
      </c>
      <c r="Y3684" t="b">
        <f>IF(X3684&lt;&gt;"",VLOOKUP(X3684,game_rosters!$C$43:$E$64,3,FALSE))</f>
        <v>0</v>
      </c>
      <c r="Z3684" t="e" cm="1" vm="1">
        <f t="array" aca="1" ref="Z3684" ca="1">IFERROR(IF(_xlfn._xlws.FILTER(game_rosters!$J:$J,(game_rosters!$G:$G=events!$AN3684)*(game_rosters!$J:$J=events!$X3684))&gt;0,1,""),"")</f>
        <v>#VALUE!</v>
      </c>
      <c r="AA3684">
        <f t="shared" si="311"/>
        <v>1000</v>
      </c>
      <c r="AB3684" t="str">
        <f t="shared" si="312"/>
        <v/>
      </c>
      <c r="AC3684">
        <f t="shared" si="309"/>
        <v>1000</v>
      </c>
      <c r="AD3684" s="6"/>
    </row>
    <row r="3685" spans="1:30" x14ac:dyDescent="0.2">
      <c r="A3685" t="str">
        <f t="shared" si="310"/>
        <v/>
      </c>
      <c r="X3685" t="str" cm="1">
        <f t="array" ref="X3685">IF(S3685="","",IF($I3685&lt;&gt;"",$I3685,INDEX($I$2:$I3684,ROW()-COUNTIFS($T$2:$T3684,"="&amp;$T3685,$S$2:$S3684,"&lt;&gt;"&amp;$S3685)-1)))</f>
        <v/>
      </c>
      <c r="Y3685" t="b">
        <f>IF(X3685&lt;&gt;"",VLOOKUP(X3685,game_rosters!$C$43:$E$64,3,FALSE))</f>
        <v>0</v>
      </c>
      <c r="Z3685" t="e" cm="1" vm="1">
        <f t="array" aca="1" ref="Z3685" ca="1">IFERROR(IF(_xlfn._xlws.FILTER(game_rosters!$J:$J,(game_rosters!$G:$G=events!$AN3685)*(game_rosters!$J:$J=events!$X3685))&gt;0,1,""),"")</f>
        <v>#VALUE!</v>
      </c>
      <c r="AA3685">
        <f t="shared" si="311"/>
        <v>1000</v>
      </c>
      <c r="AB3685" t="str">
        <f t="shared" si="312"/>
        <v/>
      </c>
      <c r="AC3685">
        <f t="shared" si="309"/>
        <v>1000</v>
      </c>
      <c r="AD3685" s="6"/>
    </row>
    <row r="3686" spans="1:30" x14ac:dyDescent="0.2">
      <c r="A3686" t="str">
        <f t="shared" si="310"/>
        <v/>
      </c>
      <c r="X3686" t="str" cm="1">
        <f t="array" ref="X3686">IF(S3686="","",IF($I3686&lt;&gt;"",$I3686,INDEX($I$2:$I3685,ROW()-COUNTIFS($T$2:$T3685,"="&amp;$T3686,$S$2:$S3685,"&lt;&gt;"&amp;$S3686)-1)))</f>
        <v/>
      </c>
      <c r="Y3686" t="b">
        <f>IF(X3686&lt;&gt;"",VLOOKUP(X3686,game_rosters!$C$43:$E$64,3,FALSE))</f>
        <v>0</v>
      </c>
      <c r="Z3686" t="e" cm="1" vm="1">
        <f t="array" aca="1" ref="Z3686" ca="1">IFERROR(IF(_xlfn._xlws.FILTER(game_rosters!$J:$J,(game_rosters!$G:$G=events!$AN3686)*(game_rosters!$J:$J=events!$X3686))&gt;0,1,""),"")</f>
        <v>#VALUE!</v>
      </c>
      <c r="AA3686">
        <f t="shared" si="311"/>
        <v>1000</v>
      </c>
      <c r="AB3686" t="str">
        <f t="shared" si="312"/>
        <v/>
      </c>
      <c r="AC3686">
        <f t="shared" si="309"/>
        <v>1000</v>
      </c>
      <c r="AD3686" s="6"/>
    </row>
    <row r="3687" spans="1:30" x14ac:dyDescent="0.2">
      <c r="A3687" t="str">
        <f t="shared" si="310"/>
        <v/>
      </c>
      <c r="X3687" t="str" cm="1">
        <f t="array" ref="X3687">IF(S3687="","",IF($I3687&lt;&gt;"",$I3687,INDEX($I$2:$I3686,ROW()-COUNTIFS($T$2:$T3686,"="&amp;$T3687,$S$2:$S3686,"&lt;&gt;"&amp;$S3687)-1)))</f>
        <v/>
      </c>
      <c r="Y3687" t="b">
        <f>IF(X3687&lt;&gt;"",VLOOKUP(X3687,game_rosters!$C$43:$E$64,3,FALSE))</f>
        <v>0</v>
      </c>
      <c r="Z3687" t="e" cm="1" vm="1">
        <f t="array" aca="1" ref="Z3687" ca="1">IFERROR(IF(_xlfn._xlws.FILTER(game_rosters!$J:$J,(game_rosters!$G:$G=events!$AN3687)*(game_rosters!$J:$J=events!$X3687))&gt;0,1,""),"")</f>
        <v>#VALUE!</v>
      </c>
      <c r="AA3687">
        <f t="shared" si="311"/>
        <v>1000</v>
      </c>
      <c r="AB3687" t="str">
        <f t="shared" si="312"/>
        <v/>
      </c>
      <c r="AC3687">
        <f t="shared" si="309"/>
        <v>1000</v>
      </c>
      <c r="AD3687" s="6"/>
    </row>
    <row r="3688" spans="1:30" x14ac:dyDescent="0.2">
      <c r="A3688" t="str">
        <f t="shared" si="310"/>
        <v/>
      </c>
      <c r="X3688" t="str" cm="1">
        <f t="array" ref="X3688">IF(S3688="","",IF($I3688&lt;&gt;"",$I3688,INDEX($I$2:$I3687,ROW()-COUNTIFS($T$2:$T3687,"="&amp;$T3688,$S$2:$S3687,"&lt;&gt;"&amp;$S3688)-1)))</f>
        <v/>
      </c>
      <c r="Y3688" t="b">
        <f>IF(X3688&lt;&gt;"",VLOOKUP(X3688,game_rosters!$C$43:$E$64,3,FALSE))</f>
        <v>0</v>
      </c>
      <c r="Z3688" t="e" cm="1" vm="1">
        <f t="array" aca="1" ref="Z3688" ca="1">IFERROR(IF(_xlfn._xlws.FILTER(game_rosters!$J:$J,(game_rosters!$G:$G=events!$AN3688)*(game_rosters!$J:$J=events!$X3688))&gt;0,1,""),"")</f>
        <v>#VALUE!</v>
      </c>
      <c r="AA3688">
        <f t="shared" si="311"/>
        <v>1000</v>
      </c>
      <c r="AB3688" t="str">
        <f t="shared" si="312"/>
        <v/>
      </c>
      <c r="AC3688">
        <f t="shared" si="309"/>
        <v>1000</v>
      </c>
      <c r="AD3688" s="6"/>
    </row>
    <row r="3689" spans="1:30" x14ac:dyDescent="0.2">
      <c r="A3689" t="str">
        <f t="shared" si="310"/>
        <v/>
      </c>
      <c r="X3689" t="str" cm="1">
        <f t="array" ref="X3689">IF(S3689="","",IF($I3689&lt;&gt;"",$I3689,INDEX($I$2:$I3688,ROW()-COUNTIFS($T$2:$T3688,"="&amp;$T3689,$S$2:$S3688,"&lt;&gt;"&amp;$S3689)-1)))</f>
        <v/>
      </c>
      <c r="Y3689" t="b">
        <f>IF(X3689&lt;&gt;"",VLOOKUP(X3689,game_rosters!$C$43:$E$64,3,FALSE))</f>
        <v>0</v>
      </c>
      <c r="Z3689" t="e" cm="1" vm="1">
        <f t="array" aca="1" ref="Z3689" ca="1">IFERROR(IF(_xlfn._xlws.FILTER(game_rosters!$J:$J,(game_rosters!$G:$G=events!$AN3689)*(game_rosters!$J:$J=events!$X3689))&gt;0,1,""),"")</f>
        <v>#VALUE!</v>
      </c>
      <c r="AA3689">
        <f t="shared" si="311"/>
        <v>1000</v>
      </c>
      <c r="AB3689" t="str">
        <f t="shared" si="312"/>
        <v/>
      </c>
      <c r="AC3689">
        <f t="shared" si="309"/>
        <v>1000</v>
      </c>
      <c r="AD3689" s="6"/>
    </row>
    <row r="3690" spans="1:30" x14ac:dyDescent="0.2">
      <c r="A3690" t="str">
        <f t="shared" si="310"/>
        <v/>
      </c>
      <c r="X3690" t="str" cm="1">
        <f t="array" ref="X3690">IF(S3690="","",IF($I3690&lt;&gt;"",$I3690,INDEX($I$2:$I3689,ROW()-COUNTIFS($T$2:$T3689,"="&amp;$T3690,$S$2:$S3689,"&lt;&gt;"&amp;$S3690)-1)))</f>
        <v/>
      </c>
      <c r="Y3690" t="b">
        <f>IF(X3690&lt;&gt;"",VLOOKUP(X3690,game_rosters!$C$43:$E$64,3,FALSE))</f>
        <v>0</v>
      </c>
      <c r="Z3690" t="e" cm="1" vm="1">
        <f t="array" aca="1" ref="Z3690" ca="1">IFERROR(IF(_xlfn._xlws.FILTER(game_rosters!$J:$J,(game_rosters!$G:$G=events!$AN3690)*(game_rosters!$J:$J=events!$X3690))&gt;0,1,""),"")</f>
        <v>#VALUE!</v>
      </c>
      <c r="AA3690">
        <f t="shared" si="311"/>
        <v>1000</v>
      </c>
      <c r="AB3690" t="str">
        <f t="shared" si="312"/>
        <v/>
      </c>
      <c r="AC3690">
        <f t="shared" si="309"/>
        <v>1000</v>
      </c>
      <c r="AD3690" s="6"/>
    </row>
    <row r="3691" spans="1:30" x14ac:dyDescent="0.2">
      <c r="A3691" t="str">
        <f t="shared" si="310"/>
        <v/>
      </c>
      <c r="X3691" t="str" cm="1">
        <f t="array" ref="X3691">IF(S3691="","",IF($I3691&lt;&gt;"",$I3691,INDEX($I$2:$I3690,ROW()-COUNTIFS($T$2:$T3690,"="&amp;$T3691,$S$2:$S3690,"&lt;&gt;"&amp;$S3691)-1)))</f>
        <v/>
      </c>
      <c r="Y3691" t="b">
        <f>IF(X3691&lt;&gt;"",VLOOKUP(X3691,game_rosters!$C$43:$E$64,3,FALSE))</f>
        <v>0</v>
      </c>
      <c r="Z3691" t="e" cm="1" vm="1">
        <f t="array" aca="1" ref="Z3691" ca="1">IFERROR(IF(_xlfn._xlws.FILTER(game_rosters!$J:$J,(game_rosters!$G:$G=events!$AN3691)*(game_rosters!$J:$J=events!$X3691))&gt;0,1,""),"")</f>
        <v>#VALUE!</v>
      </c>
      <c r="AA3691">
        <f t="shared" si="311"/>
        <v>1000</v>
      </c>
      <c r="AB3691" t="str">
        <f t="shared" si="312"/>
        <v/>
      </c>
      <c r="AC3691">
        <f t="shared" si="309"/>
        <v>1000</v>
      </c>
      <c r="AD3691" s="6"/>
    </row>
    <row r="3692" spans="1:30" x14ac:dyDescent="0.2">
      <c r="A3692" t="str">
        <f t="shared" si="310"/>
        <v/>
      </c>
      <c r="X3692" t="str" cm="1">
        <f t="array" ref="X3692">IF(S3692="","",IF($I3692&lt;&gt;"",$I3692,INDEX($I$2:$I3691,ROW()-COUNTIFS($T$2:$T3691,"="&amp;$T3692,$S$2:$S3691,"&lt;&gt;"&amp;$S3692)-1)))</f>
        <v/>
      </c>
      <c r="Y3692" t="b">
        <f>IF(X3692&lt;&gt;"",VLOOKUP(X3692,game_rosters!$C$43:$E$64,3,FALSE))</f>
        <v>0</v>
      </c>
      <c r="Z3692" t="e" cm="1" vm="1">
        <f t="array" aca="1" ref="Z3692" ca="1">IFERROR(IF(_xlfn._xlws.FILTER(game_rosters!$J:$J,(game_rosters!$G:$G=events!$AN3692)*(game_rosters!$J:$J=events!$X3692))&gt;0,1,""),"")</f>
        <v>#VALUE!</v>
      </c>
      <c r="AA3692">
        <f t="shared" si="311"/>
        <v>1000</v>
      </c>
      <c r="AB3692" t="str">
        <f t="shared" si="312"/>
        <v/>
      </c>
      <c r="AC3692">
        <f t="shared" si="309"/>
        <v>1000</v>
      </c>
      <c r="AD3692" s="6"/>
    </row>
    <row r="3693" spans="1:30" x14ac:dyDescent="0.2">
      <c r="A3693" t="str">
        <f t="shared" si="310"/>
        <v/>
      </c>
      <c r="X3693" t="str" cm="1">
        <f t="array" ref="X3693">IF(S3693="","",IF($I3693&lt;&gt;"",$I3693,INDEX($I$2:$I3692,ROW()-COUNTIFS($T$2:$T3692,"="&amp;$T3693,$S$2:$S3692,"&lt;&gt;"&amp;$S3693)-1)))</f>
        <v/>
      </c>
      <c r="Y3693" t="b">
        <f>IF(X3693&lt;&gt;"",VLOOKUP(X3693,game_rosters!$C$43:$E$64,3,FALSE))</f>
        <v>0</v>
      </c>
      <c r="Z3693" t="e" cm="1" vm="1">
        <f t="array" aca="1" ref="Z3693" ca="1">IFERROR(IF(_xlfn._xlws.FILTER(game_rosters!$J:$J,(game_rosters!$G:$G=events!$AN3693)*(game_rosters!$J:$J=events!$X3693))&gt;0,1,""),"")</f>
        <v>#VALUE!</v>
      </c>
      <c r="AA3693">
        <f t="shared" si="311"/>
        <v>1000</v>
      </c>
      <c r="AB3693" t="str">
        <f t="shared" si="312"/>
        <v/>
      </c>
      <c r="AC3693">
        <f t="shared" si="309"/>
        <v>1000</v>
      </c>
      <c r="AD3693" s="6"/>
    </row>
    <row r="3694" spans="1:30" x14ac:dyDescent="0.2">
      <c r="A3694" t="str">
        <f t="shared" si="310"/>
        <v/>
      </c>
      <c r="X3694" t="str" cm="1">
        <f t="array" ref="X3694">IF(S3694="","",IF($I3694&lt;&gt;"",$I3694,INDEX($I$2:$I3693,ROW()-COUNTIFS($T$2:$T3693,"="&amp;$T3694,$S$2:$S3693,"&lt;&gt;"&amp;$S3694)-1)))</f>
        <v/>
      </c>
      <c r="Y3694" t="b">
        <f>IF(X3694&lt;&gt;"",VLOOKUP(X3694,game_rosters!$C$43:$E$64,3,FALSE))</f>
        <v>0</v>
      </c>
      <c r="Z3694" t="e" cm="1" vm="1">
        <f t="array" aca="1" ref="Z3694" ca="1">IFERROR(IF(_xlfn._xlws.FILTER(game_rosters!$J:$J,(game_rosters!$G:$G=events!$AN3694)*(game_rosters!$J:$J=events!$X3694))&gt;0,1,""),"")</f>
        <v>#VALUE!</v>
      </c>
      <c r="AA3694">
        <f t="shared" si="311"/>
        <v>1000</v>
      </c>
      <c r="AB3694" t="str">
        <f t="shared" si="312"/>
        <v/>
      </c>
      <c r="AC3694">
        <f t="shared" si="309"/>
        <v>1000</v>
      </c>
      <c r="AD3694" s="6"/>
    </row>
    <row r="3695" spans="1:30" x14ac:dyDescent="0.2">
      <c r="A3695" t="str">
        <f t="shared" si="310"/>
        <v/>
      </c>
      <c r="X3695" t="str" cm="1">
        <f t="array" ref="X3695">IF(S3695="","",IF($I3695&lt;&gt;"",$I3695,INDEX($I$2:$I3694,ROW()-COUNTIFS($T$2:$T3694,"="&amp;$T3695,$S$2:$S3694,"&lt;&gt;"&amp;$S3695)-1)))</f>
        <v/>
      </c>
      <c r="Y3695" t="b">
        <f>IF(X3695&lt;&gt;"",VLOOKUP(X3695,game_rosters!$C$43:$E$64,3,FALSE))</f>
        <v>0</v>
      </c>
      <c r="Z3695" t="e" cm="1" vm="1">
        <f t="array" aca="1" ref="Z3695" ca="1">IFERROR(IF(_xlfn._xlws.FILTER(game_rosters!$J:$J,(game_rosters!$G:$G=events!$AN3695)*(game_rosters!$J:$J=events!$X3695))&gt;0,1,""),"")</f>
        <v>#VALUE!</v>
      </c>
      <c r="AA3695">
        <f t="shared" si="311"/>
        <v>1000</v>
      </c>
      <c r="AB3695" t="str">
        <f t="shared" si="312"/>
        <v/>
      </c>
      <c r="AC3695">
        <f t="shared" si="309"/>
        <v>1000</v>
      </c>
      <c r="AD3695" s="6"/>
    </row>
    <row r="3696" spans="1:30" x14ac:dyDescent="0.2">
      <c r="A3696" t="str">
        <f t="shared" si="310"/>
        <v/>
      </c>
      <c r="X3696" t="str" cm="1">
        <f t="array" ref="X3696">IF(S3696="","",IF($I3696&lt;&gt;"",$I3696,INDEX($I$2:$I3695,ROW()-COUNTIFS($T$2:$T3695,"="&amp;$T3696,$S$2:$S3695,"&lt;&gt;"&amp;$S3696)-1)))</f>
        <v/>
      </c>
      <c r="Y3696" t="b">
        <f>IF(X3696&lt;&gt;"",VLOOKUP(X3696,game_rosters!$C$43:$E$64,3,FALSE))</f>
        <v>0</v>
      </c>
      <c r="Z3696" t="e" cm="1" vm="1">
        <f t="array" aca="1" ref="Z3696" ca="1">IFERROR(IF(_xlfn._xlws.FILTER(game_rosters!$J:$J,(game_rosters!$G:$G=events!$AN3696)*(game_rosters!$J:$J=events!$X3696))&gt;0,1,""),"")</f>
        <v>#VALUE!</v>
      </c>
      <c r="AA3696">
        <f t="shared" si="311"/>
        <v>1000</v>
      </c>
      <c r="AB3696" t="str">
        <f t="shared" si="312"/>
        <v/>
      </c>
      <c r="AC3696">
        <f t="shared" si="309"/>
        <v>1000</v>
      </c>
      <c r="AD3696" s="6"/>
    </row>
    <row r="3697" spans="1:30" x14ac:dyDescent="0.2">
      <c r="A3697" t="str">
        <f t="shared" si="310"/>
        <v/>
      </c>
      <c r="X3697" t="str" cm="1">
        <f t="array" ref="X3697">IF(S3697="","",IF($I3697&lt;&gt;"",$I3697,INDEX($I$2:$I3696,ROW()-COUNTIFS($T$2:$T3696,"="&amp;$T3697,$S$2:$S3696,"&lt;&gt;"&amp;$S3697)-1)))</f>
        <v/>
      </c>
      <c r="Y3697" t="b">
        <f>IF(X3697&lt;&gt;"",VLOOKUP(X3697,game_rosters!$C$43:$E$64,3,FALSE))</f>
        <v>0</v>
      </c>
      <c r="Z3697" t="e" cm="1" vm="1">
        <f t="array" aca="1" ref="Z3697" ca="1">IFERROR(IF(_xlfn._xlws.FILTER(game_rosters!$J:$J,(game_rosters!$G:$G=events!$AN3697)*(game_rosters!$J:$J=events!$X3697))&gt;0,1,""),"")</f>
        <v>#VALUE!</v>
      </c>
      <c r="AA3697">
        <f t="shared" si="311"/>
        <v>1000</v>
      </c>
      <c r="AB3697" t="str">
        <f t="shared" si="312"/>
        <v/>
      </c>
      <c r="AC3697">
        <f t="shared" si="309"/>
        <v>1000</v>
      </c>
      <c r="AD3697" s="6"/>
    </row>
    <row r="3698" spans="1:30" x14ac:dyDescent="0.2">
      <c r="A3698" t="str">
        <f t="shared" si="310"/>
        <v/>
      </c>
      <c r="X3698" t="str" cm="1">
        <f t="array" ref="X3698">IF(S3698="","",IF($I3698&lt;&gt;"",$I3698,INDEX($I$2:$I3697,ROW()-COUNTIFS($T$2:$T3697,"="&amp;$T3698,$S$2:$S3697,"&lt;&gt;"&amp;$S3698)-1)))</f>
        <v/>
      </c>
      <c r="Y3698" t="b">
        <f>IF(X3698&lt;&gt;"",VLOOKUP(X3698,game_rosters!$C$43:$E$64,3,FALSE))</f>
        <v>0</v>
      </c>
      <c r="Z3698" t="e" cm="1" vm="1">
        <f t="array" aca="1" ref="Z3698" ca="1">IFERROR(IF(_xlfn._xlws.FILTER(game_rosters!$J:$J,(game_rosters!$G:$G=events!$AN3698)*(game_rosters!$J:$J=events!$X3698))&gt;0,1,""),"")</f>
        <v>#VALUE!</v>
      </c>
      <c r="AA3698">
        <f t="shared" si="311"/>
        <v>1000</v>
      </c>
      <c r="AB3698" t="str">
        <f t="shared" si="312"/>
        <v/>
      </c>
      <c r="AC3698">
        <f t="shared" si="309"/>
        <v>1000</v>
      </c>
      <c r="AD3698" s="6"/>
    </row>
    <row r="3699" spans="1:30" x14ac:dyDescent="0.2">
      <c r="A3699" t="str">
        <f t="shared" si="310"/>
        <v/>
      </c>
      <c r="X3699" t="str" cm="1">
        <f t="array" ref="X3699">IF(S3699="","",IF($I3699&lt;&gt;"",$I3699,INDEX($I$2:$I3698,ROW()-COUNTIFS($T$2:$T3698,"="&amp;$T3699,$S$2:$S3698,"&lt;&gt;"&amp;$S3699)-1)))</f>
        <v/>
      </c>
      <c r="Y3699" t="b">
        <f>IF(X3699&lt;&gt;"",VLOOKUP(X3699,game_rosters!$C$43:$E$64,3,FALSE))</f>
        <v>0</v>
      </c>
      <c r="Z3699" t="e" cm="1" vm="1">
        <f t="array" aca="1" ref="Z3699" ca="1">IFERROR(IF(_xlfn._xlws.FILTER(game_rosters!$J:$J,(game_rosters!$G:$G=events!$AN3699)*(game_rosters!$J:$J=events!$X3699))&gt;0,1,""),"")</f>
        <v>#VALUE!</v>
      </c>
      <c r="AA3699">
        <f t="shared" si="311"/>
        <v>1000</v>
      </c>
      <c r="AB3699" t="str">
        <f t="shared" si="312"/>
        <v/>
      </c>
      <c r="AC3699">
        <f t="shared" si="309"/>
        <v>1000</v>
      </c>
      <c r="AD3699" s="6"/>
    </row>
    <row r="3700" spans="1:30" x14ac:dyDescent="0.2">
      <c r="A3700" t="str">
        <f t="shared" si="310"/>
        <v/>
      </c>
      <c r="X3700" t="str" cm="1">
        <f t="array" ref="X3700">IF(S3700="","",IF($I3700&lt;&gt;"",$I3700,INDEX($I$2:$I3699,ROW()-COUNTIFS($T$2:$T3699,"="&amp;$T3700,$S$2:$S3699,"&lt;&gt;"&amp;$S3700)-1)))</f>
        <v/>
      </c>
      <c r="Y3700" t="b">
        <f>IF(X3700&lt;&gt;"",VLOOKUP(X3700,game_rosters!$C$43:$E$64,3,FALSE))</f>
        <v>0</v>
      </c>
      <c r="Z3700" t="e" cm="1" vm="1">
        <f t="array" aca="1" ref="Z3700" ca="1">IFERROR(IF(_xlfn._xlws.FILTER(game_rosters!$J:$J,(game_rosters!$G:$G=events!$AN3700)*(game_rosters!$J:$J=events!$X3700))&gt;0,1,""),"")</f>
        <v>#VALUE!</v>
      </c>
      <c r="AA3700">
        <f t="shared" si="311"/>
        <v>1000</v>
      </c>
      <c r="AB3700" t="str">
        <f t="shared" si="312"/>
        <v/>
      </c>
      <c r="AC3700">
        <f t="shared" si="309"/>
        <v>1000</v>
      </c>
      <c r="AD3700" s="6"/>
    </row>
    <row r="3701" spans="1:30" x14ac:dyDescent="0.2">
      <c r="A3701" t="str">
        <f t="shared" si="310"/>
        <v/>
      </c>
      <c r="X3701" t="str" cm="1">
        <f t="array" ref="X3701">IF(S3701="","",IF($I3701&lt;&gt;"",$I3701,INDEX($I$2:$I3700,ROW()-COUNTIFS($T$2:$T3700,"="&amp;$T3701,$S$2:$S3700,"&lt;&gt;"&amp;$S3701)-1)))</f>
        <v/>
      </c>
      <c r="Y3701" t="b">
        <f>IF(X3701&lt;&gt;"",VLOOKUP(X3701,game_rosters!$C$43:$E$64,3,FALSE))</f>
        <v>0</v>
      </c>
      <c r="Z3701" t="e" cm="1" vm="1">
        <f t="array" aca="1" ref="Z3701" ca="1">IFERROR(IF(_xlfn._xlws.FILTER(game_rosters!$J:$J,(game_rosters!$G:$G=events!$AN3701)*(game_rosters!$J:$J=events!$X3701))&gt;0,1,""),"")</f>
        <v>#VALUE!</v>
      </c>
      <c r="AA3701">
        <f t="shared" si="311"/>
        <v>1000</v>
      </c>
      <c r="AB3701" t="str">
        <f t="shared" si="312"/>
        <v/>
      </c>
      <c r="AC3701">
        <f t="shared" si="309"/>
        <v>1000</v>
      </c>
      <c r="AD3701" s="6"/>
    </row>
    <row r="3702" spans="1:30" x14ac:dyDescent="0.2">
      <c r="A3702" t="str">
        <f t="shared" si="310"/>
        <v/>
      </c>
      <c r="X3702" t="str" cm="1">
        <f t="array" ref="X3702">IF(S3702="","",IF($I3702&lt;&gt;"",$I3702,INDEX($I$2:$I3701,ROW()-COUNTIFS($T$2:$T3701,"="&amp;$T3702,$S$2:$S3701,"&lt;&gt;"&amp;$S3702)-1)))</f>
        <v/>
      </c>
      <c r="Y3702" t="b">
        <f>IF(X3702&lt;&gt;"",VLOOKUP(X3702,game_rosters!$C$43:$E$64,3,FALSE))</f>
        <v>0</v>
      </c>
      <c r="Z3702" t="e" cm="1" vm="1">
        <f t="array" aca="1" ref="Z3702" ca="1">IFERROR(IF(_xlfn._xlws.FILTER(game_rosters!$J:$J,(game_rosters!$G:$G=events!$AN3702)*(game_rosters!$J:$J=events!$X3702))&gt;0,1,""),"")</f>
        <v>#VALUE!</v>
      </c>
      <c r="AA3702">
        <f t="shared" si="311"/>
        <v>1000</v>
      </c>
      <c r="AB3702" t="str">
        <f t="shared" si="312"/>
        <v/>
      </c>
      <c r="AC3702">
        <f t="shared" si="309"/>
        <v>1000</v>
      </c>
      <c r="AD3702" s="6"/>
    </row>
    <row r="3703" spans="1:30" x14ac:dyDescent="0.2">
      <c r="A3703" t="str">
        <f t="shared" si="310"/>
        <v/>
      </c>
      <c r="X3703" t="str" cm="1">
        <f t="array" ref="X3703">IF(S3703="","",IF($I3703&lt;&gt;"",$I3703,INDEX($I$2:$I3702,ROW()-COUNTIFS($T$2:$T3702,"="&amp;$T3703,$S$2:$S3702,"&lt;&gt;"&amp;$S3703)-1)))</f>
        <v/>
      </c>
      <c r="Y3703" t="b">
        <f>IF(X3703&lt;&gt;"",VLOOKUP(X3703,game_rosters!$C$43:$E$64,3,FALSE))</f>
        <v>0</v>
      </c>
      <c r="Z3703" t="e" cm="1" vm="1">
        <f t="array" aca="1" ref="Z3703" ca="1">IFERROR(IF(_xlfn._xlws.FILTER(game_rosters!$J:$J,(game_rosters!$G:$G=events!$AN3703)*(game_rosters!$J:$J=events!$X3703))&gt;0,1,""),"")</f>
        <v>#VALUE!</v>
      </c>
      <c r="AA3703">
        <f t="shared" si="311"/>
        <v>1000</v>
      </c>
      <c r="AB3703" t="str">
        <f t="shared" si="312"/>
        <v/>
      </c>
      <c r="AC3703">
        <f t="shared" si="309"/>
        <v>1000</v>
      </c>
      <c r="AD3703" s="6"/>
    </row>
    <row r="3704" spans="1:30" x14ac:dyDescent="0.2">
      <c r="A3704" t="str">
        <f t="shared" si="310"/>
        <v/>
      </c>
      <c r="X3704" t="str" cm="1">
        <f t="array" ref="X3704">IF(S3704="","",IF($I3704&lt;&gt;"",$I3704,INDEX($I$2:$I3703,ROW()-COUNTIFS($T$2:$T3703,"="&amp;$T3704,$S$2:$S3703,"&lt;&gt;"&amp;$S3704)-1)))</f>
        <v/>
      </c>
      <c r="Y3704" t="b">
        <f>IF(X3704&lt;&gt;"",VLOOKUP(X3704,game_rosters!$C$43:$E$64,3,FALSE))</f>
        <v>0</v>
      </c>
      <c r="Z3704" t="e" cm="1" vm="1">
        <f t="array" aca="1" ref="Z3704" ca="1">IFERROR(IF(_xlfn._xlws.FILTER(game_rosters!$J:$J,(game_rosters!$G:$G=events!$AN3704)*(game_rosters!$J:$J=events!$X3704))&gt;0,1,""),"")</f>
        <v>#VALUE!</v>
      </c>
      <c r="AA3704">
        <f t="shared" si="311"/>
        <v>1000</v>
      </c>
      <c r="AB3704" t="str">
        <f t="shared" si="312"/>
        <v/>
      </c>
      <c r="AC3704">
        <f t="shared" si="309"/>
        <v>1000</v>
      </c>
      <c r="AD3704" s="6"/>
    </row>
    <row r="3705" spans="1:30" x14ac:dyDescent="0.2">
      <c r="A3705" t="str">
        <f t="shared" si="310"/>
        <v/>
      </c>
      <c r="X3705" t="str" cm="1">
        <f t="array" ref="X3705">IF(S3705="","",IF($I3705&lt;&gt;"",$I3705,INDEX($I$2:$I3704,ROW()-COUNTIFS($T$2:$T3704,"="&amp;$T3705,$S$2:$S3704,"&lt;&gt;"&amp;$S3705)-1)))</f>
        <v/>
      </c>
      <c r="Y3705" t="b">
        <f>IF(X3705&lt;&gt;"",VLOOKUP(X3705,game_rosters!$C$43:$E$64,3,FALSE))</f>
        <v>0</v>
      </c>
      <c r="Z3705" t="e" cm="1" vm="1">
        <f t="array" aca="1" ref="Z3705" ca="1">IFERROR(IF(_xlfn._xlws.FILTER(game_rosters!$J:$J,(game_rosters!$G:$G=events!$AN3705)*(game_rosters!$J:$J=events!$X3705))&gt;0,1,""),"")</f>
        <v>#VALUE!</v>
      </c>
      <c r="AA3705">
        <f t="shared" si="311"/>
        <v>1000</v>
      </c>
      <c r="AB3705" t="str">
        <f t="shared" si="312"/>
        <v/>
      </c>
      <c r="AC3705">
        <f t="shared" si="309"/>
        <v>1000</v>
      </c>
      <c r="AD3705" s="6"/>
    </row>
    <row r="3706" spans="1:30" x14ac:dyDescent="0.2">
      <c r="A3706" t="str">
        <f t="shared" si="310"/>
        <v/>
      </c>
      <c r="X3706" t="str" cm="1">
        <f t="array" ref="X3706">IF(S3706="","",IF($I3706&lt;&gt;"",$I3706,INDEX($I$2:$I3705,ROW()-COUNTIFS($T$2:$T3705,"="&amp;$T3706,$S$2:$S3705,"&lt;&gt;"&amp;$S3706)-1)))</f>
        <v/>
      </c>
      <c r="Y3706" t="b">
        <f>IF(X3706&lt;&gt;"",VLOOKUP(X3706,game_rosters!$C$43:$E$64,3,FALSE))</f>
        <v>0</v>
      </c>
      <c r="Z3706" t="e" cm="1" vm="1">
        <f t="array" aca="1" ref="Z3706" ca="1">IFERROR(IF(_xlfn._xlws.FILTER(game_rosters!$J:$J,(game_rosters!$G:$G=events!$AN3706)*(game_rosters!$J:$J=events!$X3706))&gt;0,1,""),"")</f>
        <v>#VALUE!</v>
      </c>
      <c r="AA3706">
        <f t="shared" si="311"/>
        <v>1000</v>
      </c>
      <c r="AB3706" t="str">
        <f t="shared" si="312"/>
        <v/>
      </c>
      <c r="AC3706">
        <f t="shared" si="309"/>
        <v>1000</v>
      </c>
      <c r="AD3706" s="6"/>
    </row>
    <row r="3707" spans="1:30" x14ac:dyDescent="0.2">
      <c r="A3707" t="str">
        <f t="shared" si="310"/>
        <v/>
      </c>
      <c r="X3707" t="str" cm="1">
        <f t="array" ref="X3707">IF(S3707="","",IF($I3707&lt;&gt;"",$I3707,INDEX($I$2:$I3706,ROW()-COUNTIFS($T$2:$T3706,"="&amp;$T3707,$S$2:$S3706,"&lt;&gt;"&amp;$S3707)-1)))</f>
        <v/>
      </c>
      <c r="Y3707" t="b">
        <f>IF(X3707&lt;&gt;"",VLOOKUP(X3707,game_rosters!$C$43:$E$64,3,FALSE))</f>
        <v>0</v>
      </c>
      <c r="Z3707" t="e" cm="1" vm="1">
        <f t="array" aca="1" ref="Z3707" ca="1">IFERROR(IF(_xlfn._xlws.FILTER(game_rosters!$J:$J,(game_rosters!$G:$G=events!$AN3707)*(game_rosters!$J:$J=events!$X3707))&gt;0,1,""),"")</f>
        <v>#VALUE!</v>
      </c>
      <c r="AA3707">
        <f t="shared" si="311"/>
        <v>1000</v>
      </c>
      <c r="AB3707" t="str">
        <f t="shared" si="312"/>
        <v/>
      </c>
      <c r="AC3707">
        <f t="shared" si="309"/>
        <v>1000</v>
      </c>
      <c r="AD3707" s="6"/>
    </row>
    <row r="3708" spans="1:30" x14ac:dyDescent="0.2">
      <c r="A3708" t="str">
        <f t="shared" si="310"/>
        <v/>
      </c>
      <c r="X3708" t="str" cm="1">
        <f t="array" ref="X3708">IF(S3708="","",IF($I3708&lt;&gt;"",$I3708,INDEX($I$2:$I3707,ROW()-COUNTIFS($T$2:$T3707,"="&amp;$T3708,$S$2:$S3707,"&lt;&gt;"&amp;$S3708)-1)))</f>
        <v/>
      </c>
      <c r="Y3708" t="b">
        <f>IF(X3708&lt;&gt;"",VLOOKUP(X3708,game_rosters!$C$43:$E$64,3,FALSE))</f>
        <v>0</v>
      </c>
      <c r="Z3708" t="e" cm="1" vm="1">
        <f t="array" aca="1" ref="Z3708" ca="1">IFERROR(IF(_xlfn._xlws.FILTER(game_rosters!$J:$J,(game_rosters!$G:$G=events!$AN3708)*(game_rosters!$J:$J=events!$X3708))&gt;0,1,""),"")</f>
        <v>#VALUE!</v>
      </c>
      <c r="AA3708">
        <f t="shared" si="311"/>
        <v>1000</v>
      </c>
      <c r="AB3708" t="str">
        <f t="shared" si="312"/>
        <v/>
      </c>
      <c r="AC3708">
        <f t="shared" si="309"/>
        <v>1000</v>
      </c>
      <c r="AD3708" s="6"/>
    </row>
    <row r="3709" spans="1:30" x14ac:dyDescent="0.2">
      <c r="A3709" t="str">
        <f t="shared" si="310"/>
        <v/>
      </c>
      <c r="X3709" t="str" cm="1">
        <f t="array" ref="X3709">IF(S3709="","",IF($I3709&lt;&gt;"",$I3709,INDEX($I$2:$I3708,ROW()-COUNTIFS($T$2:$T3708,"="&amp;$T3709,$S$2:$S3708,"&lt;&gt;"&amp;$S3709)-1)))</f>
        <v/>
      </c>
      <c r="Y3709" t="b">
        <f>IF(X3709&lt;&gt;"",VLOOKUP(X3709,game_rosters!$C$43:$E$64,3,FALSE))</f>
        <v>0</v>
      </c>
      <c r="Z3709" t="e" cm="1" vm="1">
        <f t="array" aca="1" ref="Z3709" ca="1">IFERROR(IF(_xlfn._xlws.FILTER(game_rosters!$J:$J,(game_rosters!$G:$G=events!$AN3709)*(game_rosters!$J:$J=events!$X3709))&gt;0,1,""),"")</f>
        <v>#VALUE!</v>
      </c>
      <c r="AA3709">
        <f t="shared" si="311"/>
        <v>1000</v>
      </c>
      <c r="AB3709" t="str">
        <f t="shared" si="312"/>
        <v/>
      </c>
      <c r="AC3709">
        <f t="shared" si="309"/>
        <v>1000</v>
      </c>
      <c r="AD3709" s="6"/>
    </row>
    <row r="3710" spans="1:30" x14ac:dyDescent="0.2">
      <c r="A3710" t="str">
        <f t="shared" si="310"/>
        <v/>
      </c>
      <c r="X3710" t="str" cm="1">
        <f t="array" ref="X3710">IF(S3710="","",IF($I3710&lt;&gt;"",$I3710,INDEX($I$2:$I3709,ROW()-COUNTIFS($T$2:$T3709,"="&amp;$T3710,$S$2:$S3709,"&lt;&gt;"&amp;$S3710)-1)))</f>
        <v/>
      </c>
      <c r="Y3710" t="b">
        <f>IF(X3710&lt;&gt;"",VLOOKUP(X3710,game_rosters!$C$43:$E$64,3,FALSE))</f>
        <v>0</v>
      </c>
      <c r="Z3710" t="e" cm="1" vm="1">
        <f t="array" aca="1" ref="Z3710" ca="1">IFERROR(IF(_xlfn._xlws.FILTER(game_rosters!$J:$J,(game_rosters!$G:$G=events!$AN3710)*(game_rosters!$J:$J=events!$X3710))&gt;0,1,""),"")</f>
        <v>#VALUE!</v>
      </c>
      <c r="AA3710">
        <f t="shared" si="311"/>
        <v>1000</v>
      </c>
      <c r="AB3710" t="str">
        <f t="shared" si="312"/>
        <v/>
      </c>
      <c r="AC3710">
        <f t="shared" si="309"/>
        <v>1000</v>
      </c>
      <c r="AD3710" s="6"/>
    </row>
    <row r="3711" spans="1:30" x14ac:dyDescent="0.2">
      <c r="A3711" t="str">
        <f t="shared" si="310"/>
        <v/>
      </c>
      <c r="X3711" t="str" cm="1">
        <f t="array" ref="X3711">IF(S3711="","",IF($I3711&lt;&gt;"",$I3711,INDEX($I$2:$I3710,ROW()-COUNTIFS($T$2:$T3710,"="&amp;$T3711,$S$2:$S3710,"&lt;&gt;"&amp;$S3711)-1)))</f>
        <v/>
      </c>
      <c r="Y3711" t="b">
        <f>IF(X3711&lt;&gt;"",VLOOKUP(X3711,game_rosters!$C$43:$E$64,3,FALSE))</f>
        <v>0</v>
      </c>
      <c r="Z3711" t="e" cm="1" vm="1">
        <f t="array" aca="1" ref="Z3711" ca="1">IFERROR(IF(_xlfn._xlws.FILTER(game_rosters!$J:$J,(game_rosters!$G:$G=events!$AN3711)*(game_rosters!$J:$J=events!$X3711))&gt;0,1,""),"")</f>
        <v>#VALUE!</v>
      </c>
      <c r="AA3711">
        <f t="shared" si="311"/>
        <v>1000</v>
      </c>
      <c r="AB3711" t="str">
        <f t="shared" si="312"/>
        <v/>
      </c>
      <c r="AC3711">
        <f t="shared" si="309"/>
        <v>1000</v>
      </c>
      <c r="AD3711" s="6"/>
    </row>
    <row r="3712" spans="1:30" x14ac:dyDescent="0.2">
      <c r="A3712" t="str">
        <f t="shared" si="310"/>
        <v/>
      </c>
      <c r="X3712" t="str" cm="1">
        <f t="array" ref="X3712">IF(S3712="","",IF($I3712&lt;&gt;"",$I3712,INDEX($I$2:$I3711,ROW()-COUNTIFS($T$2:$T3711,"="&amp;$T3712,$S$2:$S3711,"&lt;&gt;"&amp;$S3712)-1)))</f>
        <v/>
      </c>
      <c r="Y3712" t="b">
        <f>IF(X3712&lt;&gt;"",VLOOKUP(X3712,game_rosters!$C$43:$E$64,3,FALSE))</f>
        <v>0</v>
      </c>
      <c r="Z3712" t="e" cm="1" vm="1">
        <f t="array" aca="1" ref="Z3712" ca="1">IFERROR(IF(_xlfn._xlws.FILTER(game_rosters!$J:$J,(game_rosters!$G:$G=events!$AN3712)*(game_rosters!$J:$J=events!$X3712))&gt;0,1,""),"")</f>
        <v>#VALUE!</v>
      </c>
      <c r="AA3712">
        <f t="shared" si="311"/>
        <v>1000</v>
      </c>
      <c r="AB3712" t="str">
        <f t="shared" si="312"/>
        <v/>
      </c>
      <c r="AC3712">
        <f t="shared" si="309"/>
        <v>1000</v>
      </c>
      <c r="AD3712" s="6"/>
    </row>
    <row r="3713" spans="1:30" x14ac:dyDescent="0.2">
      <c r="A3713" t="str">
        <f t="shared" si="310"/>
        <v/>
      </c>
      <c r="X3713" t="str" cm="1">
        <f t="array" ref="X3713">IF(S3713="","",IF($I3713&lt;&gt;"",$I3713,INDEX($I$2:$I3712,ROW()-COUNTIFS($T$2:$T3712,"="&amp;$T3713,$S$2:$S3712,"&lt;&gt;"&amp;$S3713)-1)))</f>
        <v/>
      </c>
      <c r="Y3713" t="b">
        <f>IF(X3713&lt;&gt;"",VLOOKUP(X3713,game_rosters!$C$43:$E$64,3,FALSE))</f>
        <v>0</v>
      </c>
      <c r="Z3713" t="e" cm="1" vm="1">
        <f t="array" aca="1" ref="Z3713" ca="1">IFERROR(IF(_xlfn._xlws.FILTER(game_rosters!$J:$J,(game_rosters!$G:$G=events!$AN3713)*(game_rosters!$J:$J=events!$X3713))&gt;0,1,""),"")</f>
        <v>#VALUE!</v>
      </c>
      <c r="AA3713">
        <f t="shared" si="311"/>
        <v>1000</v>
      </c>
      <c r="AB3713" t="str">
        <f t="shared" si="312"/>
        <v/>
      </c>
      <c r="AC3713">
        <f t="shared" si="309"/>
        <v>1000</v>
      </c>
      <c r="AD3713" s="6"/>
    </row>
    <row r="3714" spans="1:30" x14ac:dyDescent="0.2">
      <c r="A3714" t="str">
        <f t="shared" si="310"/>
        <v/>
      </c>
      <c r="X3714" t="str" cm="1">
        <f t="array" ref="X3714">IF(S3714="","",IF($I3714&lt;&gt;"",$I3714,INDEX($I$2:$I3713,ROW()-COUNTIFS($T$2:$T3713,"="&amp;$T3714,$S$2:$S3713,"&lt;&gt;"&amp;$S3714)-1)))</f>
        <v/>
      </c>
      <c r="Y3714" t="b">
        <f>IF(X3714&lt;&gt;"",VLOOKUP(X3714,game_rosters!$C$43:$E$64,3,FALSE))</f>
        <v>0</v>
      </c>
      <c r="Z3714" t="e" cm="1" vm="1">
        <f t="array" aca="1" ref="Z3714" ca="1">IFERROR(IF(_xlfn._xlws.FILTER(game_rosters!$J:$J,(game_rosters!$G:$G=events!$AN3714)*(game_rosters!$J:$J=events!$X3714))&gt;0,1,""),"")</f>
        <v>#VALUE!</v>
      </c>
      <c r="AA3714">
        <f t="shared" si="311"/>
        <v>1000</v>
      </c>
      <c r="AB3714" t="str">
        <f t="shared" si="312"/>
        <v/>
      </c>
      <c r="AC3714">
        <f t="shared" ref="AC3714:AC3777" si="313">IF(AB3714&lt;&gt;"",AB3714,S3714+1000)</f>
        <v>1000</v>
      </c>
      <c r="AD3714" s="6"/>
    </row>
    <row r="3715" spans="1:30" x14ac:dyDescent="0.2">
      <c r="A3715" t="str">
        <f t="shared" si="310"/>
        <v/>
      </c>
      <c r="X3715" t="str" cm="1">
        <f t="array" ref="X3715">IF(S3715="","",IF($I3715&lt;&gt;"",$I3715,INDEX($I$2:$I3714,ROW()-COUNTIFS($T$2:$T3714,"="&amp;$T3715,$S$2:$S3714,"&lt;&gt;"&amp;$S3715)-1)))</f>
        <v/>
      </c>
      <c r="Y3715" t="b">
        <f>IF(X3715&lt;&gt;"",VLOOKUP(X3715,game_rosters!$C$43:$E$64,3,FALSE))</f>
        <v>0</v>
      </c>
      <c r="Z3715" t="e" cm="1" vm="1">
        <f t="array" aca="1" ref="Z3715" ca="1">IFERROR(IF(_xlfn._xlws.FILTER(game_rosters!$J:$J,(game_rosters!$G:$G=events!$AN3715)*(game_rosters!$J:$J=events!$X3715))&gt;0,1,""),"")</f>
        <v>#VALUE!</v>
      </c>
      <c r="AA3715">
        <f t="shared" si="311"/>
        <v>1000</v>
      </c>
      <c r="AB3715" t="str">
        <f t="shared" si="312"/>
        <v/>
      </c>
      <c r="AC3715">
        <f t="shared" si="313"/>
        <v>1000</v>
      </c>
      <c r="AD3715" s="6"/>
    </row>
    <row r="3716" spans="1:30" x14ac:dyDescent="0.2">
      <c r="A3716" t="str">
        <f t="shared" si="310"/>
        <v/>
      </c>
      <c r="X3716" t="str" cm="1">
        <f t="array" ref="X3716">IF(S3716="","",IF($I3716&lt;&gt;"",$I3716,INDEX($I$2:$I3715,ROW()-COUNTIFS($T$2:$T3715,"="&amp;$T3716,$S$2:$S3715,"&lt;&gt;"&amp;$S3716)-1)))</f>
        <v/>
      </c>
      <c r="Y3716" t="b">
        <f>IF(X3716&lt;&gt;"",VLOOKUP(X3716,game_rosters!$C$43:$E$64,3,FALSE))</f>
        <v>0</v>
      </c>
      <c r="Z3716" t="e" cm="1" vm="1">
        <f t="array" aca="1" ref="Z3716" ca="1">IFERROR(IF(_xlfn._xlws.FILTER(game_rosters!$J:$J,(game_rosters!$G:$G=events!$AN3716)*(game_rosters!$J:$J=events!$X3716))&gt;0,1,""),"")</f>
        <v>#VALUE!</v>
      </c>
      <c r="AA3716">
        <f t="shared" si="311"/>
        <v>1000</v>
      </c>
      <c r="AB3716" t="str">
        <f t="shared" si="312"/>
        <v/>
      </c>
      <c r="AC3716">
        <f t="shared" si="313"/>
        <v>1000</v>
      </c>
      <c r="AD3716" s="6"/>
    </row>
    <row r="3717" spans="1:30" x14ac:dyDescent="0.2">
      <c r="A3717" t="str">
        <f t="shared" ref="A3717:A3780" si="314">IF(K3717&lt;&gt;"",1,IF(D3717="x","x",""))</f>
        <v/>
      </c>
      <c r="X3717" t="str" cm="1">
        <f t="array" ref="X3717">IF(S3717="","",IF($I3717&lt;&gt;"",$I3717,INDEX($I$2:$I3716,ROW()-COUNTIFS($T$2:$T3716,"="&amp;$T3717,$S$2:$S3716,"&lt;&gt;"&amp;$S3717)-1)))</f>
        <v/>
      </c>
      <c r="Y3717" t="b">
        <f>IF(X3717&lt;&gt;"",VLOOKUP(X3717,game_rosters!$C$43:$E$64,3,FALSE))</f>
        <v>0</v>
      </c>
      <c r="Z3717" t="e" cm="1" vm="1">
        <f t="array" aca="1" ref="Z3717" ca="1">IFERROR(IF(_xlfn._xlws.FILTER(game_rosters!$J:$J,(game_rosters!$G:$G=events!$AN3717)*(game_rosters!$J:$J=events!$X3717))&gt;0,1,""),"")</f>
        <v>#VALUE!</v>
      </c>
      <c r="AA3717">
        <f t="shared" si="311"/>
        <v>1000</v>
      </c>
      <c r="AB3717" t="str">
        <f t="shared" si="312"/>
        <v/>
      </c>
      <c r="AC3717">
        <f t="shared" si="313"/>
        <v>1000</v>
      </c>
      <c r="AD3717" s="6"/>
    </row>
    <row r="3718" spans="1:30" x14ac:dyDescent="0.2">
      <c r="A3718" t="str">
        <f t="shared" si="314"/>
        <v/>
      </c>
      <c r="X3718" t="str" cm="1">
        <f t="array" ref="X3718">IF(S3718="","",IF($I3718&lt;&gt;"",$I3718,INDEX($I$2:$I3717,ROW()-COUNTIFS($T$2:$T3717,"="&amp;$T3718,$S$2:$S3717,"&lt;&gt;"&amp;$S3718)-1)))</f>
        <v/>
      </c>
      <c r="Y3718" t="b">
        <f>IF(X3718&lt;&gt;"",VLOOKUP(X3718,game_rosters!$C$43:$E$64,3,FALSE))</f>
        <v>0</v>
      </c>
      <c r="Z3718" t="e" cm="1" vm="1">
        <f t="array" aca="1" ref="Z3718" ca="1">IFERROR(IF(_xlfn._xlws.FILTER(game_rosters!$J:$J,(game_rosters!$G:$G=events!$AN3718)*(game_rosters!$J:$J=events!$X3718))&gt;0,1,""),"")</f>
        <v>#VALUE!</v>
      </c>
      <c r="AA3718">
        <f t="shared" si="311"/>
        <v>1000</v>
      </c>
      <c r="AB3718" t="str">
        <f t="shared" si="312"/>
        <v/>
      </c>
      <c r="AC3718">
        <f t="shared" si="313"/>
        <v>1000</v>
      </c>
      <c r="AD3718" s="6"/>
    </row>
    <row r="3719" spans="1:30" x14ac:dyDescent="0.2">
      <c r="A3719" t="str">
        <f t="shared" si="314"/>
        <v/>
      </c>
      <c r="X3719" t="str" cm="1">
        <f t="array" ref="X3719">IF(S3719="","",IF($I3719&lt;&gt;"",$I3719,INDEX($I$2:$I3718,ROW()-COUNTIFS($T$2:$T3718,"="&amp;$T3719,$S$2:$S3718,"&lt;&gt;"&amp;$S3719)-1)))</f>
        <v/>
      </c>
      <c r="Y3719" t="b">
        <f>IF(X3719&lt;&gt;"",VLOOKUP(X3719,game_rosters!$C$43:$E$64,3,FALSE))</f>
        <v>0</v>
      </c>
      <c r="Z3719" t="e" cm="1" vm="1">
        <f t="array" aca="1" ref="Z3719" ca="1">IFERROR(IF(_xlfn._xlws.FILTER(game_rosters!$J:$J,(game_rosters!$G:$G=events!$AN3719)*(game_rosters!$J:$J=events!$X3719))&gt;0,1,""),"")</f>
        <v>#VALUE!</v>
      </c>
      <c r="AA3719">
        <f t="shared" si="311"/>
        <v>1000</v>
      </c>
      <c r="AB3719" t="str">
        <f t="shared" si="312"/>
        <v/>
      </c>
      <c r="AC3719">
        <f t="shared" si="313"/>
        <v>1000</v>
      </c>
      <c r="AD3719" s="6"/>
    </row>
    <row r="3720" spans="1:30" x14ac:dyDescent="0.2">
      <c r="A3720" t="str">
        <f t="shared" si="314"/>
        <v/>
      </c>
      <c r="X3720" t="str" cm="1">
        <f t="array" ref="X3720">IF(S3720="","",IF($I3720&lt;&gt;"",$I3720,INDEX($I$2:$I3719,ROW()-COUNTIFS($T$2:$T3719,"="&amp;$T3720,$S$2:$S3719,"&lt;&gt;"&amp;$S3720)-1)))</f>
        <v/>
      </c>
      <c r="Y3720" t="b">
        <f>IF(X3720&lt;&gt;"",VLOOKUP(X3720,game_rosters!$C$43:$E$64,3,FALSE))</f>
        <v>0</v>
      </c>
      <c r="Z3720" t="e" cm="1" vm="1">
        <f t="array" aca="1" ref="Z3720" ca="1">IFERROR(IF(_xlfn._xlws.FILTER(game_rosters!$J:$J,(game_rosters!$G:$G=events!$AN3720)*(game_rosters!$J:$J=events!$X3720))&gt;0,1,""),"")</f>
        <v>#VALUE!</v>
      </c>
      <c r="AA3720">
        <f t="shared" si="311"/>
        <v>1000</v>
      </c>
      <c r="AB3720" t="str">
        <f t="shared" si="312"/>
        <v/>
      </c>
      <c r="AC3720">
        <f t="shared" si="313"/>
        <v>1000</v>
      </c>
      <c r="AD3720" s="6"/>
    </row>
    <row r="3721" spans="1:30" x14ac:dyDescent="0.2">
      <c r="A3721" t="str">
        <f t="shared" si="314"/>
        <v/>
      </c>
      <c r="X3721" t="str" cm="1">
        <f t="array" ref="X3721">IF(S3721="","",IF($I3721&lt;&gt;"",$I3721,INDEX($I$2:$I3720,ROW()-COUNTIFS($T$2:$T3720,"="&amp;$T3721,$S$2:$S3720,"&lt;&gt;"&amp;$S3721)-1)))</f>
        <v/>
      </c>
      <c r="Y3721" t="b">
        <f>IF(X3721&lt;&gt;"",VLOOKUP(X3721,game_rosters!$C$43:$E$64,3,FALSE))</f>
        <v>0</v>
      </c>
      <c r="Z3721" t="e" cm="1" vm="1">
        <f t="array" aca="1" ref="Z3721" ca="1">IFERROR(IF(_xlfn._xlws.FILTER(game_rosters!$J:$J,(game_rosters!$G:$G=events!$AN3721)*(game_rosters!$J:$J=events!$X3721))&gt;0,1,""),"")</f>
        <v>#VALUE!</v>
      </c>
      <c r="AA3721">
        <f t="shared" si="311"/>
        <v>1000</v>
      </c>
      <c r="AB3721" t="str">
        <f t="shared" si="312"/>
        <v/>
      </c>
      <c r="AC3721">
        <f t="shared" si="313"/>
        <v>1000</v>
      </c>
      <c r="AD3721" s="6"/>
    </row>
    <row r="3722" spans="1:30" x14ac:dyDescent="0.2">
      <c r="A3722" t="str">
        <f t="shared" si="314"/>
        <v/>
      </c>
      <c r="X3722" t="str" cm="1">
        <f t="array" ref="X3722">IF(S3722="","",IF($I3722&lt;&gt;"",$I3722,INDEX($I$2:$I3721,ROW()-COUNTIFS($T$2:$T3721,"="&amp;$T3722,$S$2:$S3721,"&lt;&gt;"&amp;$S3722)-1)))</f>
        <v/>
      </c>
      <c r="Y3722" t="b">
        <f>IF(X3722&lt;&gt;"",VLOOKUP(X3722,game_rosters!$C$43:$E$64,3,FALSE))</f>
        <v>0</v>
      </c>
      <c r="Z3722" t="e" cm="1" vm="1">
        <f t="array" aca="1" ref="Z3722" ca="1">IFERROR(IF(_xlfn._xlws.FILTER(game_rosters!$J:$J,(game_rosters!$G:$G=events!$AN3722)*(game_rosters!$J:$J=events!$X3722))&gt;0,1,""),"")</f>
        <v>#VALUE!</v>
      </c>
      <c r="AA3722">
        <f t="shared" si="311"/>
        <v>1000</v>
      </c>
      <c r="AB3722" t="str">
        <f t="shared" si="312"/>
        <v/>
      </c>
      <c r="AC3722">
        <f t="shared" si="313"/>
        <v>1000</v>
      </c>
      <c r="AD3722" s="6"/>
    </row>
    <row r="3723" spans="1:30" x14ac:dyDescent="0.2">
      <c r="A3723" t="str">
        <f t="shared" si="314"/>
        <v/>
      </c>
      <c r="X3723" t="str" cm="1">
        <f t="array" ref="X3723">IF(S3723="","",IF($I3723&lt;&gt;"",$I3723,INDEX($I$2:$I3722,ROW()-COUNTIFS($T$2:$T3722,"="&amp;$T3723,$S$2:$S3722,"&lt;&gt;"&amp;$S3723)-1)))</f>
        <v/>
      </c>
      <c r="Y3723" t="b">
        <f>IF(X3723&lt;&gt;"",VLOOKUP(X3723,game_rosters!$C$43:$E$64,3,FALSE))</f>
        <v>0</v>
      </c>
      <c r="Z3723" t="e" cm="1" vm="1">
        <f t="array" aca="1" ref="Z3723" ca="1">IFERROR(IF(_xlfn._xlws.FILTER(game_rosters!$J:$J,(game_rosters!$G:$G=events!$AN3723)*(game_rosters!$J:$J=events!$X3723))&gt;0,1,""),"")</f>
        <v>#VALUE!</v>
      </c>
      <c r="AA3723">
        <f t="shared" si="311"/>
        <v>1000</v>
      </c>
      <c r="AB3723" t="str">
        <f t="shared" si="312"/>
        <v/>
      </c>
      <c r="AC3723">
        <f t="shared" si="313"/>
        <v>1000</v>
      </c>
      <c r="AD3723" s="6"/>
    </row>
    <row r="3724" spans="1:30" x14ac:dyDescent="0.2">
      <c r="A3724" t="str">
        <f t="shared" si="314"/>
        <v/>
      </c>
      <c r="X3724" t="str" cm="1">
        <f t="array" ref="X3724">IF(S3724="","",IF($I3724&lt;&gt;"",$I3724,INDEX($I$2:$I3723,ROW()-COUNTIFS($T$2:$T3723,"="&amp;$T3724,$S$2:$S3723,"&lt;&gt;"&amp;$S3724)-1)))</f>
        <v/>
      </c>
      <c r="Y3724" t="b">
        <f>IF(X3724&lt;&gt;"",VLOOKUP(X3724,game_rosters!$C$43:$E$64,3,FALSE))</f>
        <v>0</v>
      </c>
      <c r="Z3724" t="e" cm="1" vm="1">
        <f t="array" aca="1" ref="Z3724" ca="1">IFERROR(IF(_xlfn._xlws.FILTER(game_rosters!$J:$J,(game_rosters!$G:$G=events!$AN3724)*(game_rosters!$J:$J=events!$X3724))&gt;0,1,""),"")</f>
        <v>#VALUE!</v>
      </c>
      <c r="AA3724">
        <f t="shared" si="311"/>
        <v>1000</v>
      </c>
      <c r="AB3724" t="str">
        <f t="shared" si="312"/>
        <v/>
      </c>
      <c r="AC3724">
        <f t="shared" si="313"/>
        <v>1000</v>
      </c>
      <c r="AD3724" s="6"/>
    </row>
    <row r="3725" spans="1:30" x14ac:dyDescent="0.2">
      <c r="A3725" t="str">
        <f t="shared" si="314"/>
        <v/>
      </c>
      <c r="X3725" t="str" cm="1">
        <f t="array" ref="X3725">IF(S3725="","",IF($I3725&lt;&gt;"",$I3725,INDEX($I$2:$I3724,ROW()-COUNTIFS($T$2:$T3724,"="&amp;$T3725,$S$2:$S3724,"&lt;&gt;"&amp;$S3725)-1)))</f>
        <v/>
      </c>
      <c r="Y3725" t="b">
        <f>IF(X3725&lt;&gt;"",VLOOKUP(X3725,game_rosters!$C$43:$E$64,3,FALSE))</f>
        <v>0</v>
      </c>
      <c r="Z3725" t="e" cm="1" vm="1">
        <f t="array" aca="1" ref="Z3725" ca="1">IFERROR(IF(_xlfn._xlws.FILTER(game_rosters!$J:$J,(game_rosters!$G:$G=events!$AN3725)*(game_rosters!$J:$J=events!$X3725))&gt;0,1,""),"")</f>
        <v>#VALUE!</v>
      </c>
      <c r="AA3725">
        <f t="shared" si="311"/>
        <v>1000</v>
      </c>
      <c r="AB3725" t="str">
        <f t="shared" si="312"/>
        <v/>
      </c>
      <c r="AC3725">
        <f t="shared" si="313"/>
        <v>1000</v>
      </c>
      <c r="AD3725" s="6"/>
    </row>
    <row r="3726" spans="1:30" x14ac:dyDescent="0.2">
      <c r="A3726" t="str">
        <f t="shared" si="314"/>
        <v/>
      </c>
      <c r="X3726" t="str" cm="1">
        <f t="array" ref="X3726">IF(S3726="","",IF($I3726&lt;&gt;"",$I3726,INDEX($I$2:$I3725,ROW()-COUNTIFS($T$2:$T3725,"="&amp;$T3726,$S$2:$S3725,"&lt;&gt;"&amp;$S3726)-1)))</f>
        <v/>
      </c>
      <c r="Y3726" t="b">
        <f>IF(X3726&lt;&gt;"",VLOOKUP(X3726,game_rosters!$C$43:$E$64,3,FALSE))</f>
        <v>0</v>
      </c>
      <c r="Z3726" t="e" cm="1" vm="1">
        <f t="array" aca="1" ref="Z3726" ca="1">IFERROR(IF(_xlfn._xlws.FILTER(game_rosters!$J:$J,(game_rosters!$G:$G=events!$AN3726)*(game_rosters!$J:$J=events!$X3726))&gt;0,1,""),"")</f>
        <v>#VALUE!</v>
      </c>
      <c r="AA3726">
        <f t="shared" si="311"/>
        <v>1000</v>
      </c>
      <c r="AB3726" t="str">
        <f t="shared" si="312"/>
        <v/>
      </c>
      <c r="AC3726">
        <f t="shared" si="313"/>
        <v>1000</v>
      </c>
      <c r="AD3726" s="6"/>
    </row>
    <row r="3727" spans="1:30" x14ac:dyDescent="0.2">
      <c r="A3727" t="str">
        <f t="shared" si="314"/>
        <v/>
      </c>
      <c r="X3727" t="str" cm="1">
        <f t="array" ref="X3727">IF(S3727="","",IF($I3727&lt;&gt;"",$I3727,INDEX($I$2:$I3726,ROW()-COUNTIFS($T$2:$T3726,"="&amp;$T3727,$S$2:$S3726,"&lt;&gt;"&amp;$S3727)-1)))</f>
        <v/>
      </c>
      <c r="Y3727" t="b">
        <f>IF(X3727&lt;&gt;"",VLOOKUP(X3727,game_rosters!$C$43:$E$64,3,FALSE))</f>
        <v>0</v>
      </c>
      <c r="Z3727" t="e" cm="1" vm="1">
        <f t="array" aca="1" ref="Z3727" ca="1">IFERROR(IF(_xlfn._xlws.FILTER(game_rosters!$J:$J,(game_rosters!$G:$G=events!$AN3727)*(game_rosters!$J:$J=events!$X3727))&gt;0,1,""),"")</f>
        <v>#VALUE!</v>
      </c>
      <c r="AA3727">
        <f t="shared" si="311"/>
        <v>1000</v>
      </c>
      <c r="AB3727" t="str">
        <f t="shared" si="312"/>
        <v/>
      </c>
      <c r="AC3727">
        <f t="shared" si="313"/>
        <v>1000</v>
      </c>
      <c r="AD3727" s="6"/>
    </row>
    <row r="3728" spans="1:30" x14ac:dyDescent="0.2">
      <c r="A3728" t="str">
        <f t="shared" si="314"/>
        <v/>
      </c>
      <c r="X3728" t="str" cm="1">
        <f t="array" ref="X3728">IF(S3728="","",IF($I3728&lt;&gt;"",$I3728,INDEX($I$2:$I3727,ROW()-COUNTIFS($T$2:$T3727,"="&amp;$T3728,$S$2:$S3727,"&lt;&gt;"&amp;$S3728)-1)))</f>
        <v/>
      </c>
      <c r="Y3728" t="b">
        <f>IF(X3728&lt;&gt;"",VLOOKUP(X3728,game_rosters!$C$43:$E$64,3,FALSE))</f>
        <v>0</v>
      </c>
      <c r="Z3728" t="e" cm="1" vm="1">
        <f t="array" aca="1" ref="Z3728" ca="1">IFERROR(IF(_xlfn._xlws.FILTER(game_rosters!$J:$J,(game_rosters!$G:$G=events!$AN3728)*(game_rosters!$J:$J=events!$X3728))&gt;0,1,""),"")</f>
        <v>#VALUE!</v>
      </c>
      <c r="AA3728">
        <f t="shared" si="311"/>
        <v>1000</v>
      </c>
      <c r="AB3728" t="str">
        <f t="shared" si="312"/>
        <v/>
      </c>
      <c r="AC3728">
        <f t="shared" si="313"/>
        <v>1000</v>
      </c>
      <c r="AD3728" s="6"/>
    </row>
    <row r="3729" spans="1:30" x14ac:dyDescent="0.2">
      <c r="A3729" t="str">
        <f t="shared" si="314"/>
        <v/>
      </c>
      <c r="X3729" t="str" cm="1">
        <f t="array" ref="X3729">IF(S3729="","",IF($I3729&lt;&gt;"",$I3729,INDEX($I$2:$I3728,ROW()-COUNTIFS($T$2:$T3728,"="&amp;$T3729,$S$2:$S3728,"&lt;&gt;"&amp;$S3729)-1)))</f>
        <v/>
      </c>
      <c r="Y3729" t="b">
        <f>IF(X3729&lt;&gt;"",VLOOKUP(X3729,game_rosters!$C$43:$E$64,3,FALSE))</f>
        <v>0</v>
      </c>
      <c r="Z3729" t="e" cm="1" vm="1">
        <f t="array" aca="1" ref="Z3729" ca="1">IFERROR(IF(_xlfn._xlws.FILTER(game_rosters!$J:$J,(game_rosters!$G:$G=events!$AN3729)*(game_rosters!$J:$J=events!$X3729))&gt;0,1,""),"")</f>
        <v>#VALUE!</v>
      </c>
      <c r="AA3729">
        <f t="shared" si="311"/>
        <v>1000</v>
      </c>
      <c r="AB3729" t="str">
        <f t="shared" si="312"/>
        <v/>
      </c>
      <c r="AC3729">
        <f t="shared" si="313"/>
        <v>1000</v>
      </c>
      <c r="AD3729" s="6"/>
    </row>
    <row r="3730" spans="1:30" x14ac:dyDescent="0.2">
      <c r="A3730" t="str">
        <f t="shared" si="314"/>
        <v/>
      </c>
      <c r="X3730" t="str" cm="1">
        <f t="array" ref="X3730">IF(S3730="","",IF($I3730&lt;&gt;"",$I3730,INDEX($I$2:$I3729,ROW()-COUNTIFS($T$2:$T3729,"="&amp;$T3730,$S$2:$S3729,"&lt;&gt;"&amp;$S3730)-1)))</f>
        <v/>
      </c>
      <c r="Y3730" t="b">
        <f>IF(X3730&lt;&gt;"",VLOOKUP(X3730,game_rosters!$C$43:$E$64,3,FALSE))</f>
        <v>0</v>
      </c>
      <c r="Z3730" t="e" cm="1" vm="1">
        <f t="array" aca="1" ref="Z3730" ca="1">IFERROR(IF(_xlfn._xlws.FILTER(game_rosters!$J:$J,(game_rosters!$G:$G=events!$AN3730)*(game_rosters!$J:$J=events!$X3730))&gt;0,1,""),"")</f>
        <v>#VALUE!</v>
      </c>
      <c r="AA3730">
        <f t="shared" si="311"/>
        <v>1000</v>
      </c>
      <c r="AB3730" t="str">
        <f t="shared" si="312"/>
        <v/>
      </c>
      <c r="AC3730">
        <f t="shared" si="313"/>
        <v>1000</v>
      </c>
      <c r="AD3730" s="6"/>
    </row>
    <row r="3731" spans="1:30" x14ac:dyDescent="0.2">
      <c r="A3731" t="str">
        <f t="shared" si="314"/>
        <v/>
      </c>
      <c r="X3731" t="str" cm="1">
        <f t="array" ref="X3731">IF(S3731="","",IF($I3731&lt;&gt;"",$I3731,INDEX($I$2:$I3730,ROW()-COUNTIFS($T$2:$T3730,"="&amp;$T3731,$S$2:$S3730,"&lt;&gt;"&amp;$S3731)-1)))</f>
        <v/>
      </c>
      <c r="Y3731" t="b">
        <f>IF(X3731&lt;&gt;"",VLOOKUP(X3731,game_rosters!$C$43:$E$64,3,FALSE))</f>
        <v>0</v>
      </c>
      <c r="Z3731" t="e" cm="1" vm="1">
        <f t="array" aca="1" ref="Z3731" ca="1">IFERROR(IF(_xlfn._xlws.FILTER(game_rosters!$J:$J,(game_rosters!$G:$G=events!$AN3731)*(game_rosters!$J:$J=events!$X3731))&gt;0,1,""),"")</f>
        <v>#VALUE!</v>
      </c>
      <c r="AA3731">
        <f t="shared" si="311"/>
        <v>1000</v>
      </c>
      <c r="AB3731" t="str">
        <f t="shared" si="312"/>
        <v/>
      </c>
      <c r="AC3731">
        <f t="shared" si="313"/>
        <v>1000</v>
      </c>
      <c r="AD3731" s="6"/>
    </row>
    <row r="3732" spans="1:30" x14ac:dyDescent="0.2">
      <c r="A3732" t="str">
        <f t="shared" si="314"/>
        <v/>
      </c>
      <c r="X3732" t="str" cm="1">
        <f t="array" ref="X3732">IF(S3732="","",IF($I3732&lt;&gt;"",$I3732,INDEX($I$2:$I3731,ROW()-COUNTIFS($T$2:$T3731,"="&amp;$T3732,$S$2:$S3731,"&lt;&gt;"&amp;$S3732)-1)))</f>
        <v/>
      </c>
      <c r="Y3732" t="b">
        <f>IF(X3732&lt;&gt;"",VLOOKUP(X3732,game_rosters!$C$43:$E$64,3,FALSE))</f>
        <v>0</v>
      </c>
      <c r="Z3732" t="e" cm="1" vm="1">
        <f t="array" aca="1" ref="Z3732" ca="1">IFERROR(IF(_xlfn._xlws.FILTER(game_rosters!$J:$J,(game_rosters!$G:$G=events!$AN3732)*(game_rosters!$J:$J=events!$X3732))&gt;0,1,""),"")</f>
        <v>#VALUE!</v>
      </c>
      <c r="AA3732">
        <f t="shared" si="311"/>
        <v>1000</v>
      </c>
      <c r="AB3732" t="str">
        <f t="shared" si="312"/>
        <v/>
      </c>
      <c r="AC3732">
        <f t="shared" si="313"/>
        <v>1000</v>
      </c>
      <c r="AD3732" s="6"/>
    </row>
    <row r="3733" spans="1:30" x14ac:dyDescent="0.2">
      <c r="A3733" t="str">
        <f t="shared" si="314"/>
        <v/>
      </c>
      <c r="X3733" t="str" cm="1">
        <f t="array" ref="X3733">IF(S3733="","",IF($I3733&lt;&gt;"",$I3733,INDEX($I$2:$I3732,ROW()-COUNTIFS($T$2:$T3732,"="&amp;$T3733,$S$2:$S3732,"&lt;&gt;"&amp;$S3733)-1)))</f>
        <v/>
      </c>
      <c r="Y3733" t="b">
        <f>IF(X3733&lt;&gt;"",VLOOKUP(X3733,game_rosters!$C$43:$E$64,3,FALSE))</f>
        <v>0</v>
      </c>
      <c r="Z3733" t="e" cm="1" vm="1">
        <f t="array" aca="1" ref="Z3733" ca="1">IFERROR(IF(_xlfn._xlws.FILTER(game_rosters!$J:$J,(game_rosters!$G:$G=events!$AN3733)*(game_rosters!$J:$J=events!$X3733))&gt;0,1,""),"")</f>
        <v>#VALUE!</v>
      </c>
      <c r="AA3733">
        <f t="shared" si="311"/>
        <v>1000</v>
      </c>
      <c r="AB3733" t="str">
        <f t="shared" si="312"/>
        <v/>
      </c>
      <c r="AC3733">
        <f t="shared" si="313"/>
        <v>1000</v>
      </c>
      <c r="AD3733" s="6"/>
    </row>
    <row r="3734" spans="1:30" x14ac:dyDescent="0.2">
      <c r="A3734" t="str">
        <f t="shared" si="314"/>
        <v/>
      </c>
      <c r="X3734" t="str" cm="1">
        <f t="array" ref="X3734">IF(S3734="","",IF($I3734&lt;&gt;"",$I3734,INDEX($I$2:$I3733,ROW()-COUNTIFS($T$2:$T3733,"="&amp;$T3734,$S$2:$S3733,"&lt;&gt;"&amp;$S3734)-1)))</f>
        <v/>
      </c>
      <c r="Y3734" t="b">
        <f>IF(X3734&lt;&gt;"",VLOOKUP(X3734,game_rosters!$C$43:$E$64,3,FALSE))</f>
        <v>0</v>
      </c>
      <c r="Z3734" t="e" cm="1" vm="1">
        <f t="array" aca="1" ref="Z3734" ca="1">IFERROR(IF(_xlfn._xlws.FILTER(game_rosters!$J:$J,(game_rosters!$G:$G=events!$AN3734)*(game_rosters!$J:$J=events!$X3734))&gt;0,1,""),"")</f>
        <v>#VALUE!</v>
      </c>
      <c r="AA3734">
        <f t="shared" si="311"/>
        <v>1000</v>
      </c>
      <c r="AB3734" t="str">
        <f t="shared" si="312"/>
        <v/>
      </c>
      <c r="AC3734">
        <f t="shared" si="313"/>
        <v>1000</v>
      </c>
      <c r="AD3734" s="6"/>
    </row>
    <row r="3735" spans="1:30" x14ac:dyDescent="0.2">
      <c r="A3735" t="str">
        <f t="shared" si="314"/>
        <v/>
      </c>
      <c r="X3735" t="str" cm="1">
        <f t="array" ref="X3735">IF(S3735="","",IF($I3735&lt;&gt;"",$I3735,INDEX($I$2:$I3734,ROW()-COUNTIFS($T$2:$T3734,"="&amp;$T3735,$S$2:$S3734,"&lt;&gt;"&amp;$S3735)-1)))</f>
        <v/>
      </c>
      <c r="Y3735" t="b">
        <f>IF(X3735&lt;&gt;"",VLOOKUP(X3735,game_rosters!$C$43:$E$64,3,FALSE))</f>
        <v>0</v>
      </c>
      <c r="Z3735" t="e" cm="1" vm="1">
        <f t="array" aca="1" ref="Z3735" ca="1">IFERROR(IF(_xlfn._xlws.FILTER(game_rosters!$J:$J,(game_rosters!$G:$G=events!$AN3735)*(game_rosters!$J:$J=events!$X3735))&gt;0,1,""),"")</f>
        <v>#VALUE!</v>
      </c>
      <c r="AA3735">
        <f t="shared" si="311"/>
        <v>1000</v>
      </c>
      <c r="AB3735" t="str">
        <f t="shared" si="312"/>
        <v/>
      </c>
      <c r="AC3735">
        <f t="shared" si="313"/>
        <v>1000</v>
      </c>
      <c r="AD3735" s="6"/>
    </row>
    <row r="3736" spans="1:30" x14ac:dyDescent="0.2">
      <c r="A3736" t="str">
        <f t="shared" si="314"/>
        <v/>
      </c>
      <c r="X3736" t="str" cm="1">
        <f t="array" ref="X3736">IF(S3736="","",IF($I3736&lt;&gt;"",$I3736,INDEX($I$2:$I3735,ROW()-COUNTIFS($T$2:$T3735,"="&amp;$T3736,$S$2:$S3735,"&lt;&gt;"&amp;$S3736)-1)))</f>
        <v/>
      </c>
      <c r="Y3736" t="b">
        <f>IF(X3736&lt;&gt;"",VLOOKUP(X3736,game_rosters!$C$43:$E$64,3,FALSE))</f>
        <v>0</v>
      </c>
      <c r="Z3736" t="e" cm="1" vm="1">
        <f t="array" aca="1" ref="Z3736" ca="1">IFERROR(IF(_xlfn._xlws.FILTER(game_rosters!$J:$J,(game_rosters!$G:$G=events!$AN3736)*(game_rosters!$J:$J=events!$X3736))&gt;0,1,""),"")</f>
        <v>#VALUE!</v>
      </c>
      <c r="AA3736">
        <f t="shared" si="311"/>
        <v>1000</v>
      </c>
      <c r="AB3736" t="str">
        <f t="shared" si="312"/>
        <v/>
      </c>
      <c r="AC3736">
        <f t="shared" si="313"/>
        <v>1000</v>
      </c>
      <c r="AD3736" s="6"/>
    </row>
    <row r="3737" spans="1:30" x14ac:dyDescent="0.2">
      <c r="A3737" t="str">
        <f t="shared" si="314"/>
        <v/>
      </c>
      <c r="X3737" t="str" cm="1">
        <f t="array" ref="X3737">IF(S3737="","",IF($I3737&lt;&gt;"",$I3737,INDEX($I$2:$I3736,ROW()-COUNTIFS($T$2:$T3736,"="&amp;$T3737,$S$2:$S3736,"&lt;&gt;"&amp;$S3737)-1)))</f>
        <v/>
      </c>
      <c r="Y3737" t="b">
        <f>IF(X3737&lt;&gt;"",VLOOKUP(X3737,game_rosters!$C$43:$E$64,3,FALSE))</f>
        <v>0</v>
      </c>
      <c r="Z3737" t="e" cm="1" vm="1">
        <f t="array" aca="1" ref="Z3737" ca="1">IFERROR(IF(_xlfn._xlws.FILTER(game_rosters!$J:$J,(game_rosters!$G:$G=events!$AN3737)*(game_rosters!$J:$J=events!$X3737))&gt;0,1,""),"")</f>
        <v>#VALUE!</v>
      </c>
      <c r="AA3737">
        <f t="shared" si="311"/>
        <v>1000</v>
      </c>
      <c r="AB3737" t="str">
        <f t="shared" si="312"/>
        <v/>
      </c>
      <c r="AC3737">
        <f t="shared" si="313"/>
        <v>1000</v>
      </c>
      <c r="AD3737" s="6"/>
    </row>
    <row r="3738" spans="1:30" x14ac:dyDescent="0.2">
      <c r="A3738" t="str">
        <f t="shared" si="314"/>
        <v/>
      </c>
      <c r="X3738" t="str" cm="1">
        <f t="array" ref="X3738">IF(S3738="","",IF($I3738&lt;&gt;"",$I3738,INDEX($I$2:$I3737,ROW()-COUNTIFS($T$2:$T3737,"="&amp;$T3738,$S$2:$S3737,"&lt;&gt;"&amp;$S3738)-1)))</f>
        <v/>
      </c>
      <c r="Y3738" t="b">
        <f>IF(X3738&lt;&gt;"",VLOOKUP(X3738,game_rosters!$C$43:$E$64,3,FALSE))</f>
        <v>0</v>
      </c>
      <c r="Z3738" t="e" cm="1" vm="1">
        <f t="array" aca="1" ref="Z3738" ca="1">IFERROR(IF(_xlfn._xlws.FILTER(game_rosters!$J:$J,(game_rosters!$G:$G=events!$AN3738)*(game_rosters!$J:$J=events!$X3738))&gt;0,1,""),"")</f>
        <v>#VALUE!</v>
      </c>
      <c r="AA3738">
        <f t="shared" si="311"/>
        <v>1000</v>
      </c>
      <c r="AB3738" t="str">
        <f t="shared" si="312"/>
        <v/>
      </c>
      <c r="AC3738">
        <f t="shared" si="313"/>
        <v>1000</v>
      </c>
      <c r="AD3738" s="6"/>
    </row>
    <row r="3739" spans="1:30" x14ac:dyDescent="0.2">
      <c r="A3739" t="str">
        <f t="shared" si="314"/>
        <v/>
      </c>
      <c r="X3739" t="str" cm="1">
        <f t="array" ref="X3739">IF(S3739="","",IF($I3739&lt;&gt;"",$I3739,INDEX($I$2:$I3738,ROW()-COUNTIFS($T$2:$T3738,"="&amp;$T3739,$S$2:$S3738,"&lt;&gt;"&amp;$S3739)-1)))</f>
        <v/>
      </c>
      <c r="Y3739" t="b">
        <f>IF(X3739&lt;&gt;"",VLOOKUP(X3739,game_rosters!$C$43:$E$64,3,FALSE))</f>
        <v>0</v>
      </c>
      <c r="Z3739" t="e" cm="1" vm="1">
        <f t="array" aca="1" ref="Z3739" ca="1">IFERROR(IF(_xlfn._xlws.FILTER(game_rosters!$J:$J,(game_rosters!$G:$G=events!$AN3739)*(game_rosters!$J:$J=events!$X3739))&gt;0,1,""),"")</f>
        <v>#VALUE!</v>
      </c>
      <c r="AA3739">
        <f t="shared" si="311"/>
        <v>1000</v>
      </c>
      <c r="AB3739" t="str">
        <f t="shared" si="312"/>
        <v/>
      </c>
      <c r="AC3739">
        <f t="shared" si="313"/>
        <v>1000</v>
      </c>
      <c r="AD3739" s="6"/>
    </row>
    <row r="3740" spans="1:30" x14ac:dyDescent="0.2">
      <c r="A3740" t="str">
        <f t="shared" si="314"/>
        <v/>
      </c>
      <c r="X3740" t="str" cm="1">
        <f t="array" ref="X3740">IF(S3740="","",IF($I3740&lt;&gt;"",$I3740,INDEX($I$2:$I3739,ROW()-COUNTIFS($T$2:$T3739,"="&amp;$T3740,$S$2:$S3739,"&lt;&gt;"&amp;$S3740)-1)))</f>
        <v/>
      </c>
      <c r="Y3740" t="b">
        <f>IF(X3740&lt;&gt;"",VLOOKUP(X3740,game_rosters!$C$43:$E$64,3,FALSE))</f>
        <v>0</v>
      </c>
      <c r="Z3740" t="e" cm="1" vm="1">
        <f t="array" aca="1" ref="Z3740" ca="1">IFERROR(IF(_xlfn._xlws.FILTER(game_rosters!$J:$J,(game_rosters!$G:$G=events!$AN3740)*(game_rosters!$J:$J=events!$X3740))&gt;0,1,""),"")</f>
        <v>#VALUE!</v>
      </c>
      <c r="AA3740">
        <f t="shared" si="311"/>
        <v>1000</v>
      </c>
      <c r="AB3740" t="str">
        <f t="shared" si="312"/>
        <v/>
      </c>
      <c r="AC3740">
        <f t="shared" si="313"/>
        <v>1000</v>
      </c>
      <c r="AD3740" s="6"/>
    </row>
    <row r="3741" spans="1:30" x14ac:dyDescent="0.2">
      <c r="A3741" t="str">
        <f t="shared" si="314"/>
        <v/>
      </c>
      <c r="X3741" t="str" cm="1">
        <f t="array" ref="X3741">IF(S3741="","",IF($I3741&lt;&gt;"",$I3741,INDEX($I$2:$I3740,ROW()-COUNTIFS($T$2:$T3740,"="&amp;$T3741,$S$2:$S3740,"&lt;&gt;"&amp;$S3741)-1)))</f>
        <v/>
      </c>
      <c r="Y3741" t="b">
        <f>IF(X3741&lt;&gt;"",VLOOKUP(X3741,game_rosters!$C$43:$E$64,3,FALSE))</f>
        <v>0</v>
      </c>
      <c r="Z3741" t="e" cm="1" vm="1">
        <f t="array" aca="1" ref="Z3741" ca="1">IFERROR(IF(_xlfn._xlws.FILTER(game_rosters!$J:$J,(game_rosters!$G:$G=events!$AN3741)*(game_rosters!$J:$J=events!$X3741))&gt;0,1,""),"")</f>
        <v>#VALUE!</v>
      </c>
      <c r="AA3741">
        <f t="shared" ref="AA3741:AA3804" si="315">S3741+1000</f>
        <v>1000</v>
      </c>
      <c r="AB3741" t="str">
        <f t="shared" ref="AB3741:AB3804" si="316">IF(T3741&lt;&gt;"",9000+T3741,"")</f>
        <v/>
      </c>
      <c r="AC3741">
        <f t="shared" si="313"/>
        <v>1000</v>
      </c>
      <c r="AD3741" s="6"/>
    </row>
    <row r="3742" spans="1:30" x14ac:dyDescent="0.2">
      <c r="A3742" t="str">
        <f t="shared" si="314"/>
        <v/>
      </c>
      <c r="X3742" t="str" cm="1">
        <f t="array" ref="X3742">IF(S3742="","",IF($I3742&lt;&gt;"",$I3742,INDEX($I$2:$I3741,ROW()-COUNTIFS($T$2:$T3741,"="&amp;$T3742,$S$2:$S3741,"&lt;&gt;"&amp;$S3742)-1)))</f>
        <v/>
      </c>
      <c r="Y3742" t="b">
        <f>IF(X3742&lt;&gt;"",VLOOKUP(X3742,game_rosters!$C$43:$E$64,3,FALSE))</f>
        <v>0</v>
      </c>
      <c r="Z3742" t="e" cm="1" vm="1">
        <f t="array" aca="1" ref="Z3742" ca="1">IFERROR(IF(_xlfn._xlws.FILTER(game_rosters!$J:$J,(game_rosters!$G:$G=events!$AN3742)*(game_rosters!$J:$J=events!$X3742))&gt;0,1,""),"")</f>
        <v>#VALUE!</v>
      </c>
      <c r="AA3742">
        <f t="shared" si="315"/>
        <v>1000</v>
      </c>
      <c r="AB3742" t="str">
        <f t="shared" si="316"/>
        <v/>
      </c>
      <c r="AC3742">
        <f t="shared" si="313"/>
        <v>1000</v>
      </c>
      <c r="AD3742" s="6"/>
    </row>
    <row r="3743" spans="1:30" x14ac:dyDescent="0.2">
      <c r="A3743" t="str">
        <f t="shared" si="314"/>
        <v/>
      </c>
      <c r="X3743" t="str" cm="1">
        <f t="array" ref="X3743">IF(S3743="","",IF($I3743&lt;&gt;"",$I3743,INDEX($I$2:$I3742,ROW()-COUNTIFS($T$2:$T3742,"="&amp;$T3743,$S$2:$S3742,"&lt;&gt;"&amp;$S3743)-1)))</f>
        <v/>
      </c>
      <c r="Y3743" t="b">
        <f>IF(X3743&lt;&gt;"",VLOOKUP(X3743,game_rosters!$C$43:$E$64,3,FALSE))</f>
        <v>0</v>
      </c>
      <c r="Z3743" t="e" cm="1" vm="1">
        <f t="array" aca="1" ref="Z3743" ca="1">IFERROR(IF(_xlfn._xlws.FILTER(game_rosters!$J:$J,(game_rosters!$G:$G=events!$AN3743)*(game_rosters!$J:$J=events!$X3743))&gt;0,1,""),"")</f>
        <v>#VALUE!</v>
      </c>
      <c r="AA3743">
        <f t="shared" si="315"/>
        <v>1000</v>
      </c>
      <c r="AB3743" t="str">
        <f t="shared" si="316"/>
        <v/>
      </c>
      <c r="AC3743">
        <f t="shared" si="313"/>
        <v>1000</v>
      </c>
      <c r="AD3743" s="6"/>
    </row>
    <row r="3744" spans="1:30" x14ac:dyDescent="0.2">
      <c r="A3744" t="str">
        <f t="shared" si="314"/>
        <v/>
      </c>
      <c r="X3744" t="str" cm="1">
        <f t="array" ref="X3744">IF(S3744="","",IF($I3744&lt;&gt;"",$I3744,INDEX($I$2:$I3743,ROW()-COUNTIFS($T$2:$T3743,"="&amp;$T3744,$S$2:$S3743,"&lt;&gt;"&amp;$S3744)-1)))</f>
        <v/>
      </c>
      <c r="Y3744" t="b">
        <f>IF(X3744&lt;&gt;"",VLOOKUP(X3744,game_rosters!$C$43:$E$64,3,FALSE))</f>
        <v>0</v>
      </c>
      <c r="Z3744" t="e" cm="1" vm="1">
        <f t="array" aca="1" ref="Z3744" ca="1">IFERROR(IF(_xlfn._xlws.FILTER(game_rosters!$J:$J,(game_rosters!$G:$G=events!$AN3744)*(game_rosters!$J:$J=events!$X3744))&gt;0,1,""),"")</f>
        <v>#VALUE!</v>
      </c>
      <c r="AA3744">
        <f t="shared" si="315"/>
        <v>1000</v>
      </c>
      <c r="AB3744" t="str">
        <f t="shared" si="316"/>
        <v/>
      </c>
      <c r="AC3744">
        <f t="shared" si="313"/>
        <v>1000</v>
      </c>
      <c r="AD3744" s="6"/>
    </row>
    <row r="3745" spans="1:30" x14ac:dyDescent="0.2">
      <c r="A3745" t="str">
        <f t="shared" si="314"/>
        <v/>
      </c>
      <c r="X3745" t="str" cm="1">
        <f t="array" ref="X3745">IF(S3745="","",IF($I3745&lt;&gt;"",$I3745,INDEX($I$2:$I3744,ROW()-COUNTIFS($T$2:$T3744,"="&amp;$T3745,$S$2:$S3744,"&lt;&gt;"&amp;$S3745)-1)))</f>
        <v/>
      </c>
      <c r="Y3745" t="b">
        <f>IF(X3745&lt;&gt;"",VLOOKUP(X3745,game_rosters!$C$43:$E$64,3,FALSE))</f>
        <v>0</v>
      </c>
      <c r="Z3745" t="e" cm="1" vm="1">
        <f t="array" aca="1" ref="Z3745" ca="1">IFERROR(IF(_xlfn._xlws.FILTER(game_rosters!$J:$J,(game_rosters!$G:$G=events!$AN3745)*(game_rosters!$J:$J=events!$X3745))&gt;0,1,""),"")</f>
        <v>#VALUE!</v>
      </c>
      <c r="AA3745">
        <f t="shared" si="315"/>
        <v>1000</v>
      </c>
      <c r="AB3745" t="str">
        <f t="shared" si="316"/>
        <v/>
      </c>
      <c r="AC3745">
        <f t="shared" si="313"/>
        <v>1000</v>
      </c>
      <c r="AD3745" s="6"/>
    </row>
    <row r="3746" spans="1:30" x14ac:dyDescent="0.2">
      <c r="A3746" t="str">
        <f t="shared" si="314"/>
        <v/>
      </c>
      <c r="X3746" t="str" cm="1">
        <f t="array" ref="X3746">IF(S3746="","",IF($I3746&lt;&gt;"",$I3746,INDEX($I$2:$I3745,ROW()-COUNTIFS($T$2:$T3745,"="&amp;$T3746,$S$2:$S3745,"&lt;&gt;"&amp;$S3746)-1)))</f>
        <v/>
      </c>
      <c r="Y3746" t="b">
        <f>IF(X3746&lt;&gt;"",VLOOKUP(X3746,game_rosters!$C$43:$E$64,3,FALSE))</f>
        <v>0</v>
      </c>
      <c r="Z3746" t="e" cm="1" vm="1">
        <f t="array" aca="1" ref="Z3746" ca="1">IFERROR(IF(_xlfn._xlws.FILTER(game_rosters!$J:$J,(game_rosters!$G:$G=events!$AN3746)*(game_rosters!$J:$J=events!$X3746))&gt;0,1,""),"")</f>
        <v>#VALUE!</v>
      </c>
      <c r="AA3746">
        <f t="shared" si="315"/>
        <v>1000</v>
      </c>
      <c r="AB3746" t="str">
        <f t="shared" si="316"/>
        <v/>
      </c>
      <c r="AC3746">
        <f t="shared" si="313"/>
        <v>1000</v>
      </c>
      <c r="AD3746" s="6"/>
    </row>
    <row r="3747" spans="1:30" x14ac:dyDescent="0.2">
      <c r="A3747" t="str">
        <f t="shared" si="314"/>
        <v/>
      </c>
      <c r="X3747" t="str" cm="1">
        <f t="array" ref="X3747">IF(S3747="","",IF($I3747&lt;&gt;"",$I3747,INDEX($I$2:$I3746,ROW()-COUNTIFS($T$2:$T3746,"="&amp;$T3747,$S$2:$S3746,"&lt;&gt;"&amp;$S3747)-1)))</f>
        <v/>
      </c>
      <c r="Y3747" t="b">
        <f>IF(X3747&lt;&gt;"",VLOOKUP(X3747,game_rosters!$C$43:$E$64,3,FALSE))</f>
        <v>0</v>
      </c>
      <c r="Z3747" t="e" cm="1" vm="1">
        <f t="array" aca="1" ref="Z3747" ca="1">IFERROR(IF(_xlfn._xlws.FILTER(game_rosters!$J:$J,(game_rosters!$G:$G=events!$AN3747)*(game_rosters!$J:$J=events!$X3747))&gt;0,1,""),"")</f>
        <v>#VALUE!</v>
      </c>
      <c r="AA3747">
        <f t="shared" si="315"/>
        <v>1000</v>
      </c>
      <c r="AB3747" t="str">
        <f t="shared" si="316"/>
        <v/>
      </c>
      <c r="AC3747">
        <f t="shared" si="313"/>
        <v>1000</v>
      </c>
      <c r="AD3747" s="6"/>
    </row>
    <row r="3748" spans="1:30" x14ac:dyDescent="0.2">
      <c r="A3748" t="str">
        <f t="shared" si="314"/>
        <v/>
      </c>
      <c r="X3748" t="str" cm="1">
        <f t="array" ref="X3748">IF(S3748="","",IF($I3748&lt;&gt;"",$I3748,INDEX($I$2:$I3747,ROW()-COUNTIFS($T$2:$T3747,"="&amp;$T3748,$S$2:$S3747,"&lt;&gt;"&amp;$S3748)-1)))</f>
        <v/>
      </c>
      <c r="Y3748" t="b">
        <f>IF(X3748&lt;&gt;"",VLOOKUP(X3748,game_rosters!$C$43:$E$64,3,FALSE))</f>
        <v>0</v>
      </c>
      <c r="Z3748" t="e" cm="1" vm="1">
        <f t="array" aca="1" ref="Z3748" ca="1">IFERROR(IF(_xlfn._xlws.FILTER(game_rosters!$J:$J,(game_rosters!$G:$G=events!$AN3748)*(game_rosters!$J:$J=events!$X3748))&gt;0,1,""),"")</f>
        <v>#VALUE!</v>
      </c>
      <c r="AA3748">
        <f t="shared" si="315"/>
        <v>1000</v>
      </c>
      <c r="AB3748" t="str">
        <f t="shared" si="316"/>
        <v/>
      </c>
      <c r="AC3748">
        <f t="shared" si="313"/>
        <v>1000</v>
      </c>
      <c r="AD3748" s="6"/>
    </row>
    <row r="3749" spans="1:30" x14ac:dyDescent="0.2">
      <c r="A3749" t="str">
        <f t="shared" si="314"/>
        <v/>
      </c>
      <c r="X3749" t="str" cm="1">
        <f t="array" ref="X3749">IF(S3749="","",IF($I3749&lt;&gt;"",$I3749,INDEX($I$2:$I3748,ROW()-COUNTIFS($T$2:$T3748,"="&amp;$T3749,$S$2:$S3748,"&lt;&gt;"&amp;$S3749)-1)))</f>
        <v/>
      </c>
      <c r="Y3749" t="b">
        <f>IF(X3749&lt;&gt;"",VLOOKUP(X3749,game_rosters!$C$43:$E$64,3,FALSE))</f>
        <v>0</v>
      </c>
      <c r="Z3749" t="e" cm="1" vm="1">
        <f t="array" aca="1" ref="Z3749" ca="1">IFERROR(IF(_xlfn._xlws.FILTER(game_rosters!$J:$J,(game_rosters!$G:$G=events!$AN3749)*(game_rosters!$J:$J=events!$X3749))&gt;0,1,""),"")</f>
        <v>#VALUE!</v>
      </c>
      <c r="AA3749">
        <f t="shared" si="315"/>
        <v>1000</v>
      </c>
      <c r="AB3749" t="str">
        <f t="shared" si="316"/>
        <v/>
      </c>
      <c r="AC3749">
        <f t="shared" si="313"/>
        <v>1000</v>
      </c>
      <c r="AD3749" s="6"/>
    </row>
    <row r="3750" spans="1:30" x14ac:dyDescent="0.2">
      <c r="A3750" t="str">
        <f t="shared" si="314"/>
        <v/>
      </c>
      <c r="X3750" t="str" cm="1">
        <f t="array" ref="X3750">IF(S3750="","",IF($I3750&lt;&gt;"",$I3750,INDEX($I$2:$I3749,ROW()-COUNTIFS($T$2:$T3749,"="&amp;$T3750,$S$2:$S3749,"&lt;&gt;"&amp;$S3750)-1)))</f>
        <v/>
      </c>
      <c r="Y3750" t="b">
        <f>IF(X3750&lt;&gt;"",VLOOKUP(X3750,game_rosters!$C$43:$E$64,3,FALSE))</f>
        <v>0</v>
      </c>
      <c r="Z3750" t="e" cm="1" vm="1">
        <f t="array" aca="1" ref="Z3750" ca="1">IFERROR(IF(_xlfn._xlws.FILTER(game_rosters!$J:$J,(game_rosters!$G:$G=events!$AN3750)*(game_rosters!$J:$J=events!$X3750))&gt;0,1,""),"")</f>
        <v>#VALUE!</v>
      </c>
      <c r="AA3750">
        <f t="shared" si="315"/>
        <v>1000</v>
      </c>
      <c r="AB3750" t="str">
        <f t="shared" si="316"/>
        <v/>
      </c>
      <c r="AC3750">
        <f t="shared" si="313"/>
        <v>1000</v>
      </c>
      <c r="AD3750" s="6"/>
    </row>
    <row r="3751" spans="1:30" x14ac:dyDescent="0.2">
      <c r="A3751" t="str">
        <f t="shared" si="314"/>
        <v/>
      </c>
      <c r="X3751" t="str" cm="1">
        <f t="array" ref="X3751">IF(S3751="","",IF($I3751&lt;&gt;"",$I3751,INDEX($I$2:$I3750,ROW()-COUNTIFS($T$2:$T3750,"="&amp;$T3751,$S$2:$S3750,"&lt;&gt;"&amp;$S3751)-1)))</f>
        <v/>
      </c>
      <c r="Y3751" t="b">
        <f>IF(X3751&lt;&gt;"",VLOOKUP(X3751,game_rosters!$C$43:$E$64,3,FALSE))</f>
        <v>0</v>
      </c>
      <c r="Z3751" t="e" cm="1" vm="1">
        <f t="array" aca="1" ref="Z3751" ca="1">IFERROR(IF(_xlfn._xlws.FILTER(game_rosters!$J:$J,(game_rosters!$G:$G=events!$AN3751)*(game_rosters!$J:$J=events!$X3751))&gt;0,1,""),"")</f>
        <v>#VALUE!</v>
      </c>
      <c r="AA3751">
        <f t="shared" si="315"/>
        <v>1000</v>
      </c>
      <c r="AB3751" t="str">
        <f t="shared" si="316"/>
        <v/>
      </c>
      <c r="AC3751">
        <f t="shared" si="313"/>
        <v>1000</v>
      </c>
      <c r="AD3751" s="6"/>
    </row>
    <row r="3752" spans="1:30" x14ac:dyDescent="0.2">
      <c r="A3752" t="str">
        <f t="shared" si="314"/>
        <v/>
      </c>
      <c r="X3752" t="str" cm="1">
        <f t="array" ref="X3752">IF(S3752="","",IF($I3752&lt;&gt;"",$I3752,INDEX($I$2:$I3751,ROW()-COUNTIFS($T$2:$T3751,"="&amp;$T3752,$S$2:$S3751,"&lt;&gt;"&amp;$S3752)-1)))</f>
        <v/>
      </c>
      <c r="Y3752" t="b">
        <f>IF(X3752&lt;&gt;"",VLOOKUP(X3752,game_rosters!$C$43:$E$64,3,FALSE))</f>
        <v>0</v>
      </c>
      <c r="Z3752" t="e" cm="1" vm="1">
        <f t="array" aca="1" ref="Z3752" ca="1">IFERROR(IF(_xlfn._xlws.FILTER(game_rosters!$J:$J,(game_rosters!$G:$G=events!$AN3752)*(game_rosters!$J:$J=events!$X3752))&gt;0,1,""),"")</f>
        <v>#VALUE!</v>
      </c>
      <c r="AA3752">
        <f t="shared" si="315"/>
        <v>1000</v>
      </c>
      <c r="AB3752" t="str">
        <f t="shared" si="316"/>
        <v/>
      </c>
      <c r="AC3752">
        <f t="shared" si="313"/>
        <v>1000</v>
      </c>
      <c r="AD3752" s="6"/>
    </row>
    <row r="3753" spans="1:30" x14ac:dyDescent="0.2">
      <c r="A3753" t="str">
        <f t="shared" si="314"/>
        <v/>
      </c>
      <c r="X3753" t="str" cm="1">
        <f t="array" ref="X3753">IF(S3753="","",IF($I3753&lt;&gt;"",$I3753,INDEX($I$2:$I3752,ROW()-COUNTIFS($T$2:$T3752,"="&amp;$T3753,$S$2:$S3752,"&lt;&gt;"&amp;$S3753)-1)))</f>
        <v/>
      </c>
      <c r="Y3753" t="b">
        <f>IF(X3753&lt;&gt;"",VLOOKUP(X3753,game_rosters!$C$43:$E$64,3,FALSE))</f>
        <v>0</v>
      </c>
      <c r="Z3753" t="e" cm="1" vm="1">
        <f t="array" aca="1" ref="Z3753" ca="1">IFERROR(IF(_xlfn._xlws.FILTER(game_rosters!$J:$J,(game_rosters!$G:$G=events!$AN3753)*(game_rosters!$J:$J=events!$X3753))&gt;0,1,""),"")</f>
        <v>#VALUE!</v>
      </c>
      <c r="AA3753">
        <f t="shared" si="315"/>
        <v>1000</v>
      </c>
      <c r="AB3753" t="str">
        <f t="shared" si="316"/>
        <v/>
      </c>
      <c r="AC3753">
        <f t="shared" si="313"/>
        <v>1000</v>
      </c>
      <c r="AD3753" s="6"/>
    </row>
    <row r="3754" spans="1:30" x14ac:dyDescent="0.2">
      <c r="A3754" t="str">
        <f t="shared" si="314"/>
        <v/>
      </c>
      <c r="X3754" t="str" cm="1">
        <f t="array" ref="X3754">IF(S3754="","",IF($I3754&lt;&gt;"",$I3754,INDEX($I$2:$I3753,ROW()-COUNTIFS($T$2:$T3753,"="&amp;$T3754,$S$2:$S3753,"&lt;&gt;"&amp;$S3754)-1)))</f>
        <v/>
      </c>
      <c r="Y3754" t="b">
        <f>IF(X3754&lt;&gt;"",VLOOKUP(X3754,game_rosters!$C$43:$E$64,3,FALSE))</f>
        <v>0</v>
      </c>
      <c r="Z3754" t="e" cm="1" vm="1">
        <f t="array" aca="1" ref="Z3754" ca="1">IFERROR(IF(_xlfn._xlws.FILTER(game_rosters!$J:$J,(game_rosters!$G:$G=events!$AN3754)*(game_rosters!$J:$J=events!$X3754))&gt;0,1,""),"")</f>
        <v>#VALUE!</v>
      </c>
      <c r="AA3754">
        <f t="shared" si="315"/>
        <v>1000</v>
      </c>
      <c r="AB3754" t="str">
        <f t="shared" si="316"/>
        <v/>
      </c>
      <c r="AC3754">
        <f t="shared" si="313"/>
        <v>1000</v>
      </c>
      <c r="AD3754" s="6"/>
    </row>
    <row r="3755" spans="1:30" x14ac:dyDescent="0.2">
      <c r="A3755" t="str">
        <f t="shared" si="314"/>
        <v/>
      </c>
      <c r="X3755" t="str" cm="1">
        <f t="array" ref="X3755">IF(S3755="","",IF($I3755&lt;&gt;"",$I3755,INDEX($I$2:$I3754,ROW()-COUNTIFS($T$2:$T3754,"="&amp;$T3755,$S$2:$S3754,"&lt;&gt;"&amp;$S3755)-1)))</f>
        <v/>
      </c>
      <c r="Y3755" t="b">
        <f>IF(X3755&lt;&gt;"",VLOOKUP(X3755,game_rosters!$C$43:$E$64,3,FALSE))</f>
        <v>0</v>
      </c>
      <c r="Z3755" t="e" cm="1" vm="1">
        <f t="array" aca="1" ref="Z3755" ca="1">IFERROR(IF(_xlfn._xlws.FILTER(game_rosters!$J:$J,(game_rosters!$G:$G=events!$AN3755)*(game_rosters!$J:$J=events!$X3755))&gt;0,1,""),"")</f>
        <v>#VALUE!</v>
      </c>
      <c r="AA3755">
        <f t="shared" si="315"/>
        <v>1000</v>
      </c>
      <c r="AB3755" t="str">
        <f t="shared" si="316"/>
        <v/>
      </c>
      <c r="AC3755">
        <f t="shared" si="313"/>
        <v>1000</v>
      </c>
      <c r="AD3755" s="6"/>
    </row>
    <row r="3756" spans="1:30" x14ac:dyDescent="0.2">
      <c r="A3756" t="str">
        <f t="shared" si="314"/>
        <v/>
      </c>
      <c r="X3756" t="str" cm="1">
        <f t="array" ref="X3756">IF(S3756="","",IF($I3756&lt;&gt;"",$I3756,INDEX($I$2:$I3755,ROW()-COUNTIFS($T$2:$T3755,"="&amp;$T3756,$S$2:$S3755,"&lt;&gt;"&amp;$S3756)-1)))</f>
        <v/>
      </c>
      <c r="Y3756" t="b">
        <f>IF(X3756&lt;&gt;"",VLOOKUP(X3756,game_rosters!$C$43:$E$64,3,FALSE))</f>
        <v>0</v>
      </c>
      <c r="Z3756" t="e" cm="1" vm="1">
        <f t="array" aca="1" ref="Z3756" ca="1">IFERROR(IF(_xlfn._xlws.FILTER(game_rosters!$J:$J,(game_rosters!$G:$G=events!$AN3756)*(game_rosters!$J:$J=events!$X3756))&gt;0,1,""),"")</f>
        <v>#VALUE!</v>
      </c>
      <c r="AA3756">
        <f t="shared" si="315"/>
        <v>1000</v>
      </c>
      <c r="AB3756" t="str">
        <f t="shared" si="316"/>
        <v/>
      </c>
      <c r="AC3756">
        <f t="shared" si="313"/>
        <v>1000</v>
      </c>
      <c r="AD3756" s="6"/>
    </row>
    <row r="3757" spans="1:30" x14ac:dyDescent="0.2">
      <c r="A3757" t="str">
        <f t="shared" si="314"/>
        <v/>
      </c>
      <c r="X3757" t="str" cm="1">
        <f t="array" ref="X3757">IF(S3757="","",IF($I3757&lt;&gt;"",$I3757,INDEX($I$2:$I3756,ROW()-COUNTIFS($T$2:$T3756,"="&amp;$T3757,$S$2:$S3756,"&lt;&gt;"&amp;$S3757)-1)))</f>
        <v/>
      </c>
      <c r="Y3757" t="b">
        <f>IF(X3757&lt;&gt;"",VLOOKUP(X3757,game_rosters!$C$43:$E$64,3,FALSE))</f>
        <v>0</v>
      </c>
      <c r="Z3757" t="e" cm="1" vm="1">
        <f t="array" aca="1" ref="Z3757" ca="1">IFERROR(IF(_xlfn._xlws.FILTER(game_rosters!$J:$J,(game_rosters!$G:$G=events!$AN3757)*(game_rosters!$J:$J=events!$X3757))&gt;0,1,""),"")</f>
        <v>#VALUE!</v>
      </c>
      <c r="AA3757">
        <f t="shared" si="315"/>
        <v>1000</v>
      </c>
      <c r="AB3757" t="str">
        <f t="shared" si="316"/>
        <v/>
      </c>
      <c r="AC3757">
        <f t="shared" si="313"/>
        <v>1000</v>
      </c>
      <c r="AD3757" s="6"/>
    </row>
    <row r="3758" spans="1:30" x14ac:dyDescent="0.2">
      <c r="A3758" t="str">
        <f t="shared" si="314"/>
        <v/>
      </c>
      <c r="X3758" t="str" cm="1">
        <f t="array" ref="X3758">IF(S3758="","",IF($I3758&lt;&gt;"",$I3758,INDEX($I$2:$I3757,ROW()-COUNTIFS($T$2:$T3757,"="&amp;$T3758,$S$2:$S3757,"&lt;&gt;"&amp;$S3758)-1)))</f>
        <v/>
      </c>
      <c r="Y3758" t="b">
        <f>IF(X3758&lt;&gt;"",VLOOKUP(X3758,game_rosters!$C$43:$E$64,3,FALSE))</f>
        <v>0</v>
      </c>
      <c r="Z3758" t="e" cm="1" vm="1">
        <f t="array" aca="1" ref="Z3758" ca="1">IFERROR(IF(_xlfn._xlws.FILTER(game_rosters!$J:$J,(game_rosters!$G:$G=events!$AN3758)*(game_rosters!$J:$J=events!$X3758))&gt;0,1,""),"")</f>
        <v>#VALUE!</v>
      </c>
      <c r="AA3758">
        <f t="shared" si="315"/>
        <v>1000</v>
      </c>
      <c r="AB3758" t="str">
        <f t="shared" si="316"/>
        <v/>
      </c>
      <c r="AC3758">
        <f t="shared" si="313"/>
        <v>1000</v>
      </c>
      <c r="AD3758" s="6"/>
    </row>
    <row r="3759" spans="1:30" x14ac:dyDescent="0.2">
      <c r="A3759" t="str">
        <f t="shared" si="314"/>
        <v/>
      </c>
      <c r="X3759" t="str" cm="1">
        <f t="array" ref="X3759">IF(S3759="","",IF($I3759&lt;&gt;"",$I3759,INDEX($I$2:$I3758,ROW()-COUNTIFS($T$2:$T3758,"="&amp;$T3759,$S$2:$S3758,"&lt;&gt;"&amp;$S3759)-1)))</f>
        <v/>
      </c>
      <c r="Y3759" t="b">
        <f>IF(X3759&lt;&gt;"",VLOOKUP(X3759,game_rosters!$C$43:$E$64,3,FALSE))</f>
        <v>0</v>
      </c>
      <c r="Z3759" t="e" cm="1" vm="1">
        <f t="array" aca="1" ref="Z3759" ca="1">IFERROR(IF(_xlfn._xlws.FILTER(game_rosters!$J:$J,(game_rosters!$G:$G=events!$AN3759)*(game_rosters!$J:$J=events!$X3759))&gt;0,1,""),"")</f>
        <v>#VALUE!</v>
      </c>
      <c r="AA3759">
        <f t="shared" si="315"/>
        <v>1000</v>
      </c>
      <c r="AB3759" t="str">
        <f t="shared" si="316"/>
        <v/>
      </c>
      <c r="AC3759">
        <f t="shared" si="313"/>
        <v>1000</v>
      </c>
      <c r="AD3759" s="6"/>
    </row>
    <row r="3760" spans="1:30" x14ac:dyDescent="0.2">
      <c r="A3760" t="str">
        <f t="shared" si="314"/>
        <v/>
      </c>
      <c r="X3760" t="str" cm="1">
        <f t="array" ref="X3760">IF(S3760="","",IF($I3760&lt;&gt;"",$I3760,INDEX($I$2:$I3759,ROW()-COUNTIFS($T$2:$T3759,"="&amp;$T3760,$S$2:$S3759,"&lt;&gt;"&amp;$S3760)-1)))</f>
        <v/>
      </c>
      <c r="Y3760" t="b">
        <f>IF(X3760&lt;&gt;"",VLOOKUP(X3760,game_rosters!$C$43:$E$64,3,FALSE))</f>
        <v>0</v>
      </c>
      <c r="Z3760" t="e" cm="1" vm="1">
        <f t="array" aca="1" ref="Z3760" ca="1">IFERROR(IF(_xlfn._xlws.FILTER(game_rosters!$J:$J,(game_rosters!$G:$G=events!$AN3760)*(game_rosters!$J:$J=events!$X3760))&gt;0,1,""),"")</f>
        <v>#VALUE!</v>
      </c>
      <c r="AA3760">
        <f t="shared" si="315"/>
        <v>1000</v>
      </c>
      <c r="AB3760" t="str">
        <f t="shared" si="316"/>
        <v/>
      </c>
      <c r="AC3760">
        <f t="shared" si="313"/>
        <v>1000</v>
      </c>
      <c r="AD3760" s="6"/>
    </row>
    <row r="3761" spans="1:30" x14ac:dyDescent="0.2">
      <c r="A3761" t="str">
        <f t="shared" si="314"/>
        <v/>
      </c>
      <c r="X3761" t="str" cm="1">
        <f t="array" ref="X3761">IF(S3761="","",IF($I3761&lt;&gt;"",$I3761,INDEX($I$2:$I3760,ROW()-COUNTIFS($T$2:$T3760,"="&amp;$T3761,$S$2:$S3760,"&lt;&gt;"&amp;$S3761)-1)))</f>
        <v/>
      </c>
      <c r="Y3761" t="b">
        <f>IF(X3761&lt;&gt;"",VLOOKUP(X3761,game_rosters!$C$43:$E$64,3,FALSE))</f>
        <v>0</v>
      </c>
      <c r="Z3761" t="e" cm="1" vm="1">
        <f t="array" aca="1" ref="Z3761" ca="1">IFERROR(IF(_xlfn._xlws.FILTER(game_rosters!$J:$J,(game_rosters!$G:$G=events!$AN3761)*(game_rosters!$J:$J=events!$X3761))&gt;0,1,""),"")</f>
        <v>#VALUE!</v>
      </c>
      <c r="AA3761">
        <f t="shared" si="315"/>
        <v>1000</v>
      </c>
      <c r="AB3761" t="str">
        <f t="shared" si="316"/>
        <v/>
      </c>
      <c r="AC3761">
        <f t="shared" si="313"/>
        <v>1000</v>
      </c>
      <c r="AD3761" s="6"/>
    </row>
    <row r="3762" spans="1:30" x14ac:dyDescent="0.2">
      <c r="A3762" t="str">
        <f t="shared" si="314"/>
        <v/>
      </c>
      <c r="X3762" t="str" cm="1">
        <f t="array" ref="X3762">IF(S3762="","",IF($I3762&lt;&gt;"",$I3762,INDEX($I$2:$I3761,ROW()-COUNTIFS($T$2:$T3761,"="&amp;$T3762,$S$2:$S3761,"&lt;&gt;"&amp;$S3762)-1)))</f>
        <v/>
      </c>
      <c r="Y3762" t="b">
        <f>IF(X3762&lt;&gt;"",VLOOKUP(X3762,game_rosters!$C$43:$E$64,3,FALSE))</f>
        <v>0</v>
      </c>
      <c r="Z3762" t="e" cm="1" vm="1">
        <f t="array" aca="1" ref="Z3762" ca="1">IFERROR(IF(_xlfn._xlws.FILTER(game_rosters!$J:$J,(game_rosters!$G:$G=events!$AN3762)*(game_rosters!$J:$J=events!$X3762))&gt;0,1,""),"")</f>
        <v>#VALUE!</v>
      </c>
      <c r="AA3762">
        <f t="shared" si="315"/>
        <v>1000</v>
      </c>
      <c r="AB3762" t="str">
        <f t="shared" si="316"/>
        <v/>
      </c>
      <c r="AC3762">
        <f t="shared" si="313"/>
        <v>1000</v>
      </c>
      <c r="AD3762" s="6"/>
    </row>
    <row r="3763" spans="1:30" x14ac:dyDescent="0.2">
      <c r="A3763" t="str">
        <f t="shared" si="314"/>
        <v/>
      </c>
      <c r="X3763" t="str" cm="1">
        <f t="array" ref="X3763">IF(S3763="","",IF($I3763&lt;&gt;"",$I3763,INDEX($I$2:$I3762,ROW()-COUNTIFS($T$2:$T3762,"="&amp;$T3763,$S$2:$S3762,"&lt;&gt;"&amp;$S3763)-1)))</f>
        <v/>
      </c>
      <c r="Y3763" t="b">
        <f>IF(X3763&lt;&gt;"",VLOOKUP(X3763,game_rosters!$C$43:$E$64,3,FALSE))</f>
        <v>0</v>
      </c>
      <c r="Z3763" t="e" cm="1" vm="1">
        <f t="array" aca="1" ref="Z3763" ca="1">IFERROR(IF(_xlfn._xlws.FILTER(game_rosters!$J:$J,(game_rosters!$G:$G=events!$AN3763)*(game_rosters!$J:$J=events!$X3763))&gt;0,1,""),"")</f>
        <v>#VALUE!</v>
      </c>
      <c r="AA3763">
        <f t="shared" si="315"/>
        <v>1000</v>
      </c>
      <c r="AB3763" t="str">
        <f t="shared" si="316"/>
        <v/>
      </c>
      <c r="AC3763">
        <f t="shared" si="313"/>
        <v>1000</v>
      </c>
      <c r="AD3763" s="6"/>
    </row>
    <row r="3764" spans="1:30" x14ac:dyDescent="0.2">
      <c r="A3764" t="str">
        <f t="shared" si="314"/>
        <v/>
      </c>
      <c r="X3764" t="str" cm="1">
        <f t="array" ref="X3764">IF(S3764="","",IF($I3764&lt;&gt;"",$I3764,INDEX($I$2:$I3763,ROW()-COUNTIFS($T$2:$T3763,"="&amp;$T3764,$S$2:$S3763,"&lt;&gt;"&amp;$S3764)-1)))</f>
        <v/>
      </c>
      <c r="Y3764" t="b">
        <f>IF(X3764&lt;&gt;"",VLOOKUP(X3764,game_rosters!$C$43:$E$64,3,FALSE))</f>
        <v>0</v>
      </c>
      <c r="Z3764" t="e" cm="1" vm="1">
        <f t="array" aca="1" ref="Z3764" ca="1">IFERROR(IF(_xlfn._xlws.FILTER(game_rosters!$J:$J,(game_rosters!$G:$G=events!$AN3764)*(game_rosters!$J:$J=events!$X3764))&gt;0,1,""),"")</f>
        <v>#VALUE!</v>
      </c>
      <c r="AA3764">
        <f t="shared" si="315"/>
        <v>1000</v>
      </c>
      <c r="AB3764" t="str">
        <f t="shared" si="316"/>
        <v/>
      </c>
      <c r="AC3764">
        <f t="shared" si="313"/>
        <v>1000</v>
      </c>
      <c r="AD3764" s="6"/>
    </row>
    <row r="3765" spans="1:30" x14ac:dyDescent="0.2">
      <c r="A3765" t="str">
        <f t="shared" si="314"/>
        <v/>
      </c>
      <c r="X3765" t="str" cm="1">
        <f t="array" ref="X3765">IF(S3765="","",IF($I3765&lt;&gt;"",$I3765,INDEX($I$2:$I3764,ROW()-COUNTIFS($T$2:$T3764,"="&amp;$T3765,$S$2:$S3764,"&lt;&gt;"&amp;$S3765)-1)))</f>
        <v/>
      </c>
      <c r="Y3765" t="b">
        <f>IF(X3765&lt;&gt;"",VLOOKUP(X3765,game_rosters!$C$43:$E$64,3,FALSE))</f>
        <v>0</v>
      </c>
      <c r="Z3765" t="e" cm="1" vm="1">
        <f t="array" aca="1" ref="Z3765" ca="1">IFERROR(IF(_xlfn._xlws.FILTER(game_rosters!$J:$J,(game_rosters!$G:$G=events!$AN3765)*(game_rosters!$J:$J=events!$X3765))&gt;0,1,""),"")</f>
        <v>#VALUE!</v>
      </c>
      <c r="AA3765">
        <f t="shared" si="315"/>
        <v>1000</v>
      </c>
      <c r="AB3765" t="str">
        <f t="shared" si="316"/>
        <v/>
      </c>
      <c r="AC3765">
        <f t="shared" si="313"/>
        <v>1000</v>
      </c>
      <c r="AD3765" s="6"/>
    </row>
    <row r="3766" spans="1:30" x14ac:dyDescent="0.2">
      <c r="A3766" t="str">
        <f t="shared" si="314"/>
        <v/>
      </c>
      <c r="X3766" t="str" cm="1">
        <f t="array" ref="X3766">IF(S3766="","",IF($I3766&lt;&gt;"",$I3766,INDEX($I$2:$I3765,ROW()-COUNTIFS($T$2:$T3765,"="&amp;$T3766,$S$2:$S3765,"&lt;&gt;"&amp;$S3766)-1)))</f>
        <v/>
      </c>
      <c r="Y3766" t="b">
        <f>IF(X3766&lt;&gt;"",VLOOKUP(X3766,game_rosters!$C$43:$E$64,3,FALSE))</f>
        <v>0</v>
      </c>
      <c r="Z3766" t="e" cm="1" vm="1">
        <f t="array" aca="1" ref="Z3766" ca="1">IFERROR(IF(_xlfn._xlws.FILTER(game_rosters!$J:$J,(game_rosters!$G:$G=events!$AN3766)*(game_rosters!$J:$J=events!$X3766))&gt;0,1,""),"")</f>
        <v>#VALUE!</v>
      </c>
      <c r="AA3766">
        <f t="shared" si="315"/>
        <v>1000</v>
      </c>
      <c r="AB3766" t="str">
        <f t="shared" si="316"/>
        <v/>
      </c>
      <c r="AC3766">
        <f t="shared" si="313"/>
        <v>1000</v>
      </c>
      <c r="AD3766" s="6"/>
    </row>
    <row r="3767" spans="1:30" x14ac:dyDescent="0.2">
      <c r="A3767" t="str">
        <f t="shared" si="314"/>
        <v/>
      </c>
      <c r="X3767" t="str" cm="1">
        <f t="array" ref="X3767">IF(S3767="","",IF($I3767&lt;&gt;"",$I3767,INDEX($I$2:$I3766,ROW()-COUNTIFS($T$2:$T3766,"="&amp;$T3767,$S$2:$S3766,"&lt;&gt;"&amp;$S3767)-1)))</f>
        <v/>
      </c>
      <c r="Y3767" t="b">
        <f>IF(X3767&lt;&gt;"",VLOOKUP(X3767,game_rosters!$C$43:$E$64,3,FALSE))</f>
        <v>0</v>
      </c>
      <c r="Z3767" t="e" cm="1" vm="1">
        <f t="array" aca="1" ref="Z3767" ca="1">IFERROR(IF(_xlfn._xlws.FILTER(game_rosters!$J:$J,(game_rosters!$G:$G=events!$AN3767)*(game_rosters!$J:$J=events!$X3767))&gt;0,1,""),"")</f>
        <v>#VALUE!</v>
      </c>
      <c r="AA3767">
        <f t="shared" si="315"/>
        <v>1000</v>
      </c>
      <c r="AB3767" t="str">
        <f t="shared" si="316"/>
        <v/>
      </c>
      <c r="AC3767">
        <f t="shared" si="313"/>
        <v>1000</v>
      </c>
      <c r="AD3767" s="6"/>
    </row>
    <row r="3768" spans="1:30" x14ac:dyDescent="0.2">
      <c r="A3768" t="str">
        <f t="shared" si="314"/>
        <v/>
      </c>
      <c r="X3768" t="str" cm="1">
        <f t="array" ref="X3768">IF(S3768="","",IF($I3768&lt;&gt;"",$I3768,INDEX($I$2:$I3767,ROW()-COUNTIFS($T$2:$T3767,"="&amp;$T3768,$S$2:$S3767,"&lt;&gt;"&amp;$S3768)-1)))</f>
        <v/>
      </c>
      <c r="Y3768" t="b">
        <f>IF(X3768&lt;&gt;"",VLOOKUP(X3768,game_rosters!$C$43:$E$64,3,FALSE))</f>
        <v>0</v>
      </c>
      <c r="Z3768" t="e" cm="1" vm="1">
        <f t="array" aca="1" ref="Z3768" ca="1">IFERROR(IF(_xlfn._xlws.FILTER(game_rosters!$J:$J,(game_rosters!$G:$G=events!$AN3768)*(game_rosters!$J:$J=events!$X3768))&gt;0,1,""),"")</f>
        <v>#VALUE!</v>
      </c>
      <c r="AA3768">
        <f t="shared" si="315"/>
        <v>1000</v>
      </c>
      <c r="AB3768" t="str">
        <f t="shared" si="316"/>
        <v/>
      </c>
      <c r="AC3768">
        <f t="shared" si="313"/>
        <v>1000</v>
      </c>
      <c r="AD3768" s="6"/>
    </row>
    <row r="3769" spans="1:30" x14ac:dyDescent="0.2">
      <c r="A3769" t="str">
        <f t="shared" si="314"/>
        <v/>
      </c>
      <c r="X3769" t="str" cm="1">
        <f t="array" ref="X3769">IF(S3769="","",IF($I3769&lt;&gt;"",$I3769,INDEX($I$2:$I3768,ROW()-COUNTIFS($T$2:$T3768,"="&amp;$T3769,$S$2:$S3768,"&lt;&gt;"&amp;$S3769)-1)))</f>
        <v/>
      </c>
      <c r="Y3769" t="b">
        <f>IF(X3769&lt;&gt;"",VLOOKUP(X3769,game_rosters!$C$43:$E$64,3,FALSE))</f>
        <v>0</v>
      </c>
      <c r="Z3769" t="e" cm="1" vm="1">
        <f t="array" aca="1" ref="Z3769" ca="1">IFERROR(IF(_xlfn._xlws.FILTER(game_rosters!$J:$J,(game_rosters!$G:$G=events!$AN3769)*(game_rosters!$J:$J=events!$X3769))&gt;0,1,""),"")</f>
        <v>#VALUE!</v>
      </c>
      <c r="AA3769">
        <f t="shared" si="315"/>
        <v>1000</v>
      </c>
      <c r="AB3769" t="str">
        <f t="shared" si="316"/>
        <v/>
      </c>
      <c r="AC3769">
        <f t="shared" si="313"/>
        <v>1000</v>
      </c>
      <c r="AD3769" s="6"/>
    </row>
    <row r="3770" spans="1:30" x14ac:dyDescent="0.2">
      <c r="A3770" t="str">
        <f t="shared" si="314"/>
        <v/>
      </c>
      <c r="X3770" t="str" cm="1">
        <f t="array" ref="X3770">IF(S3770="","",IF($I3770&lt;&gt;"",$I3770,INDEX($I$2:$I3769,ROW()-COUNTIFS($T$2:$T3769,"="&amp;$T3770,$S$2:$S3769,"&lt;&gt;"&amp;$S3770)-1)))</f>
        <v/>
      </c>
      <c r="Y3770" t="b">
        <f>IF(X3770&lt;&gt;"",VLOOKUP(X3770,game_rosters!$C$43:$E$64,3,FALSE))</f>
        <v>0</v>
      </c>
      <c r="Z3770" t="e" cm="1" vm="1">
        <f t="array" aca="1" ref="Z3770" ca="1">IFERROR(IF(_xlfn._xlws.FILTER(game_rosters!$J:$J,(game_rosters!$G:$G=events!$AN3770)*(game_rosters!$J:$J=events!$X3770))&gt;0,1,""),"")</f>
        <v>#VALUE!</v>
      </c>
      <c r="AA3770">
        <f t="shared" si="315"/>
        <v>1000</v>
      </c>
      <c r="AB3770" t="str">
        <f t="shared" si="316"/>
        <v/>
      </c>
      <c r="AC3770">
        <f t="shared" si="313"/>
        <v>1000</v>
      </c>
      <c r="AD3770" s="6"/>
    </row>
    <row r="3771" spans="1:30" x14ac:dyDescent="0.2">
      <c r="A3771" t="str">
        <f t="shared" si="314"/>
        <v/>
      </c>
      <c r="X3771" t="str" cm="1">
        <f t="array" ref="X3771">IF(S3771="","",IF($I3771&lt;&gt;"",$I3771,INDEX($I$2:$I3770,ROW()-COUNTIFS($T$2:$T3770,"="&amp;$T3771,$S$2:$S3770,"&lt;&gt;"&amp;$S3771)-1)))</f>
        <v/>
      </c>
      <c r="Y3771" t="b">
        <f>IF(X3771&lt;&gt;"",VLOOKUP(X3771,game_rosters!$C$43:$E$64,3,FALSE))</f>
        <v>0</v>
      </c>
      <c r="Z3771" t="e" cm="1" vm="1">
        <f t="array" aca="1" ref="Z3771" ca="1">IFERROR(IF(_xlfn._xlws.FILTER(game_rosters!$J:$J,(game_rosters!$G:$G=events!$AN3771)*(game_rosters!$J:$J=events!$X3771))&gt;0,1,""),"")</f>
        <v>#VALUE!</v>
      </c>
      <c r="AA3771">
        <f t="shared" si="315"/>
        <v>1000</v>
      </c>
      <c r="AB3771" t="str">
        <f t="shared" si="316"/>
        <v/>
      </c>
      <c r="AC3771">
        <f t="shared" si="313"/>
        <v>1000</v>
      </c>
      <c r="AD3771" s="6"/>
    </row>
    <row r="3772" spans="1:30" x14ac:dyDescent="0.2">
      <c r="A3772" t="str">
        <f t="shared" si="314"/>
        <v/>
      </c>
      <c r="X3772" t="str" cm="1">
        <f t="array" ref="X3772">IF(S3772="","",IF($I3772&lt;&gt;"",$I3772,INDEX($I$2:$I3771,ROW()-COUNTIFS($T$2:$T3771,"="&amp;$T3772,$S$2:$S3771,"&lt;&gt;"&amp;$S3772)-1)))</f>
        <v/>
      </c>
      <c r="Y3772" t="b">
        <f>IF(X3772&lt;&gt;"",VLOOKUP(X3772,game_rosters!$C$43:$E$64,3,FALSE))</f>
        <v>0</v>
      </c>
      <c r="Z3772" t="e" cm="1" vm="1">
        <f t="array" aca="1" ref="Z3772" ca="1">IFERROR(IF(_xlfn._xlws.FILTER(game_rosters!$J:$J,(game_rosters!$G:$G=events!$AN3772)*(game_rosters!$J:$J=events!$X3772))&gt;0,1,""),"")</f>
        <v>#VALUE!</v>
      </c>
      <c r="AA3772">
        <f t="shared" si="315"/>
        <v>1000</v>
      </c>
      <c r="AB3772" t="str">
        <f t="shared" si="316"/>
        <v/>
      </c>
      <c r="AC3772">
        <f t="shared" si="313"/>
        <v>1000</v>
      </c>
      <c r="AD3772" s="6"/>
    </row>
    <row r="3773" spans="1:30" x14ac:dyDescent="0.2">
      <c r="A3773" t="str">
        <f t="shared" si="314"/>
        <v/>
      </c>
      <c r="X3773" t="str" cm="1">
        <f t="array" ref="X3773">IF(S3773="","",IF($I3773&lt;&gt;"",$I3773,INDEX($I$2:$I3772,ROW()-COUNTIFS($T$2:$T3772,"="&amp;$T3773,$S$2:$S3772,"&lt;&gt;"&amp;$S3773)-1)))</f>
        <v/>
      </c>
      <c r="Y3773" t="b">
        <f>IF(X3773&lt;&gt;"",VLOOKUP(X3773,game_rosters!$C$43:$E$64,3,FALSE))</f>
        <v>0</v>
      </c>
      <c r="Z3773" t="e" cm="1" vm="1">
        <f t="array" aca="1" ref="Z3773" ca="1">IFERROR(IF(_xlfn._xlws.FILTER(game_rosters!$J:$J,(game_rosters!$G:$G=events!$AN3773)*(game_rosters!$J:$J=events!$X3773))&gt;0,1,""),"")</f>
        <v>#VALUE!</v>
      </c>
      <c r="AA3773">
        <f t="shared" si="315"/>
        <v>1000</v>
      </c>
      <c r="AB3773" t="str">
        <f t="shared" si="316"/>
        <v/>
      </c>
      <c r="AC3773">
        <f t="shared" si="313"/>
        <v>1000</v>
      </c>
      <c r="AD3773" s="6"/>
    </row>
    <row r="3774" spans="1:30" x14ac:dyDescent="0.2">
      <c r="A3774" t="str">
        <f t="shared" si="314"/>
        <v/>
      </c>
      <c r="X3774" t="str" cm="1">
        <f t="array" ref="X3774">IF(S3774="","",IF($I3774&lt;&gt;"",$I3774,INDEX($I$2:$I3773,ROW()-COUNTIFS($T$2:$T3773,"="&amp;$T3774,$S$2:$S3773,"&lt;&gt;"&amp;$S3774)-1)))</f>
        <v/>
      </c>
      <c r="Y3774" t="b">
        <f>IF(X3774&lt;&gt;"",VLOOKUP(X3774,game_rosters!$C$43:$E$64,3,FALSE))</f>
        <v>0</v>
      </c>
      <c r="Z3774" t="e" cm="1" vm="1">
        <f t="array" aca="1" ref="Z3774" ca="1">IFERROR(IF(_xlfn._xlws.FILTER(game_rosters!$J:$J,(game_rosters!$G:$G=events!$AN3774)*(game_rosters!$J:$J=events!$X3774))&gt;0,1,""),"")</f>
        <v>#VALUE!</v>
      </c>
      <c r="AA3774">
        <f t="shared" si="315"/>
        <v>1000</v>
      </c>
      <c r="AB3774" t="str">
        <f t="shared" si="316"/>
        <v/>
      </c>
      <c r="AC3774">
        <f t="shared" si="313"/>
        <v>1000</v>
      </c>
      <c r="AD3774" s="6"/>
    </row>
    <row r="3775" spans="1:30" x14ac:dyDescent="0.2">
      <c r="A3775" t="str">
        <f t="shared" si="314"/>
        <v/>
      </c>
      <c r="X3775" t="str" cm="1">
        <f t="array" ref="X3775">IF(S3775="","",IF($I3775&lt;&gt;"",$I3775,INDEX($I$2:$I3774,ROW()-COUNTIFS($T$2:$T3774,"="&amp;$T3775,$S$2:$S3774,"&lt;&gt;"&amp;$S3775)-1)))</f>
        <v/>
      </c>
      <c r="Y3775" t="b">
        <f>IF(X3775&lt;&gt;"",VLOOKUP(X3775,game_rosters!$C$43:$E$64,3,FALSE))</f>
        <v>0</v>
      </c>
      <c r="Z3775" t="e" cm="1" vm="1">
        <f t="array" aca="1" ref="Z3775" ca="1">IFERROR(IF(_xlfn._xlws.FILTER(game_rosters!$J:$J,(game_rosters!$G:$G=events!$AN3775)*(game_rosters!$J:$J=events!$X3775))&gt;0,1,""),"")</f>
        <v>#VALUE!</v>
      </c>
      <c r="AA3775">
        <f t="shared" si="315"/>
        <v>1000</v>
      </c>
      <c r="AB3775" t="str">
        <f t="shared" si="316"/>
        <v/>
      </c>
      <c r="AC3775">
        <f t="shared" si="313"/>
        <v>1000</v>
      </c>
      <c r="AD3775" s="6"/>
    </row>
    <row r="3776" spans="1:30" x14ac:dyDescent="0.2">
      <c r="A3776" t="str">
        <f t="shared" si="314"/>
        <v/>
      </c>
      <c r="X3776" t="str" cm="1">
        <f t="array" ref="X3776">IF(S3776="","",IF($I3776&lt;&gt;"",$I3776,INDEX($I$2:$I3775,ROW()-COUNTIFS($T$2:$T3775,"="&amp;$T3776,$S$2:$S3775,"&lt;&gt;"&amp;$S3776)-1)))</f>
        <v/>
      </c>
      <c r="Y3776" t="b">
        <f>IF(X3776&lt;&gt;"",VLOOKUP(X3776,game_rosters!$C$43:$E$64,3,FALSE))</f>
        <v>0</v>
      </c>
      <c r="Z3776" t="e" cm="1" vm="1">
        <f t="array" aca="1" ref="Z3776" ca="1">IFERROR(IF(_xlfn._xlws.FILTER(game_rosters!$J:$J,(game_rosters!$G:$G=events!$AN3776)*(game_rosters!$J:$J=events!$X3776))&gt;0,1,""),"")</f>
        <v>#VALUE!</v>
      </c>
      <c r="AA3776">
        <f t="shared" si="315"/>
        <v>1000</v>
      </c>
      <c r="AB3776" t="str">
        <f t="shared" si="316"/>
        <v/>
      </c>
      <c r="AC3776">
        <f t="shared" si="313"/>
        <v>1000</v>
      </c>
      <c r="AD3776" s="6"/>
    </row>
    <row r="3777" spans="1:30" x14ac:dyDescent="0.2">
      <c r="A3777" t="str">
        <f t="shared" si="314"/>
        <v/>
      </c>
      <c r="X3777" t="str" cm="1">
        <f t="array" ref="X3777">IF(S3777="","",IF($I3777&lt;&gt;"",$I3777,INDEX($I$2:$I3776,ROW()-COUNTIFS($T$2:$T3776,"="&amp;$T3777,$S$2:$S3776,"&lt;&gt;"&amp;$S3777)-1)))</f>
        <v/>
      </c>
      <c r="Y3777" t="b">
        <f>IF(X3777&lt;&gt;"",VLOOKUP(X3777,game_rosters!$C$43:$E$64,3,FALSE))</f>
        <v>0</v>
      </c>
      <c r="Z3777" t="e" cm="1" vm="1">
        <f t="array" aca="1" ref="Z3777" ca="1">IFERROR(IF(_xlfn._xlws.FILTER(game_rosters!$J:$J,(game_rosters!$G:$G=events!$AN3777)*(game_rosters!$J:$J=events!$X3777))&gt;0,1,""),"")</f>
        <v>#VALUE!</v>
      </c>
      <c r="AA3777">
        <f t="shared" si="315"/>
        <v>1000</v>
      </c>
      <c r="AB3777" t="str">
        <f t="shared" si="316"/>
        <v/>
      </c>
      <c r="AC3777">
        <f t="shared" si="313"/>
        <v>1000</v>
      </c>
      <c r="AD3777" s="6"/>
    </row>
    <row r="3778" spans="1:30" x14ac:dyDescent="0.2">
      <c r="A3778" t="str">
        <f t="shared" si="314"/>
        <v/>
      </c>
      <c r="X3778" t="str" cm="1">
        <f t="array" ref="X3778">IF(S3778="","",IF($I3778&lt;&gt;"",$I3778,INDEX($I$2:$I3777,ROW()-COUNTIFS($T$2:$T3777,"="&amp;$T3778,$S$2:$S3777,"&lt;&gt;"&amp;$S3778)-1)))</f>
        <v/>
      </c>
      <c r="Y3778" t="b">
        <f>IF(X3778&lt;&gt;"",VLOOKUP(X3778,game_rosters!$C$43:$E$64,3,FALSE))</f>
        <v>0</v>
      </c>
      <c r="Z3778" t="e" cm="1" vm="1">
        <f t="array" aca="1" ref="Z3778" ca="1">IFERROR(IF(_xlfn._xlws.FILTER(game_rosters!$J:$J,(game_rosters!$G:$G=events!$AN3778)*(game_rosters!$J:$J=events!$X3778))&gt;0,1,""),"")</f>
        <v>#VALUE!</v>
      </c>
      <c r="AA3778">
        <f t="shared" si="315"/>
        <v>1000</v>
      </c>
      <c r="AB3778" t="str">
        <f t="shared" si="316"/>
        <v/>
      </c>
      <c r="AC3778">
        <f t="shared" ref="AC3778:AC3841" si="317">IF(AB3778&lt;&gt;"",AB3778,S3778+1000)</f>
        <v>1000</v>
      </c>
      <c r="AD3778" s="6"/>
    </row>
    <row r="3779" spans="1:30" x14ac:dyDescent="0.2">
      <c r="A3779" t="str">
        <f t="shared" si="314"/>
        <v/>
      </c>
      <c r="X3779" t="str" cm="1">
        <f t="array" ref="X3779">IF(S3779="","",IF($I3779&lt;&gt;"",$I3779,INDEX($I$2:$I3778,ROW()-COUNTIFS($T$2:$T3778,"="&amp;$T3779,$S$2:$S3778,"&lt;&gt;"&amp;$S3779)-1)))</f>
        <v/>
      </c>
      <c r="Y3779" t="b">
        <f>IF(X3779&lt;&gt;"",VLOOKUP(X3779,game_rosters!$C$43:$E$64,3,FALSE))</f>
        <v>0</v>
      </c>
      <c r="Z3779" t="e" cm="1" vm="1">
        <f t="array" aca="1" ref="Z3779" ca="1">IFERROR(IF(_xlfn._xlws.FILTER(game_rosters!$J:$J,(game_rosters!$G:$G=events!$AN3779)*(game_rosters!$J:$J=events!$X3779))&gt;0,1,""),"")</f>
        <v>#VALUE!</v>
      </c>
      <c r="AA3779">
        <f t="shared" si="315"/>
        <v>1000</v>
      </c>
      <c r="AB3779" t="str">
        <f t="shared" si="316"/>
        <v/>
      </c>
      <c r="AC3779">
        <f t="shared" si="317"/>
        <v>1000</v>
      </c>
      <c r="AD3779" s="6"/>
    </row>
    <row r="3780" spans="1:30" x14ac:dyDescent="0.2">
      <c r="A3780" t="str">
        <f t="shared" si="314"/>
        <v/>
      </c>
      <c r="X3780" t="str" cm="1">
        <f t="array" ref="X3780">IF(S3780="","",IF($I3780&lt;&gt;"",$I3780,INDEX($I$2:$I3779,ROW()-COUNTIFS($T$2:$T3779,"="&amp;$T3780,$S$2:$S3779,"&lt;&gt;"&amp;$S3780)-1)))</f>
        <v/>
      </c>
      <c r="Y3780" t="b">
        <f>IF(X3780&lt;&gt;"",VLOOKUP(X3780,game_rosters!$C$43:$E$64,3,FALSE))</f>
        <v>0</v>
      </c>
      <c r="Z3780" t="e" cm="1" vm="1">
        <f t="array" aca="1" ref="Z3780" ca="1">IFERROR(IF(_xlfn._xlws.FILTER(game_rosters!$J:$J,(game_rosters!$G:$G=events!$AN3780)*(game_rosters!$J:$J=events!$X3780))&gt;0,1,""),"")</f>
        <v>#VALUE!</v>
      </c>
      <c r="AA3780">
        <f t="shared" si="315"/>
        <v>1000</v>
      </c>
      <c r="AB3780" t="str">
        <f t="shared" si="316"/>
        <v/>
      </c>
      <c r="AC3780">
        <f t="shared" si="317"/>
        <v>1000</v>
      </c>
      <c r="AD3780" s="6"/>
    </row>
    <row r="3781" spans="1:30" x14ac:dyDescent="0.2">
      <c r="A3781" t="str">
        <f t="shared" ref="A3781:A3844" si="318">IF(K3781&lt;&gt;"",1,IF(D3781="x","x",""))</f>
        <v/>
      </c>
      <c r="X3781" t="str" cm="1">
        <f t="array" ref="X3781">IF(S3781="","",IF($I3781&lt;&gt;"",$I3781,INDEX($I$2:$I3780,ROW()-COUNTIFS($T$2:$T3780,"="&amp;$T3781,$S$2:$S3780,"&lt;&gt;"&amp;$S3781)-1)))</f>
        <v/>
      </c>
      <c r="Y3781" t="b">
        <f>IF(X3781&lt;&gt;"",VLOOKUP(X3781,game_rosters!$C$43:$E$64,3,FALSE))</f>
        <v>0</v>
      </c>
      <c r="Z3781" t="e" cm="1" vm="1">
        <f t="array" aca="1" ref="Z3781" ca="1">IFERROR(IF(_xlfn._xlws.FILTER(game_rosters!$J:$J,(game_rosters!$G:$G=events!$AN3781)*(game_rosters!$J:$J=events!$X3781))&gt;0,1,""),"")</f>
        <v>#VALUE!</v>
      </c>
      <c r="AA3781">
        <f t="shared" si="315"/>
        <v>1000</v>
      </c>
      <c r="AB3781" t="str">
        <f t="shared" si="316"/>
        <v/>
      </c>
      <c r="AC3781">
        <f t="shared" si="317"/>
        <v>1000</v>
      </c>
      <c r="AD3781" s="6"/>
    </row>
    <row r="3782" spans="1:30" x14ac:dyDescent="0.2">
      <c r="A3782" t="str">
        <f t="shared" si="318"/>
        <v/>
      </c>
      <c r="X3782" t="str" cm="1">
        <f t="array" ref="X3782">IF(S3782="","",IF($I3782&lt;&gt;"",$I3782,INDEX($I$2:$I3781,ROW()-COUNTIFS($T$2:$T3781,"="&amp;$T3782,$S$2:$S3781,"&lt;&gt;"&amp;$S3782)-1)))</f>
        <v/>
      </c>
      <c r="Y3782" t="b">
        <f>IF(X3782&lt;&gt;"",VLOOKUP(X3782,game_rosters!$C$43:$E$64,3,FALSE))</f>
        <v>0</v>
      </c>
      <c r="Z3782" t="e" cm="1" vm="1">
        <f t="array" aca="1" ref="Z3782" ca="1">IFERROR(IF(_xlfn._xlws.FILTER(game_rosters!$J:$J,(game_rosters!$G:$G=events!$AN3782)*(game_rosters!$J:$J=events!$X3782))&gt;0,1,""),"")</f>
        <v>#VALUE!</v>
      </c>
      <c r="AA3782">
        <f t="shared" si="315"/>
        <v>1000</v>
      </c>
      <c r="AB3782" t="str">
        <f t="shared" si="316"/>
        <v/>
      </c>
      <c r="AC3782">
        <f t="shared" si="317"/>
        <v>1000</v>
      </c>
      <c r="AD3782" s="6"/>
    </row>
    <row r="3783" spans="1:30" x14ac:dyDescent="0.2">
      <c r="A3783" t="str">
        <f t="shared" si="318"/>
        <v/>
      </c>
      <c r="X3783" t="str" cm="1">
        <f t="array" ref="X3783">IF(S3783="","",IF($I3783&lt;&gt;"",$I3783,INDEX($I$2:$I3782,ROW()-COUNTIFS($T$2:$T3782,"="&amp;$T3783,$S$2:$S3782,"&lt;&gt;"&amp;$S3783)-1)))</f>
        <v/>
      </c>
      <c r="Y3783" t="b">
        <f>IF(X3783&lt;&gt;"",VLOOKUP(X3783,game_rosters!$C$43:$E$64,3,FALSE))</f>
        <v>0</v>
      </c>
      <c r="Z3783" t="e" cm="1" vm="1">
        <f t="array" aca="1" ref="Z3783" ca="1">IFERROR(IF(_xlfn._xlws.FILTER(game_rosters!$J:$J,(game_rosters!$G:$G=events!$AN3783)*(game_rosters!$J:$J=events!$X3783))&gt;0,1,""),"")</f>
        <v>#VALUE!</v>
      </c>
      <c r="AA3783">
        <f t="shared" si="315"/>
        <v>1000</v>
      </c>
      <c r="AB3783" t="str">
        <f t="shared" si="316"/>
        <v/>
      </c>
      <c r="AC3783">
        <f t="shared" si="317"/>
        <v>1000</v>
      </c>
      <c r="AD3783" s="6"/>
    </row>
    <row r="3784" spans="1:30" x14ac:dyDescent="0.2">
      <c r="A3784" t="str">
        <f t="shared" si="318"/>
        <v/>
      </c>
      <c r="X3784" t="str" cm="1">
        <f t="array" ref="X3784">IF(S3784="","",IF($I3784&lt;&gt;"",$I3784,INDEX($I$2:$I3783,ROW()-COUNTIFS($T$2:$T3783,"="&amp;$T3784,$S$2:$S3783,"&lt;&gt;"&amp;$S3784)-1)))</f>
        <v/>
      </c>
      <c r="Y3784" t="b">
        <f>IF(X3784&lt;&gt;"",VLOOKUP(X3784,game_rosters!$C$43:$E$64,3,FALSE))</f>
        <v>0</v>
      </c>
      <c r="Z3784" t="e" cm="1" vm="1">
        <f t="array" aca="1" ref="Z3784" ca="1">IFERROR(IF(_xlfn._xlws.FILTER(game_rosters!$J:$J,(game_rosters!$G:$G=events!$AN3784)*(game_rosters!$J:$J=events!$X3784))&gt;0,1,""),"")</f>
        <v>#VALUE!</v>
      </c>
      <c r="AA3784">
        <f t="shared" si="315"/>
        <v>1000</v>
      </c>
      <c r="AB3784" t="str">
        <f t="shared" si="316"/>
        <v/>
      </c>
      <c r="AC3784">
        <f t="shared" si="317"/>
        <v>1000</v>
      </c>
      <c r="AD3784" s="6"/>
    </row>
    <row r="3785" spans="1:30" x14ac:dyDescent="0.2">
      <c r="A3785" t="str">
        <f t="shared" si="318"/>
        <v/>
      </c>
      <c r="X3785" t="str" cm="1">
        <f t="array" ref="X3785">IF(S3785="","",IF($I3785&lt;&gt;"",$I3785,INDEX($I$2:$I3784,ROW()-COUNTIFS($T$2:$T3784,"="&amp;$T3785,$S$2:$S3784,"&lt;&gt;"&amp;$S3785)-1)))</f>
        <v/>
      </c>
      <c r="Y3785" t="b">
        <f>IF(X3785&lt;&gt;"",VLOOKUP(X3785,game_rosters!$C$43:$E$64,3,FALSE))</f>
        <v>0</v>
      </c>
      <c r="Z3785" t="e" cm="1" vm="1">
        <f t="array" aca="1" ref="Z3785" ca="1">IFERROR(IF(_xlfn._xlws.FILTER(game_rosters!$J:$J,(game_rosters!$G:$G=events!$AN3785)*(game_rosters!$J:$J=events!$X3785))&gt;0,1,""),"")</f>
        <v>#VALUE!</v>
      </c>
      <c r="AA3785">
        <f t="shared" si="315"/>
        <v>1000</v>
      </c>
      <c r="AB3785" t="str">
        <f t="shared" si="316"/>
        <v/>
      </c>
      <c r="AC3785">
        <f t="shared" si="317"/>
        <v>1000</v>
      </c>
      <c r="AD3785" s="6"/>
    </row>
    <row r="3786" spans="1:30" x14ac:dyDescent="0.2">
      <c r="A3786" t="str">
        <f t="shared" si="318"/>
        <v/>
      </c>
      <c r="X3786" t="str" cm="1">
        <f t="array" ref="X3786">IF(S3786="","",IF($I3786&lt;&gt;"",$I3786,INDEX($I$2:$I3785,ROW()-COUNTIFS($T$2:$T3785,"="&amp;$T3786,$S$2:$S3785,"&lt;&gt;"&amp;$S3786)-1)))</f>
        <v/>
      </c>
      <c r="Y3786" t="b">
        <f>IF(X3786&lt;&gt;"",VLOOKUP(X3786,game_rosters!$C$43:$E$64,3,FALSE))</f>
        <v>0</v>
      </c>
      <c r="Z3786" t="e" cm="1" vm="1">
        <f t="array" aca="1" ref="Z3786" ca="1">IFERROR(IF(_xlfn._xlws.FILTER(game_rosters!$J:$J,(game_rosters!$G:$G=events!$AN3786)*(game_rosters!$J:$J=events!$X3786))&gt;0,1,""),"")</f>
        <v>#VALUE!</v>
      </c>
      <c r="AA3786">
        <f t="shared" si="315"/>
        <v>1000</v>
      </c>
      <c r="AB3786" t="str">
        <f t="shared" si="316"/>
        <v/>
      </c>
      <c r="AC3786">
        <f t="shared" si="317"/>
        <v>1000</v>
      </c>
      <c r="AD3786" s="6"/>
    </row>
    <row r="3787" spans="1:30" x14ac:dyDescent="0.2">
      <c r="A3787" t="str">
        <f t="shared" si="318"/>
        <v/>
      </c>
      <c r="X3787" t="str" cm="1">
        <f t="array" ref="X3787">IF(S3787="","",IF($I3787&lt;&gt;"",$I3787,INDEX($I$2:$I3786,ROW()-COUNTIFS($T$2:$T3786,"="&amp;$T3787,$S$2:$S3786,"&lt;&gt;"&amp;$S3787)-1)))</f>
        <v/>
      </c>
      <c r="Y3787" t="b">
        <f>IF(X3787&lt;&gt;"",VLOOKUP(X3787,game_rosters!$C$43:$E$64,3,FALSE))</f>
        <v>0</v>
      </c>
      <c r="Z3787" t="e" cm="1" vm="1">
        <f t="array" aca="1" ref="Z3787" ca="1">IFERROR(IF(_xlfn._xlws.FILTER(game_rosters!$J:$J,(game_rosters!$G:$G=events!$AN3787)*(game_rosters!$J:$J=events!$X3787))&gt;0,1,""),"")</f>
        <v>#VALUE!</v>
      </c>
      <c r="AA3787">
        <f t="shared" si="315"/>
        <v>1000</v>
      </c>
      <c r="AB3787" t="str">
        <f t="shared" si="316"/>
        <v/>
      </c>
      <c r="AC3787">
        <f t="shared" si="317"/>
        <v>1000</v>
      </c>
      <c r="AD3787" s="6"/>
    </row>
    <row r="3788" spans="1:30" x14ac:dyDescent="0.2">
      <c r="A3788" t="str">
        <f t="shared" si="318"/>
        <v/>
      </c>
      <c r="X3788" t="str" cm="1">
        <f t="array" ref="X3788">IF(S3788="","",IF($I3788&lt;&gt;"",$I3788,INDEX($I$2:$I3787,ROW()-COUNTIFS($T$2:$T3787,"="&amp;$T3788,$S$2:$S3787,"&lt;&gt;"&amp;$S3788)-1)))</f>
        <v/>
      </c>
      <c r="Y3788" t="b">
        <f>IF(X3788&lt;&gt;"",VLOOKUP(X3788,game_rosters!$C$43:$E$64,3,FALSE))</f>
        <v>0</v>
      </c>
      <c r="Z3788" t="e" cm="1" vm="1">
        <f t="array" aca="1" ref="Z3788" ca="1">IFERROR(IF(_xlfn._xlws.FILTER(game_rosters!$J:$J,(game_rosters!$G:$G=events!$AN3788)*(game_rosters!$J:$J=events!$X3788))&gt;0,1,""),"")</f>
        <v>#VALUE!</v>
      </c>
      <c r="AA3788">
        <f t="shared" si="315"/>
        <v>1000</v>
      </c>
      <c r="AB3788" t="str">
        <f t="shared" si="316"/>
        <v/>
      </c>
      <c r="AC3788">
        <f t="shared" si="317"/>
        <v>1000</v>
      </c>
      <c r="AD3788" s="6"/>
    </row>
    <row r="3789" spans="1:30" x14ac:dyDescent="0.2">
      <c r="A3789" t="str">
        <f t="shared" si="318"/>
        <v/>
      </c>
      <c r="X3789" t="str" cm="1">
        <f t="array" ref="X3789">IF(S3789="","",IF($I3789&lt;&gt;"",$I3789,INDEX($I$2:$I3788,ROW()-COUNTIFS($T$2:$T3788,"="&amp;$T3789,$S$2:$S3788,"&lt;&gt;"&amp;$S3789)-1)))</f>
        <v/>
      </c>
      <c r="Y3789" t="b">
        <f>IF(X3789&lt;&gt;"",VLOOKUP(X3789,game_rosters!$C$43:$E$64,3,FALSE))</f>
        <v>0</v>
      </c>
      <c r="Z3789" t="e" cm="1" vm="1">
        <f t="array" aca="1" ref="Z3789" ca="1">IFERROR(IF(_xlfn._xlws.FILTER(game_rosters!$J:$J,(game_rosters!$G:$G=events!$AN3789)*(game_rosters!$J:$J=events!$X3789))&gt;0,1,""),"")</f>
        <v>#VALUE!</v>
      </c>
      <c r="AA3789">
        <f t="shared" si="315"/>
        <v>1000</v>
      </c>
      <c r="AB3789" t="str">
        <f t="shared" si="316"/>
        <v/>
      </c>
      <c r="AC3789">
        <f t="shared" si="317"/>
        <v>1000</v>
      </c>
      <c r="AD3789" s="6"/>
    </row>
    <row r="3790" spans="1:30" x14ac:dyDescent="0.2">
      <c r="A3790" t="str">
        <f t="shared" si="318"/>
        <v/>
      </c>
      <c r="X3790" t="str" cm="1">
        <f t="array" ref="X3790">IF(S3790="","",IF($I3790&lt;&gt;"",$I3790,INDEX($I$2:$I3789,ROW()-COUNTIFS($T$2:$T3789,"="&amp;$T3790,$S$2:$S3789,"&lt;&gt;"&amp;$S3790)-1)))</f>
        <v/>
      </c>
      <c r="Y3790" t="b">
        <f>IF(X3790&lt;&gt;"",VLOOKUP(X3790,game_rosters!$C$43:$E$64,3,FALSE))</f>
        <v>0</v>
      </c>
      <c r="Z3790" t="e" cm="1" vm="1">
        <f t="array" aca="1" ref="Z3790" ca="1">IFERROR(IF(_xlfn._xlws.FILTER(game_rosters!$J:$J,(game_rosters!$G:$G=events!$AN3790)*(game_rosters!$J:$J=events!$X3790))&gt;0,1,""),"")</f>
        <v>#VALUE!</v>
      </c>
      <c r="AA3790">
        <f t="shared" si="315"/>
        <v>1000</v>
      </c>
      <c r="AB3790" t="str">
        <f t="shared" si="316"/>
        <v/>
      </c>
      <c r="AC3790">
        <f t="shared" si="317"/>
        <v>1000</v>
      </c>
      <c r="AD3790" s="6"/>
    </row>
    <row r="3791" spans="1:30" x14ac:dyDescent="0.2">
      <c r="A3791" t="str">
        <f t="shared" si="318"/>
        <v/>
      </c>
      <c r="X3791" t="str" cm="1">
        <f t="array" ref="X3791">IF(S3791="","",IF($I3791&lt;&gt;"",$I3791,INDEX($I$2:$I3790,ROW()-COUNTIFS($T$2:$T3790,"="&amp;$T3791,$S$2:$S3790,"&lt;&gt;"&amp;$S3791)-1)))</f>
        <v/>
      </c>
      <c r="Y3791" t="b">
        <f>IF(X3791&lt;&gt;"",VLOOKUP(X3791,game_rosters!$C$43:$E$64,3,FALSE))</f>
        <v>0</v>
      </c>
      <c r="Z3791" t="e" cm="1" vm="1">
        <f t="array" aca="1" ref="Z3791" ca="1">IFERROR(IF(_xlfn._xlws.FILTER(game_rosters!$J:$J,(game_rosters!$G:$G=events!$AN3791)*(game_rosters!$J:$J=events!$X3791))&gt;0,1,""),"")</f>
        <v>#VALUE!</v>
      </c>
      <c r="AA3791">
        <f t="shared" si="315"/>
        <v>1000</v>
      </c>
      <c r="AB3791" t="str">
        <f t="shared" si="316"/>
        <v/>
      </c>
      <c r="AC3791">
        <f t="shared" si="317"/>
        <v>1000</v>
      </c>
      <c r="AD3791" s="6"/>
    </row>
    <row r="3792" spans="1:30" x14ac:dyDescent="0.2">
      <c r="A3792" t="str">
        <f t="shared" si="318"/>
        <v/>
      </c>
      <c r="X3792" t="str" cm="1">
        <f t="array" ref="X3792">IF(S3792="","",IF($I3792&lt;&gt;"",$I3792,INDEX($I$2:$I3791,ROW()-COUNTIFS($T$2:$T3791,"="&amp;$T3792,$S$2:$S3791,"&lt;&gt;"&amp;$S3792)-1)))</f>
        <v/>
      </c>
      <c r="Y3792" t="b">
        <f>IF(X3792&lt;&gt;"",VLOOKUP(X3792,game_rosters!$C$43:$E$64,3,FALSE))</f>
        <v>0</v>
      </c>
      <c r="Z3792" t="e" cm="1" vm="1">
        <f t="array" aca="1" ref="Z3792" ca="1">IFERROR(IF(_xlfn._xlws.FILTER(game_rosters!$J:$J,(game_rosters!$G:$G=events!$AN3792)*(game_rosters!$J:$J=events!$X3792))&gt;0,1,""),"")</f>
        <v>#VALUE!</v>
      </c>
      <c r="AA3792">
        <f t="shared" si="315"/>
        <v>1000</v>
      </c>
      <c r="AB3792" t="str">
        <f t="shared" si="316"/>
        <v/>
      </c>
      <c r="AC3792">
        <f t="shared" si="317"/>
        <v>1000</v>
      </c>
      <c r="AD3792" s="6"/>
    </row>
    <row r="3793" spans="1:30" x14ac:dyDescent="0.2">
      <c r="A3793" t="str">
        <f t="shared" si="318"/>
        <v/>
      </c>
      <c r="X3793" t="str" cm="1">
        <f t="array" ref="X3793">IF(S3793="","",IF($I3793&lt;&gt;"",$I3793,INDEX($I$2:$I3792,ROW()-COUNTIFS($T$2:$T3792,"="&amp;$T3793,$S$2:$S3792,"&lt;&gt;"&amp;$S3793)-1)))</f>
        <v/>
      </c>
      <c r="Y3793" t="b">
        <f>IF(X3793&lt;&gt;"",VLOOKUP(X3793,game_rosters!$C$43:$E$64,3,FALSE))</f>
        <v>0</v>
      </c>
      <c r="Z3793" t="e" cm="1" vm="1">
        <f t="array" aca="1" ref="Z3793" ca="1">IFERROR(IF(_xlfn._xlws.FILTER(game_rosters!$J:$J,(game_rosters!$G:$G=events!$AN3793)*(game_rosters!$J:$J=events!$X3793))&gt;0,1,""),"")</f>
        <v>#VALUE!</v>
      </c>
      <c r="AA3793">
        <f t="shared" si="315"/>
        <v>1000</v>
      </c>
      <c r="AB3793" t="str">
        <f t="shared" si="316"/>
        <v/>
      </c>
      <c r="AC3793">
        <f t="shared" si="317"/>
        <v>1000</v>
      </c>
      <c r="AD3793" s="6"/>
    </row>
    <row r="3794" spans="1:30" x14ac:dyDescent="0.2">
      <c r="A3794" t="str">
        <f t="shared" si="318"/>
        <v/>
      </c>
      <c r="X3794" t="str" cm="1">
        <f t="array" ref="X3794">IF(S3794="","",IF($I3794&lt;&gt;"",$I3794,INDEX($I$2:$I3793,ROW()-COUNTIFS($T$2:$T3793,"="&amp;$T3794,$S$2:$S3793,"&lt;&gt;"&amp;$S3794)-1)))</f>
        <v/>
      </c>
      <c r="Y3794" t="b">
        <f>IF(X3794&lt;&gt;"",VLOOKUP(X3794,game_rosters!$C$43:$E$64,3,FALSE))</f>
        <v>0</v>
      </c>
      <c r="Z3794" t="e" cm="1" vm="1">
        <f t="array" aca="1" ref="Z3794" ca="1">IFERROR(IF(_xlfn._xlws.FILTER(game_rosters!$J:$J,(game_rosters!$G:$G=events!$AN3794)*(game_rosters!$J:$J=events!$X3794))&gt;0,1,""),"")</f>
        <v>#VALUE!</v>
      </c>
      <c r="AA3794">
        <f t="shared" si="315"/>
        <v>1000</v>
      </c>
      <c r="AB3794" t="str">
        <f t="shared" si="316"/>
        <v/>
      </c>
      <c r="AC3794">
        <f t="shared" si="317"/>
        <v>1000</v>
      </c>
      <c r="AD3794" s="6"/>
    </row>
    <row r="3795" spans="1:30" x14ac:dyDescent="0.2">
      <c r="A3795" t="str">
        <f t="shared" si="318"/>
        <v/>
      </c>
      <c r="X3795" t="str" cm="1">
        <f t="array" ref="X3795">IF(S3795="","",IF($I3795&lt;&gt;"",$I3795,INDEX($I$2:$I3794,ROW()-COUNTIFS($T$2:$T3794,"="&amp;$T3795,$S$2:$S3794,"&lt;&gt;"&amp;$S3795)-1)))</f>
        <v/>
      </c>
      <c r="Y3795" t="b">
        <f>IF(X3795&lt;&gt;"",VLOOKUP(X3795,game_rosters!$C$43:$E$64,3,FALSE))</f>
        <v>0</v>
      </c>
      <c r="Z3795" t="e" cm="1" vm="1">
        <f t="array" aca="1" ref="Z3795" ca="1">IFERROR(IF(_xlfn._xlws.FILTER(game_rosters!$J:$J,(game_rosters!$G:$G=events!$AN3795)*(game_rosters!$J:$J=events!$X3795))&gt;0,1,""),"")</f>
        <v>#VALUE!</v>
      </c>
      <c r="AA3795">
        <f t="shared" si="315"/>
        <v>1000</v>
      </c>
      <c r="AB3795" t="str">
        <f t="shared" si="316"/>
        <v/>
      </c>
      <c r="AC3795">
        <f t="shared" si="317"/>
        <v>1000</v>
      </c>
      <c r="AD3795" s="6"/>
    </row>
    <row r="3796" spans="1:30" x14ac:dyDescent="0.2">
      <c r="A3796" t="str">
        <f t="shared" si="318"/>
        <v/>
      </c>
      <c r="X3796" t="str" cm="1">
        <f t="array" ref="X3796">IF(S3796="","",IF($I3796&lt;&gt;"",$I3796,INDEX($I$2:$I3795,ROW()-COUNTIFS($T$2:$T3795,"="&amp;$T3796,$S$2:$S3795,"&lt;&gt;"&amp;$S3796)-1)))</f>
        <v/>
      </c>
      <c r="Y3796" t="b">
        <f>IF(X3796&lt;&gt;"",VLOOKUP(X3796,game_rosters!$C$43:$E$64,3,FALSE))</f>
        <v>0</v>
      </c>
      <c r="Z3796" t="e" cm="1" vm="1">
        <f t="array" aca="1" ref="Z3796" ca="1">IFERROR(IF(_xlfn._xlws.FILTER(game_rosters!$J:$J,(game_rosters!$G:$G=events!$AN3796)*(game_rosters!$J:$J=events!$X3796))&gt;0,1,""),"")</f>
        <v>#VALUE!</v>
      </c>
      <c r="AA3796">
        <f t="shared" si="315"/>
        <v>1000</v>
      </c>
      <c r="AB3796" t="str">
        <f t="shared" si="316"/>
        <v/>
      </c>
      <c r="AC3796">
        <f t="shared" si="317"/>
        <v>1000</v>
      </c>
      <c r="AD3796" s="6"/>
    </row>
    <row r="3797" spans="1:30" x14ac:dyDescent="0.2">
      <c r="A3797" t="str">
        <f t="shared" si="318"/>
        <v/>
      </c>
      <c r="X3797" t="str" cm="1">
        <f t="array" ref="X3797">IF(S3797="","",IF($I3797&lt;&gt;"",$I3797,INDEX($I$2:$I3796,ROW()-COUNTIFS($T$2:$T3796,"="&amp;$T3797,$S$2:$S3796,"&lt;&gt;"&amp;$S3797)-1)))</f>
        <v/>
      </c>
      <c r="Y3797" t="b">
        <f>IF(X3797&lt;&gt;"",VLOOKUP(X3797,game_rosters!$C$43:$E$64,3,FALSE))</f>
        <v>0</v>
      </c>
      <c r="Z3797" t="e" cm="1" vm="1">
        <f t="array" aca="1" ref="Z3797" ca="1">IFERROR(IF(_xlfn._xlws.FILTER(game_rosters!$J:$J,(game_rosters!$G:$G=events!$AN3797)*(game_rosters!$J:$J=events!$X3797))&gt;0,1,""),"")</f>
        <v>#VALUE!</v>
      </c>
      <c r="AA3797">
        <f t="shared" si="315"/>
        <v>1000</v>
      </c>
      <c r="AB3797" t="str">
        <f t="shared" si="316"/>
        <v/>
      </c>
      <c r="AC3797">
        <f t="shared" si="317"/>
        <v>1000</v>
      </c>
      <c r="AD3797" s="6"/>
    </row>
    <row r="3798" spans="1:30" x14ac:dyDescent="0.2">
      <c r="A3798" t="str">
        <f t="shared" si="318"/>
        <v/>
      </c>
      <c r="X3798" t="str" cm="1">
        <f t="array" ref="X3798">IF(S3798="","",IF($I3798&lt;&gt;"",$I3798,INDEX($I$2:$I3797,ROW()-COUNTIFS($T$2:$T3797,"="&amp;$T3798,$S$2:$S3797,"&lt;&gt;"&amp;$S3798)-1)))</f>
        <v/>
      </c>
      <c r="Y3798" t="b">
        <f>IF(X3798&lt;&gt;"",VLOOKUP(X3798,game_rosters!$C$43:$E$64,3,FALSE))</f>
        <v>0</v>
      </c>
      <c r="Z3798" t="e" cm="1" vm="1">
        <f t="array" aca="1" ref="Z3798" ca="1">IFERROR(IF(_xlfn._xlws.FILTER(game_rosters!$J:$J,(game_rosters!$G:$G=events!$AN3798)*(game_rosters!$J:$J=events!$X3798))&gt;0,1,""),"")</f>
        <v>#VALUE!</v>
      </c>
      <c r="AA3798">
        <f t="shared" si="315"/>
        <v>1000</v>
      </c>
      <c r="AB3798" t="str">
        <f t="shared" si="316"/>
        <v/>
      </c>
      <c r="AC3798">
        <f t="shared" si="317"/>
        <v>1000</v>
      </c>
      <c r="AD3798" s="6"/>
    </row>
    <row r="3799" spans="1:30" x14ac:dyDescent="0.2">
      <c r="A3799" t="str">
        <f t="shared" si="318"/>
        <v/>
      </c>
      <c r="X3799" t="str" cm="1">
        <f t="array" ref="X3799">IF(S3799="","",IF($I3799&lt;&gt;"",$I3799,INDEX($I$2:$I3798,ROW()-COUNTIFS($T$2:$T3798,"="&amp;$T3799,$S$2:$S3798,"&lt;&gt;"&amp;$S3799)-1)))</f>
        <v/>
      </c>
      <c r="Y3799" t="b">
        <f>IF(X3799&lt;&gt;"",VLOOKUP(X3799,game_rosters!$C$43:$E$64,3,FALSE))</f>
        <v>0</v>
      </c>
      <c r="Z3799" t="e" cm="1" vm="1">
        <f t="array" aca="1" ref="Z3799" ca="1">IFERROR(IF(_xlfn._xlws.FILTER(game_rosters!$J:$J,(game_rosters!$G:$G=events!$AN3799)*(game_rosters!$J:$J=events!$X3799))&gt;0,1,""),"")</f>
        <v>#VALUE!</v>
      </c>
      <c r="AA3799">
        <f t="shared" si="315"/>
        <v>1000</v>
      </c>
      <c r="AB3799" t="str">
        <f t="shared" si="316"/>
        <v/>
      </c>
      <c r="AC3799">
        <f t="shared" si="317"/>
        <v>1000</v>
      </c>
      <c r="AD3799" s="6"/>
    </row>
    <row r="3800" spans="1:30" x14ac:dyDescent="0.2">
      <c r="A3800" t="str">
        <f t="shared" si="318"/>
        <v/>
      </c>
      <c r="X3800" t="str" cm="1">
        <f t="array" ref="X3800">IF(S3800="","",IF($I3800&lt;&gt;"",$I3800,INDEX($I$2:$I3799,ROW()-COUNTIFS($T$2:$T3799,"="&amp;$T3800,$S$2:$S3799,"&lt;&gt;"&amp;$S3800)-1)))</f>
        <v/>
      </c>
      <c r="Y3800" t="b">
        <f>IF(X3800&lt;&gt;"",VLOOKUP(X3800,game_rosters!$C$43:$E$64,3,FALSE))</f>
        <v>0</v>
      </c>
      <c r="Z3800" t="e" cm="1" vm="1">
        <f t="array" aca="1" ref="Z3800" ca="1">IFERROR(IF(_xlfn._xlws.FILTER(game_rosters!$J:$J,(game_rosters!$G:$G=events!$AN3800)*(game_rosters!$J:$J=events!$X3800))&gt;0,1,""),"")</f>
        <v>#VALUE!</v>
      </c>
      <c r="AA3800">
        <f t="shared" si="315"/>
        <v>1000</v>
      </c>
      <c r="AB3800" t="str">
        <f t="shared" si="316"/>
        <v/>
      </c>
      <c r="AC3800">
        <f t="shared" si="317"/>
        <v>1000</v>
      </c>
      <c r="AD3800" s="6"/>
    </row>
    <row r="3801" spans="1:30" x14ac:dyDescent="0.2">
      <c r="A3801" t="str">
        <f t="shared" si="318"/>
        <v/>
      </c>
      <c r="X3801" t="str" cm="1">
        <f t="array" ref="X3801">IF(S3801="","",IF($I3801&lt;&gt;"",$I3801,INDEX($I$2:$I3800,ROW()-COUNTIFS($T$2:$T3800,"="&amp;$T3801,$S$2:$S3800,"&lt;&gt;"&amp;$S3801)-1)))</f>
        <v/>
      </c>
      <c r="Y3801" t="b">
        <f>IF(X3801&lt;&gt;"",VLOOKUP(X3801,game_rosters!$C$43:$E$64,3,FALSE))</f>
        <v>0</v>
      </c>
      <c r="Z3801" t="e" cm="1" vm="1">
        <f t="array" aca="1" ref="Z3801" ca="1">IFERROR(IF(_xlfn._xlws.FILTER(game_rosters!$J:$J,(game_rosters!$G:$G=events!$AN3801)*(game_rosters!$J:$J=events!$X3801))&gt;0,1,""),"")</f>
        <v>#VALUE!</v>
      </c>
      <c r="AA3801">
        <f t="shared" si="315"/>
        <v>1000</v>
      </c>
      <c r="AB3801" t="str">
        <f t="shared" si="316"/>
        <v/>
      </c>
      <c r="AC3801">
        <f t="shared" si="317"/>
        <v>1000</v>
      </c>
      <c r="AD3801" s="6"/>
    </row>
    <row r="3802" spans="1:30" x14ac:dyDescent="0.2">
      <c r="A3802" t="str">
        <f t="shared" si="318"/>
        <v/>
      </c>
      <c r="X3802" t="str" cm="1">
        <f t="array" ref="X3802">IF(S3802="","",IF($I3802&lt;&gt;"",$I3802,INDEX($I$2:$I3801,ROW()-COUNTIFS($T$2:$T3801,"="&amp;$T3802,$S$2:$S3801,"&lt;&gt;"&amp;$S3802)-1)))</f>
        <v/>
      </c>
      <c r="Y3802" t="b">
        <f>IF(X3802&lt;&gt;"",VLOOKUP(X3802,game_rosters!$C$43:$E$64,3,FALSE))</f>
        <v>0</v>
      </c>
      <c r="Z3802" t="e" cm="1" vm="1">
        <f t="array" aca="1" ref="Z3802" ca="1">IFERROR(IF(_xlfn._xlws.FILTER(game_rosters!$J:$J,(game_rosters!$G:$G=events!$AN3802)*(game_rosters!$J:$J=events!$X3802))&gt;0,1,""),"")</f>
        <v>#VALUE!</v>
      </c>
      <c r="AA3802">
        <f t="shared" si="315"/>
        <v>1000</v>
      </c>
      <c r="AB3802" t="str">
        <f t="shared" si="316"/>
        <v/>
      </c>
      <c r="AC3802">
        <f t="shared" si="317"/>
        <v>1000</v>
      </c>
      <c r="AD3802" s="6"/>
    </row>
    <row r="3803" spans="1:30" x14ac:dyDescent="0.2">
      <c r="A3803" t="str">
        <f t="shared" si="318"/>
        <v/>
      </c>
      <c r="X3803" t="str" cm="1">
        <f t="array" ref="X3803">IF(S3803="","",IF($I3803&lt;&gt;"",$I3803,INDEX($I$2:$I3802,ROW()-COUNTIFS($T$2:$T3802,"="&amp;$T3803,$S$2:$S3802,"&lt;&gt;"&amp;$S3803)-1)))</f>
        <v/>
      </c>
      <c r="Y3803" t="b">
        <f>IF(X3803&lt;&gt;"",VLOOKUP(X3803,game_rosters!$C$43:$E$64,3,FALSE))</f>
        <v>0</v>
      </c>
      <c r="Z3803" t="e" cm="1" vm="1">
        <f t="array" aca="1" ref="Z3803" ca="1">IFERROR(IF(_xlfn._xlws.FILTER(game_rosters!$J:$J,(game_rosters!$G:$G=events!$AN3803)*(game_rosters!$J:$J=events!$X3803))&gt;0,1,""),"")</f>
        <v>#VALUE!</v>
      </c>
      <c r="AA3803">
        <f t="shared" si="315"/>
        <v>1000</v>
      </c>
      <c r="AB3803" t="str">
        <f t="shared" si="316"/>
        <v/>
      </c>
      <c r="AC3803">
        <f t="shared" si="317"/>
        <v>1000</v>
      </c>
      <c r="AD3803" s="6"/>
    </row>
    <row r="3804" spans="1:30" x14ac:dyDescent="0.2">
      <c r="A3804" t="str">
        <f t="shared" si="318"/>
        <v/>
      </c>
      <c r="X3804" t="str" cm="1">
        <f t="array" ref="X3804">IF(S3804="","",IF($I3804&lt;&gt;"",$I3804,INDEX($I$2:$I3803,ROW()-COUNTIFS($T$2:$T3803,"="&amp;$T3804,$S$2:$S3803,"&lt;&gt;"&amp;$S3804)-1)))</f>
        <v/>
      </c>
      <c r="Y3804" t="b">
        <f>IF(X3804&lt;&gt;"",VLOOKUP(X3804,game_rosters!$C$43:$E$64,3,FALSE))</f>
        <v>0</v>
      </c>
      <c r="Z3804" t="e" cm="1" vm="1">
        <f t="array" aca="1" ref="Z3804" ca="1">IFERROR(IF(_xlfn._xlws.FILTER(game_rosters!$J:$J,(game_rosters!$G:$G=events!$AN3804)*(game_rosters!$J:$J=events!$X3804))&gt;0,1,""),"")</f>
        <v>#VALUE!</v>
      </c>
      <c r="AA3804">
        <f t="shared" si="315"/>
        <v>1000</v>
      </c>
      <c r="AB3804" t="str">
        <f t="shared" si="316"/>
        <v/>
      </c>
      <c r="AC3804">
        <f t="shared" si="317"/>
        <v>1000</v>
      </c>
      <c r="AD3804" s="6"/>
    </row>
    <row r="3805" spans="1:30" x14ac:dyDescent="0.2">
      <c r="A3805" t="str">
        <f t="shared" si="318"/>
        <v/>
      </c>
      <c r="X3805" t="str" cm="1">
        <f t="array" ref="X3805">IF(S3805="","",IF($I3805&lt;&gt;"",$I3805,INDEX($I$2:$I3804,ROW()-COUNTIFS($T$2:$T3804,"="&amp;$T3805,$S$2:$S3804,"&lt;&gt;"&amp;$S3805)-1)))</f>
        <v/>
      </c>
      <c r="Y3805" t="b">
        <f>IF(X3805&lt;&gt;"",VLOOKUP(X3805,game_rosters!$C$43:$E$64,3,FALSE))</f>
        <v>0</v>
      </c>
      <c r="Z3805" t="e" cm="1" vm="1">
        <f t="array" aca="1" ref="Z3805" ca="1">IFERROR(IF(_xlfn._xlws.FILTER(game_rosters!$J:$J,(game_rosters!$G:$G=events!$AN3805)*(game_rosters!$J:$J=events!$X3805))&gt;0,1,""),"")</f>
        <v>#VALUE!</v>
      </c>
      <c r="AA3805">
        <f t="shared" ref="AA3805:AA3868" si="319">S3805+1000</f>
        <v>1000</v>
      </c>
      <c r="AB3805" t="str">
        <f t="shared" ref="AB3805:AB3868" si="320">IF(T3805&lt;&gt;"",9000+T3805,"")</f>
        <v/>
      </c>
      <c r="AC3805">
        <f t="shared" si="317"/>
        <v>1000</v>
      </c>
      <c r="AD3805" s="6"/>
    </row>
    <row r="3806" spans="1:30" x14ac:dyDescent="0.2">
      <c r="A3806" t="str">
        <f t="shared" si="318"/>
        <v/>
      </c>
      <c r="X3806" t="str" cm="1">
        <f t="array" ref="X3806">IF(S3806="","",IF($I3806&lt;&gt;"",$I3806,INDEX($I$2:$I3805,ROW()-COUNTIFS($T$2:$T3805,"="&amp;$T3806,$S$2:$S3805,"&lt;&gt;"&amp;$S3806)-1)))</f>
        <v/>
      </c>
      <c r="Y3806" t="b">
        <f>IF(X3806&lt;&gt;"",VLOOKUP(X3806,game_rosters!$C$43:$E$64,3,FALSE))</f>
        <v>0</v>
      </c>
      <c r="Z3806" t="e" cm="1" vm="1">
        <f t="array" aca="1" ref="Z3806" ca="1">IFERROR(IF(_xlfn._xlws.FILTER(game_rosters!$J:$J,(game_rosters!$G:$G=events!$AN3806)*(game_rosters!$J:$J=events!$X3806))&gt;0,1,""),"")</f>
        <v>#VALUE!</v>
      </c>
      <c r="AA3806">
        <f t="shared" si="319"/>
        <v>1000</v>
      </c>
      <c r="AB3806" t="str">
        <f t="shared" si="320"/>
        <v/>
      </c>
      <c r="AC3806">
        <f t="shared" si="317"/>
        <v>1000</v>
      </c>
      <c r="AD3806" s="6"/>
    </row>
    <row r="3807" spans="1:30" x14ac:dyDescent="0.2">
      <c r="A3807" t="str">
        <f t="shared" si="318"/>
        <v/>
      </c>
      <c r="X3807" t="str" cm="1">
        <f t="array" ref="X3807">IF(S3807="","",IF($I3807&lt;&gt;"",$I3807,INDEX($I$2:$I3806,ROW()-COUNTIFS($T$2:$T3806,"="&amp;$T3807,$S$2:$S3806,"&lt;&gt;"&amp;$S3807)-1)))</f>
        <v/>
      </c>
      <c r="Y3807" t="b">
        <f>IF(X3807&lt;&gt;"",VLOOKUP(X3807,game_rosters!$C$43:$E$64,3,FALSE))</f>
        <v>0</v>
      </c>
      <c r="Z3807" t="e" cm="1" vm="1">
        <f t="array" aca="1" ref="Z3807" ca="1">IFERROR(IF(_xlfn._xlws.FILTER(game_rosters!$J:$J,(game_rosters!$G:$G=events!$AN3807)*(game_rosters!$J:$J=events!$X3807))&gt;0,1,""),"")</f>
        <v>#VALUE!</v>
      </c>
      <c r="AA3807">
        <f t="shared" si="319"/>
        <v>1000</v>
      </c>
      <c r="AB3807" t="str">
        <f t="shared" si="320"/>
        <v/>
      </c>
      <c r="AC3807">
        <f t="shared" si="317"/>
        <v>1000</v>
      </c>
      <c r="AD3807" s="6"/>
    </row>
    <row r="3808" spans="1:30" x14ac:dyDescent="0.2">
      <c r="A3808" t="str">
        <f t="shared" si="318"/>
        <v/>
      </c>
      <c r="X3808" t="str" cm="1">
        <f t="array" ref="X3808">IF(S3808="","",IF($I3808&lt;&gt;"",$I3808,INDEX($I$2:$I3807,ROW()-COUNTIFS($T$2:$T3807,"="&amp;$T3808,$S$2:$S3807,"&lt;&gt;"&amp;$S3808)-1)))</f>
        <v/>
      </c>
      <c r="Y3808" t="b">
        <f>IF(X3808&lt;&gt;"",VLOOKUP(X3808,game_rosters!$C$43:$E$64,3,FALSE))</f>
        <v>0</v>
      </c>
      <c r="Z3808" t="e" cm="1" vm="1">
        <f t="array" aca="1" ref="Z3808" ca="1">IFERROR(IF(_xlfn._xlws.FILTER(game_rosters!$J:$J,(game_rosters!$G:$G=events!$AN3808)*(game_rosters!$J:$J=events!$X3808))&gt;0,1,""),"")</f>
        <v>#VALUE!</v>
      </c>
      <c r="AA3808">
        <f t="shared" si="319"/>
        <v>1000</v>
      </c>
      <c r="AB3808" t="str">
        <f t="shared" si="320"/>
        <v/>
      </c>
      <c r="AC3808">
        <f t="shared" si="317"/>
        <v>1000</v>
      </c>
      <c r="AD3808" s="6"/>
    </row>
    <row r="3809" spans="1:30" x14ac:dyDescent="0.2">
      <c r="A3809" t="str">
        <f t="shared" si="318"/>
        <v/>
      </c>
      <c r="X3809" t="str" cm="1">
        <f t="array" ref="X3809">IF(S3809="","",IF($I3809&lt;&gt;"",$I3809,INDEX($I$2:$I3808,ROW()-COUNTIFS($T$2:$T3808,"="&amp;$T3809,$S$2:$S3808,"&lt;&gt;"&amp;$S3809)-1)))</f>
        <v/>
      </c>
      <c r="Y3809" t="b">
        <f>IF(X3809&lt;&gt;"",VLOOKUP(X3809,game_rosters!$C$43:$E$64,3,FALSE))</f>
        <v>0</v>
      </c>
      <c r="Z3809" t="e" cm="1" vm="1">
        <f t="array" aca="1" ref="Z3809" ca="1">IFERROR(IF(_xlfn._xlws.FILTER(game_rosters!$J:$J,(game_rosters!$G:$G=events!$AN3809)*(game_rosters!$J:$J=events!$X3809))&gt;0,1,""),"")</f>
        <v>#VALUE!</v>
      </c>
      <c r="AA3809">
        <f t="shared" si="319"/>
        <v>1000</v>
      </c>
      <c r="AB3809" t="str">
        <f t="shared" si="320"/>
        <v/>
      </c>
      <c r="AC3809">
        <f t="shared" si="317"/>
        <v>1000</v>
      </c>
      <c r="AD3809" s="6"/>
    </row>
    <row r="3810" spans="1:30" x14ac:dyDescent="0.2">
      <c r="A3810" t="str">
        <f t="shared" si="318"/>
        <v/>
      </c>
      <c r="X3810" t="str" cm="1">
        <f t="array" ref="X3810">IF(S3810="","",IF($I3810&lt;&gt;"",$I3810,INDEX($I$2:$I3809,ROW()-COUNTIFS($T$2:$T3809,"="&amp;$T3810,$S$2:$S3809,"&lt;&gt;"&amp;$S3810)-1)))</f>
        <v/>
      </c>
      <c r="Y3810" t="b">
        <f>IF(X3810&lt;&gt;"",VLOOKUP(X3810,game_rosters!$C$43:$E$64,3,FALSE))</f>
        <v>0</v>
      </c>
      <c r="Z3810" t="e" cm="1" vm="1">
        <f t="array" aca="1" ref="Z3810" ca="1">IFERROR(IF(_xlfn._xlws.FILTER(game_rosters!$J:$J,(game_rosters!$G:$G=events!$AN3810)*(game_rosters!$J:$J=events!$X3810))&gt;0,1,""),"")</f>
        <v>#VALUE!</v>
      </c>
      <c r="AA3810">
        <f t="shared" si="319"/>
        <v>1000</v>
      </c>
      <c r="AB3810" t="str">
        <f t="shared" si="320"/>
        <v/>
      </c>
      <c r="AC3810">
        <f t="shared" si="317"/>
        <v>1000</v>
      </c>
      <c r="AD3810" s="6"/>
    </row>
    <row r="3811" spans="1:30" x14ac:dyDescent="0.2">
      <c r="A3811" t="str">
        <f t="shared" si="318"/>
        <v/>
      </c>
      <c r="X3811" t="str" cm="1">
        <f t="array" ref="X3811">IF(S3811="","",IF($I3811&lt;&gt;"",$I3811,INDEX($I$2:$I3810,ROW()-COUNTIFS($T$2:$T3810,"="&amp;$T3811,$S$2:$S3810,"&lt;&gt;"&amp;$S3811)-1)))</f>
        <v/>
      </c>
      <c r="Y3811" t="b">
        <f>IF(X3811&lt;&gt;"",VLOOKUP(X3811,game_rosters!$C$43:$E$64,3,FALSE))</f>
        <v>0</v>
      </c>
      <c r="Z3811" t="e" cm="1" vm="1">
        <f t="array" aca="1" ref="Z3811" ca="1">IFERROR(IF(_xlfn._xlws.FILTER(game_rosters!$J:$J,(game_rosters!$G:$G=events!$AN3811)*(game_rosters!$J:$J=events!$X3811))&gt;0,1,""),"")</f>
        <v>#VALUE!</v>
      </c>
      <c r="AA3811">
        <f t="shared" si="319"/>
        <v>1000</v>
      </c>
      <c r="AB3811" t="str">
        <f t="shared" si="320"/>
        <v/>
      </c>
      <c r="AC3811">
        <f t="shared" si="317"/>
        <v>1000</v>
      </c>
      <c r="AD3811" s="6"/>
    </row>
    <row r="3812" spans="1:30" x14ac:dyDescent="0.2">
      <c r="A3812" t="str">
        <f t="shared" si="318"/>
        <v/>
      </c>
      <c r="X3812" t="str" cm="1">
        <f t="array" ref="X3812">IF(S3812="","",IF($I3812&lt;&gt;"",$I3812,INDEX($I$2:$I3811,ROW()-COUNTIFS($T$2:$T3811,"="&amp;$T3812,$S$2:$S3811,"&lt;&gt;"&amp;$S3812)-1)))</f>
        <v/>
      </c>
      <c r="Y3812" t="b">
        <f>IF(X3812&lt;&gt;"",VLOOKUP(X3812,game_rosters!$C$43:$E$64,3,FALSE))</f>
        <v>0</v>
      </c>
      <c r="Z3812" t="e" cm="1" vm="1">
        <f t="array" aca="1" ref="Z3812" ca="1">IFERROR(IF(_xlfn._xlws.FILTER(game_rosters!$J:$J,(game_rosters!$G:$G=events!$AN3812)*(game_rosters!$J:$J=events!$X3812))&gt;0,1,""),"")</f>
        <v>#VALUE!</v>
      </c>
      <c r="AA3812">
        <f t="shared" si="319"/>
        <v>1000</v>
      </c>
      <c r="AB3812" t="str">
        <f t="shared" si="320"/>
        <v/>
      </c>
      <c r="AC3812">
        <f t="shared" si="317"/>
        <v>1000</v>
      </c>
      <c r="AD3812" s="6"/>
    </row>
    <row r="3813" spans="1:30" x14ac:dyDescent="0.2">
      <c r="A3813" t="str">
        <f t="shared" si="318"/>
        <v/>
      </c>
      <c r="X3813" t="str" cm="1">
        <f t="array" ref="X3813">IF(S3813="","",IF($I3813&lt;&gt;"",$I3813,INDEX($I$2:$I3812,ROW()-COUNTIFS($T$2:$T3812,"="&amp;$T3813,$S$2:$S3812,"&lt;&gt;"&amp;$S3813)-1)))</f>
        <v/>
      </c>
      <c r="Y3813" t="b">
        <f>IF(X3813&lt;&gt;"",VLOOKUP(X3813,game_rosters!$C$43:$E$64,3,FALSE))</f>
        <v>0</v>
      </c>
      <c r="Z3813" t="e" cm="1" vm="1">
        <f t="array" aca="1" ref="Z3813" ca="1">IFERROR(IF(_xlfn._xlws.FILTER(game_rosters!$J:$J,(game_rosters!$G:$G=events!$AN3813)*(game_rosters!$J:$J=events!$X3813))&gt;0,1,""),"")</f>
        <v>#VALUE!</v>
      </c>
      <c r="AA3813">
        <f t="shared" si="319"/>
        <v>1000</v>
      </c>
      <c r="AB3813" t="str">
        <f t="shared" si="320"/>
        <v/>
      </c>
      <c r="AC3813">
        <f t="shared" si="317"/>
        <v>1000</v>
      </c>
      <c r="AD3813" s="6"/>
    </row>
    <row r="3814" spans="1:30" x14ac:dyDescent="0.2">
      <c r="A3814" t="str">
        <f t="shared" si="318"/>
        <v/>
      </c>
      <c r="X3814" t="str" cm="1">
        <f t="array" ref="X3814">IF(S3814="","",IF($I3814&lt;&gt;"",$I3814,INDEX($I$2:$I3813,ROW()-COUNTIFS($T$2:$T3813,"="&amp;$T3814,$S$2:$S3813,"&lt;&gt;"&amp;$S3814)-1)))</f>
        <v/>
      </c>
      <c r="Y3814" t="b">
        <f>IF(X3814&lt;&gt;"",VLOOKUP(X3814,game_rosters!$C$43:$E$64,3,FALSE))</f>
        <v>0</v>
      </c>
      <c r="Z3814" t="e" cm="1" vm="1">
        <f t="array" aca="1" ref="Z3814" ca="1">IFERROR(IF(_xlfn._xlws.FILTER(game_rosters!$J:$J,(game_rosters!$G:$G=events!$AN3814)*(game_rosters!$J:$J=events!$X3814))&gt;0,1,""),"")</f>
        <v>#VALUE!</v>
      </c>
      <c r="AA3814">
        <f t="shared" si="319"/>
        <v>1000</v>
      </c>
      <c r="AB3814" t="str">
        <f t="shared" si="320"/>
        <v/>
      </c>
      <c r="AC3814">
        <f t="shared" si="317"/>
        <v>1000</v>
      </c>
      <c r="AD3814" s="6"/>
    </row>
    <row r="3815" spans="1:30" x14ac:dyDescent="0.2">
      <c r="A3815" t="str">
        <f t="shared" si="318"/>
        <v/>
      </c>
      <c r="X3815" t="str" cm="1">
        <f t="array" ref="X3815">IF(S3815="","",IF($I3815&lt;&gt;"",$I3815,INDEX($I$2:$I3814,ROW()-COUNTIFS($T$2:$T3814,"="&amp;$T3815,$S$2:$S3814,"&lt;&gt;"&amp;$S3815)-1)))</f>
        <v/>
      </c>
      <c r="Y3815" t="b">
        <f>IF(X3815&lt;&gt;"",VLOOKUP(X3815,game_rosters!$C$43:$E$64,3,FALSE))</f>
        <v>0</v>
      </c>
      <c r="Z3815" t="e" cm="1" vm="1">
        <f t="array" aca="1" ref="Z3815" ca="1">IFERROR(IF(_xlfn._xlws.FILTER(game_rosters!$J:$J,(game_rosters!$G:$G=events!$AN3815)*(game_rosters!$J:$J=events!$X3815))&gt;0,1,""),"")</f>
        <v>#VALUE!</v>
      </c>
      <c r="AA3815">
        <f t="shared" si="319"/>
        <v>1000</v>
      </c>
      <c r="AB3815" t="str">
        <f t="shared" si="320"/>
        <v/>
      </c>
      <c r="AC3815">
        <f t="shared" si="317"/>
        <v>1000</v>
      </c>
      <c r="AD3815" s="6"/>
    </row>
    <row r="3816" spans="1:30" x14ac:dyDescent="0.2">
      <c r="A3816" t="str">
        <f t="shared" si="318"/>
        <v/>
      </c>
      <c r="X3816" t="str" cm="1">
        <f t="array" ref="X3816">IF(S3816="","",IF($I3816&lt;&gt;"",$I3816,INDEX($I$2:$I3815,ROW()-COUNTIFS($T$2:$T3815,"="&amp;$T3816,$S$2:$S3815,"&lt;&gt;"&amp;$S3816)-1)))</f>
        <v/>
      </c>
      <c r="Y3816" t="b">
        <f>IF(X3816&lt;&gt;"",VLOOKUP(X3816,game_rosters!$C$43:$E$64,3,FALSE))</f>
        <v>0</v>
      </c>
      <c r="Z3816" t="e" cm="1" vm="1">
        <f t="array" aca="1" ref="Z3816" ca="1">IFERROR(IF(_xlfn._xlws.FILTER(game_rosters!$J:$J,(game_rosters!$G:$G=events!$AN3816)*(game_rosters!$J:$J=events!$X3816))&gt;0,1,""),"")</f>
        <v>#VALUE!</v>
      </c>
      <c r="AA3816">
        <f t="shared" si="319"/>
        <v>1000</v>
      </c>
      <c r="AB3816" t="str">
        <f t="shared" si="320"/>
        <v/>
      </c>
      <c r="AC3816">
        <f t="shared" si="317"/>
        <v>1000</v>
      </c>
      <c r="AD3816" s="6"/>
    </row>
    <row r="3817" spans="1:30" x14ac:dyDescent="0.2">
      <c r="A3817" t="str">
        <f t="shared" si="318"/>
        <v/>
      </c>
      <c r="X3817" t="str" cm="1">
        <f t="array" ref="X3817">IF(S3817="","",IF($I3817&lt;&gt;"",$I3817,INDEX($I$2:$I3816,ROW()-COUNTIFS($T$2:$T3816,"="&amp;$T3817,$S$2:$S3816,"&lt;&gt;"&amp;$S3817)-1)))</f>
        <v/>
      </c>
      <c r="Y3817" t="b">
        <f>IF(X3817&lt;&gt;"",VLOOKUP(X3817,game_rosters!$C$43:$E$64,3,FALSE))</f>
        <v>0</v>
      </c>
      <c r="Z3817" t="e" cm="1" vm="1">
        <f t="array" aca="1" ref="Z3817" ca="1">IFERROR(IF(_xlfn._xlws.FILTER(game_rosters!$J:$J,(game_rosters!$G:$G=events!$AN3817)*(game_rosters!$J:$J=events!$X3817))&gt;0,1,""),"")</f>
        <v>#VALUE!</v>
      </c>
      <c r="AA3817">
        <f t="shared" si="319"/>
        <v>1000</v>
      </c>
      <c r="AB3817" t="str">
        <f t="shared" si="320"/>
        <v/>
      </c>
      <c r="AC3817">
        <f t="shared" si="317"/>
        <v>1000</v>
      </c>
      <c r="AD3817" s="6"/>
    </row>
    <row r="3818" spans="1:30" x14ac:dyDescent="0.2">
      <c r="A3818" t="str">
        <f t="shared" si="318"/>
        <v/>
      </c>
      <c r="X3818" t="str" cm="1">
        <f t="array" ref="X3818">IF(S3818="","",IF($I3818&lt;&gt;"",$I3818,INDEX($I$2:$I3817,ROW()-COUNTIFS($T$2:$T3817,"="&amp;$T3818,$S$2:$S3817,"&lt;&gt;"&amp;$S3818)-1)))</f>
        <v/>
      </c>
      <c r="Y3818" t="b">
        <f>IF(X3818&lt;&gt;"",VLOOKUP(X3818,game_rosters!$C$43:$E$64,3,FALSE))</f>
        <v>0</v>
      </c>
      <c r="Z3818" t="e" cm="1" vm="1">
        <f t="array" aca="1" ref="Z3818" ca="1">IFERROR(IF(_xlfn._xlws.FILTER(game_rosters!$J:$J,(game_rosters!$G:$G=events!$AN3818)*(game_rosters!$J:$J=events!$X3818))&gt;0,1,""),"")</f>
        <v>#VALUE!</v>
      </c>
      <c r="AA3818">
        <f t="shared" si="319"/>
        <v>1000</v>
      </c>
      <c r="AB3818" t="str">
        <f t="shared" si="320"/>
        <v/>
      </c>
      <c r="AC3818">
        <f t="shared" si="317"/>
        <v>1000</v>
      </c>
      <c r="AD3818" s="6"/>
    </row>
    <row r="3819" spans="1:30" x14ac:dyDescent="0.2">
      <c r="A3819" t="str">
        <f t="shared" si="318"/>
        <v/>
      </c>
      <c r="X3819" t="str" cm="1">
        <f t="array" ref="X3819">IF(S3819="","",IF($I3819&lt;&gt;"",$I3819,INDEX($I$2:$I3818,ROW()-COUNTIFS($T$2:$T3818,"="&amp;$T3819,$S$2:$S3818,"&lt;&gt;"&amp;$S3819)-1)))</f>
        <v/>
      </c>
      <c r="Y3819" t="b">
        <f>IF(X3819&lt;&gt;"",VLOOKUP(X3819,game_rosters!$C$43:$E$64,3,FALSE))</f>
        <v>0</v>
      </c>
      <c r="Z3819" t="e" cm="1" vm="1">
        <f t="array" aca="1" ref="Z3819" ca="1">IFERROR(IF(_xlfn._xlws.FILTER(game_rosters!$J:$J,(game_rosters!$G:$G=events!$AN3819)*(game_rosters!$J:$J=events!$X3819))&gt;0,1,""),"")</f>
        <v>#VALUE!</v>
      </c>
      <c r="AA3819">
        <f t="shared" si="319"/>
        <v>1000</v>
      </c>
      <c r="AB3819" t="str">
        <f t="shared" si="320"/>
        <v/>
      </c>
      <c r="AC3819">
        <f t="shared" si="317"/>
        <v>1000</v>
      </c>
      <c r="AD3819" s="6"/>
    </row>
    <row r="3820" spans="1:30" x14ac:dyDescent="0.2">
      <c r="A3820" t="str">
        <f t="shared" si="318"/>
        <v/>
      </c>
      <c r="X3820" t="str" cm="1">
        <f t="array" ref="X3820">IF(S3820="","",IF($I3820&lt;&gt;"",$I3820,INDEX($I$2:$I3819,ROW()-COUNTIFS($T$2:$T3819,"="&amp;$T3820,$S$2:$S3819,"&lt;&gt;"&amp;$S3820)-1)))</f>
        <v/>
      </c>
      <c r="Y3820" t="b">
        <f>IF(X3820&lt;&gt;"",VLOOKUP(X3820,game_rosters!$C$43:$E$64,3,FALSE))</f>
        <v>0</v>
      </c>
      <c r="Z3820" t="e" cm="1" vm="1">
        <f t="array" aca="1" ref="Z3820" ca="1">IFERROR(IF(_xlfn._xlws.FILTER(game_rosters!$J:$J,(game_rosters!$G:$G=events!$AN3820)*(game_rosters!$J:$J=events!$X3820))&gt;0,1,""),"")</f>
        <v>#VALUE!</v>
      </c>
      <c r="AA3820">
        <f t="shared" si="319"/>
        <v>1000</v>
      </c>
      <c r="AB3820" t="str">
        <f t="shared" si="320"/>
        <v/>
      </c>
      <c r="AC3820">
        <f t="shared" si="317"/>
        <v>1000</v>
      </c>
      <c r="AD3820" s="6"/>
    </row>
    <row r="3821" spans="1:30" x14ac:dyDescent="0.2">
      <c r="A3821" t="str">
        <f t="shared" si="318"/>
        <v/>
      </c>
      <c r="X3821" t="str" cm="1">
        <f t="array" ref="X3821">IF(S3821="","",IF($I3821&lt;&gt;"",$I3821,INDEX($I$2:$I3820,ROW()-COUNTIFS($T$2:$T3820,"="&amp;$T3821,$S$2:$S3820,"&lt;&gt;"&amp;$S3821)-1)))</f>
        <v/>
      </c>
      <c r="Y3821" t="b">
        <f>IF(X3821&lt;&gt;"",VLOOKUP(X3821,game_rosters!$C$43:$E$64,3,FALSE))</f>
        <v>0</v>
      </c>
      <c r="Z3821" t="e" cm="1" vm="1">
        <f t="array" aca="1" ref="Z3821" ca="1">IFERROR(IF(_xlfn._xlws.FILTER(game_rosters!$J:$J,(game_rosters!$G:$G=events!$AN3821)*(game_rosters!$J:$J=events!$X3821))&gt;0,1,""),"")</f>
        <v>#VALUE!</v>
      </c>
      <c r="AA3821">
        <f t="shared" si="319"/>
        <v>1000</v>
      </c>
      <c r="AB3821" t="str">
        <f t="shared" si="320"/>
        <v/>
      </c>
      <c r="AC3821">
        <f t="shared" si="317"/>
        <v>1000</v>
      </c>
      <c r="AD3821" s="6"/>
    </row>
    <row r="3822" spans="1:30" x14ac:dyDescent="0.2">
      <c r="A3822" t="str">
        <f t="shared" si="318"/>
        <v/>
      </c>
      <c r="X3822" t="str" cm="1">
        <f t="array" ref="X3822">IF(S3822="","",IF($I3822&lt;&gt;"",$I3822,INDEX($I$2:$I3821,ROW()-COUNTIFS($T$2:$T3821,"="&amp;$T3822,$S$2:$S3821,"&lt;&gt;"&amp;$S3822)-1)))</f>
        <v/>
      </c>
      <c r="Y3822" t="b">
        <f>IF(X3822&lt;&gt;"",VLOOKUP(X3822,game_rosters!$C$43:$E$64,3,FALSE))</f>
        <v>0</v>
      </c>
      <c r="Z3822" t="e" cm="1" vm="1">
        <f t="array" aca="1" ref="Z3822" ca="1">IFERROR(IF(_xlfn._xlws.FILTER(game_rosters!$J:$J,(game_rosters!$G:$G=events!$AN3822)*(game_rosters!$J:$J=events!$X3822))&gt;0,1,""),"")</f>
        <v>#VALUE!</v>
      </c>
      <c r="AA3822">
        <f t="shared" si="319"/>
        <v>1000</v>
      </c>
      <c r="AB3822" t="str">
        <f t="shared" si="320"/>
        <v/>
      </c>
      <c r="AC3822">
        <f t="shared" si="317"/>
        <v>1000</v>
      </c>
      <c r="AD3822" s="6"/>
    </row>
    <row r="3823" spans="1:30" x14ac:dyDescent="0.2">
      <c r="A3823" t="str">
        <f t="shared" si="318"/>
        <v/>
      </c>
      <c r="X3823" t="str" cm="1">
        <f t="array" ref="X3823">IF(S3823="","",IF($I3823&lt;&gt;"",$I3823,INDEX($I$2:$I3822,ROW()-COUNTIFS($T$2:$T3822,"="&amp;$T3823,$S$2:$S3822,"&lt;&gt;"&amp;$S3823)-1)))</f>
        <v/>
      </c>
      <c r="Y3823" t="b">
        <f>IF(X3823&lt;&gt;"",VLOOKUP(X3823,game_rosters!$C$43:$E$64,3,FALSE))</f>
        <v>0</v>
      </c>
      <c r="Z3823" t="e" cm="1" vm="1">
        <f t="array" aca="1" ref="Z3823" ca="1">IFERROR(IF(_xlfn._xlws.FILTER(game_rosters!$J:$J,(game_rosters!$G:$G=events!$AN3823)*(game_rosters!$J:$J=events!$X3823))&gt;0,1,""),"")</f>
        <v>#VALUE!</v>
      </c>
      <c r="AA3823">
        <f t="shared" si="319"/>
        <v>1000</v>
      </c>
      <c r="AB3823" t="str">
        <f t="shared" si="320"/>
        <v/>
      </c>
      <c r="AC3823">
        <f t="shared" si="317"/>
        <v>1000</v>
      </c>
      <c r="AD3823" s="6"/>
    </row>
    <row r="3824" spans="1:30" x14ac:dyDescent="0.2">
      <c r="A3824" t="str">
        <f t="shared" si="318"/>
        <v/>
      </c>
      <c r="X3824" t="str" cm="1">
        <f t="array" ref="X3824">IF(S3824="","",IF($I3824&lt;&gt;"",$I3824,INDEX($I$2:$I3823,ROW()-COUNTIFS($T$2:$T3823,"="&amp;$T3824,$S$2:$S3823,"&lt;&gt;"&amp;$S3824)-1)))</f>
        <v/>
      </c>
      <c r="Y3824" t="b">
        <f>IF(X3824&lt;&gt;"",VLOOKUP(X3824,game_rosters!$C$43:$E$64,3,FALSE))</f>
        <v>0</v>
      </c>
      <c r="Z3824" t="e" cm="1" vm="1">
        <f t="array" aca="1" ref="Z3824" ca="1">IFERROR(IF(_xlfn._xlws.FILTER(game_rosters!$J:$J,(game_rosters!$G:$G=events!$AN3824)*(game_rosters!$J:$J=events!$X3824))&gt;0,1,""),"")</f>
        <v>#VALUE!</v>
      </c>
      <c r="AA3824">
        <f t="shared" si="319"/>
        <v>1000</v>
      </c>
      <c r="AB3824" t="str">
        <f t="shared" si="320"/>
        <v/>
      </c>
      <c r="AC3824">
        <f t="shared" si="317"/>
        <v>1000</v>
      </c>
      <c r="AD3824" s="6"/>
    </row>
    <row r="3825" spans="1:30" x14ac:dyDescent="0.2">
      <c r="A3825" t="str">
        <f t="shared" si="318"/>
        <v/>
      </c>
      <c r="X3825" t="str" cm="1">
        <f t="array" ref="X3825">IF(S3825="","",IF($I3825&lt;&gt;"",$I3825,INDEX($I$2:$I3824,ROW()-COUNTIFS($T$2:$T3824,"="&amp;$T3825,$S$2:$S3824,"&lt;&gt;"&amp;$S3825)-1)))</f>
        <v/>
      </c>
      <c r="Y3825" t="b">
        <f>IF(X3825&lt;&gt;"",VLOOKUP(X3825,game_rosters!$C$43:$E$64,3,FALSE))</f>
        <v>0</v>
      </c>
      <c r="Z3825" t="e" cm="1" vm="1">
        <f t="array" aca="1" ref="Z3825" ca="1">IFERROR(IF(_xlfn._xlws.FILTER(game_rosters!$J:$J,(game_rosters!$G:$G=events!$AN3825)*(game_rosters!$J:$J=events!$X3825))&gt;0,1,""),"")</f>
        <v>#VALUE!</v>
      </c>
      <c r="AA3825">
        <f t="shared" si="319"/>
        <v>1000</v>
      </c>
      <c r="AB3825" t="str">
        <f t="shared" si="320"/>
        <v/>
      </c>
      <c r="AC3825">
        <f t="shared" si="317"/>
        <v>1000</v>
      </c>
      <c r="AD3825" s="6"/>
    </row>
    <row r="3826" spans="1:30" x14ac:dyDescent="0.2">
      <c r="A3826" t="str">
        <f t="shared" si="318"/>
        <v/>
      </c>
      <c r="X3826" t="str" cm="1">
        <f t="array" ref="X3826">IF(S3826="","",IF($I3826&lt;&gt;"",$I3826,INDEX($I$2:$I3825,ROW()-COUNTIFS($T$2:$T3825,"="&amp;$T3826,$S$2:$S3825,"&lt;&gt;"&amp;$S3826)-1)))</f>
        <v/>
      </c>
      <c r="Y3826" t="b">
        <f>IF(X3826&lt;&gt;"",VLOOKUP(X3826,game_rosters!$C$43:$E$64,3,FALSE))</f>
        <v>0</v>
      </c>
      <c r="Z3826" t="e" cm="1" vm="1">
        <f t="array" aca="1" ref="Z3826" ca="1">IFERROR(IF(_xlfn._xlws.FILTER(game_rosters!$J:$J,(game_rosters!$G:$G=events!$AN3826)*(game_rosters!$J:$J=events!$X3826))&gt;0,1,""),"")</f>
        <v>#VALUE!</v>
      </c>
      <c r="AA3826">
        <f t="shared" si="319"/>
        <v>1000</v>
      </c>
      <c r="AB3826" t="str">
        <f t="shared" si="320"/>
        <v/>
      </c>
      <c r="AC3826">
        <f t="shared" si="317"/>
        <v>1000</v>
      </c>
      <c r="AD3826" s="6"/>
    </row>
    <row r="3827" spans="1:30" x14ac:dyDescent="0.2">
      <c r="A3827" t="str">
        <f t="shared" si="318"/>
        <v/>
      </c>
      <c r="X3827" t="str" cm="1">
        <f t="array" ref="X3827">IF(S3827="","",IF($I3827&lt;&gt;"",$I3827,INDEX($I$2:$I3826,ROW()-COUNTIFS($T$2:$T3826,"="&amp;$T3827,$S$2:$S3826,"&lt;&gt;"&amp;$S3827)-1)))</f>
        <v/>
      </c>
      <c r="Y3827" t="b">
        <f>IF(X3827&lt;&gt;"",VLOOKUP(X3827,game_rosters!$C$43:$E$64,3,FALSE))</f>
        <v>0</v>
      </c>
      <c r="Z3827" t="e" cm="1" vm="1">
        <f t="array" aca="1" ref="Z3827" ca="1">IFERROR(IF(_xlfn._xlws.FILTER(game_rosters!$J:$J,(game_rosters!$G:$G=events!$AN3827)*(game_rosters!$J:$J=events!$X3827))&gt;0,1,""),"")</f>
        <v>#VALUE!</v>
      </c>
      <c r="AA3827">
        <f t="shared" si="319"/>
        <v>1000</v>
      </c>
      <c r="AB3827" t="str">
        <f t="shared" si="320"/>
        <v/>
      </c>
      <c r="AC3827">
        <f t="shared" si="317"/>
        <v>1000</v>
      </c>
      <c r="AD3827" s="6"/>
    </row>
    <row r="3828" spans="1:30" x14ac:dyDescent="0.2">
      <c r="A3828" t="str">
        <f t="shared" si="318"/>
        <v/>
      </c>
      <c r="X3828" t="str" cm="1">
        <f t="array" ref="X3828">IF(S3828="","",IF($I3828&lt;&gt;"",$I3828,INDEX($I$2:$I3827,ROW()-COUNTIFS($T$2:$T3827,"="&amp;$T3828,$S$2:$S3827,"&lt;&gt;"&amp;$S3828)-1)))</f>
        <v/>
      </c>
      <c r="Y3828" t="b">
        <f>IF(X3828&lt;&gt;"",VLOOKUP(X3828,game_rosters!$C$43:$E$64,3,FALSE))</f>
        <v>0</v>
      </c>
      <c r="Z3828" t="e" cm="1" vm="1">
        <f t="array" aca="1" ref="Z3828" ca="1">IFERROR(IF(_xlfn._xlws.FILTER(game_rosters!$J:$J,(game_rosters!$G:$G=events!$AN3828)*(game_rosters!$J:$J=events!$X3828))&gt;0,1,""),"")</f>
        <v>#VALUE!</v>
      </c>
      <c r="AA3828">
        <f t="shared" si="319"/>
        <v>1000</v>
      </c>
      <c r="AB3828" t="str">
        <f t="shared" si="320"/>
        <v/>
      </c>
      <c r="AC3828">
        <f t="shared" si="317"/>
        <v>1000</v>
      </c>
      <c r="AD3828" s="6"/>
    </row>
    <row r="3829" spans="1:30" x14ac:dyDescent="0.2">
      <c r="A3829" t="str">
        <f t="shared" si="318"/>
        <v/>
      </c>
      <c r="X3829" t="str" cm="1">
        <f t="array" ref="X3829">IF(S3829="","",IF($I3829&lt;&gt;"",$I3829,INDEX($I$2:$I3828,ROW()-COUNTIFS($T$2:$T3828,"="&amp;$T3829,$S$2:$S3828,"&lt;&gt;"&amp;$S3829)-1)))</f>
        <v/>
      </c>
      <c r="Y3829" t="b">
        <f>IF(X3829&lt;&gt;"",VLOOKUP(X3829,game_rosters!$C$43:$E$64,3,FALSE))</f>
        <v>0</v>
      </c>
      <c r="Z3829" t="e" cm="1" vm="1">
        <f t="array" aca="1" ref="Z3829" ca="1">IFERROR(IF(_xlfn._xlws.FILTER(game_rosters!$J:$J,(game_rosters!$G:$G=events!$AN3829)*(game_rosters!$J:$J=events!$X3829))&gt;0,1,""),"")</f>
        <v>#VALUE!</v>
      </c>
      <c r="AA3829">
        <f t="shared" si="319"/>
        <v>1000</v>
      </c>
      <c r="AB3829" t="str">
        <f t="shared" si="320"/>
        <v/>
      </c>
      <c r="AC3829">
        <f t="shared" si="317"/>
        <v>1000</v>
      </c>
      <c r="AD3829" s="6"/>
    </row>
    <row r="3830" spans="1:30" x14ac:dyDescent="0.2">
      <c r="A3830" t="str">
        <f t="shared" si="318"/>
        <v/>
      </c>
      <c r="X3830" t="str" cm="1">
        <f t="array" ref="X3830">IF(S3830="","",IF($I3830&lt;&gt;"",$I3830,INDEX($I$2:$I3829,ROW()-COUNTIFS($T$2:$T3829,"="&amp;$T3830,$S$2:$S3829,"&lt;&gt;"&amp;$S3830)-1)))</f>
        <v/>
      </c>
      <c r="Y3830" t="b">
        <f>IF(X3830&lt;&gt;"",VLOOKUP(X3830,game_rosters!$C$43:$E$64,3,FALSE))</f>
        <v>0</v>
      </c>
      <c r="Z3830" t="e" cm="1" vm="1">
        <f t="array" aca="1" ref="Z3830" ca="1">IFERROR(IF(_xlfn._xlws.FILTER(game_rosters!$J:$J,(game_rosters!$G:$G=events!$AN3830)*(game_rosters!$J:$J=events!$X3830))&gt;0,1,""),"")</f>
        <v>#VALUE!</v>
      </c>
      <c r="AA3830">
        <f t="shared" si="319"/>
        <v>1000</v>
      </c>
      <c r="AB3830" t="str">
        <f t="shared" si="320"/>
        <v/>
      </c>
      <c r="AC3830">
        <f t="shared" si="317"/>
        <v>1000</v>
      </c>
      <c r="AD3830" s="6"/>
    </row>
    <row r="3831" spans="1:30" x14ac:dyDescent="0.2">
      <c r="A3831" t="str">
        <f t="shared" si="318"/>
        <v/>
      </c>
      <c r="X3831" t="str" cm="1">
        <f t="array" ref="X3831">IF(S3831="","",IF($I3831&lt;&gt;"",$I3831,INDEX($I$2:$I3830,ROW()-COUNTIFS($T$2:$T3830,"="&amp;$T3831,$S$2:$S3830,"&lt;&gt;"&amp;$S3831)-1)))</f>
        <v/>
      </c>
      <c r="Y3831" t="b">
        <f>IF(X3831&lt;&gt;"",VLOOKUP(X3831,game_rosters!$C$43:$E$64,3,FALSE))</f>
        <v>0</v>
      </c>
      <c r="Z3831" t="e" cm="1" vm="1">
        <f t="array" aca="1" ref="Z3831" ca="1">IFERROR(IF(_xlfn._xlws.FILTER(game_rosters!$J:$J,(game_rosters!$G:$G=events!$AN3831)*(game_rosters!$J:$J=events!$X3831))&gt;0,1,""),"")</f>
        <v>#VALUE!</v>
      </c>
      <c r="AA3831">
        <f t="shared" si="319"/>
        <v>1000</v>
      </c>
      <c r="AB3831" t="str">
        <f t="shared" si="320"/>
        <v/>
      </c>
      <c r="AC3831">
        <f t="shared" si="317"/>
        <v>1000</v>
      </c>
      <c r="AD3831" s="6"/>
    </row>
    <row r="3832" spans="1:30" x14ac:dyDescent="0.2">
      <c r="A3832" t="str">
        <f t="shared" si="318"/>
        <v/>
      </c>
      <c r="X3832" t="str" cm="1">
        <f t="array" ref="X3832">IF(S3832="","",IF($I3832&lt;&gt;"",$I3832,INDEX($I$2:$I3831,ROW()-COUNTIFS($T$2:$T3831,"="&amp;$T3832,$S$2:$S3831,"&lt;&gt;"&amp;$S3832)-1)))</f>
        <v/>
      </c>
      <c r="Y3832" t="b">
        <f>IF(X3832&lt;&gt;"",VLOOKUP(X3832,game_rosters!$C$43:$E$64,3,FALSE))</f>
        <v>0</v>
      </c>
      <c r="Z3832" t="e" cm="1" vm="1">
        <f t="array" aca="1" ref="Z3832" ca="1">IFERROR(IF(_xlfn._xlws.FILTER(game_rosters!$J:$J,(game_rosters!$G:$G=events!$AN3832)*(game_rosters!$J:$J=events!$X3832))&gt;0,1,""),"")</f>
        <v>#VALUE!</v>
      </c>
      <c r="AA3832">
        <f t="shared" si="319"/>
        <v>1000</v>
      </c>
      <c r="AB3832" t="str">
        <f t="shared" si="320"/>
        <v/>
      </c>
      <c r="AC3832">
        <f t="shared" si="317"/>
        <v>1000</v>
      </c>
      <c r="AD3832" s="6"/>
    </row>
    <row r="3833" spans="1:30" x14ac:dyDescent="0.2">
      <c r="A3833" t="str">
        <f t="shared" si="318"/>
        <v/>
      </c>
      <c r="X3833" t="str" cm="1">
        <f t="array" ref="X3833">IF(S3833="","",IF($I3833&lt;&gt;"",$I3833,INDEX($I$2:$I3832,ROW()-COUNTIFS($T$2:$T3832,"="&amp;$T3833,$S$2:$S3832,"&lt;&gt;"&amp;$S3833)-1)))</f>
        <v/>
      </c>
      <c r="Y3833" t="b">
        <f>IF(X3833&lt;&gt;"",VLOOKUP(X3833,game_rosters!$C$43:$E$64,3,FALSE))</f>
        <v>0</v>
      </c>
      <c r="Z3833" t="e" cm="1" vm="1">
        <f t="array" aca="1" ref="Z3833" ca="1">IFERROR(IF(_xlfn._xlws.FILTER(game_rosters!$J:$J,(game_rosters!$G:$G=events!$AN3833)*(game_rosters!$J:$J=events!$X3833))&gt;0,1,""),"")</f>
        <v>#VALUE!</v>
      </c>
      <c r="AA3833">
        <f t="shared" si="319"/>
        <v>1000</v>
      </c>
      <c r="AB3833" t="str">
        <f t="shared" si="320"/>
        <v/>
      </c>
      <c r="AC3833">
        <f t="shared" si="317"/>
        <v>1000</v>
      </c>
      <c r="AD3833" s="6"/>
    </row>
    <row r="3834" spans="1:30" x14ac:dyDescent="0.2">
      <c r="A3834" t="str">
        <f t="shared" si="318"/>
        <v/>
      </c>
      <c r="X3834" t="str" cm="1">
        <f t="array" ref="X3834">IF(S3834="","",IF($I3834&lt;&gt;"",$I3834,INDEX($I$2:$I3833,ROW()-COUNTIFS($T$2:$T3833,"="&amp;$T3834,$S$2:$S3833,"&lt;&gt;"&amp;$S3834)-1)))</f>
        <v/>
      </c>
      <c r="Y3834" t="b">
        <f>IF(X3834&lt;&gt;"",VLOOKUP(X3834,game_rosters!$C$43:$E$64,3,FALSE))</f>
        <v>0</v>
      </c>
      <c r="Z3834" t="e" cm="1" vm="1">
        <f t="array" aca="1" ref="Z3834" ca="1">IFERROR(IF(_xlfn._xlws.FILTER(game_rosters!$J:$J,(game_rosters!$G:$G=events!$AN3834)*(game_rosters!$J:$J=events!$X3834))&gt;0,1,""),"")</f>
        <v>#VALUE!</v>
      </c>
      <c r="AA3834">
        <f t="shared" si="319"/>
        <v>1000</v>
      </c>
      <c r="AB3834" t="str">
        <f t="shared" si="320"/>
        <v/>
      </c>
      <c r="AC3834">
        <f t="shared" si="317"/>
        <v>1000</v>
      </c>
      <c r="AD3834" s="6"/>
    </row>
    <row r="3835" spans="1:30" x14ac:dyDescent="0.2">
      <c r="A3835" t="str">
        <f t="shared" si="318"/>
        <v/>
      </c>
      <c r="X3835" t="str" cm="1">
        <f t="array" ref="X3835">IF(S3835="","",IF($I3835&lt;&gt;"",$I3835,INDEX($I$2:$I3834,ROW()-COUNTIFS($T$2:$T3834,"="&amp;$T3835,$S$2:$S3834,"&lt;&gt;"&amp;$S3835)-1)))</f>
        <v/>
      </c>
      <c r="Y3835" t="b">
        <f>IF(X3835&lt;&gt;"",VLOOKUP(X3835,game_rosters!$C$43:$E$64,3,FALSE))</f>
        <v>0</v>
      </c>
      <c r="Z3835" t="e" cm="1" vm="1">
        <f t="array" aca="1" ref="Z3835" ca="1">IFERROR(IF(_xlfn._xlws.FILTER(game_rosters!$J:$J,(game_rosters!$G:$G=events!$AN3835)*(game_rosters!$J:$J=events!$X3835))&gt;0,1,""),"")</f>
        <v>#VALUE!</v>
      </c>
      <c r="AA3835">
        <f t="shared" si="319"/>
        <v>1000</v>
      </c>
      <c r="AB3835" t="str">
        <f t="shared" si="320"/>
        <v/>
      </c>
      <c r="AC3835">
        <f t="shared" si="317"/>
        <v>1000</v>
      </c>
      <c r="AD3835" s="6"/>
    </row>
    <row r="3836" spans="1:30" x14ac:dyDescent="0.2">
      <c r="A3836" t="str">
        <f t="shared" si="318"/>
        <v/>
      </c>
      <c r="X3836" t="str" cm="1">
        <f t="array" ref="X3836">IF(S3836="","",IF($I3836&lt;&gt;"",$I3836,INDEX($I$2:$I3835,ROW()-COUNTIFS($T$2:$T3835,"="&amp;$T3836,$S$2:$S3835,"&lt;&gt;"&amp;$S3836)-1)))</f>
        <v/>
      </c>
      <c r="Y3836" t="b">
        <f>IF(X3836&lt;&gt;"",VLOOKUP(X3836,game_rosters!$C$43:$E$64,3,FALSE))</f>
        <v>0</v>
      </c>
      <c r="Z3836" t="e" cm="1" vm="1">
        <f t="array" aca="1" ref="Z3836" ca="1">IFERROR(IF(_xlfn._xlws.FILTER(game_rosters!$J:$J,(game_rosters!$G:$G=events!$AN3836)*(game_rosters!$J:$J=events!$X3836))&gt;0,1,""),"")</f>
        <v>#VALUE!</v>
      </c>
      <c r="AA3836">
        <f t="shared" si="319"/>
        <v>1000</v>
      </c>
      <c r="AB3836" t="str">
        <f t="shared" si="320"/>
        <v/>
      </c>
      <c r="AC3836">
        <f t="shared" si="317"/>
        <v>1000</v>
      </c>
      <c r="AD3836" s="6"/>
    </row>
    <row r="3837" spans="1:30" x14ac:dyDescent="0.2">
      <c r="A3837" t="str">
        <f t="shared" si="318"/>
        <v/>
      </c>
      <c r="X3837" t="str" cm="1">
        <f t="array" ref="X3837">IF(S3837="","",IF($I3837&lt;&gt;"",$I3837,INDEX($I$2:$I3836,ROW()-COUNTIFS($T$2:$T3836,"="&amp;$T3837,$S$2:$S3836,"&lt;&gt;"&amp;$S3837)-1)))</f>
        <v/>
      </c>
      <c r="Y3837" t="b">
        <f>IF(X3837&lt;&gt;"",VLOOKUP(X3837,game_rosters!$C$43:$E$64,3,FALSE))</f>
        <v>0</v>
      </c>
      <c r="Z3837" t="e" cm="1" vm="1">
        <f t="array" aca="1" ref="Z3837" ca="1">IFERROR(IF(_xlfn._xlws.FILTER(game_rosters!$J:$J,(game_rosters!$G:$G=events!$AN3837)*(game_rosters!$J:$J=events!$X3837))&gt;0,1,""),"")</f>
        <v>#VALUE!</v>
      </c>
      <c r="AA3837">
        <f t="shared" si="319"/>
        <v>1000</v>
      </c>
      <c r="AB3837" t="str">
        <f t="shared" si="320"/>
        <v/>
      </c>
      <c r="AC3837">
        <f t="shared" si="317"/>
        <v>1000</v>
      </c>
      <c r="AD3837" s="6"/>
    </row>
    <row r="3838" spans="1:30" x14ac:dyDescent="0.2">
      <c r="A3838" t="str">
        <f t="shared" si="318"/>
        <v/>
      </c>
      <c r="X3838" t="str" cm="1">
        <f t="array" ref="X3838">IF(S3838="","",IF($I3838&lt;&gt;"",$I3838,INDEX($I$2:$I3837,ROW()-COUNTIFS($T$2:$T3837,"="&amp;$T3838,$S$2:$S3837,"&lt;&gt;"&amp;$S3838)-1)))</f>
        <v/>
      </c>
      <c r="Y3838" t="b">
        <f>IF(X3838&lt;&gt;"",VLOOKUP(X3838,game_rosters!$C$43:$E$64,3,FALSE))</f>
        <v>0</v>
      </c>
      <c r="Z3838" t="e" cm="1" vm="1">
        <f t="array" aca="1" ref="Z3838" ca="1">IFERROR(IF(_xlfn._xlws.FILTER(game_rosters!$J:$J,(game_rosters!$G:$G=events!$AN3838)*(game_rosters!$J:$J=events!$X3838))&gt;0,1,""),"")</f>
        <v>#VALUE!</v>
      </c>
      <c r="AA3838">
        <f t="shared" si="319"/>
        <v>1000</v>
      </c>
      <c r="AB3838" t="str">
        <f t="shared" si="320"/>
        <v/>
      </c>
      <c r="AC3838">
        <f t="shared" si="317"/>
        <v>1000</v>
      </c>
      <c r="AD3838" s="6"/>
    </row>
    <row r="3839" spans="1:30" x14ac:dyDescent="0.2">
      <c r="A3839" t="str">
        <f t="shared" si="318"/>
        <v/>
      </c>
      <c r="X3839" t="str" cm="1">
        <f t="array" ref="X3839">IF(S3839="","",IF($I3839&lt;&gt;"",$I3839,INDEX($I$2:$I3838,ROW()-COUNTIFS($T$2:$T3838,"="&amp;$T3839,$S$2:$S3838,"&lt;&gt;"&amp;$S3839)-1)))</f>
        <v/>
      </c>
      <c r="Y3839" t="b">
        <f>IF(X3839&lt;&gt;"",VLOOKUP(X3839,game_rosters!$C$43:$E$64,3,FALSE))</f>
        <v>0</v>
      </c>
      <c r="Z3839" t="e" cm="1" vm="1">
        <f t="array" aca="1" ref="Z3839" ca="1">IFERROR(IF(_xlfn._xlws.FILTER(game_rosters!$J:$J,(game_rosters!$G:$G=events!$AN3839)*(game_rosters!$J:$J=events!$X3839))&gt;0,1,""),"")</f>
        <v>#VALUE!</v>
      </c>
      <c r="AA3839">
        <f t="shared" si="319"/>
        <v>1000</v>
      </c>
      <c r="AB3839" t="str">
        <f t="shared" si="320"/>
        <v/>
      </c>
      <c r="AC3839">
        <f t="shared" si="317"/>
        <v>1000</v>
      </c>
      <c r="AD3839" s="6"/>
    </row>
    <row r="3840" spans="1:30" x14ac:dyDescent="0.2">
      <c r="A3840" t="str">
        <f t="shared" si="318"/>
        <v/>
      </c>
      <c r="X3840" t="str" cm="1">
        <f t="array" ref="X3840">IF(S3840="","",IF($I3840&lt;&gt;"",$I3840,INDEX($I$2:$I3839,ROW()-COUNTIFS($T$2:$T3839,"="&amp;$T3840,$S$2:$S3839,"&lt;&gt;"&amp;$S3840)-1)))</f>
        <v/>
      </c>
      <c r="Y3840" t="b">
        <f>IF(X3840&lt;&gt;"",VLOOKUP(X3840,game_rosters!$C$43:$E$64,3,FALSE))</f>
        <v>0</v>
      </c>
      <c r="Z3840" t="e" cm="1" vm="1">
        <f t="array" aca="1" ref="Z3840" ca="1">IFERROR(IF(_xlfn._xlws.FILTER(game_rosters!$J:$J,(game_rosters!$G:$G=events!$AN3840)*(game_rosters!$J:$J=events!$X3840))&gt;0,1,""),"")</f>
        <v>#VALUE!</v>
      </c>
      <c r="AA3840">
        <f t="shared" si="319"/>
        <v>1000</v>
      </c>
      <c r="AB3840" t="str">
        <f t="shared" si="320"/>
        <v/>
      </c>
      <c r="AC3840">
        <f t="shared" si="317"/>
        <v>1000</v>
      </c>
      <c r="AD3840" s="6"/>
    </row>
    <row r="3841" spans="1:30" x14ac:dyDescent="0.2">
      <c r="A3841" t="str">
        <f t="shared" si="318"/>
        <v/>
      </c>
      <c r="X3841" t="str" cm="1">
        <f t="array" ref="X3841">IF(S3841="","",IF($I3841&lt;&gt;"",$I3841,INDEX($I$2:$I3840,ROW()-COUNTIFS($T$2:$T3840,"="&amp;$T3841,$S$2:$S3840,"&lt;&gt;"&amp;$S3841)-1)))</f>
        <v/>
      </c>
      <c r="Y3841" t="b">
        <f>IF(X3841&lt;&gt;"",VLOOKUP(X3841,game_rosters!$C$43:$E$64,3,FALSE))</f>
        <v>0</v>
      </c>
      <c r="Z3841" t="e" cm="1" vm="1">
        <f t="array" aca="1" ref="Z3841" ca="1">IFERROR(IF(_xlfn._xlws.FILTER(game_rosters!$J:$J,(game_rosters!$G:$G=events!$AN3841)*(game_rosters!$J:$J=events!$X3841))&gt;0,1,""),"")</f>
        <v>#VALUE!</v>
      </c>
      <c r="AA3841">
        <f t="shared" si="319"/>
        <v>1000</v>
      </c>
      <c r="AB3841" t="str">
        <f t="shared" si="320"/>
        <v/>
      </c>
      <c r="AC3841">
        <f t="shared" si="317"/>
        <v>1000</v>
      </c>
      <c r="AD3841" s="6"/>
    </row>
    <row r="3842" spans="1:30" x14ac:dyDescent="0.2">
      <c r="A3842" t="str">
        <f t="shared" si="318"/>
        <v/>
      </c>
      <c r="X3842" t="str" cm="1">
        <f t="array" ref="X3842">IF(S3842="","",IF($I3842&lt;&gt;"",$I3842,INDEX($I$2:$I3841,ROW()-COUNTIFS($T$2:$T3841,"="&amp;$T3842,$S$2:$S3841,"&lt;&gt;"&amp;$S3842)-1)))</f>
        <v/>
      </c>
      <c r="Y3842" t="b">
        <f>IF(X3842&lt;&gt;"",VLOOKUP(X3842,game_rosters!$C$43:$E$64,3,FALSE))</f>
        <v>0</v>
      </c>
      <c r="Z3842" t="e" cm="1" vm="1">
        <f t="array" aca="1" ref="Z3842" ca="1">IFERROR(IF(_xlfn._xlws.FILTER(game_rosters!$J:$J,(game_rosters!$G:$G=events!$AN3842)*(game_rosters!$J:$J=events!$X3842))&gt;0,1,""),"")</f>
        <v>#VALUE!</v>
      </c>
      <c r="AA3842">
        <f t="shared" si="319"/>
        <v>1000</v>
      </c>
      <c r="AB3842" t="str">
        <f t="shared" si="320"/>
        <v/>
      </c>
      <c r="AC3842">
        <f t="shared" ref="AC3842:AC3905" si="321">IF(AB3842&lt;&gt;"",AB3842,S3842+1000)</f>
        <v>1000</v>
      </c>
      <c r="AD3842" s="6"/>
    </row>
    <row r="3843" spans="1:30" x14ac:dyDescent="0.2">
      <c r="A3843" t="str">
        <f t="shared" si="318"/>
        <v/>
      </c>
      <c r="X3843" t="str" cm="1">
        <f t="array" ref="X3843">IF(S3843="","",IF($I3843&lt;&gt;"",$I3843,INDEX($I$2:$I3842,ROW()-COUNTIFS($T$2:$T3842,"="&amp;$T3843,$S$2:$S3842,"&lt;&gt;"&amp;$S3843)-1)))</f>
        <v/>
      </c>
      <c r="Y3843" t="b">
        <f>IF(X3843&lt;&gt;"",VLOOKUP(X3843,game_rosters!$C$43:$E$64,3,FALSE))</f>
        <v>0</v>
      </c>
      <c r="Z3843" t="e" cm="1" vm="1">
        <f t="array" aca="1" ref="Z3843" ca="1">IFERROR(IF(_xlfn._xlws.FILTER(game_rosters!$J:$J,(game_rosters!$G:$G=events!$AN3843)*(game_rosters!$J:$J=events!$X3843))&gt;0,1,""),"")</f>
        <v>#VALUE!</v>
      </c>
      <c r="AA3843">
        <f t="shared" si="319"/>
        <v>1000</v>
      </c>
      <c r="AB3843" t="str">
        <f t="shared" si="320"/>
        <v/>
      </c>
      <c r="AC3843">
        <f t="shared" si="321"/>
        <v>1000</v>
      </c>
      <c r="AD3843" s="6"/>
    </row>
    <row r="3844" spans="1:30" x14ac:dyDescent="0.2">
      <c r="A3844" t="str">
        <f t="shared" si="318"/>
        <v/>
      </c>
      <c r="X3844" t="str" cm="1">
        <f t="array" ref="X3844">IF(S3844="","",IF($I3844&lt;&gt;"",$I3844,INDEX($I$2:$I3843,ROW()-COUNTIFS($T$2:$T3843,"="&amp;$T3844,$S$2:$S3843,"&lt;&gt;"&amp;$S3844)-1)))</f>
        <v/>
      </c>
      <c r="Y3844" t="b">
        <f>IF(X3844&lt;&gt;"",VLOOKUP(X3844,game_rosters!$C$43:$E$64,3,FALSE))</f>
        <v>0</v>
      </c>
      <c r="Z3844" t="e" cm="1" vm="1">
        <f t="array" aca="1" ref="Z3844" ca="1">IFERROR(IF(_xlfn._xlws.FILTER(game_rosters!$J:$J,(game_rosters!$G:$G=events!$AN3844)*(game_rosters!$J:$J=events!$X3844))&gt;0,1,""),"")</f>
        <v>#VALUE!</v>
      </c>
      <c r="AA3844">
        <f t="shared" si="319"/>
        <v>1000</v>
      </c>
      <c r="AB3844" t="str">
        <f t="shared" si="320"/>
        <v/>
      </c>
      <c r="AC3844">
        <f t="shared" si="321"/>
        <v>1000</v>
      </c>
      <c r="AD3844" s="6"/>
    </row>
    <row r="3845" spans="1:30" x14ac:dyDescent="0.2">
      <c r="A3845" t="str">
        <f t="shared" ref="A3845:A3908" si="322">IF(K3845&lt;&gt;"",1,IF(D3845="x","x",""))</f>
        <v/>
      </c>
      <c r="X3845" t="str" cm="1">
        <f t="array" ref="X3845">IF(S3845="","",IF($I3845&lt;&gt;"",$I3845,INDEX($I$2:$I3844,ROW()-COUNTIFS($T$2:$T3844,"="&amp;$T3845,$S$2:$S3844,"&lt;&gt;"&amp;$S3845)-1)))</f>
        <v/>
      </c>
      <c r="Y3845" t="b">
        <f>IF(X3845&lt;&gt;"",VLOOKUP(X3845,game_rosters!$C$43:$E$64,3,FALSE))</f>
        <v>0</v>
      </c>
      <c r="Z3845" t="e" cm="1" vm="1">
        <f t="array" aca="1" ref="Z3845" ca="1">IFERROR(IF(_xlfn._xlws.FILTER(game_rosters!$J:$J,(game_rosters!$G:$G=events!$AN3845)*(game_rosters!$J:$J=events!$X3845))&gt;0,1,""),"")</f>
        <v>#VALUE!</v>
      </c>
      <c r="AA3845">
        <f t="shared" si="319"/>
        <v>1000</v>
      </c>
      <c r="AB3845" t="str">
        <f t="shared" si="320"/>
        <v/>
      </c>
      <c r="AC3845">
        <f t="shared" si="321"/>
        <v>1000</v>
      </c>
      <c r="AD3845" s="6"/>
    </row>
    <row r="3846" spans="1:30" x14ac:dyDescent="0.2">
      <c r="A3846" t="str">
        <f t="shared" si="322"/>
        <v/>
      </c>
      <c r="X3846" t="str" cm="1">
        <f t="array" ref="X3846">IF(S3846="","",IF($I3846&lt;&gt;"",$I3846,INDEX($I$2:$I3845,ROW()-COUNTIFS($T$2:$T3845,"="&amp;$T3846,$S$2:$S3845,"&lt;&gt;"&amp;$S3846)-1)))</f>
        <v/>
      </c>
      <c r="Y3846" t="b">
        <f>IF(X3846&lt;&gt;"",VLOOKUP(X3846,game_rosters!$C$43:$E$64,3,FALSE))</f>
        <v>0</v>
      </c>
      <c r="Z3846" t="e" cm="1" vm="1">
        <f t="array" aca="1" ref="Z3846" ca="1">IFERROR(IF(_xlfn._xlws.FILTER(game_rosters!$J:$J,(game_rosters!$G:$G=events!$AN3846)*(game_rosters!$J:$J=events!$X3846))&gt;0,1,""),"")</f>
        <v>#VALUE!</v>
      </c>
      <c r="AA3846">
        <f t="shared" si="319"/>
        <v>1000</v>
      </c>
      <c r="AB3846" t="str">
        <f t="shared" si="320"/>
        <v/>
      </c>
      <c r="AC3846">
        <f t="shared" si="321"/>
        <v>1000</v>
      </c>
      <c r="AD3846" s="6"/>
    </row>
    <row r="3847" spans="1:30" x14ac:dyDescent="0.2">
      <c r="A3847" t="str">
        <f t="shared" si="322"/>
        <v/>
      </c>
      <c r="X3847" t="str" cm="1">
        <f t="array" ref="X3847">IF(S3847="","",IF($I3847&lt;&gt;"",$I3847,INDEX($I$2:$I3846,ROW()-COUNTIFS($T$2:$T3846,"="&amp;$T3847,$S$2:$S3846,"&lt;&gt;"&amp;$S3847)-1)))</f>
        <v/>
      </c>
      <c r="Y3847" t="b">
        <f>IF(X3847&lt;&gt;"",VLOOKUP(X3847,game_rosters!$C$43:$E$64,3,FALSE))</f>
        <v>0</v>
      </c>
      <c r="Z3847" t="e" cm="1" vm="1">
        <f t="array" aca="1" ref="Z3847" ca="1">IFERROR(IF(_xlfn._xlws.FILTER(game_rosters!$J:$J,(game_rosters!$G:$G=events!$AN3847)*(game_rosters!$J:$J=events!$X3847))&gt;0,1,""),"")</f>
        <v>#VALUE!</v>
      </c>
      <c r="AA3847">
        <f t="shared" si="319"/>
        <v>1000</v>
      </c>
      <c r="AB3847" t="str">
        <f t="shared" si="320"/>
        <v/>
      </c>
      <c r="AC3847">
        <f t="shared" si="321"/>
        <v>1000</v>
      </c>
      <c r="AD3847" s="6"/>
    </row>
    <row r="3848" spans="1:30" x14ac:dyDescent="0.2">
      <c r="A3848" t="str">
        <f t="shared" si="322"/>
        <v/>
      </c>
      <c r="X3848" t="str" cm="1">
        <f t="array" ref="X3848">IF(S3848="","",IF($I3848&lt;&gt;"",$I3848,INDEX($I$2:$I3847,ROW()-COUNTIFS($T$2:$T3847,"="&amp;$T3848,$S$2:$S3847,"&lt;&gt;"&amp;$S3848)-1)))</f>
        <v/>
      </c>
      <c r="Y3848" t="b">
        <f>IF(X3848&lt;&gt;"",VLOOKUP(X3848,game_rosters!$C$43:$E$64,3,FALSE))</f>
        <v>0</v>
      </c>
      <c r="Z3848" t="e" cm="1" vm="1">
        <f t="array" aca="1" ref="Z3848" ca="1">IFERROR(IF(_xlfn._xlws.FILTER(game_rosters!$J:$J,(game_rosters!$G:$G=events!$AN3848)*(game_rosters!$J:$J=events!$X3848))&gt;0,1,""),"")</f>
        <v>#VALUE!</v>
      </c>
      <c r="AA3848">
        <f t="shared" si="319"/>
        <v>1000</v>
      </c>
      <c r="AB3848" t="str">
        <f t="shared" si="320"/>
        <v/>
      </c>
      <c r="AC3848">
        <f t="shared" si="321"/>
        <v>1000</v>
      </c>
      <c r="AD3848" s="6"/>
    </row>
    <row r="3849" spans="1:30" x14ac:dyDescent="0.2">
      <c r="A3849" t="str">
        <f t="shared" si="322"/>
        <v/>
      </c>
      <c r="X3849" t="str" cm="1">
        <f t="array" ref="X3849">IF(S3849="","",IF($I3849&lt;&gt;"",$I3849,INDEX($I$2:$I3848,ROW()-COUNTIFS($T$2:$T3848,"="&amp;$T3849,$S$2:$S3848,"&lt;&gt;"&amp;$S3849)-1)))</f>
        <v/>
      </c>
      <c r="Y3849" t="b">
        <f>IF(X3849&lt;&gt;"",VLOOKUP(X3849,game_rosters!$C$43:$E$64,3,FALSE))</f>
        <v>0</v>
      </c>
      <c r="Z3849" t="e" cm="1" vm="1">
        <f t="array" aca="1" ref="Z3849" ca="1">IFERROR(IF(_xlfn._xlws.FILTER(game_rosters!$J:$J,(game_rosters!$G:$G=events!$AN3849)*(game_rosters!$J:$J=events!$X3849))&gt;0,1,""),"")</f>
        <v>#VALUE!</v>
      </c>
      <c r="AA3849">
        <f t="shared" si="319"/>
        <v>1000</v>
      </c>
      <c r="AB3849" t="str">
        <f t="shared" si="320"/>
        <v/>
      </c>
      <c r="AC3849">
        <f t="shared" si="321"/>
        <v>1000</v>
      </c>
      <c r="AD3849" s="6"/>
    </row>
    <row r="3850" spans="1:30" x14ac:dyDescent="0.2">
      <c r="A3850" t="str">
        <f t="shared" si="322"/>
        <v/>
      </c>
      <c r="X3850" t="str" cm="1">
        <f t="array" ref="X3850">IF(S3850="","",IF($I3850&lt;&gt;"",$I3850,INDEX($I$2:$I3849,ROW()-COUNTIFS($T$2:$T3849,"="&amp;$T3850,$S$2:$S3849,"&lt;&gt;"&amp;$S3850)-1)))</f>
        <v/>
      </c>
      <c r="Y3850" t="b">
        <f>IF(X3850&lt;&gt;"",VLOOKUP(X3850,game_rosters!$C$43:$E$64,3,FALSE))</f>
        <v>0</v>
      </c>
      <c r="Z3850" t="e" cm="1" vm="1">
        <f t="array" aca="1" ref="Z3850" ca="1">IFERROR(IF(_xlfn._xlws.FILTER(game_rosters!$J:$J,(game_rosters!$G:$G=events!$AN3850)*(game_rosters!$J:$J=events!$X3850))&gt;0,1,""),"")</f>
        <v>#VALUE!</v>
      </c>
      <c r="AA3850">
        <f t="shared" si="319"/>
        <v>1000</v>
      </c>
      <c r="AB3850" t="str">
        <f t="shared" si="320"/>
        <v/>
      </c>
      <c r="AC3850">
        <f t="shared" si="321"/>
        <v>1000</v>
      </c>
      <c r="AD3850" s="6"/>
    </row>
    <row r="3851" spans="1:30" x14ac:dyDescent="0.2">
      <c r="A3851" t="str">
        <f t="shared" si="322"/>
        <v/>
      </c>
      <c r="X3851" t="str" cm="1">
        <f t="array" ref="X3851">IF(S3851="","",IF($I3851&lt;&gt;"",$I3851,INDEX($I$2:$I3850,ROW()-COUNTIFS($T$2:$T3850,"="&amp;$T3851,$S$2:$S3850,"&lt;&gt;"&amp;$S3851)-1)))</f>
        <v/>
      </c>
      <c r="Y3851" t="b">
        <f>IF(X3851&lt;&gt;"",VLOOKUP(X3851,game_rosters!$C$43:$E$64,3,FALSE))</f>
        <v>0</v>
      </c>
      <c r="Z3851" t="e" cm="1" vm="1">
        <f t="array" aca="1" ref="Z3851" ca="1">IFERROR(IF(_xlfn._xlws.FILTER(game_rosters!$J:$J,(game_rosters!$G:$G=events!$AN3851)*(game_rosters!$J:$J=events!$X3851))&gt;0,1,""),"")</f>
        <v>#VALUE!</v>
      </c>
      <c r="AA3851">
        <f t="shared" si="319"/>
        <v>1000</v>
      </c>
      <c r="AB3851" t="str">
        <f t="shared" si="320"/>
        <v/>
      </c>
      <c r="AC3851">
        <f t="shared" si="321"/>
        <v>1000</v>
      </c>
      <c r="AD3851" s="6"/>
    </row>
    <row r="3852" spans="1:30" x14ac:dyDescent="0.2">
      <c r="A3852" t="str">
        <f t="shared" si="322"/>
        <v/>
      </c>
      <c r="X3852" t="str" cm="1">
        <f t="array" ref="X3852">IF(S3852="","",IF($I3852&lt;&gt;"",$I3852,INDEX($I$2:$I3851,ROW()-COUNTIFS($T$2:$T3851,"="&amp;$T3852,$S$2:$S3851,"&lt;&gt;"&amp;$S3852)-1)))</f>
        <v/>
      </c>
      <c r="Y3852" t="b">
        <f>IF(X3852&lt;&gt;"",VLOOKUP(X3852,game_rosters!$C$43:$E$64,3,FALSE))</f>
        <v>0</v>
      </c>
      <c r="Z3852" t="e" cm="1" vm="1">
        <f t="array" aca="1" ref="Z3852" ca="1">IFERROR(IF(_xlfn._xlws.FILTER(game_rosters!$J:$J,(game_rosters!$G:$G=events!$AN3852)*(game_rosters!$J:$J=events!$X3852))&gt;0,1,""),"")</f>
        <v>#VALUE!</v>
      </c>
      <c r="AA3852">
        <f t="shared" si="319"/>
        <v>1000</v>
      </c>
      <c r="AB3852" t="str">
        <f t="shared" si="320"/>
        <v/>
      </c>
      <c r="AC3852">
        <f t="shared" si="321"/>
        <v>1000</v>
      </c>
      <c r="AD3852" s="6"/>
    </row>
    <row r="3853" spans="1:30" x14ac:dyDescent="0.2">
      <c r="A3853" t="str">
        <f t="shared" si="322"/>
        <v/>
      </c>
      <c r="X3853" t="str" cm="1">
        <f t="array" ref="X3853">IF(S3853="","",IF($I3853&lt;&gt;"",$I3853,INDEX($I$2:$I3852,ROW()-COUNTIFS($T$2:$T3852,"="&amp;$T3853,$S$2:$S3852,"&lt;&gt;"&amp;$S3853)-1)))</f>
        <v/>
      </c>
      <c r="Y3853" t="b">
        <f>IF(X3853&lt;&gt;"",VLOOKUP(X3853,game_rosters!$C$43:$E$64,3,FALSE))</f>
        <v>0</v>
      </c>
      <c r="Z3853" t="e" cm="1" vm="1">
        <f t="array" aca="1" ref="Z3853" ca="1">IFERROR(IF(_xlfn._xlws.FILTER(game_rosters!$J:$J,(game_rosters!$G:$G=events!$AN3853)*(game_rosters!$J:$J=events!$X3853))&gt;0,1,""),"")</f>
        <v>#VALUE!</v>
      </c>
      <c r="AA3853">
        <f t="shared" si="319"/>
        <v>1000</v>
      </c>
      <c r="AB3853" t="str">
        <f t="shared" si="320"/>
        <v/>
      </c>
      <c r="AC3853">
        <f t="shared" si="321"/>
        <v>1000</v>
      </c>
      <c r="AD3853" s="6"/>
    </row>
    <row r="3854" spans="1:30" x14ac:dyDescent="0.2">
      <c r="A3854" t="str">
        <f t="shared" si="322"/>
        <v/>
      </c>
      <c r="X3854" t="str" cm="1">
        <f t="array" ref="X3854">IF(S3854="","",IF($I3854&lt;&gt;"",$I3854,INDEX($I$2:$I3853,ROW()-COUNTIFS($T$2:$T3853,"="&amp;$T3854,$S$2:$S3853,"&lt;&gt;"&amp;$S3854)-1)))</f>
        <v/>
      </c>
      <c r="Y3854" t="b">
        <f>IF(X3854&lt;&gt;"",VLOOKUP(X3854,game_rosters!$C$43:$E$64,3,FALSE))</f>
        <v>0</v>
      </c>
      <c r="Z3854" t="e" cm="1" vm="1">
        <f t="array" aca="1" ref="Z3854" ca="1">IFERROR(IF(_xlfn._xlws.FILTER(game_rosters!$J:$J,(game_rosters!$G:$G=events!$AN3854)*(game_rosters!$J:$J=events!$X3854))&gt;0,1,""),"")</f>
        <v>#VALUE!</v>
      </c>
      <c r="AA3854">
        <f t="shared" si="319"/>
        <v>1000</v>
      </c>
      <c r="AB3854" t="str">
        <f t="shared" si="320"/>
        <v/>
      </c>
      <c r="AC3854">
        <f t="shared" si="321"/>
        <v>1000</v>
      </c>
      <c r="AD3854" s="6"/>
    </row>
    <row r="3855" spans="1:30" x14ac:dyDescent="0.2">
      <c r="A3855" t="str">
        <f t="shared" si="322"/>
        <v/>
      </c>
      <c r="X3855" t="str" cm="1">
        <f t="array" ref="X3855">IF(S3855="","",IF($I3855&lt;&gt;"",$I3855,INDEX($I$2:$I3854,ROW()-COUNTIFS($T$2:$T3854,"="&amp;$T3855,$S$2:$S3854,"&lt;&gt;"&amp;$S3855)-1)))</f>
        <v/>
      </c>
      <c r="Y3855" t="b">
        <f>IF(X3855&lt;&gt;"",VLOOKUP(X3855,game_rosters!$C$43:$E$64,3,FALSE))</f>
        <v>0</v>
      </c>
      <c r="Z3855" t="e" cm="1" vm="1">
        <f t="array" aca="1" ref="Z3855" ca="1">IFERROR(IF(_xlfn._xlws.FILTER(game_rosters!$J:$J,(game_rosters!$G:$G=events!$AN3855)*(game_rosters!$J:$J=events!$X3855))&gt;0,1,""),"")</f>
        <v>#VALUE!</v>
      </c>
      <c r="AA3855">
        <f t="shared" si="319"/>
        <v>1000</v>
      </c>
      <c r="AB3855" t="str">
        <f t="shared" si="320"/>
        <v/>
      </c>
      <c r="AC3855">
        <f t="shared" si="321"/>
        <v>1000</v>
      </c>
      <c r="AD3855" s="6"/>
    </row>
    <row r="3856" spans="1:30" x14ac:dyDescent="0.2">
      <c r="A3856" t="str">
        <f t="shared" si="322"/>
        <v/>
      </c>
      <c r="X3856" t="str" cm="1">
        <f t="array" ref="X3856">IF(S3856="","",IF($I3856&lt;&gt;"",$I3856,INDEX($I$2:$I3855,ROW()-COUNTIFS($T$2:$T3855,"="&amp;$T3856,$S$2:$S3855,"&lt;&gt;"&amp;$S3856)-1)))</f>
        <v/>
      </c>
      <c r="Y3856" t="b">
        <f>IF(X3856&lt;&gt;"",VLOOKUP(X3856,game_rosters!$C$43:$E$64,3,FALSE))</f>
        <v>0</v>
      </c>
      <c r="Z3856" t="e" cm="1" vm="1">
        <f t="array" aca="1" ref="Z3856" ca="1">IFERROR(IF(_xlfn._xlws.FILTER(game_rosters!$J:$J,(game_rosters!$G:$G=events!$AN3856)*(game_rosters!$J:$J=events!$X3856))&gt;0,1,""),"")</f>
        <v>#VALUE!</v>
      </c>
      <c r="AA3856">
        <f t="shared" si="319"/>
        <v>1000</v>
      </c>
      <c r="AB3856" t="str">
        <f t="shared" si="320"/>
        <v/>
      </c>
      <c r="AC3856">
        <f t="shared" si="321"/>
        <v>1000</v>
      </c>
      <c r="AD3856" s="6"/>
    </row>
    <row r="3857" spans="1:30" x14ac:dyDescent="0.2">
      <c r="A3857" t="str">
        <f t="shared" si="322"/>
        <v/>
      </c>
      <c r="X3857" t="str" cm="1">
        <f t="array" ref="X3857">IF(S3857="","",IF($I3857&lt;&gt;"",$I3857,INDEX($I$2:$I3856,ROW()-COUNTIFS($T$2:$T3856,"="&amp;$T3857,$S$2:$S3856,"&lt;&gt;"&amp;$S3857)-1)))</f>
        <v/>
      </c>
      <c r="Y3857" t="b">
        <f>IF(X3857&lt;&gt;"",VLOOKUP(X3857,game_rosters!$C$43:$E$64,3,FALSE))</f>
        <v>0</v>
      </c>
      <c r="Z3857" t="e" cm="1" vm="1">
        <f t="array" aca="1" ref="Z3857" ca="1">IFERROR(IF(_xlfn._xlws.FILTER(game_rosters!$J:$J,(game_rosters!$G:$G=events!$AN3857)*(game_rosters!$J:$J=events!$X3857))&gt;0,1,""),"")</f>
        <v>#VALUE!</v>
      </c>
      <c r="AA3857">
        <f t="shared" si="319"/>
        <v>1000</v>
      </c>
      <c r="AB3857" t="str">
        <f t="shared" si="320"/>
        <v/>
      </c>
      <c r="AC3857">
        <f t="shared" si="321"/>
        <v>1000</v>
      </c>
      <c r="AD3857" s="6"/>
    </row>
    <row r="3858" spans="1:30" x14ac:dyDescent="0.2">
      <c r="A3858" t="str">
        <f t="shared" si="322"/>
        <v/>
      </c>
      <c r="X3858" t="str" cm="1">
        <f t="array" ref="X3858">IF(S3858="","",IF($I3858&lt;&gt;"",$I3858,INDEX($I$2:$I3857,ROW()-COUNTIFS($T$2:$T3857,"="&amp;$T3858,$S$2:$S3857,"&lt;&gt;"&amp;$S3858)-1)))</f>
        <v/>
      </c>
      <c r="Y3858" t="b">
        <f>IF(X3858&lt;&gt;"",VLOOKUP(X3858,game_rosters!$C$43:$E$64,3,FALSE))</f>
        <v>0</v>
      </c>
      <c r="Z3858" t="e" cm="1" vm="1">
        <f t="array" aca="1" ref="Z3858" ca="1">IFERROR(IF(_xlfn._xlws.FILTER(game_rosters!$J:$J,(game_rosters!$G:$G=events!$AN3858)*(game_rosters!$J:$J=events!$X3858))&gt;0,1,""),"")</f>
        <v>#VALUE!</v>
      </c>
      <c r="AA3858">
        <f t="shared" si="319"/>
        <v>1000</v>
      </c>
      <c r="AB3858" t="str">
        <f t="shared" si="320"/>
        <v/>
      </c>
      <c r="AC3858">
        <f t="shared" si="321"/>
        <v>1000</v>
      </c>
      <c r="AD3858" s="6"/>
    </row>
    <row r="3859" spans="1:30" x14ac:dyDescent="0.2">
      <c r="A3859" t="str">
        <f t="shared" si="322"/>
        <v/>
      </c>
      <c r="X3859" t="str" cm="1">
        <f t="array" ref="X3859">IF(S3859="","",IF($I3859&lt;&gt;"",$I3859,INDEX($I$2:$I3858,ROW()-COUNTIFS($T$2:$T3858,"="&amp;$T3859,$S$2:$S3858,"&lt;&gt;"&amp;$S3859)-1)))</f>
        <v/>
      </c>
      <c r="Y3859" t="b">
        <f>IF(X3859&lt;&gt;"",VLOOKUP(X3859,game_rosters!$C$43:$E$64,3,FALSE))</f>
        <v>0</v>
      </c>
      <c r="Z3859" t="e" cm="1" vm="1">
        <f t="array" aca="1" ref="Z3859" ca="1">IFERROR(IF(_xlfn._xlws.FILTER(game_rosters!$J:$J,(game_rosters!$G:$G=events!$AN3859)*(game_rosters!$J:$J=events!$X3859))&gt;0,1,""),"")</f>
        <v>#VALUE!</v>
      </c>
      <c r="AA3859">
        <f t="shared" si="319"/>
        <v>1000</v>
      </c>
      <c r="AB3859" t="str">
        <f t="shared" si="320"/>
        <v/>
      </c>
      <c r="AC3859">
        <f t="shared" si="321"/>
        <v>1000</v>
      </c>
      <c r="AD3859" s="6"/>
    </row>
    <row r="3860" spans="1:30" x14ac:dyDescent="0.2">
      <c r="A3860" t="str">
        <f t="shared" si="322"/>
        <v/>
      </c>
      <c r="X3860" t="str" cm="1">
        <f t="array" ref="X3860">IF(S3860="","",IF($I3860&lt;&gt;"",$I3860,INDEX($I$2:$I3859,ROW()-COUNTIFS($T$2:$T3859,"="&amp;$T3860,$S$2:$S3859,"&lt;&gt;"&amp;$S3860)-1)))</f>
        <v/>
      </c>
      <c r="Y3860" t="b">
        <f>IF(X3860&lt;&gt;"",VLOOKUP(X3860,game_rosters!$C$43:$E$64,3,FALSE))</f>
        <v>0</v>
      </c>
      <c r="Z3860" t="e" cm="1" vm="1">
        <f t="array" aca="1" ref="Z3860" ca="1">IFERROR(IF(_xlfn._xlws.FILTER(game_rosters!$J:$J,(game_rosters!$G:$G=events!$AN3860)*(game_rosters!$J:$J=events!$X3860))&gt;0,1,""),"")</f>
        <v>#VALUE!</v>
      </c>
      <c r="AA3860">
        <f t="shared" si="319"/>
        <v>1000</v>
      </c>
      <c r="AB3860" t="str">
        <f t="shared" si="320"/>
        <v/>
      </c>
      <c r="AC3860">
        <f t="shared" si="321"/>
        <v>1000</v>
      </c>
      <c r="AD3860" s="6"/>
    </row>
    <row r="3861" spans="1:30" x14ac:dyDescent="0.2">
      <c r="A3861" t="str">
        <f t="shared" si="322"/>
        <v/>
      </c>
      <c r="X3861" t="str" cm="1">
        <f t="array" ref="X3861">IF(S3861="","",IF($I3861&lt;&gt;"",$I3861,INDEX($I$2:$I3860,ROW()-COUNTIFS($T$2:$T3860,"="&amp;$T3861,$S$2:$S3860,"&lt;&gt;"&amp;$S3861)-1)))</f>
        <v/>
      </c>
      <c r="Y3861" t="b">
        <f>IF(X3861&lt;&gt;"",VLOOKUP(X3861,game_rosters!$C$43:$E$64,3,FALSE))</f>
        <v>0</v>
      </c>
      <c r="Z3861" t="e" cm="1" vm="1">
        <f t="array" aca="1" ref="Z3861" ca="1">IFERROR(IF(_xlfn._xlws.FILTER(game_rosters!$J:$J,(game_rosters!$G:$G=events!$AN3861)*(game_rosters!$J:$J=events!$X3861))&gt;0,1,""),"")</f>
        <v>#VALUE!</v>
      </c>
      <c r="AA3861">
        <f t="shared" si="319"/>
        <v>1000</v>
      </c>
      <c r="AB3861" t="str">
        <f t="shared" si="320"/>
        <v/>
      </c>
      <c r="AC3861">
        <f t="shared" si="321"/>
        <v>1000</v>
      </c>
      <c r="AD3861" s="6"/>
    </row>
    <row r="3862" spans="1:30" x14ac:dyDescent="0.2">
      <c r="A3862" t="str">
        <f t="shared" si="322"/>
        <v/>
      </c>
      <c r="X3862" t="str" cm="1">
        <f t="array" ref="X3862">IF(S3862="","",IF($I3862&lt;&gt;"",$I3862,INDEX($I$2:$I3861,ROW()-COUNTIFS($T$2:$T3861,"="&amp;$T3862,$S$2:$S3861,"&lt;&gt;"&amp;$S3862)-1)))</f>
        <v/>
      </c>
      <c r="Y3862" t="b">
        <f>IF(X3862&lt;&gt;"",VLOOKUP(X3862,game_rosters!$C$43:$E$64,3,FALSE))</f>
        <v>0</v>
      </c>
      <c r="Z3862" t="e" cm="1" vm="1">
        <f t="array" aca="1" ref="Z3862" ca="1">IFERROR(IF(_xlfn._xlws.FILTER(game_rosters!$J:$J,(game_rosters!$G:$G=events!$AN3862)*(game_rosters!$J:$J=events!$X3862))&gt;0,1,""),"")</f>
        <v>#VALUE!</v>
      </c>
      <c r="AA3862">
        <f t="shared" si="319"/>
        <v>1000</v>
      </c>
      <c r="AB3862" t="str">
        <f t="shared" si="320"/>
        <v/>
      </c>
      <c r="AC3862">
        <f t="shared" si="321"/>
        <v>1000</v>
      </c>
      <c r="AD3862" s="6"/>
    </row>
    <row r="3863" spans="1:30" x14ac:dyDescent="0.2">
      <c r="A3863" t="str">
        <f t="shared" si="322"/>
        <v/>
      </c>
      <c r="X3863" t="str" cm="1">
        <f t="array" ref="X3863">IF(S3863="","",IF($I3863&lt;&gt;"",$I3863,INDEX($I$2:$I3862,ROW()-COUNTIFS($T$2:$T3862,"="&amp;$T3863,$S$2:$S3862,"&lt;&gt;"&amp;$S3863)-1)))</f>
        <v/>
      </c>
      <c r="Y3863" t="b">
        <f>IF(X3863&lt;&gt;"",VLOOKUP(X3863,game_rosters!$C$43:$E$64,3,FALSE))</f>
        <v>0</v>
      </c>
      <c r="Z3863" t="e" cm="1" vm="1">
        <f t="array" aca="1" ref="Z3863" ca="1">IFERROR(IF(_xlfn._xlws.FILTER(game_rosters!$J:$J,(game_rosters!$G:$G=events!$AN3863)*(game_rosters!$J:$J=events!$X3863))&gt;0,1,""),"")</f>
        <v>#VALUE!</v>
      </c>
      <c r="AA3863">
        <f t="shared" si="319"/>
        <v>1000</v>
      </c>
      <c r="AB3863" t="str">
        <f t="shared" si="320"/>
        <v/>
      </c>
      <c r="AC3863">
        <f t="shared" si="321"/>
        <v>1000</v>
      </c>
      <c r="AD3863" s="6"/>
    </row>
    <row r="3864" spans="1:30" x14ac:dyDescent="0.2">
      <c r="A3864" t="str">
        <f t="shared" si="322"/>
        <v/>
      </c>
      <c r="X3864" t="str" cm="1">
        <f t="array" ref="X3864">IF(S3864="","",IF($I3864&lt;&gt;"",$I3864,INDEX($I$2:$I3863,ROW()-COUNTIFS($T$2:$T3863,"="&amp;$T3864,$S$2:$S3863,"&lt;&gt;"&amp;$S3864)-1)))</f>
        <v/>
      </c>
      <c r="Y3864" t="b">
        <f>IF(X3864&lt;&gt;"",VLOOKUP(X3864,game_rosters!$C$43:$E$64,3,FALSE))</f>
        <v>0</v>
      </c>
      <c r="Z3864" t="e" cm="1" vm="1">
        <f t="array" aca="1" ref="Z3864" ca="1">IFERROR(IF(_xlfn._xlws.FILTER(game_rosters!$J:$J,(game_rosters!$G:$G=events!$AN3864)*(game_rosters!$J:$J=events!$X3864))&gt;0,1,""),"")</f>
        <v>#VALUE!</v>
      </c>
      <c r="AA3864">
        <f t="shared" si="319"/>
        <v>1000</v>
      </c>
      <c r="AB3864" t="str">
        <f t="shared" si="320"/>
        <v/>
      </c>
      <c r="AC3864">
        <f t="shared" si="321"/>
        <v>1000</v>
      </c>
      <c r="AD3864" s="6"/>
    </row>
    <row r="3865" spans="1:30" x14ac:dyDescent="0.2">
      <c r="A3865" t="str">
        <f t="shared" si="322"/>
        <v/>
      </c>
      <c r="X3865" t="str" cm="1">
        <f t="array" ref="X3865">IF(S3865="","",IF($I3865&lt;&gt;"",$I3865,INDEX($I$2:$I3864,ROW()-COUNTIFS($T$2:$T3864,"="&amp;$T3865,$S$2:$S3864,"&lt;&gt;"&amp;$S3865)-1)))</f>
        <v/>
      </c>
      <c r="Y3865" t="b">
        <f>IF(X3865&lt;&gt;"",VLOOKUP(X3865,game_rosters!$C$43:$E$64,3,FALSE))</f>
        <v>0</v>
      </c>
      <c r="Z3865" t="e" cm="1" vm="1">
        <f t="array" aca="1" ref="Z3865" ca="1">IFERROR(IF(_xlfn._xlws.FILTER(game_rosters!$J:$J,(game_rosters!$G:$G=events!$AN3865)*(game_rosters!$J:$J=events!$X3865))&gt;0,1,""),"")</f>
        <v>#VALUE!</v>
      </c>
      <c r="AA3865">
        <f t="shared" si="319"/>
        <v>1000</v>
      </c>
      <c r="AB3865" t="str">
        <f t="shared" si="320"/>
        <v/>
      </c>
      <c r="AC3865">
        <f t="shared" si="321"/>
        <v>1000</v>
      </c>
      <c r="AD3865" s="6"/>
    </row>
    <row r="3866" spans="1:30" x14ac:dyDescent="0.2">
      <c r="A3866" t="str">
        <f t="shared" si="322"/>
        <v/>
      </c>
      <c r="X3866" t="str" cm="1">
        <f t="array" ref="X3866">IF(S3866="","",IF($I3866&lt;&gt;"",$I3866,INDEX($I$2:$I3865,ROW()-COUNTIFS($T$2:$T3865,"="&amp;$T3866,$S$2:$S3865,"&lt;&gt;"&amp;$S3866)-1)))</f>
        <v/>
      </c>
      <c r="Y3866" t="b">
        <f>IF(X3866&lt;&gt;"",VLOOKUP(X3866,game_rosters!$C$43:$E$64,3,FALSE))</f>
        <v>0</v>
      </c>
      <c r="Z3866" t="e" cm="1" vm="1">
        <f t="array" aca="1" ref="Z3866" ca="1">IFERROR(IF(_xlfn._xlws.FILTER(game_rosters!$J:$J,(game_rosters!$G:$G=events!$AN3866)*(game_rosters!$J:$J=events!$X3866))&gt;0,1,""),"")</f>
        <v>#VALUE!</v>
      </c>
      <c r="AA3866">
        <f t="shared" si="319"/>
        <v>1000</v>
      </c>
      <c r="AB3866" t="str">
        <f t="shared" si="320"/>
        <v/>
      </c>
      <c r="AC3866">
        <f t="shared" si="321"/>
        <v>1000</v>
      </c>
      <c r="AD3866" s="6"/>
    </row>
    <row r="3867" spans="1:30" x14ac:dyDescent="0.2">
      <c r="A3867" t="str">
        <f t="shared" si="322"/>
        <v/>
      </c>
      <c r="X3867" t="str" cm="1">
        <f t="array" ref="X3867">IF(S3867="","",IF($I3867&lt;&gt;"",$I3867,INDEX($I$2:$I3866,ROW()-COUNTIFS($T$2:$T3866,"="&amp;$T3867,$S$2:$S3866,"&lt;&gt;"&amp;$S3867)-1)))</f>
        <v/>
      </c>
      <c r="Y3867" t="b">
        <f>IF(X3867&lt;&gt;"",VLOOKUP(X3867,game_rosters!$C$43:$E$64,3,FALSE))</f>
        <v>0</v>
      </c>
      <c r="Z3867" t="e" cm="1" vm="1">
        <f t="array" aca="1" ref="Z3867" ca="1">IFERROR(IF(_xlfn._xlws.FILTER(game_rosters!$J:$J,(game_rosters!$G:$G=events!$AN3867)*(game_rosters!$J:$J=events!$X3867))&gt;0,1,""),"")</f>
        <v>#VALUE!</v>
      </c>
      <c r="AA3867">
        <f t="shared" si="319"/>
        <v>1000</v>
      </c>
      <c r="AB3867" t="str">
        <f t="shared" si="320"/>
        <v/>
      </c>
      <c r="AC3867">
        <f t="shared" si="321"/>
        <v>1000</v>
      </c>
      <c r="AD3867" s="6"/>
    </row>
    <row r="3868" spans="1:30" x14ac:dyDescent="0.2">
      <c r="A3868" t="str">
        <f t="shared" si="322"/>
        <v/>
      </c>
      <c r="X3868" t="str" cm="1">
        <f t="array" ref="X3868">IF(S3868="","",IF($I3868&lt;&gt;"",$I3868,INDEX($I$2:$I3867,ROW()-COUNTIFS($T$2:$T3867,"="&amp;$T3868,$S$2:$S3867,"&lt;&gt;"&amp;$S3868)-1)))</f>
        <v/>
      </c>
      <c r="Y3868" t="b">
        <f>IF(X3868&lt;&gt;"",VLOOKUP(X3868,game_rosters!$C$43:$E$64,3,FALSE))</f>
        <v>0</v>
      </c>
      <c r="Z3868" t="e" cm="1" vm="1">
        <f t="array" aca="1" ref="Z3868" ca="1">IFERROR(IF(_xlfn._xlws.FILTER(game_rosters!$J:$J,(game_rosters!$G:$G=events!$AN3868)*(game_rosters!$J:$J=events!$X3868))&gt;0,1,""),"")</f>
        <v>#VALUE!</v>
      </c>
      <c r="AA3868">
        <f t="shared" si="319"/>
        <v>1000</v>
      </c>
      <c r="AB3868" t="str">
        <f t="shared" si="320"/>
        <v/>
      </c>
      <c r="AC3868">
        <f t="shared" si="321"/>
        <v>1000</v>
      </c>
      <c r="AD3868" s="6"/>
    </row>
    <row r="3869" spans="1:30" x14ac:dyDescent="0.2">
      <c r="A3869" t="str">
        <f t="shared" si="322"/>
        <v/>
      </c>
      <c r="X3869" t="str" cm="1">
        <f t="array" ref="X3869">IF(S3869="","",IF($I3869&lt;&gt;"",$I3869,INDEX($I$2:$I3868,ROW()-COUNTIFS($T$2:$T3868,"="&amp;$T3869,$S$2:$S3868,"&lt;&gt;"&amp;$S3869)-1)))</f>
        <v/>
      </c>
      <c r="Y3869" t="b">
        <f>IF(X3869&lt;&gt;"",VLOOKUP(X3869,game_rosters!$C$43:$E$64,3,FALSE))</f>
        <v>0</v>
      </c>
      <c r="Z3869" t="e" cm="1" vm="1">
        <f t="array" aca="1" ref="Z3869" ca="1">IFERROR(IF(_xlfn._xlws.FILTER(game_rosters!$J:$J,(game_rosters!$G:$G=events!$AN3869)*(game_rosters!$J:$J=events!$X3869))&gt;0,1,""),"")</f>
        <v>#VALUE!</v>
      </c>
      <c r="AA3869">
        <f t="shared" ref="AA3869:AA3932" si="323">S3869+1000</f>
        <v>1000</v>
      </c>
      <c r="AB3869" t="str">
        <f t="shared" ref="AB3869:AB3932" si="324">IF(T3869&lt;&gt;"",9000+T3869,"")</f>
        <v/>
      </c>
      <c r="AC3869">
        <f t="shared" si="321"/>
        <v>1000</v>
      </c>
      <c r="AD3869" s="6"/>
    </row>
    <row r="3870" spans="1:30" x14ac:dyDescent="0.2">
      <c r="A3870" t="str">
        <f t="shared" si="322"/>
        <v/>
      </c>
      <c r="X3870" t="str" cm="1">
        <f t="array" ref="X3870">IF(S3870="","",IF($I3870&lt;&gt;"",$I3870,INDEX($I$2:$I3869,ROW()-COUNTIFS($T$2:$T3869,"="&amp;$T3870,$S$2:$S3869,"&lt;&gt;"&amp;$S3870)-1)))</f>
        <v/>
      </c>
      <c r="Y3870" t="b">
        <f>IF(X3870&lt;&gt;"",VLOOKUP(X3870,game_rosters!$C$43:$E$64,3,FALSE))</f>
        <v>0</v>
      </c>
      <c r="Z3870" t="e" cm="1" vm="1">
        <f t="array" aca="1" ref="Z3870" ca="1">IFERROR(IF(_xlfn._xlws.FILTER(game_rosters!$J:$J,(game_rosters!$G:$G=events!$AN3870)*(game_rosters!$J:$J=events!$X3870))&gt;0,1,""),"")</f>
        <v>#VALUE!</v>
      </c>
      <c r="AA3870">
        <f t="shared" si="323"/>
        <v>1000</v>
      </c>
      <c r="AB3870" t="str">
        <f t="shared" si="324"/>
        <v/>
      </c>
      <c r="AC3870">
        <f t="shared" si="321"/>
        <v>1000</v>
      </c>
      <c r="AD3870" s="6"/>
    </row>
    <row r="3871" spans="1:30" x14ac:dyDescent="0.2">
      <c r="A3871" t="str">
        <f t="shared" si="322"/>
        <v/>
      </c>
      <c r="X3871" t="str" cm="1">
        <f t="array" ref="X3871">IF(S3871="","",IF($I3871&lt;&gt;"",$I3871,INDEX($I$2:$I3870,ROW()-COUNTIFS($T$2:$T3870,"="&amp;$T3871,$S$2:$S3870,"&lt;&gt;"&amp;$S3871)-1)))</f>
        <v/>
      </c>
      <c r="Y3871" t="b">
        <f>IF(X3871&lt;&gt;"",VLOOKUP(X3871,game_rosters!$C$43:$E$64,3,FALSE))</f>
        <v>0</v>
      </c>
      <c r="Z3871" t="e" cm="1" vm="1">
        <f t="array" aca="1" ref="Z3871" ca="1">IFERROR(IF(_xlfn._xlws.FILTER(game_rosters!$J:$J,(game_rosters!$G:$G=events!$AN3871)*(game_rosters!$J:$J=events!$X3871))&gt;0,1,""),"")</f>
        <v>#VALUE!</v>
      </c>
      <c r="AA3871">
        <f t="shared" si="323"/>
        <v>1000</v>
      </c>
      <c r="AB3871" t="str">
        <f t="shared" si="324"/>
        <v/>
      </c>
      <c r="AC3871">
        <f t="shared" si="321"/>
        <v>1000</v>
      </c>
      <c r="AD3871" s="6"/>
    </row>
    <row r="3872" spans="1:30" x14ac:dyDescent="0.2">
      <c r="A3872" t="str">
        <f t="shared" si="322"/>
        <v/>
      </c>
      <c r="X3872" t="str" cm="1">
        <f t="array" ref="X3872">IF(S3872="","",IF($I3872&lt;&gt;"",$I3872,INDEX($I$2:$I3871,ROW()-COUNTIFS($T$2:$T3871,"="&amp;$T3872,$S$2:$S3871,"&lt;&gt;"&amp;$S3872)-1)))</f>
        <v/>
      </c>
      <c r="Y3872" t="b">
        <f>IF(X3872&lt;&gt;"",VLOOKUP(X3872,game_rosters!$C$43:$E$64,3,FALSE))</f>
        <v>0</v>
      </c>
      <c r="Z3872" t="e" cm="1" vm="1">
        <f t="array" aca="1" ref="Z3872" ca="1">IFERROR(IF(_xlfn._xlws.FILTER(game_rosters!$J:$J,(game_rosters!$G:$G=events!$AN3872)*(game_rosters!$J:$J=events!$X3872))&gt;0,1,""),"")</f>
        <v>#VALUE!</v>
      </c>
      <c r="AA3872">
        <f t="shared" si="323"/>
        <v>1000</v>
      </c>
      <c r="AB3872" t="str">
        <f t="shared" si="324"/>
        <v/>
      </c>
      <c r="AC3872">
        <f t="shared" si="321"/>
        <v>1000</v>
      </c>
      <c r="AD3872" s="6"/>
    </row>
    <row r="3873" spans="1:30" x14ac:dyDescent="0.2">
      <c r="A3873" t="str">
        <f t="shared" si="322"/>
        <v/>
      </c>
      <c r="X3873" t="str" cm="1">
        <f t="array" ref="X3873">IF(S3873="","",IF($I3873&lt;&gt;"",$I3873,INDEX($I$2:$I3872,ROW()-COUNTIFS($T$2:$T3872,"="&amp;$T3873,$S$2:$S3872,"&lt;&gt;"&amp;$S3873)-1)))</f>
        <v/>
      </c>
      <c r="Y3873" t="b">
        <f>IF(X3873&lt;&gt;"",VLOOKUP(X3873,game_rosters!$C$43:$E$64,3,FALSE))</f>
        <v>0</v>
      </c>
      <c r="Z3873" t="e" cm="1" vm="1">
        <f t="array" aca="1" ref="Z3873" ca="1">IFERROR(IF(_xlfn._xlws.FILTER(game_rosters!$J:$J,(game_rosters!$G:$G=events!$AN3873)*(game_rosters!$J:$J=events!$X3873))&gt;0,1,""),"")</f>
        <v>#VALUE!</v>
      </c>
      <c r="AA3873">
        <f t="shared" si="323"/>
        <v>1000</v>
      </c>
      <c r="AB3873" t="str">
        <f t="shared" si="324"/>
        <v/>
      </c>
      <c r="AC3873">
        <f t="shared" si="321"/>
        <v>1000</v>
      </c>
      <c r="AD3873" s="6"/>
    </row>
    <row r="3874" spans="1:30" x14ac:dyDescent="0.2">
      <c r="A3874" t="str">
        <f t="shared" si="322"/>
        <v/>
      </c>
      <c r="X3874" t="str" cm="1">
        <f t="array" ref="X3874">IF(S3874="","",IF($I3874&lt;&gt;"",$I3874,INDEX($I$2:$I3873,ROW()-COUNTIFS($T$2:$T3873,"="&amp;$T3874,$S$2:$S3873,"&lt;&gt;"&amp;$S3874)-1)))</f>
        <v/>
      </c>
      <c r="Y3874" t="b">
        <f>IF(X3874&lt;&gt;"",VLOOKUP(X3874,game_rosters!$C$43:$E$64,3,FALSE))</f>
        <v>0</v>
      </c>
      <c r="Z3874" t="e" cm="1" vm="1">
        <f t="array" aca="1" ref="Z3874" ca="1">IFERROR(IF(_xlfn._xlws.FILTER(game_rosters!$J:$J,(game_rosters!$G:$G=events!$AN3874)*(game_rosters!$J:$J=events!$X3874))&gt;0,1,""),"")</f>
        <v>#VALUE!</v>
      </c>
      <c r="AA3874">
        <f t="shared" si="323"/>
        <v>1000</v>
      </c>
      <c r="AB3874" t="str">
        <f t="shared" si="324"/>
        <v/>
      </c>
      <c r="AC3874">
        <f t="shared" si="321"/>
        <v>1000</v>
      </c>
      <c r="AD3874" s="6"/>
    </row>
    <row r="3875" spans="1:30" x14ac:dyDescent="0.2">
      <c r="A3875" t="str">
        <f t="shared" si="322"/>
        <v/>
      </c>
      <c r="X3875" t="str" cm="1">
        <f t="array" ref="X3875">IF(S3875="","",IF($I3875&lt;&gt;"",$I3875,INDEX($I$2:$I3874,ROW()-COUNTIFS($T$2:$T3874,"="&amp;$T3875,$S$2:$S3874,"&lt;&gt;"&amp;$S3875)-1)))</f>
        <v/>
      </c>
      <c r="Y3875" t="b">
        <f>IF(X3875&lt;&gt;"",VLOOKUP(X3875,game_rosters!$C$43:$E$64,3,FALSE))</f>
        <v>0</v>
      </c>
      <c r="Z3875" t="e" cm="1" vm="1">
        <f t="array" aca="1" ref="Z3875" ca="1">IFERROR(IF(_xlfn._xlws.FILTER(game_rosters!$J:$J,(game_rosters!$G:$G=events!$AN3875)*(game_rosters!$J:$J=events!$X3875))&gt;0,1,""),"")</f>
        <v>#VALUE!</v>
      </c>
      <c r="AA3875">
        <f t="shared" si="323"/>
        <v>1000</v>
      </c>
      <c r="AB3875" t="str">
        <f t="shared" si="324"/>
        <v/>
      </c>
      <c r="AC3875">
        <f t="shared" si="321"/>
        <v>1000</v>
      </c>
      <c r="AD3875" s="6"/>
    </row>
    <row r="3876" spans="1:30" x14ac:dyDescent="0.2">
      <c r="A3876" t="str">
        <f t="shared" si="322"/>
        <v/>
      </c>
      <c r="X3876" t="str" cm="1">
        <f t="array" ref="X3876">IF(S3876="","",IF($I3876&lt;&gt;"",$I3876,INDEX($I$2:$I3875,ROW()-COUNTIFS($T$2:$T3875,"="&amp;$T3876,$S$2:$S3875,"&lt;&gt;"&amp;$S3876)-1)))</f>
        <v/>
      </c>
      <c r="Y3876" t="b">
        <f>IF(X3876&lt;&gt;"",VLOOKUP(X3876,game_rosters!$C$43:$E$64,3,FALSE))</f>
        <v>0</v>
      </c>
      <c r="Z3876" t="e" cm="1" vm="1">
        <f t="array" aca="1" ref="Z3876" ca="1">IFERROR(IF(_xlfn._xlws.FILTER(game_rosters!$J:$J,(game_rosters!$G:$G=events!$AN3876)*(game_rosters!$J:$J=events!$X3876))&gt;0,1,""),"")</f>
        <v>#VALUE!</v>
      </c>
      <c r="AA3876">
        <f t="shared" si="323"/>
        <v>1000</v>
      </c>
      <c r="AB3876" t="str">
        <f t="shared" si="324"/>
        <v/>
      </c>
      <c r="AC3876">
        <f t="shared" si="321"/>
        <v>1000</v>
      </c>
      <c r="AD3876" s="6"/>
    </row>
    <row r="3877" spans="1:30" x14ac:dyDescent="0.2">
      <c r="A3877" t="str">
        <f t="shared" si="322"/>
        <v/>
      </c>
      <c r="X3877" t="str" cm="1">
        <f t="array" ref="X3877">IF(S3877="","",IF($I3877&lt;&gt;"",$I3877,INDEX($I$2:$I3876,ROW()-COUNTIFS($T$2:$T3876,"="&amp;$T3877,$S$2:$S3876,"&lt;&gt;"&amp;$S3877)-1)))</f>
        <v/>
      </c>
      <c r="Y3877" t="b">
        <f>IF(X3877&lt;&gt;"",VLOOKUP(X3877,game_rosters!$C$43:$E$64,3,FALSE))</f>
        <v>0</v>
      </c>
      <c r="Z3877" t="e" cm="1" vm="1">
        <f t="array" aca="1" ref="Z3877" ca="1">IFERROR(IF(_xlfn._xlws.FILTER(game_rosters!$J:$J,(game_rosters!$G:$G=events!$AN3877)*(game_rosters!$J:$J=events!$X3877))&gt;0,1,""),"")</f>
        <v>#VALUE!</v>
      </c>
      <c r="AA3877">
        <f t="shared" si="323"/>
        <v>1000</v>
      </c>
      <c r="AB3877" t="str">
        <f t="shared" si="324"/>
        <v/>
      </c>
      <c r="AC3877">
        <f t="shared" si="321"/>
        <v>1000</v>
      </c>
      <c r="AD3877" s="6"/>
    </row>
    <row r="3878" spans="1:30" x14ac:dyDescent="0.2">
      <c r="A3878" t="str">
        <f t="shared" si="322"/>
        <v/>
      </c>
      <c r="X3878" t="str" cm="1">
        <f t="array" ref="X3878">IF(S3878="","",IF($I3878&lt;&gt;"",$I3878,INDEX($I$2:$I3877,ROW()-COUNTIFS($T$2:$T3877,"="&amp;$T3878,$S$2:$S3877,"&lt;&gt;"&amp;$S3878)-1)))</f>
        <v/>
      </c>
      <c r="Y3878" t="b">
        <f>IF(X3878&lt;&gt;"",VLOOKUP(X3878,game_rosters!$C$43:$E$64,3,FALSE))</f>
        <v>0</v>
      </c>
      <c r="Z3878" t="e" cm="1" vm="1">
        <f t="array" aca="1" ref="Z3878" ca="1">IFERROR(IF(_xlfn._xlws.FILTER(game_rosters!$J:$J,(game_rosters!$G:$G=events!$AN3878)*(game_rosters!$J:$J=events!$X3878))&gt;0,1,""),"")</f>
        <v>#VALUE!</v>
      </c>
      <c r="AA3878">
        <f t="shared" si="323"/>
        <v>1000</v>
      </c>
      <c r="AB3878" t="str">
        <f t="shared" si="324"/>
        <v/>
      </c>
      <c r="AC3878">
        <f t="shared" si="321"/>
        <v>1000</v>
      </c>
      <c r="AD3878" s="6"/>
    </row>
    <row r="3879" spans="1:30" x14ac:dyDescent="0.2">
      <c r="A3879" t="str">
        <f t="shared" si="322"/>
        <v/>
      </c>
      <c r="X3879" t="str" cm="1">
        <f t="array" ref="X3879">IF(S3879="","",IF($I3879&lt;&gt;"",$I3879,INDEX($I$2:$I3878,ROW()-COUNTIFS($T$2:$T3878,"="&amp;$T3879,$S$2:$S3878,"&lt;&gt;"&amp;$S3879)-1)))</f>
        <v/>
      </c>
      <c r="Y3879" t="b">
        <f>IF(X3879&lt;&gt;"",VLOOKUP(X3879,game_rosters!$C$43:$E$64,3,FALSE))</f>
        <v>0</v>
      </c>
      <c r="Z3879" t="e" cm="1" vm="1">
        <f t="array" aca="1" ref="Z3879" ca="1">IFERROR(IF(_xlfn._xlws.FILTER(game_rosters!$J:$J,(game_rosters!$G:$G=events!$AN3879)*(game_rosters!$J:$J=events!$X3879))&gt;0,1,""),"")</f>
        <v>#VALUE!</v>
      </c>
      <c r="AA3879">
        <f t="shared" si="323"/>
        <v>1000</v>
      </c>
      <c r="AB3879" t="str">
        <f t="shared" si="324"/>
        <v/>
      </c>
      <c r="AC3879">
        <f t="shared" si="321"/>
        <v>1000</v>
      </c>
      <c r="AD3879" s="6"/>
    </row>
    <row r="3880" spans="1:30" x14ac:dyDescent="0.2">
      <c r="A3880" t="str">
        <f t="shared" si="322"/>
        <v/>
      </c>
      <c r="X3880" t="str" cm="1">
        <f t="array" ref="X3880">IF(S3880="","",IF($I3880&lt;&gt;"",$I3880,INDEX($I$2:$I3879,ROW()-COUNTIFS($T$2:$T3879,"="&amp;$T3880,$S$2:$S3879,"&lt;&gt;"&amp;$S3880)-1)))</f>
        <v/>
      </c>
      <c r="Y3880" t="b">
        <f>IF(X3880&lt;&gt;"",VLOOKUP(X3880,game_rosters!$C$43:$E$64,3,FALSE))</f>
        <v>0</v>
      </c>
      <c r="Z3880" t="e" cm="1" vm="1">
        <f t="array" aca="1" ref="Z3880" ca="1">IFERROR(IF(_xlfn._xlws.FILTER(game_rosters!$J:$J,(game_rosters!$G:$G=events!$AN3880)*(game_rosters!$J:$J=events!$X3880))&gt;0,1,""),"")</f>
        <v>#VALUE!</v>
      </c>
      <c r="AA3880">
        <f t="shared" si="323"/>
        <v>1000</v>
      </c>
      <c r="AB3880" t="str">
        <f t="shared" si="324"/>
        <v/>
      </c>
      <c r="AC3880">
        <f t="shared" si="321"/>
        <v>1000</v>
      </c>
      <c r="AD3880" s="6"/>
    </row>
    <row r="3881" spans="1:30" x14ac:dyDescent="0.2">
      <c r="A3881" t="str">
        <f t="shared" si="322"/>
        <v/>
      </c>
      <c r="X3881" t="str" cm="1">
        <f t="array" ref="X3881">IF(S3881="","",IF($I3881&lt;&gt;"",$I3881,INDEX($I$2:$I3880,ROW()-COUNTIFS($T$2:$T3880,"="&amp;$T3881,$S$2:$S3880,"&lt;&gt;"&amp;$S3881)-1)))</f>
        <v/>
      </c>
      <c r="Y3881" t="b">
        <f>IF(X3881&lt;&gt;"",VLOOKUP(X3881,game_rosters!$C$43:$E$64,3,FALSE))</f>
        <v>0</v>
      </c>
      <c r="Z3881" t="e" cm="1" vm="1">
        <f t="array" aca="1" ref="Z3881" ca="1">IFERROR(IF(_xlfn._xlws.FILTER(game_rosters!$J:$J,(game_rosters!$G:$G=events!$AN3881)*(game_rosters!$J:$J=events!$X3881))&gt;0,1,""),"")</f>
        <v>#VALUE!</v>
      </c>
      <c r="AA3881">
        <f t="shared" si="323"/>
        <v>1000</v>
      </c>
      <c r="AB3881" t="str">
        <f t="shared" si="324"/>
        <v/>
      </c>
      <c r="AC3881">
        <f t="shared" si="321"/>
        <v>1000</v>
      </c>
      <c r="AD3881" s="6"/>
    </row>
    <row r="3882" spans="1:30" x14ac:dyDescent="0.2">
      <c r="A3882" t="str">
        <f t="shared" si="322"/>
        <v/>
      </c>
      <c r="X3882" t="str" cm="1">
        <f t="array" ref="X3882">IF(S3882="","",IF($I3882&lt;&gt;"",$I3882,INDEX($I$2:$I3881,ROW()-COUNTIFS($T$2:$T3881,"="&amp;$T3882,$S$2:$S3881,"&lt;&gt;"&amp;$S3882)-1)))</f>
        <v/>
      </c>
      <c r="Y3882" t="b">
        <f>IF(X3882&lt;&gt;"",VLOOKUP(X3882,game_rosters!$C$43:$E$64,3,FALSE))</f>
        <v>0</v>
      </c>
      <c r="Z3882" t="e" cm="1" vm="1">
        <f t="array" aca="1" ref="Z3882" ca="1">IFERROR(IF(_xlfn._xlws.FILTER(game_rosters!$J:$J,(game_rosters!$G:$G=events!$AN3882)*(game_rosters!$J:$J=events!$X3882))&gt;0,1,""),"")</f>
        <v>#VALUE!</v>
      </c>
      <c r="AA3882">
        <f t="shared" si="323"/>
        <v>1000</v>
      </c>
      <c r="AB3882" t="str">
        <f t="shared" si="324"/>
        <v/>
      </c>
      <c r="AC3882">
        <f t="shared" si="321"/>
        <v>1000</v>
      </c>
      <c r="AD3882" s="6"/>
    </row>
    <row r="3883" spans="1:30" x14ac:dyDescent="0.2">
      <c r="A3883" t="str">
        <f t="shared" si="322"/>
        <v/>
      </c>
      <c r="X3883" t="str" cm="1">
        <f t="array" ref="X3883">IF(S3883="","",IF($I3883&lt;&gt;"",$I3883,INDEX($I$2:$I3882,ROW()-COUNTIFS($T$2:$T3882,"="&amp;$T3883,$S$2:$S3882,"&lt;&gt;"&amp;$S3883)-1)))</f>
        <v/>
      </c>
      <c r="Y3883" t="b">
        <f>IF(X3883&lt;&gt;"",VLOOKUP(X3883,game_rosters!$C$43:$E$64,3,FALSE))</f>
        <v>0</v>
      </c>
      <c r="Z3883" t="e" cm="1" vm="1">
        <f t="array" aca="1" ref="Z3883" ca="1">IFERROR(IF(_xlfn._xlws.FILTER(game_rosters!$J:$J,(game_rosters!$G:$G=events!$AN3883)*(game_rosters!$J:$J=events!$X3883))&gt;0,1,""),"")</f>
        <v>#VALUE!</v>
      </c>
      <c r="AA3883">
        <f t="shared" si="323"/>
        <v>1000</v>
      </c>
      <c r="AB3883" t="str">
        <f t="shared" si="324"/>
        <v/>
      </c>
      <c r="AC3883">
        <f t="shared" si="321"/>
        <v>1000</v>
      </c>
      <c r="AD3883" s="6"/>
    </row>
    <row r="3884" spans="1:30" x14ac:dyDescent="0.2">
      <c r="A3884" t="str">
        <f t="shared" si="322"/>
        <v/>
      </c>
      <c r="X3884" t="str" cm="1">
        <f t="array" ref="X3884">IF(S3884="","",IF($I3884&lt;&gt;"",$I3884,INDEX($I$2:$I3883,ROW()-COUNTIFS($T$2:$T3883,"="&amp;$T3884,$S$2:$S3883,"&lt;&gt;"&amp;$S3884)-1)))</f>
        <v/>
      </c>
      <c r="Y3884" t="b">
        <f>IF(X3884&lt;&gt;"",VLOOKUP(X3884,game_rosters!$C$43:$E$64,3,FALSE))</f>
        <v>0</v>
      </c>
      <c r="Z3884" t="e" cm="1" vm="1">
        <f t="array" aca="1" ref="Z3884" ca="1">IFERROR(IF(_xlfn._xlws.FILTER(game_rosters!$J:$J,(game_rosters!$G:$G=events!$AN3884)*(game_rosters!$J:$J=events!$X3884))&gt;0,1,""),"")</f>
        <v>#VALUE!</v>
      </c>
      <c r="AA3884">
        <f t="shared" si="323"/>
        <v>1000</v>
      </c>
      <c r="AB3884" t="str">
        <f t="shared" si="324"/>
        <v/>
      </c>
      <c r="AC3884">
        <f t="shared" si="321"/>
        <v>1000</v>
      </c>
      <c r="AD3884" s="6"/>
    </row>
    <row r="3885" spans="1:30" x14ac:dyDescent="0.2">
      <c r="A3885" t="str">
        <f t="shared" si="322"/>
        <v/>
      </c>
      <c r="X3885" t="str" cm="1">
        <f t="array" ref="X3885">IF(S3885="","",IF($I3885&lt;&gt;"",$I3885,INDEX($I$2:$I3884,ROW()-COUNTIFS($T$2:$T3884,"="&amp;$T3885,$S$2:$S3884,"&lt;&gt;"&amp;$S3885)-1)))</f>
        <v/>
      </c>
      <c r="Y3885" t="b">
        <f>IF(X3885&lt;&gt;"",VLOOKUP(X3885,game_rosters!$C$43:$E$64,3,FALSE))</f>
        <v>0</v>
      </c>
      <c r="Z3885" t="e" cm="1" vm="1">
        <f t="array" aca="1" ref="Z3885" ca="1">IFERROR(IF(_xlfn._xlws.FILTER(game_rosters!$J:$J,(game_rosters!$G:$G=events!$AN3885)*(game_rosters!$J:$J=events!$X3885))&gt;0,1,""),"")</f>
        <v>#VALUE!</v>
      </c>
      <c r="AA3885">
        <f t="shared" si="323"/>
        <v>1000</v>
      </c>
      <c r="AB3885" t="str">
        <f t="shared" si="324"/>
        <v/>
      </c>
      <c r="AC3885">
        <f t="shared" si="321"/>
        <v>1000</v>
      </c>
      <c r="AD3885" s="6"/>
    </row>
    <row r="3886" spans="1:30" x14ac:dyDescent="0.2">
      <c r="A3886" t="str">
        <f t="shared" si="322"/>
        <v/>
      </c>
      <c r="X3886" t="str" cm="1">
        <f t="array" ref="X3886">IF(S3886="","",IF($I3886&lt;&gt;"",$I3886,INDEX($I$2:$I3885,ROW()-COUNTIFS($T$2:$T3885,"="&amp;$T3886,$S$2:$S3885,"&lt;&gt;"&amp;$S3886)-1)))</f>
        <v/>
      </c>
      <c r="Y3886" t="b">
        <f>IF(X3886&lt;&gt;"",VLOOKUP(X3886,game_rosters!$C$43:$E$64,3,FALSE))</f>
        <v>0</v>
      </c>
      <c r="Z3886" t="e" cm="1" vm="1">
        <f t="array" aca="1" ref="Z3886" ca="1">IFERROR(IF(_xlfn._xlws.FILTER(game_rosters!$J:$J,(game_rosters!$G:$G=events!$AN3886)*(game_rosters!$J:$J=events!$X3886))&gt;0,1,""),"")</f>
        <v>#VALUE!</v>
      </c>
      <c r="AA3886">
        <f t="shared" si="323"/>
        <v>1000</v>
      </c>
      <c r="AB3886" t="str">
        <f t="shared" si="324"/>
        <v/>
      </c>
      <c r="AC3886">
        <f t="shared" si="321"/>
        <v>1000</v>
      </c>
      <c r="AD3886" s="6"/>
    </row>
    <row r="3887" spans="1:30" x14ac:dyDescent="0.2">
      <c r="A3887" t="str">
        <f t="shared" si="322"/>
        <v/>
      </c>
      <c r="X3887" t="str" cm="1">
        <f t="array" ref="X3887">IF(S3887="","",IF($I3887&lt;&gt;"",$I3887,INDEX($I$2:$I3886,ROW()-COUNTIFS($T$2:$T3886,"="&amp;$T3887,$S$2:$S3886,"&lt;&gt;"&amp;$S3887)-1)))</f>
        <v/>
      </c>
      <c r="Y3887" t="b">
        <f>IF(X3887&lt;&gt;"",VLOOKUP(X3887,game_rosters!$C$43:$E$64,3,FALSE))</f>
        <v>0</v>
      </c>
      <c r="Z3887" t="e" cm="1" vm="1">
        <f t="array" aca="1" ref="Z3887" ca="1">IFERROR(IF(_xlfn._xlws.FILTER(game_rosters!$J:$J,(game_rosters!$G:$G=events!$AN3887)*(game_rosters!$J:$J=events!$X3887))&gt;0,1,""),"")</f>
        <v>#VALUE!</v>
      </c>
      <c r="AA3887">
        <f t="shared" si="323"/>
        <v>1000</v>
      </c>
      <c r="AB3887" t="str">
        <f t="shared" si="324"/>
        <v/>
      </c>
      <c r="AC3887">
        <f t="shared" si="321"/>
        <v>1000</v>
      </c>
      <c r="AD3887" s="6"/>
    </row>
    <row r="3888" spans="1:30" x14ac:dyDescent="0.2">
      <c r="A3888" t="str">
        <f t="shared" si="322"/>
        <v/>
      </c>
      <c r="X3888" t="str" cm="1">
        <f t="array" ref="X3888">IF(S3888="","",IF($I3888&lt;&gt;"",$I3888,INDEX($I$2:$I3887,ROW()-COUNTIFS($T$2:$T3887,"="&amp;$T3888,$S$2:$S3887,"&lt;&gt;"&amp;$S3888)-1)))</f>
        <v/>
      </c>
      <c r="Y3888" t="b">
        <f>IF(X3888&lt;&gt;"",VLOOKUP(X3888,game_rosters!$C$43:$E$64,3,FALSE))</f>
        <v>0</v>
      </c>
      <c r="Z3888" t="e" cm="1" vm="1">
        <f t="array" aca="1" ref="Z3888" ca="1">IFERROR(IF(_xlfn._xlws.FILTER(game_rosters!$J:$J,(game_rosters!$G:$G=events!$AN3888)*(game_rosters!$J:$J=events!$X3888))&gt;0,1,""),"")</f>
        <v>#VALUE!</v>
      </c>
      <c r="AA3888">
        <f t="shared" si="323"/>
        <v>1000</v>
      </c>
      <c r="AB3888" t="str">
        <f t="shared" si="324"/>
        <v/>
      </c>
      <c r="AC3888">
        <f t="shared" si="321"/>
        <v>1000</v>
      </c>
      <c r="AD3888" s="6"/>
    </row>
    <row r="3889" spans="1:30" x14ac:dyDescent="0.2">
      <c r="A3889" t="str">
        <f t="shared" si="322"/>
        <v/>
      </c>
      <c r="X3889" t="str" cm="1">
        <f t="array" ref="X3889">IF(S3889="","",IF($I3889&lt;&gt;"",$I3889,INDEX($I$2:$I3888,ROW()-COUNTIFS($T$2:$T3888,"="&amp;$T3889,$S$2:$S3888,"&lt;&gt;"&amp;$S3889)-1)))</f>
        <v/>
      </c>
      <c r="Y3889" t="b">
        <f>IF(X3889&lt;&gt;"",VLOOKUP(X3889,game_rosters!$C$43:$E$64,3,FALSE))</f>
        <v>0</v>
      </c>
      <c r="Z3889" t="e" cm="1" vm="1">
        <f t="array" aca="1" ref="Z3889" ca="1">IFERROR(IF(_xlfn._xlws.FILTER(game_rosters!$J:$J,(game_rosters!$G:$G=events!$AN3889)*(game_rosters!$J:$J=events!$X3889))&gt;0,1,""),"")</f>
        <v>#VALUE!</v>
      </c>
      <c r="AA3889">
        <f t="shared" si="323"/>
        <v>1000</v>
      </c>
      <c r="AB3889" t="str">
        <f t="shared" si="324"/>
        <v/>
      </c>
      <c r="AC3889">
        <f t="shared" si="321"/>
        <v>1000</v>
      </c>
      <c r="AD3889" s="6"/>
    </row>
    <row r="3890" spans="1:30" x14ac:dyDescent="0.2">
      <c r="A3890" t="str">
        <f t="shared" si="322"/>
        <v/>
      </c>
      <c r="X3890" t="str" cm="1">
        <f t="array" ref="X3890">IF(S3890="","",IF($I3890&lt;&gt;"",$I3890,INDEX($I$2:$I3889,ROW()-COUNTIFS($T$2:$T3889,"="&amp;$T3890,$S$2:$S3889,"&lt;&gt;"&amp;$S3890)-1)))</f>
        <v/>
      </c>
      <c r="Y3890" t="b">
        <f>IF(X3890&lt;&gt;"",VLOOKUP(X3890,game_rosters!$C$43:$E$64,3,FALSE))</f>
        <v>0</v>
      </c>
      <c r="Z3890" t="e" cm="1" vm="1">
        <f t="array" aca="1" ref="Z3890" ca="1">IFERROR(IF(_xlfn._xlws.FILTER(game_rosters!$J:$J,(game_rosters!$G:$G=events!$AN3890)*(game_rosters!$J:$J=events!$X3890))&gt;0,1,""),"")</f>
        <v>#VALUE!</v>
      </c>
      <c r="AA3890">
        <f t="shared" si="323"/>
        <v>1000</v>
      </c>
      <c r="AB3890" t="str">
        <f t="shared" si="324"/>
        <v/>
      </c>
      <c r="AC3890">
        <f t="shared" si="321"/>
        <v>1000</v>
      </c>
      <c r="AD3890" s="6"/>
    </row>
    <row r="3891" spans="1:30" x14ac:dyDescent="0.2">
      <c r="A3891" t="str">
        <f t="shared" si="322"/>
        <v/>
      </c>
      <c r="X3891" t="str" cm="1">
        <f t="array" ref="X3891">IF(S3891="","",IF($I3891&lt;&gt;"",$I3891,INDEX($I$2:$I3890,ROW()-COUNTIFS($T$2:$T3890,"="&amp;$T3891,$S$2:$S3890,"&lt;&gt;"&amp;$S3891)-1)))</f>
        <v/>
      </c>
      <c r="Y3891" t="b">
        <f>IF(X3891&lt;&gt;"",VLOOKUP(X3891,game_rosters!$C$43:$E$64,3,FALSE))</f>
        <v>0</v>
      </c>
      <c r="Z3891" t="e" cm="1" vm="1">
        <f t="array" aca="1" ref="Z3891" ca="1">IFERROR(IF(_xlfn._xlws.FILTER(game_rosters!$J:$J,(game_rosters!$G:$G=events!$AN3891)*(game_rosters!$J:$J=events!$X3891))&gt;0,1,""),"")</f>
        <v>#VALUE!</v>
      </c>
      <c r="AA3891">
        <f t="shared" si="323"/>
        <v>1000</v>
      </c>
      <c r="AB3891" t="str">
        <f t="shared" si="324"/>
        <v/>
      </c>
      <c r="AC3891">
        <f t="shared" si="321"/>
        <v>1000</v>
      </c>
      <c r="AD3891" s="6"/>
    </row>
    <row r="3892" spans="1:30" x14ac:dyDescent="0.2">
      <c r="A3892" t="str">
        <f t="shared" si="322"/>
        <v/>
      </c>
      <c r="X3892" t="str" cm="1">
        <f t="array" ref="X3892">IF(S3892="","",IF($I3892&lt;&gt;"",$I3892,INDEX($I$2:$I3891,ROW()-COUNTIFS($T$2:$T3891,"="&amp;$T3892,$S$2:$S3891,"&lt;&gt;"&amp;$S3892)-1)))</f>
        <v/>
      </c>
      <c r="Y3892" t="b">
        <f>IF(X3892&lt;&gt;"",VLOOKUP(X3892,game_rosters!$C$43:$E$64,3,FALSE))</f>
        <v>0</v>
      </c>
      <c r="Z3892" t="e" cm="1" vm="1">
        <f t="array" aca="1" ref="Z3892" ca="1">IFERROR(IF(_xlfn._xlws.FILTER(game_rosters!$J:$J,(game_rosters!$G:$G=events!$AN3892)*(game_rosters!$J:$J=events!$X3892))&gt;0,1,""),"")</f>
        <v>#VALUE!</v>
      </c>
      <c r="AA3892">
        <f t="shared" si="323"/>
        <v>1000</v>
      </c>
      <c r="AB3892" t="str">
        <f t="shared" si="324"/>
        <v/>
      </c>
      <c r="AC3892">
        <f t="shared" si="321"/>
        <v>1000</v>
      </c>
      <c r="AD3892" s="6"/>
    </row>
    <row r="3893" spans="1:30" x14ac:dyDescent="0.2">
      <c r="A3893" t="str">
        <f t="shared" si="322"/>
        <v/>
      </c>
      <c r="X3893" t="str" cm="1">
        <f t="array" ref="X3893">IF(S3893="","",IF($I3893&lt;&gt;"",$I3893,INDEX($I$2:$I3892,ROW()-COUNTIFS($T$2:$T3892,"="&amp;$T3893,$S$2:$S3892,"&lt;&gt;"&amp;$S3893)-1)))</f>
        <v/>
      </c>
      <c r="Y3893" t="b">
        <f>IF(X3893&lt;&gt;"",VLOOKUP(X3893,game_rosters!$C$43:$E$64,3,FALSE))</f>
        <v>0</v>
      </c>
      <c r="Z3893" t="e" cm="1" vm="1">
        <f t="array" aca="1" ref="Z3893" ca="1">IFERROR(IF(_xlfn._xlws.FILTER(game_rosters!$J:$J,(game_rosters!$G:$G=events!$AN3893)*(game_rosters!$J:$J=events!$X3893))&gt;0,1,""),"")</f>
        <v>#VALUE!</v>
      </c>
      <c r="AA3893">
        <f t="shared" si="323"/>
        <v>1000</v>
      </c>
      <c r="AB3893" t="str">
        <f t="shared" si="324"/>
        <v/>
      </c>
      <c r="AC3893">
        <f t="shared" si="321"/>
        <v>1000</v>
      </c>
      <c r="AD3893" s="6"/>
    </row>
    <row r="3894" spans="1:30" x14ac:dyDescent="0.2">
      <c r="A3894" t="str">
        <f t="shared" si="322"/>
        <v/>
      </c>
      <c r="X3894" t="str" cm="1">
        <f t="array" ref="X3894">IF(S3894="","",IF($I3894&lt;&gt;"",$I3894,INDEX($I$2:$I3893,ROW()-COUNTIFS($T$2:$T3893,"="&amp;$T3894,$S$2:$S3893,"&lt;&gt;"&amp;$S3894)-1)))</f>
        <v/>
      </c>
      <c r="Y3894" t="b">
        <f>IF(X3894&lt;&gt;"",VLOOKUP(X3894,game_rosters!$C$43:$E$64,3,FALSE))</f>
        <v>0</v>
      </c>
      <c r="Z3894" t="e" cm="1" vm="1">
        <f t="array" aca="1" ref="Z3894" ca="1">IFERROR(IF(_xlfn._xlws.FILTER(game_rosters!$J:$J,(game_rosters!$G:$G=events!$AN3894)*(game_rosters!$J:$J=events!$X3894))&gt;0,1,""),"")</f>
        <v>#VALUE!</v>
      </c>
      <c r="AA3894">
        <f t="shared" si="323"/>
        <v>1000</v>
      </c>
      <c r="AB3894" t="str">
        <f t="shared" si="324"/>
        <v/>
      </c>
      <c r="AC3894">
        <f t="shared" si="321"/>
        <v>1000</v>
      </c>
      <c r="AD3894" s="6"/>
    </row>
    <row r="3895" spans="1:30" x14ac:dyDescent="0.2">
      <c r="A3895" t="str">
        <f t="shared" si="322"/>
        <v/>
      </c>
      <c r="X3895" t="str" cm="1">
        <f t="array" ref="X3895">IF(S3895="","",IF($I3895&lt;&gt;"",$I3895,INDEX($I$2:$I3894,ROW()-COUNTIFS($T$2:$T3894,"="&amp;$T3895,$S$2:$S3894,"&lt;&gt;"&amp;$S3895)-1)))</f>
        <v/>
      </c>
      <c r="Y3895" t="b">
        <f>IF(X3895&lt;&gt;"",VLOOKUP(X3895,game_rosters!$C$43:$E$64,3,FALSE))</f>
        <v>0</v>
      </c>
      <c r="Z3895" t="e" cm="1" vm="1">
        <f t="array" aca="1" ref="Z3895" ca="1">IFERROR(IF(_xlfn._xlws.FILTER(game_rosters!$J:$J,(game_rosters!$G:$G=events!$AN3895)*(game_rosters!$J:$J=events!$X3895))&gt;0,1,""),"")</f>
        <v>#VALUE!</v>
      </c>
      <c r="AA3895">
        <f t="shared" si="323"/>
        <v>1000</v>
      </c>
      <c r="AB3895" t="str">
        <f t="shared" si="324"/>
        <v/>
      </c>
      <c r="AC3895">
        <f t="shared" si="321"/>
        <v>1000</v>
      </c>
      <c r="AD3895" s="6"/>
    </row>
    <row r="3896" spans="1:30" x14ac:dyDescent="0.2">
      <c r="A3896" t="str">
        <f t="shared" si="322"/>
        <v/>
      </c>
      <c r="X3896" t="str" cm="1">
        <f t="array" ref="X3896">IF(S3896="","",IF($I3896&lt;&gt;"",$I3896,INDEX($I$2:$I3895,ROW()-COUNTIFS($T$2:$T3895,"="&amp;$T3896,$S$2:$S3895,"&lt;&gt;"&amp;$S3896)-1)))</f>
        <v/>
      </c>
      <c r="Y3896" t="b">
        <f>IF(X3896&lt;&gt;"",VLOOKUP(X3896,game_rosters!$C$43:$E$64,3,FALSE))</f>
        <v>0</v>
      </c>
      <c r="Z3896" t="e" cm="1" vm="1">
        <f t="array" aca="1" ref="Z3896" ca="1">IFERROR(IF(_xlfn._xlws.FILTER(game_rosters!$J:$J,(game_rosters!$G:$G=events!$AN3896)*(game_rosters!$J:$J=events!$X3896))&gt;0,1,""),"")</f>
        <v>#VALUE!</v>
      </c>
      <c r="AA3896">
        <f t="shared" si="323"/>
        <v>1000</v>
      </c>
      <c r="AB3896" t="str">
        <f t="shared" si="324"/>
        <v/>
      </c>
      <c r="AC3896">
        <f t="shared" si="321"/>
        <v>1000</v>
      </c>
      <c r="AD3896" s="6"/>
    </row>
    <row r="3897" spans="1:30" x14ac:dyDescent="0.2">
      <c r="A3897" t="str">
        <f t="shared" si="322"/>
        <v/>
      </c>
      <c r="X3897" t="str" cm="1">
        <f t="array" ref="X3897">IF(S3897="","",IF($I3897&lt;&gt;"",$I3897,INDEX($I$2:$I3896,ROW()-COUNTIFS($T$2:$T3896,"="&amp;$T3897,$S$2:$S3896,"&lt;&gt;"&amp;$S3897)-1)))</f>
        <v/>
      </c>
      <c r="Y3897" t="b">
        <f>IF(X3897&lt;&gt;"",VLOOKUP(X3897,game_rosters!$C$43:$E$64,3,FALSE))</f>
        <v>0</v>
      </c>
      <c r="Z3897" t="e" cm="1" vm="1">
        <f t="array" aca="1" ref="Z3897" ca="1">IFERROR(IF(_xlfn._xlws.FILTER(game_rosters!$J:$J,(game_rosters!$G:$G=events!$AN3897)*(game_rosters!$J:$J=events!$X3897))&gt;0,1,""),"")</f>
        <v>#VALUE!</v>
      </c>
      <c r="AA3897">
        <f t="shared" si="323"/>
        <v>1000</v>
      </c>
      <c r="AB3897" t="str">
        <f t="shared" si="324"/>
        <v/>
      </c>
      <c r="AC3897">
        <f t="shared" si="321"/>
        <v>1000</v>
      </c>
      <c r="AD3897" s="6"/>
    </row>
    <row r="3898" spans="1:30" x14ac:dyDescent="0.2">
      <c r="A3898" t="str">
        <f t="shared" si="322"/>
        <v/>
      </c>
      <c r="X3898" t="str" cm="1">
        <f t="array" ref="X3898">IF(S3898="","",IF($I3898&lt;&gt;"",$I3898,INDEX($I$2:$I3897,ROW()-COUNTIFS($T$2:$T3897,"="&amp;$T3898,$S$2:$S3897,"&lt;&gt;"&amp;$S3898)-1)))</f>
        <v/>
      </c>
      <c r="Y3898" t="b">
        <f>IF(X3898&lt;&gt;"",VLOOKUP(X3898,game_rosters!$C$43:$E$64,3,FALSE))</f>
        <v>0</v>
      </c>
      <c r="Z3898" t="e" cm="1" vm="1">
        <f t="array" aca="1" ref="Z3898" ca="1">IFERROR(IF(_xlfn._xlws.FILTER(game_rosters!$J:$J,(game_rosters!$G:$G=events!$AN3898)*(game_rosters!$J:$J=events!$X3898))&gt;0,1,""),"")</f>
        <v>#VALUE!</v>
      </c>
      <c r="AA3898">
        <f t="shared" si="323"/>
        <v>1000</v>
      </c>
      <c r="AB3898" t="str">
        <f t="shared" si="324"/>
        <v/>
      </c>
      <c r="AC3898">
        <f t="shared" si="321"/>
        <v>1000</v>
      </c>
      <c r="AD3898" s="6"/>
    </row>
    <row r="3899" spans="1:30" x14ac:dyDescent="0.2">
      <c r="A3899" t="str">
        <f t="shared" si="322"/>
        <v/>
      </c>
      <c r="X3899" t="str" cm="1">
        <f t="array" ref="X3899">IF(S3899="","",IF($I3899&lt;&gt;"",$I3899,INDEX($I$2:$I3898,ROW()-COUNTIFS($T$2:$T3898,"="&amp;$T3899,$S$2:$S3898,"&lt;&gt;"&amp;$S3899)-1)))</f>
        <v/>
      </c>
      <c r="Y3899" t="b">
        <f>IF(X3899&lt;&gt;"",VLOOKUP(X3899,game_rosters!$C$43:$E$64,3,FALSE))</f>
        <v>0</v>
      </c>
      <c r="Z3899" t="e" cm="1" vm="1">
        <f t="array" aca="1" ref="Z3899" ca="1">IFERROR(IF(_xlfn._xlws.FILTER(game_rosters!$J:$J,(game_rosters!$G:$G=events!$AN3899)*(game_rosters!$J:$J=events!$X3899))&gt;0,1,""),"")</f>
        <v>#VALUE!</v>
      </c>
      <c r="AA3899">
        <f t="shared" si="323"/>
        <v>1000</v>
      </c>
      <c r="AB3899" t="str">
        <f t="shared" si="324"/>
        <v/>
      </c>
      <c r="AC3899">
        <f t="shared" si="321"/>
        <v>1000</v>
      </c>
      <c r="AD3899" s="6"/>
    </row>
    <row r="3900" spans="1:30" x14ac:dyDescent="0.2">
      <c r="A3900" t="str">
        <f t="shared" si="322"/>
        <v/>
      </c>
      <c r="X3900" t="str" cm="1">
        <f t="array" ref="X3900">IF(S3900="","",IF($I3900&lt;&gt;"",$I3900,INDEX($I$2:$I3899,ROW()-COUNTIFS($T$2:$T3899,"="&amp;$T3900,$S$2:$S3899,"&lt;&gt;"&amp;$S3900)-1)))</f>
        <v/>
      </c>
      <c r="Y3900" t="b">
        <f>IF(X3900&lt;&gt;"",VLOOKUP(X3900,game_rosters!$C$43:$E$64,3,FALSE))</f>
        <v>0</v>
      </c>
      <c r="Z3900" t="e" cm="1" vm="1">
        <f t="array" aca="1" ref="Z3900" ca="1">IFERROR(IF(_xlfn._xlws.FILTER(game_rosters!$J:$J,(game_rosters!$G:$G=events!$AN3900)*(game_rosters!$J:$J=events!$X3900))&gt;0,1,""),"")</f>
        <v>#VALUE!</v>
      </c>
      <c r="AA3900">
        <f t="shared" si="323"/>
        <v>1000</v>
      </c>
      <c r="AB3900" t="str">
        <f t="shared" si="324"/>
        <v/>
      </c>
      <c r="AC3900">
        <f t="shared" si="321"/>
        <v>1000</v>
      </c>
      <c r="AD3900" s="6"/>
    </row>
    <row r="3901" spans="1:30" x14ac:dyDescent="0.2">
      <c r="A3901" t="str">
        <f t="shared" si="322"/>
        <v/>
      </c>
      <c r="X3901" t="str" cm="1">
        <f t="array" ref="X3901">IF(S3901="","",IF($I3901&lt;&gt;"",$I3901,INDEX($I$2:$I3900,ROW()-COUNTIFS($T$2:$T3900,"="&amp;$T3901,$S$2:$S3900,"&lt;&gt;"&amp;$S3901)-1)))</f>
        <v/>
      </c>
      <c r="Y3901" t="b">
        <f>IF(X3901&lt;&gt;"",VLOOKUP(X3901,game_rosters!$C$43:$E$64,3,FALSE))</f>
        <v>0</v>
      </c>
      <c r="Z3901" t="e" cm="1" vm="1">
        <f t="array" aca="1" ref="Z3901" ca="1">IFERROR(IF(_xlfn._xlws.FILTER(game_rosters!$J:$J,(game_rosters!$G:$G=events!$AN3901)*(game_rosters!$J:$J=events!$X3901))&gt;0,1,""),"")</f>
        <v>#VALUE!</v>
      </c>
      <c r="AA3901">
        <f t="shared" si="323"/>
        <v>1000</v>
      </c>
      <c r="AB3901" t="str">
        <f t="shared" si="324"/>
        <v/>
      </c>
      <c r="AC3901">
        <f t="shared" si="321"/>
        <v>1000</v>
      </c>
      <c r="AD3901" s="6"/>
    </row>
    <row r="3902" spans="1:30" x14ac:dyDescent="0.2">
      <c r="A3902" t="str">
        <f t="shared" si="322"/>
        <v/>
      </c>
      <c r="X3902" t="str" cm="1">
        <f t="array" ref="X3902">IF(S3902="","",IF($I3902&lt;&gt;"",$I3902,INDEX($I$2:$I3901,ROW()-COUNTIFS($T$2:$T3901,"="&amp;$T3902,$S$2:$S3901,"&lt;&gt;"&amp;$S3902)-1)))</f>
        <v/>
      </c>
      <c r="Y3902" t="b">
        <f>IF(X3902&lt;&gt;"",VLOOKUP(X3902,game_rosters!$C$43:$E$64,3,FALSE))</f>
        <v>0</v>
      </c>
      <c r="Z3902" t="e" cm="1" vm="1">
        <f t="array" aca="1" ref="Z3902" ca="1">IFERROR(IF(_xlfn._xlws.FILTER(game_rosters!$J:$J,(game_rosters!$G:$G=events!$AN3902)*(game_rosters!$J:$J=events!$X3902))&gt;0,1,""),"")</f>
        <v>#VALUE!</v>
      </c>
      <c r="AA3902">
        <f t="shared" si="323"/>
        <v>1000</v>
      </c>
      <c r="AB3902" t="str">
        <f t="shared" si="324"/>
        <v/>
      </c>
      <c r="AC3902">
        <f t="shared" si="321"/>
        <v>1000</v>
      </c>
      <c r="AD3902" s="6"/>
    </row>
    <row r="3903" spans="1:30" x14ac:dyDescent="0.2">
      <c r="A3903" t="str">
        <f t="shared" si="322"/>
        <v/>
      </c>
      <c r="X3903" t="str" cm="1">
        <f t="array" ref="X3903">IF(S3903="","",IF($I3903&lt;&gt;"",$I3903,INDEX($I$2:$I3902,ROW()-COUNTIFS($T$2:$T3902,"="&amp;$T3903,$S$2:$S3902,"&lt;&gt;"&amp;$S3903)-1)))</f>
        <v/>
      </c>
      <c r="Y3903" t="b">
        <f>IF(X3903&lt;&gt;"",VLOOKUP(X3903,game_rosters!$C$43:$E$64,3,FALSE))</f>
        <v>0</v>
      </c>
      <c r="Z3903" t="e" cm="1" vm="1">
        <f t="array" aca="1" ref="Z3903" ca="1">IFERROR(IF(_xlfn._xlws.FILTER(game_rosters!$J:$J,(game_rosters!$G:$G=events!$AN3903)*(game_rosters!$J:$J=events!$X3903))&gt;0,1,""),"")</f>
        <v>#VALUE!</v>
      </c>
      <c r="AA3903">
        <f t="shared" si="323"/>
        <v>1000</v>
      </c>
      <c r="AB3903" t="str">
        <f t="shared" si="324"/>
        <v/>
      </c>
      <c r="AC3903">
        <f t="shared" si="321"/>
        <v>1000</v>
      </c>
      <c r="AD3903" s="6"/>
    </row>
    <row r="3904" spans="1:30" x14ac:dyDescent="0.2">
      <c r="A3904" t="str">
        <f t="shared" si="322"/>
        <v/>
      </c>
      <c r="X3904" t="str" cm="1">
        <f t="array" ref="X3904">IF(S3904="","",IF($I3904&lt;&gt;"",$I3904,INDEX($I$2:$I3903,ROW()-COUNTIFS($T$2:$T3903,"="&amp;$T3904,$S$2:$S3903,"&lt;&gt;"&amp;$S3904)-1)))</f>
        <v/>
      </c>
      <c r="Y3904" t="b">
        <f>IF(X3904&lt;&gt;"",VLOOKUP(X3904,game_rosters!$C$43:$E$64,3,FALSE))</f>
        <v>0</v>
      </c>
      <c r="Z3904" t="e" cm="1" vm="1">
        <f t="array" aca="1" ref="Z3904" ca="1">IFERROR(IF(_xlfn._xlws.FILTER(game_rosters!$J:$J,(game_rosters!$G:$G=events!$AN3904)*(game_rosters!$J:$J=events!$X3904))&gt;0,1,""),"")</f>
        <v>#VALUE!</v>
      </c>
      <c r="AA3904">
        <f t="shared" si="323"/>
        <v>1000</v>
      </c>
      <c r="AB3904" t="str">
        <f t="shared" si="324"/>
        <v/>
      </c>
      <c r="AC3904">
        <f t="shared" si="321"/>
        <v>1000</v>
      </c>
      <c r="AD3904" s="6"/>
    </row>
    <row r="3905" spans="1:30" x14ac:dyDescent="0.2">
      <c r="A3905" t="str">
        <f t="shared" si="322"/>
        <v/>
      </c>
      <c r="X3905" t="str" cm="1">
        <f t="array" ref="X3905">IF(S3905="","",IF($I3905&lt;&gt;"",$I3905,INDEX($I$2:$I3904,ROW()-COUNTIFS($T$2:$T3904,"="&amp;$T3905,$S$2:$S3904,"&lt;&gt;"&amp;$S3905)-1)))</f>
        <v/>
      </c>
      <c r="Y3905" t="b">
        <f>IF(X3905&lt;&gt;"",VLOOKUP(X3905,game_rosters!$C$43:$E$64,3,FALSE))</f>
        <v>0</v>
      </c>
      <c r="Z3905" t="e" cm="1" vm="1">
        <f t="array" aca="1" ref="Z3905" ca="1">IFERROR(IF(_xlfn._xlws.FILTER(game_rosters!$J:$J,(game_rosters!$G:$G=events!$AN3905)*(game_rosters!$J:$J=events!$X3905))&gt;0,1,""),"")</f>
        <v>#VALUE!</v>
      </c>
      <c r="AA3905">
        <f t="shared" si="323"/>
        <v>1000</v>
      </c>
      <c r="AB3905" t="str">
        <f t="shared" si="324"/>
        <v/>
      </c>
      <c r="AC3905">
        <f t="shared" si="321"/>
        <v>1000</v>
      </c>
      <c r="AD3905" s="6"/>
    </row>
    <row r="3906" spans="1:30" x14ac:dyDescent="0.2">
      <c r="A3906" t="str">
        <f t="shared" si="322"/>
        <v/>
      </c>
      <c r="X3906" t="str" cm="1">
        <f t="array" ref="X3906">IF(S3906="","",IF($I3906&lt;&gt;"",$I3906,INDEX($I$2:$I3905,ROW()-COUNTIFS($T$2:$T3905,"="&amp;$T3906,$S$2:$S3905,"&lt;&gt;"&amp;$S3906)-1)))</f>
        <v/>
      </c>
      <c r="Y3906" t="b">
        <f>IF(X3906&lt;&gt;"",VLOOKUP(X3906,game_rosters!$C$43:$E$64,3,FALSE))</f>
        <v>0</v>
      </c>
      <c r="Z3906" t="e" cm="1" vm="1">
        <f t="array" aca="1" ref="Z3906" ca="1">IFERROR(IF(_xlfn._xlws.FILTER(game_rosters!$J:$J,(game_rosters!$G:$G=events!$AN3906)*(game_rosters!$J:$J=events!$X3906))&gt;0,1,""),"")</f>
        <v>#VALUE!</v>
      </c>
      <c r="AA3906">
        <f t="shared" si="323"/>
        <v>1000</v>
      </c>
      <c r="AB3906" t="str">
        <f t="shared" si="324"/>
        <v/>
      </c>
      <c r="AC3906">
        <f t="shared" ref="AC3906:AC3969" si="325">IF(AB3906&lt;&gt;"",AB3906,S3906+1000)</f>
        <v>1000</v>
      </c>
      <c r="AD3906" s="6"/>
    </row>
    <row r="3907" spans="1:30" x14ac:dyDescent="0.2">
      <c r="A3907" t="str">
        <f t="shared" si="322"/>
        <v/>
      </c>
      <c r="X3907" t="str" cm="1">
        <f t="array" ref="X3907">IF(S3907="","",IF($I3907&lt;&gt;"",$I3907,INDEX($I$2:$I3906,ROW()-COUNTIFS($T$2:$T3906,"="&amp;$T3907,$S$2:$S3906,"&lt;&gt;"&amp;$S3907)-1)))</f>
        <v/>
      </c>
      <c r="Y3907" t="b">
        <f>IF(X3907&lt;&gt;"",VLOOKUP(X3907,game_rosters!$C$43:$E$64,3,FALSE))</f>
        <v>0</v>
      </c>
      <c r="Z3907" t="e" cm="1" vm="1">
        <f t="array" aca="1" ref="Z3907" ca="1">IFERROR(IF(_xlfn._xlws.FILTER(game_rosters!$J:$J,(game_rosters!$G:$G=events!$AN3907)*(game_rosters!$J:$J=events!$X3907))&gt;0,1,""),"")</f>
        <v>#VALUE!</v>
      </c>
      <c r="AA3907">
        <f t="shared" si="323"/>
        <v>1000</v>
      </c>
      <c r="AB3907" t="str">
        <f t="shared" si="324"/>
        <v/>
      </c>
      <c r="AC3907">
        <f t="shared" si="325"/>
        <v>1000</v>
      </c>
      <c r="AD3907" s="6"/>
    </row>
    <row r="3908" spans="1:30" x14ac:dyDescent="0.2">
      <c r="A3908" t="str">
        <f t="shared" si="322"/>
        <v/>
      </c>
      <c r="X3908" t="str" cm="1">
        <f t="array" ref="X3908">IF(S3908="","",IF($I3908&lt;&gt;"",$I3908,INDEX($I$2:$I3907,ROW()-COUNTIFS($T$2:$T3907,"="&amp;$T3908,$S$2:$S3907,"&lt;&gt;"&amp;$S3908)-1)))</f>
        <v/>
      </c>
      <c r="Y3908" t="b">
        <f>IF(X3908&lt;&gt;"",VLOOKUP(X3908,game_rosters!$C$43:$E$64,3,FALSE))</f>
        <v>0</v>
      </c>
      <c r="Z3908" t="e" cm="1" vm="1">
        <f t="array" aca="1" ref="Z3908" ca="1">IFERROR(IF(_xlfn._xlws.FILTER(game_rosters!$J:$J,(game_rosters!$G:$G=events!$AN3908)*(game_rosters!$J:$J=events!$X3908))&gt;0,1,""),"")</f>
        <v>#VALUE!</v>
      </c>
      <c r="AA3908">
        <f t="shared" si="323"/>
        <v>1000</v>
      </c>
      <c r="AB3908" t="str">
        <f t="shared" si="324"/>
        <v/>
      </c>
      <c r="AC3908">
        <f t="shared" si="325"/>
        <v>1000</v>
      </c>
      <c r="AD3908" s="6"/>
    </row>
    <row r="3909" spans="1:30" x14ac:dyDescent="0.2">
      <c r="A3909" t="str">
        <f t="shared" ref="A3909:A3972" si="326">IF(K3909&lt;&gt;"",1,IF(D3909="x","x",""))</f>
        <v/>
      </c>
      <c r="X3909" t="str" cm="1">
        <f t="array" ref="X3909">IF(S3909="","",IF($I3909&lt;&gt;"",$I3909,INDEX($I$2:$I3908,ROW()-COUNTIFS($T$2:$T3908,"="&amp;$T3909,$S$2:$S3908,"&lt;&gt;"&amp;$S3909)-1)))</f>
        <v/>
      </c>
      <c r="Y3909" t="b">
        <f>IF(X3909&lt;&gt;"",VLOOKUP(X3909,game_rosters!$C$43:$E$64,3,FALSE))</f>
        <v>0</v>
      </c>
      <c r="Z3909" t="e" cm="1" vm="1">
        <f t="array" aca="1" ref="Z3909" ca="1">IFERROR(IF(_xlfn._xlws.FILTER(game_rosters!$J:$J,(game_rosters!$G:$G=events!$AN3909)*(game_rosters!$J:$J=events!$X3909))&gt;0,1,""),"")</f>
        <v>#VALUE!</v>
      </c>
      <c r="AA3909">
        <f t="shared" si="323"/>
        <v>1000</v>
      </c>
      <c r="AB3909" t="str">
        <f t="shared" si="324"/>
        <v/>
      </c>
      <c r="AC3909">
        <f t="shared" si="325"/>
        <v>1000</v>
      </c>
      <c r="AD3909" s="6"/>
    </row>
    <row r="3910" spans="1:30" x14ac:dyDescent="0.2">
      <c r="A3910" t="str">
        <f t="shared" si="326"/>
        <v/>
      </c>
      <c r="X3910" t="str" cm="1">
        <f t="array" ref="X3910">IF(S3910="","",IF($I3910&lt;&gt;"",$I3910,INDEX($I$2:$I3909,ROW()-COUNTIFS($T$2:$T3909,"="&amp;$T3910,$S$2:$S3909,"&lt;&gt;"&amp;$S3910)-1)))</f>
        <v/>
      </c>
      <c r="Y3910" t="b">
        <f>IF(X3910&lt;&gt;"",VLOOKUP(X3910,game_rosters!$C$43:$E$64,3,FALSE))</f>
        <v>0</v>
      </c>
      <c r="Z3910" t="e" cm="1" vm="1">
        <f t="array" aca="1" ref="Z3910" ca="1">IFERROR(IF(_xlfn._xlws.FILTER(game_rosters!$J:$J,(game_rosters!$G:$G=events!$AN3910)*(game_rosters!$J:$J=events!$X3910))&gt;0,1,""),"")</f>
        <v>#VALUE!</v>
      </c>
      <c r="AA3910">
        <f t="shared" si="323"/>
        <v>1000</v>
      </c>
      <c r="AB3910" t="str">
        <f t="shared" si="324"/>
        <v/>
      </c>
      <c r="AC3910">
        <f t="shared" si="325"/>
        <v>1000</v>
      </c>
      <c r="AD3910" s="6"/>
    </row>
    <row r="3911" spans="1:30" x14ac:dyDescent="0.2">
      <c r="A3911" t="str">
        <f t="shared" si="326"/>
        <v/>
      </c>
      <c r="X3911" t="str" cm="1">
        <f t="array" ref="X3911">IF(S3911="","",IF($I3911&lt;&gt;"",$I3911,INDEX($I$2:$I3910,ROW()-COUNTIFS($T$2:$T3910,"="&amp;$T3911,$S$2:$S3910,"&lt;&gt;"&amp;$S3911)-1)))</f>
        <v/>
      </c>
      <c r="Y3911" t="b">
        <f>IF(X3911&lt;&gt;"",VLOOKUP(X3911,game_rosters!$C$43:$E$64,3,FALSE))</f>
        <v>0</v>
      </c>
      <c r="Z3911" t="e" cm="1" vm="1">
        <f t="array" aca="1" ref="Z3911" ca="1">IFERROR(IF(_xlfn._xlws.FILTER(game_rosters!$J:$J,(game_rosters!$G:$G=events!$AN3911)*(game_rosters!$J:$J=events!$X3911))&gt;0,1,""),"")</f>
        <v>#VALUE!</v>
      </c>
      <c r="AA3911">
        <f t="shared" si="323"/>
        <v>1000</v>
      </c>
      <c r="AB3911" t="str">
        <f t="shared" si="324"/>
        <v/>
      </c>
      <c r="AC3911">
        <f t="shared" si="325"/>
        <v>1000</v>
      </c>
      <c r="AD3911" s="6"/>
    </row>
    <row r="3912" spans="1:30" x14ac:dyDescent="0.2">
      <c r="A3912" t="str">
        <f t="shared" si="326"/>
        <v/>
      </c>
      <c r="X3912" t="str" cm="1">
        <f t="array" ref="X3912">IF(S3912="","",IF($I3912&lt;&gt;"",$I3912,INDEX($I$2:$I3911,ROW()-COUNTIFS($T$2:$T3911,"="&amp;$T3912,$S$2:$S3911,"&lt;&gt;"&amp;$S3912)-1)))</f>
        <v/>
      </c>
      <c r="Y3912" t="b">
        <f>IF(X3912&lt;&gt;"",VLOOKUP(X3912,game_rosters!$C$43:$E$64,3,FALSE))</f>
        <v>0</v>
      </c>
      <c r="Z3912" t="e" cm="1" vm="1">
        <f t="array" aca="1" ref="Z3912" ca="1">IFERROR(IF(_xlfn._xlws.FILTER(game_rosters!$J:$J,(game_rosters!$G:$G=events!$AN3912)*(game_rosters!$J:$J=events!$X3912))&gt;0,1,""),"")</f>
        <v>#VALUE!</v>
      </c>
      <c r="AA3912">
        <f t="shared" si="323"/>
        <v>1000</v>
      </c>
      <c r="AB3912" t="str">
        <f t="shared" si="324"/>
        <v/>
      </c>
      <c r="AC3912">
        <f t="shared" si="325"/>
        <v>1000</v>
      </c>
      <c r="AD3912" s="6"/>
    </row>
    <row r="3913" spans="1:30" x14ac:dyDescent="0.2">
      <c r="A3913" t="str">
        <f t="shared" si="326"/>
        <v/>
      </c>
      <c r="X3913" t="str" cm="1">
        <f t="array" ref="X3913">IF(S3913="","",IF($I3913&lt;&gt;"",$I3913,INDEX($I$2:$I3912,ROW()-COUNTIFS($T$2:$T3912,"="&amp;$T3913,$S$2:$S3912,"&lt;&gt;"&amp;$S3913)-1)))</f>
        <v/>
      </c>
      <c r="Y3913" t="b">
        <f>IF(X3913&lt;&gt;"",VLOOKUP(X3913,game_rosters!$C$43:$E$64,3,FALSE))</f>
        <v>0</v>
      </c>
      <c r="Z3913" t="e" cm="1" vm="1">
        <f t="array" aca="1" ref="Z3913" ca="1">IFERROR(IF(_xlfn._xlws.FILTER(game_rosters!$J:$J,(game_rosters!$G:$G=events!$AN3913)*(game_rosters!$J:$J=events!$X3913))&gt;0,1,""),"")</f>
        <v>#VALUE!</v>
      </c>
      <c r="AA3913">
        <f t="shared" si="323"/>
        <v>1000</v>
      </c>
      <c r="AB3913" t="str">
        <f t="shared" si="324"/>
        <v/>
      </c>
      <c r="AC3913">
        <f t="shared" si="325"/>
        <v>1000</v>
      </c>
      <c r="AD3913" s="6"/>
    </row>
    <row r="3914" spans="1:30" x14ac:dyDescent="0.2">
      <c r="A3914" t="str">
        <f t="shared" si="326"/>
        <v/>
      </c>
      <c r="X3914" t="str" cm="1">
        <f t="array" ref="X3914">IF(S3914="","",IF($I3914&lt;&gt;"",$I3914,INDEX($I$2:$I3913,ROW()-COUNTIFS($T$2:$T3913,"="&amp;$T3914,$S$2:$S3913,"&lt;&gt;"&amp;$S3914)-1)))</f>
        <v/>
      </c>
      <c r="Y3914" t="b">
        <f>IF(X3914&lt;&gt;"",VLOOKUP(X3914,game_rosters!$C$43:$E$64,3,FALSE))</f>
        <v>0</v>
      </c>
      <c r="Z3914" t="e" cm="1" vm="1">
        <f t="array" aca="1" ref="Z3914" ca="1">IFERROR(IF(_xlfn._xlws.FILTER(game_rosters!$J:$J,(game_rosters!$G:$G=events!$AN3914)*(game_rosters!$J:$J=events!$X3914))&gt;0,1,""),"")</f>
        <v>#VALUE!</v>
      </c>
      <c r="AA3914">
        <f t="shared" si="323"/>
        <v>1000</v>
      </c>
      <c r="AB3914" t="str">
        <f t="shared" si="324"/>
        <v/>
      </c>
      <c r="AC3914">
        <f t="shared" si="325"/>
        <v>1000</v>
      </c>
      <c r="AD3914" s="6"/>
    </row>
    <row r="3915" spans="1:30" x14ac:dyDescent="0.2">
      <c r="A3915" t="str">
        <f t="shared" si="326"/>
        <v/>
      </c>
      <c r="X3915" t="str" cm="1">
        <f t="array" ref="X3915">IF(S3915="","",IF($I3915&lt;&gt;"",$I3915,INDEX($I$2:$I3914,ROW()-COUNTIFS($T$2:$T3914,"="&amp;$T3915,$S$2:$S3914,"&lt;&gt;"&amp;$S3915)-1)))</f>
        <v/>
      </c>
      <c r="Y3915" t="b">
        <f>IF(X3915&lt;&gt;"",VLOOKUP(X3915,game_rosters!$C$43:$E$64,3,FALSE))</f>
        <v>0</v>
      </c>
      <c r="Z3915" t="e" cm="1" vm="1">
        <f t="array" aca="1" ref="Z3915" ca="1">IFERROR(IF(_xlfn._xlws.FILTER(game_rosters!$J:$J,(game_rosters!$G:$G=events!$AN3915)*(game_rosters!$J:$J=events!$X3915))&gt;0,1,""),"")</f>
        <v>#VALUE!</v>
      </c>
      <c r="AA3915">
        <f t="shared" si="323"/>
        <v>1000</v>
      </c>
      <c r="AB3915" t="str">
        <f t="shared" si="324"/>
        <v/>
      </c>
      <c r="AC3915">
        <f t="shared" si="325"/>
        <v>1000</v>
      </c>
      <c r="AD3915" s="6"/>
    </row>
    <row r="3916" spans="1:30" x14ac:dyDescent="0.2">
      <c r="A3916" t="str">
        <f t="shared" si="326"/>
        <v/>
      </c>
      <c r="X3916" t="str" cm="1">
        <f t="array" ref="X3916">IF(S3916="","",IF($I3916&lt;&gt;"",$I3916,INDEX($I$2:$I3915,ROW()-COUNTIFS($T$2:$T3915,"="&amp;$T3916,$S$2:$S3915,"&lt;&gt;"&amp;$S3916)-1)))</f>
        <v/>
      </c>
      <c r="Y3916" t="b">
        <f>IF(X3916&lt;&gt;"",VLOOKUP(X3916,game_rosters!$C$43:$E$64,3,FALSE))</f>
        <v>0</v>
      </c>
      <c r="Z3916" t="e" cm="1" vm="1">
        <f t="array" aca="1" ref="Z3916" ca="1">IFERROR(IF(_xlfn._xlws.FILTER(game_rosters!$J:$J,(game_rosters!$G:$G=events!$AN3916)*(game_rosters!$J:$J=events!$X3916))&gt;0,1,""),"")</f>
        <v>#VALUE!</v>
      </c>
      <c r="AA3916">
        <f t="shared" si="323"/>
        <v>1000</v>
      </c>
      <c r="AB3916" t="str">
        <f t="shared" si="324"/>
        <v/>
      </c>
      <c r="AC3916">
        <f t="shared" si="325"/>
        <v>1000</v>
      </c>
      <c r="AD3916" s="6"/>
    </row>
    <row r="3917" spans="1:30" x14ac:dyDescent="0.2">
      <c r="A3917" t="str">
        <f t="shared" si="326"/>
        <v/>
      </c>
      <c r="X3917" t="str" cm="1">
        <f t="array" ref="X3917">IF(S3917="","",IF($I3917&lt;&gt;"",$I3917,INDEX($I$2:$I3916,ROW()-COUNTIFS($T$2:$T3916,"="&amp;$T3917,$S$2:$S3916,"&lt;&gt;"&amp;$S3917)-1)))</f>
        <v/>
      </c>
      <c r="Y3917" t="b">
        <f>IF(X3917&lt;&gt;"",VLOOKUP(X3917,game_rosters!$C$43:$E$64,3,FALSE))</f>
        <v>0</v>
      </c>
      <c r="Z3917" t="e" cm="1" vm="1">
        <f t="array" aca="1" ref="Z3917" ca="1">IFERROR(IF(_xlfn._xlws.FILTER(game_rosters!$J:$J,(game_rosters!$G:$G=events!$AN3917)*(game_rosters!$J:$J=events!$X3917))&gt;0,1,""),"")</f>
        <v>#VALUE!</v>
      </c>
      <c r="AA3917">
        <f t="shared" si="323"/>
        <v>1000</v>
      </c>
      <c r="AB3917" t="str">
        <f t="shared" si="324"/>
        <v/>
      </c>
      <c r="AC3917">
        <f t="shared" si="325"/>
        <v>1000</v>
      </c>
      <c r="AD3917" s="6"/>
    </row>
    <row r="3918" spans="1:30" x14ac:dyDescent="0.2">
      <c r="A3918" t="str">
        <f t="shared" si="326"/>
        <v/>
      </c>
      <c r="X3918" t="str" cm="1">
        <f t="array" ref="X3918">IF(S3918="","",IF($I3918&lt;&gt;"",$I3918,INDEX($I$2:$I3917,ROW()-COUNTIFS($T$2:$T3917,"="&amp;$T3918,$S$2:$S3917,"&lt;&gt;"&amp;$S3918)-1)))</f>
        <v/>
      </c>
      <c r="Y3918" t="b">
        <f>IF(X3918&lt;&gt;"",VLOOKUP(X3918,game_rosters!$C$43:$E$64,3,FALSE))</f>
        <v>0</v>
      </c>
      <c r="Z3918" t="e" cm="1" vm="1">
        <f t="array" aca="1" ref="Z3918" ca="1">IFERROR(IF(_xlfn._xlws.FILTER(game_rosters!$J:$J,(game_rosters!$G:$G=events!$AN3918)*(game_rosters!$J:$J=events!$X3918))&gt;0,1,""),"")</f>
        <v>#VALUE!</v>
      </c>
      <c r="AA3918">
        <f t="shared" si="323"/>
        <v>1000</v>
      </c>
      <c r="AB3918" t="str">
        <f t="shared" si="324"/>
        <v/>
      </c>
      <c r="AC3918">
        <f t="shared" si="325"/>
        <v>1000</v>
      </c>
      <c r="AD3918" s="6"/>
    </row>
    <row r="3919" spans="1:30" x14ac:dyDescent="0.2">
      <c r="A3919" t="str">
        <f t="shared" si="326"/>
        <v/>
      </c>
      <c r="X3919" t="str" cm="1">
        <f t="array" ref="X3919">IF(S3919="","",IF($I3919&lt;&gt;"",$I3919,INDEX($I$2:$I3918,ROW()-COUNTIFS($T$2:$T3918,"="&amp;$T3919,$S$2:$S3918,"&lt;&gt;"&amp;$S3919)-1)))</f>
        <v/>
      </c>
      <c r="Y3919" t="b">
        <f>IF(X3919&lt;&gt;"",VLOOKUP(X3919,game_rosters!$C$43:$E$64,3,FALSE))</f>
        <v>0</v>
      </c>
      <c r="Z3919" t="e" cm="1" vm="1">
        <f t="array" aca="1" ref="Z3919" ca="1">IFERROR(IF(_xlfn._xlws.FILTER(game_rosters!$J:$J,(game_rosters!$G:$G=events!$AN3919)*(game_rosters!$J:$J=events!$X3919))&gt;0,1,""),"")</f>
        <v>#VALUE!</v>
      </c>
      <c r="AA3919">
        <f t="shared" si="323"/>
        <v>1000</v>
      </c>
      <c r="AB3919" t="str">
        <f t="shared" si="324"/>
        <v/>
      </c>
      <c r="AC3919">
        <f t="shared" si="325"/>
        <v>1000</v>
      </c>
      <c r="AD3919" s="6"/>
    </row>
    <row r="3920" spans="1:30" x14ac:dyDescent="0.2">
      <c r="A3920" t="str">
        <f t="shared" si="326"/>
        <v/>
      </c>
      <c r="X3920" t="str" cm="1">
        <f t="array" ref="X3920">IF(S3920="","",IF($I3920&lt;&gt;"",$I3920,INDEX($I$2:$I3919,ROW()-COUNTIFS($T$2:$T3919,"="&amp;$T3920,$S$2:$S3919,"&lt;&gt;"&amp;$S3920)-1)))</f>
        <v/>
      </c>
      <c r="Y3920" t="b">
        <f>IF(X3920&lt;&gt;"",VLOOKUP(X3920,game_rosters!$C$43:$E$64,3,FALSE))</f>
        <v>0</v>
      </c>
      <c r="Z3920" t="e" cm="1" vm="1">
        <f t="array" aca="1" ref="Z3920" ca="1">IFERROR(IF(_xlfn._xlws.FILTER(game_rosters!$J:$J,(game_rosters!$G:$G=events!$AN3920)*(game_rosters!$J:$J=events!$X3920))&gt;0,1,""),"")</f>
        <v>#VALUE!</v>
      </c>
      <c r="AA3920">
        <f t="shared" si="323"/>
        <v>1000</v>
      </c>
      <c r="AB3920" t="str">
        <f t="shared" si="324"/>
        <v/>
      </c>
      <c r="AC3920">
        <f t="shared" si="325"/>
        <v>1000</v>
      </c>
      <c r="AD3920" s="6"/>
    </row>
    <row r="3921" spans="1:30" x14ac:dyDescent="0.2">
      <c r="A3921" t="str">
        <f t="shared" si="326"/>
        <v/>
      </c>
      <c r="X3921" t="str" cm="1">
        <f t="array" ref="X3921">IF(S3921="","",IF($I3921&lt;&gt;"",$I3921,INDEX($I$2:$I3920,ROW()-COUNTIFS($T$2:$T3920,"="&amp;$T3921,$S$2:$S3920,"&lt;&gt;"&amp;$S3921)-1)))</f>
        <v/>
      </c>
      <c r="Y3921" t="b">
        <f>IF(X3921&lt;&gt;"",VLOOKUP(X3921,game_rosters!$C$43:$E$64,3,FALSE))</f>
        <v>0</v>
      </c>
      <c r="Z3921" t="e" cm="1" vm="1">
        <f t="array" aca="1" ref="Z3921" ca="1">IFERROR(IF(_xlfn._xlws.FILTER(game_rosters!$J:$J,(game_rosters!$G:$G=events!$AN3921)*(game_rosters!$J:$J=events!$X3921))&gt;0,1,""),"")</f>
        <v>#VALUE!</v>
      </c>
      <c r="AA3921">
        <f t="shared" si="323"/>
        <v>1000</v>
      </c>
      <c r="AB3921" t="str">
        <f t="shared" si="324"/>
        <v/>
      </c>
      <c r="AC3921">
        <f t="shared" si="325"/>
        <v>1000</v>
      </c>
      <c r="AD3921" s="6"/>
    </row>
    <row r="3922" spans="1:30" x14ac:dyDescent="0.2">
      <c r="A3922" t="str">
        <f t="shared" si="326"/>
        <v/>
      </c>
      <c r="X3922" t="str" cm="1">
        <f t="array" ref="X3922">IF(S3922="","",IF($I3922&lt;&gt;"",$I3922,INDEX($I$2:$I3921,ROW()-COUNTIFS($T$2:$T3921,"="&amp;$T3922,$S$2:$S3921,"&lt;&gt;"&amp;$S3922)-1)))</f>
        <v/>
      </c>
      <c r="Y3922" t="b">
        <f>IF(X3922&lt;&gt;"",VLOOKUP(X3922,game_rosters!$C$43:$E$64,3,FALSE))</f>
        <v>0</v>
      </c>
      <c r="Z3922" t="e" cm="1" vm="1">
        <f t="array" aca="1" ref="Z3922" ca="1">IFERROR(IF(_xlfn._xlws.FILTER(game_rosters!$J:$J,(game_rosters!$G:$G=events!$AN3922)*(game_rosters!$J:$J=events!$X3922))&gt;0,1,""),"")</f>
        <v>#VALUE!</v>
      </c>
      <c r="AA3922">
        <f t="shared" si="323"/>
        <v>1000</v>
      </c>
      <c r="AB3922" t="str">
        <f t="shared" si="324"/>
        <v/>
      </c>
      <c r="AC3922">
        <f t="shared" si="325"/>
        <v>1000</v>
      </c>
      <c r="AD3922" s="6"/>
    </row>
    <row r="3923" spans="1:30" x14ac:dyDescent="0.2">
      <c r="A3923" t="str">
        <f t="shared" si="326"/>
        <v/>
      </c>
      <c r="X3923" t="str" cm="1">
        <f t="array" ref="X3923">IF(S3923="","",IF($I3923&lt;&gt;"",$I3923,INDEX($I$2:$I3922,ROW()-COUNTIFS($T$2:$T3922,"="&amp;$T3923,$S$2:$S3922,"&lt;&gt;"&amp;$S3923)-1)))</f>
        <v/>
      </c>
      <c r="Y3923" t="b">
        <f>IF(X3923&lt;&gt;"",VLOOKUP(X3923,game_rosters!$C$43:$E$64,3,FALSE))</f>
        <v>0</v>
      </c>
      <c r="Z3923" t="e" cm="1" vm="1">
        <f t="array" aca="1" ref="Z3923" ca="1">IFERROR(IF(_xlfn._xlws.FILTER(game_rosters!$J:$J,(game_rosters!$G:$G=events!$AN3923)*(game_rosters!$J:$J=events!$X3923))&gt;0,1,""),"")</f>
        <v>#VALUE!</v>
      </c>
      <c r="AA3923">
        <f t="shared" si="323"/>
        <v>1000</v>
      </c>
      <c r="AB3923" t="str">
        <f t="shared" si="324"/>
        <v/>
      </c>
      <c r="AC3923">
        <f t="shared" si="325"/>
        <v>1000</v>
      </c>
      <c r="AD3923" s="6"/>
    </row>
    <row r="3924" spans="1:30" x14ac:dyDescent="0.2">
      <c r="A3924" t="str">
        <f t="shared" si="326"/>
        <v/>
      </c>
      <c r="X3924" t="str" cm="1">
        <f t="array" ref="X3924">IF(S3924="","",IF($I3924&lt;&gt;"",$I3924,INDEX($I$2:$I3923,ROW()-COUNTIFS($T$2:$T3923,"="&amp;$T3924,$S$2:$S3923,"&lt;&gt;"&amp;$S3924)-1)))</f>
        <v/>
      </c>
      <c r="Y3924" t="b">
        <f>IF(X3924&lt;&gt;"",VLOOKUP(X3924,game_rosters!$C$43:$E$64,3,FALSE))</f>
        <v>0</v>
      </c>
      <c r="Z3924" t="e" cm="1" vm="1">
        <f t="array" aca="1" ref="Z3924" ca="1">IFERROR(IF(_xlfn._xlws.FILTER(game_rosters!$J:$J,(game_rosters!$G:$G=events!$AN3924)*(game_rosters!$J:$J=events!$X3924))&gt;0,1,""),"")</f>
        <v>#VALUE!</v>
      </c>
      <c r="AA3924">
        <f t="shared" si="323"/>
        <v>1000</v>
      </c>
      <c r="AB3924" t="str">
        <f t="shared" si="324"/>
        <v/>
      </c>
      <c r="AC3924">
        <f t="shared" si="325"/>
        <v>1000</v>
      </c>
      <c r="AD3924" s="6"/>
    </row>
    <row r="3925" spans="1:30" x14ac:dyDescent="0.2">
      <c r="A3925" t="str">
        <f t="shared" si="326"/>
        <v/>
      </c>
      <c r="X3925" t="str" cm="1">
        <f t="array" ref="X3925">IF(S3925="","",IF($I3925&lt;&gt;"",$I3925,INDEX($I$2:$I3924,ROW()-COUNTIFS($T$2:$T3924,"="&amp;$T3925,$S$2:$S3924,"&lt;&gt;"&amp;$S3925)-1)))</f>
        <v/>
      </c>
      <c r="Y3925" t="b">
        <f>IF(X3925&lt;&gt;"",VLOOKUP(X3925,game_rosters!$C$43:$E$64,3,FALSE))</f>
        <v>0</v>
      </c>
      <c r="Z3925" t="e" cm="1" vm="1">
        <f t="array" aca="1" ref="Z3925" ca="1">IFERROR(IF(_xlfn._xlws.FILTER(game_rosters!$J:$J,(game_rosters!$G:$G=events!$AN3925)*(game_rosters!$J:$J=events!$X3925))&gt;0,1,""),"")</f>
        <v>#VALUE!</v>
      </c>
      <c r="AA3925">
        <f t="shared" si="323"/>
        <v>1000</v>
      </c>
      <c r="AB3925" t="str">
        <f t="shared" si="324"/>
        <v/>
      </c>
      <c r="AC3925">
        <f t="shared" si="325"/>
        <v>1000</v>
      </c>
      <c r="AD3925" s="6"/>
    </row>
    <row r="3926" spans="1:30" x14ac:dyDescent="0.2">
      <c r="A3926" t="str">
        <f t="shared" si="326"/>
        <v/>
      </c>
      <c r="X3926" t="str" cm="1">
        <f t="array" ref="X3926">IF(S3926="","",IF($I3926&lt;&gt;"",$I3926,INDEX($I$2:$I3925,ROW()-COUNTIFS($T$2:$T3925,"="&amp;$T3926,$S$2:$S3925,"&lt;&gt;"&amp;$S3926)-1)))</f>
        <v/>
      </c>
      <c r="Y3926" t="b">
        <f>IF(X3926&lt;&gt;"",VLOOKUP(X3926,game_rosters!$C$43:$E$64,3,FALSE))</f>
        <v>0</v>
      </c>
      <c r="Z3926" t="e" cm="1" vm="1">
        <f t="array" aca="1" ref="Z3926" ca="1">IFERROR(IF(_xlfn._xlws.FILTER(game_rosters!$J:$J,(game_rosters!$G:$G=events!$AN3926)*(game_rosters!$J:$J=events!$X3926))&gt;0,1,""),"")</f>
        <v>#VALUE!</v>
      </c>
      <c r="AA3926">
        <f t="shared" si="323"/>
        <v>1000</v>
      </c>
      <c r="AB3926" t="str">
        <f t="shared" si="324"/>
        <v/>
      </c>
      <c r="AC3926">
        <f t="shared" si="325"/>
        <v>1000</v>
      </c>
      <c r="AD3926" s="6"/>
    </row>
    <row r="3927" spans="1:30" x14ac:dyDescent="0.2">
      <c r="A3927" t="str">
        <f t="shared" si="326"/>
        <v/>
      </c>
      <c r="X3927" t="str" cm="1">
        <f t="array" ref="X3927">IF(S3927="","",IF($I3927&lt;&gt;"",$I3927,INDEX($I$2:$I3926,ROW()-COUNTIFS($T$2:$T3926,"="&amp;$T3927,$S$2:$S3926,"&lt;&gt;"&amp;$S3927)-1)))</f>
        <v/>
      </c>
      <c r="Y3927" t="b">
        <f>IF(X3927&lt;&gt;"",VLOOKUP(X3927,game_rosters!$C$43:$E$64,3,FALSE))</f>
        <v>0</v>
      </c>
      <c r="Z3927" t="e" cm="1" vm="1">
        <f t="array" aca="1" ref="Z3927" ca="1">IFERROR(IF(_xlfn._xlws.FILTER(game_rosters!$J:$J,(game_rosters!$G:$G=events!$AN3927)*(game_rosters!$J:$J=events!$X3927))&gt;0,1,""),"")</f>
        <v>#VALUE!</v>
      </c>
      <c r="AA3927">
        <f t="shared" si="323"/>
        <v>1000</v>
      </c>
      <c r="AB3927" t="str">
        <f t="shared" si="324"/>
        <v/>
      </c>
      <c r="AC3927">
        <f t="shared" si="325"/>
        <v>1000</v>
      </c>
      <c r="AD3927" s="6"/>
    </row>
    <row r="3928" spans="1:30" x14ac:dyDescent="0.2">
      <c r="A3928" t="str">
        <f t="shared" si="326"/>
        <v/>
      </c>
      <c r="X3928" t="str" cm="1">
        <f t="array" ref="X3928">IF(S3928="","",IF($I3928&lt;&gt;"",$I3928,INDEX($I$2:$I3927,ROW()-COUNTIFS($T$2:$T3927,"="&amp;$T3928,$S$2:$S3927,"&lt;&gt;"&amp;$S3928)-1)))</f>
        <v/>
      </c>
      <c r="Y3928" t="b">
        <f>IF(X3928&lt;&gt;"",VLOOKUP(X3928,game_rosters!$C$43:$E$64,3,FALSE))</f>
        <v>0</v>
      </c>
      <c r="Z3928" t="e" cm="1" vm="1">
        <f t="array" aca="1" ref="Z3928" ca="1">IFERROR(IF(_xlfn._xlws.FILTER(game_rosters!$J:$J,(game_rosters!$G:$G=events!$AN3928)*(game_rosters!$J:$J=events!$X3928))&gt;0,1,""),"")</f>
        <v>#VALUE!</v>
      </c>
      <c r="AA3928">
        <f t="shared" si="323"/>
        <v>1000</v>
      </c>
      <c r="AB3928" t="str">
        <f t="shared" si="324"/>
        <v/>
      </c>
      <c r="AC3928">
        <f t="shared" si="325"/>
        <v>1000</v>
      </c>
      <c r="AD3928" s="6"/>
    </row>
    <row r="3929" spans="1:30" x14ac:dyDescent="0.2">
      <c r="A3929" t="str">
        <f t="shared" si="326"/>
        <v/>
      </c>
      <c r="X3929" t="str" cm="1">
        <f t="array" ref="X3929">IF(S3929="","",IF($I3929&lt;&gt;"",$I3929,INDEX($I$2:$I3928,ROW()-COUNTIFS($T$2:$T3928,"="&amp;$T3929,$S$2:$S3928,"&lt;&gt;"&amp;$S3929)-1)))</f>
        <v/>
      </c>
      <c r="Y3929" t="b">
        <f>IF(X3929&lt;&gt;"",VLOOKUP(X3929,game_rosters!$C$43:$E$64,3,FALSE))</f>
        <v>0</v>
      </c>
      <c r="Z3929" t="e" cm="1" vm="1">
        <f t="array" aca="1" ref="Z3929" ca="1">IFERROR(IF(_xlfn._xlws.FILTER(game_rosters!$J:$J,(game_rosters!$G:$G=events!$AN3929)*(game_rosters!$J:$J=events!$X3929))&gt;0,1,""),"")</f>
        <v>#VALUE!</v>
      </c>
      <c r="AA3929">
        <f t="shared" si="323"/>
        <v>1000</v>
      </c>
      <c r="AB3929" t="str">
        <f t="shared" si="324"/>
        <v/>
      </c>
      <c r="AC3929">
        <f t="shared" si="325"/>
        <v>1000</v>
      </c>
      <c r="AD3929" s="6"/>
    </row>
    <row r="3930" spans="1:30" x14ac:dyDescent="0.2">
      <c r="A3930" t="str">
        <f t="shared" si="326"/>
        <v/>
      </c>
      <c r="X3930" t="str" cm="1">
        <f t="array" ref="X3930">IF(S3930="","",IF($I3930&lt;&gt;"",$I3930,INDEX($I$2:$I3929,ROW()-COUNTIFS($T$2:$T3929,"="&amp;$T3930,$S$2:$S3929,"&lt;&gt;"&amp;$S3930)-1)))</f>
        <v/>
      </c>
      <c r="Y3930" t="b">
        <f>IF(X3930&lt;&gt;"",VLOOKUP(X3930,game_rosters!$C$43:$E$64,3,FALSE))</f>
        <v>0</v>
      </c>
      <c r="Z3930" t="e" cm="1" vm="1">
        <f t="array" aca="1" ref="Z3930" ca="1">IFERROR(IF(_xlfn._xlws.FILTER(game_rosters!$J:$J,(game_rosters!$G:$G=events!$AN3930)*(game_rosters!$J:$J=events!$X3930))&gt;0,1,""),"")</f>
        <v>#VALUE!</v>
      </c>
      <c r="AA3930">
        <f t="shared" si="323"/>
        <v>1000</v>
      </c>
      <c r="AB3930" t="str">
        <f t="shared" si="324"/>
        <v/>
      </c>
      <c r="AC3930">
        <f t="shared" si="325"/>
        <v>1000</v>
      </c>
      <c r="AD3930" s="6"/>
    </row>
    <row r="3931" spans="1:30" x14ac:dyDescent="0.2">
      <c r="A3931" t="str">
        <f t="shared" si="326"/>
        <v/>
      </c>
      <c r="X3931" t="str" cm="1">
        <f t="array" ref="X3931">IF(S3931="","",IF($I3931&lt;&gt;"",$I3931,INDEX($I$2:$I3930,ROW()-COUNTIFS($T$2:$T3930,"="&amp;$T3931,$S$2:$S3930,"&lt;&gt;"&amp;$S3931)-1)))</f>
        <v/>
      </c>
      <c r="Y3931" t="b">
        <f>IF(X3931&lt;&gt;"",VLOOKUP(X3931,game_rosters!$C$43:$E$64,3,FALSE))</f>
        <v>0</v>
      </c>
      <c r="Z3931" t="e" cm="1" vm="1">
        <f t="array" aca="1" ref="Z3931" ca="1">IFERROR(IF(_xlfn._xlws.FILTER(game_rosters!$J:$J,(game_rosters!$G:$G=events!$AN3931)*(game_rosters!$J:$J=events!$X3931))&gt;0,1,""),"")</f>
        <v>#VALUE!</v>
      </c>
      <c r="AA3931">
        <f t="shared" si="323"/>
        <v>1000</v>
      </c>
      <c r="AB3931" t="str">
        <f t="shared" si="324"/>
        <v/>
      </c>
      <c r="AC3931">
        <f t="shared" si="325"/>
        <v>1000</v>
      </c>
      <c r="AD3931" s="6"/>
    </row>
    <row r="3932" spans="1:30" x14ac:dyDescent="0.2">
      <c r="A3932" t="str">
        <f t="shared" si="326"/>
        <v/>
      </c>
      <c r="X3932" t="str" cm="1">
        <f t="array" ref="X3932">IF(S3932="","",IF($I3932&lt;&gt;"",$I3932,INDEX($I$2:$I3931,ROW()-COUNTIFS($T$2:$T3931,"="&amp;$T3932,$S$2:$S3931,"&lt;&gt;"&amp;$S3932)-1)))</f>
        <v/>
      </c>
      <c r="Y3932" t="b">
        <f>IF(X3932&lt;&gt;"",VLOOKUP(X3932,game_rosters!$C$43:$E$64,3,FALSE))</f>
        <v>0</v>
      </c>
      <c r="Z3932" t="e" cm="1" vm="1">
        <f t="array" aca="1" ref="Z3932" ca="1">IFERROR(IF(_xlfn._xlws.FILTER(game_rosters!$J:$J,(game_rosters!$G:$G=events!$AN3932)*(game_rosters!$J:$J=events!$X3932))&gt;0,1,""),"")</f>
        <v>#VALUE!</v>
      </c>
      <c r="AA3932">
        <f t="shared" si="323"/>
        <v>1000</v>
      </c>
      <c r="AB3932" t="str">
        <f t="shared" si="324"/>
        <v/>
      </c>
      <c r="AC3932">
        <f t="shared" si="325"/>
        <v>1000</v>
      </c>
      <c r="AD3932" s="6"/>
    </row>
    <row r="3933" spans="1:30" x14ac:dyDescent="0.2">
      <c r="A3933" t="str">
        <f t="shared" si="326"/>
        <v/>
      </c>
      <c r="X3933" t="str" cm="1">
        <f t="array" ref="X3933">IF(S3933="","",IF($I3933&lt;&gt;"",$I3933,INDEX($I$2:$I3932,ROW()-COUNTIFS($T$2:$T3932,"="&amp;$T3933,$S$2:$S3932,"&lt;&gt;"&amp;$S3933)-1)))</f>
        <v/>
      </c>
      <c r="Y3933" t="b">
        <f>IF(X3933&lt;&gt;"",VLOOKUP(X3933,game_rosters!$C$43:$E$64,3,FALSE))</f>
        <v>0</v>
      </c>
      <c r="Z3933" t="e" cm="1" vm="1">
        <f t="array" aca="1" ref="Z3933" ca="1">IFERROR(IF(_xlfn._xlws.FILTER(game_rosters!$J:$J,(game_rosters!$G:$G=events!$AN3933)*(game_rosters!$J:$J=events!$X3933))&gt;0,1,""),"")</f>
        <v>#VALUE!</v>
      </c>
      <c r="AA3933">
        <f t="shared" ref="AA3933:AA3996" si="327">S3933+1000</f>
        <v>1000</v>
      </c>
      <c r="AB3933" t="str">
        <f t="shared" ref="AB3933:AB3996" si="328">IF(T3933&lt;&gt;"",9000+T3933,"")</f>
        <v/>
      </c>
      <c r="AC3933">
        <f t="shared" si="325"/>
        <v>1000</v>
      </c>
      <c r="AD3933" s="6"/>
    </row>
    <row r="3934" spans="1:30" x14ac:dyDescent="0.2">
      <c r="A3934" t="str">
        <f t="shared" si="326"/>
        <v/>
      </c>
      <c r="X3934" t="str" cm="1">
        <f t="array" ref="X3934">IF(S3934="","",IF($I3934&lt;&gt;"",$I3934,INDEX($I$2:$I3933,ROW()-COUNTIFS($T$2:$T3933,"="&amp;$T3934,$S$2:$S3933,"&lt;&gt;"&amp;$S3934)-1)))</f>
        <v/>
      </c>
      <c r="Y3934" t="b">
        <f>IF(X3934&lt;&gt;"",VLOOKUP(X3934,game_rosters!$C$43:$E$64,3,FALSE))</f>
        <v>0</v>
      </c>
      <c r="Z3934" t="e" cm="1" vm="1">
        <f t="array" aca="1" ref="Z3934" ca="1">IFERROR(IF(_xlfn._xlws.FILTER(game_rosters!$J:$J,(game_rosters!$G:$G=events!$AN3934)*(game_rosters!$J:$J=events!$X3934))&gt;0,1,""),"")</f>
        <v>#VALUE!</v>
      </c>
      <c r="AA3934">
        <f t="shared" si="327"/>
        <v>1000</v>
      </c>
      <c r="AB3934" t="str">
        <f t="shared" si="328"/>
        <v/>
      </c>
      <c r="AC3934">
        <f t="shared" si="325"/>
        <v>1000</v>
      </c>
      <c r="AD3934" s="6"/>
    </row>
    <row r="3935" spans="1:30" x14ac:dyDescent="0.2">
      <c r="A3935" t="str">
        <f t="shared" si="326"/>
        <v/>
      </c>
      <c r="X3935" t="str" cm="1">
        <f t="array" ref="X3935">IF(S3935="","",IF($I3935&lt;&gt;"",$I3935,INDEX($I$2:$I3934,ROW()-COUNTIFS($T$2:$T3934,"="&amp;$T3935,$S$2:$S3934,"&lt;&gt;"&amp;$S3935)-1)))</f>
        <v/>
      </c>
      <c r="Y3935" t="b">
        <f>IF(X3935&lt;&gt;"",VLOOKUP(X3935,game_rosters!$C$43:$E$64,3,FALSE))</f>
        <v>0</v>
      </c>
      <c r="Z3935" t="e" cm="1" vm="1">
        <f t="array" aca="1" ref="Z3935" ca="1">IFERROR(IF(_xlfn._xlws.FILTER(game_rosters!$J:$J,(game_rosters!$G:$G=events!$AN3935)*(game_rosters!$J:$J=events!$X3935))&gt;0,1,""),"")</f>
        <v>#VALUE!</v>
      </c>
      <c r="AA3935">
        <f t="shared" si="327"/>
        <v>1000</v>
      </c>
      <c r="AB3935" t="str">
        <f t="shared" si="328"/>
        <v/>
      </c>
      <c r="AC3935">
        <f t="shared" si="325"/>
        <v>1000</v>
      </c>
      <c r="AD3935" s="6"/>
    </row>
    <row r="3936" spans="1:30" x14ac:dyDescent="0.2">
      <c r="A3936" t="str">
        <f t="shared" si="326"/>
        <v/>
      </c>
      <c r="X3936" t="str" cm="1">
        <f t="array" ref="X3936">IF(S3936="","",IF($I3936&lt;&gt;"",$I3936,INDEX($I$2:$I3935,ROW()-COUNTIFS($T$2:$T3935,"="&amp;$T3936,$S$2:$S3935,"&lt;&gt;"&amp;$S3936)-1)))</f>
        <v/>
      </c>
      <c r="Y3936" t="b">
        <f>IF(X3936&lt;&gt;"",VLOOKUP(X3936,game_rosters!$C$43:$E$64,3,FALSE))</f>
        <v>0</v>
      </c>
      <c r="Z3936" t="e" cm="1" vm="1">
        <f t="array" aca="1" ref="Z3936" ca="1">IFERROR(IF(_xlfn._xlws.FILTER(game_rosters!$J:$J,(game_rosters!$G:$G=events!$AN3936)*(game_rosters!$J:$J=events!$X3936))&gt;0,1,""),"")</f>
        <v>#VALUE!</v>
      </c>
      <c r="AA3936">
        <f t="shared" si="327"/>
        <v>1000</v>
      </c>
      <c r="AB3936" t="str">
        <f t="shared" si="328"/>
        <v/>
      </c>
      <c r="AC3936">
        <f t="shared" si="325"/>
        <v>1000</v>
      </c>
      <c r="AD3936" s="6"/>
    </row>
    <row r="3937" spans="1:30" x14ac:dyDescent="0.2">
      <c r="A3937" t="str">
        <f t="shared" si="326"/>
        <v/>
      </c>
      <c r="X3937" t="str" cm="1">
        <f t="array" ref="X3937">IF(S3937="","",IF($I3937&lt;&gt;"",$I3937,INDEX($I$2:$I3936,ROW()-COUNTIFS($T$2:$T3936,"="&amp;$T3937,$S$2:$S3936,"&lt;&gt;"&amp;$S3937)-1)))</f>
        <v/>
      </c>
      <c r="Y3937" t="b">
        <f>IF(X3937&lt;&gt;"",VLOOKUP(X3937,game_rosters!$C$43:$E$64,3,FALSE))</f>
        <v>0</v>
      </c>
      <c r="Z3937" t="e" cm="1" vm="1">
        <f t="array" aca="1" ref="Z3937" ca="1">IFERROR(IF(_xlfn._xlws.FILTER(game_rosters!$J:$J,(game_rosters!$G:$G=events!$AN3937)*(game_rosters!$J:$J=events!$X3937))&gt;0,1,""),"")</f>
        <v>#VALUE!</v>
      </c>
      <c r="AA3937">
        <f t="shared" si="327"/>
        <v>1000</v>
      </c>
      <c r="AB3937" t="str">
        <f t="shared" si="328"/>
        <v/>
      </c>
      <c r="AC3937">
        <f t="shared" si="325"/>
        <v>1000</v>
      </c>
      <c r="AD3937" s="6"/>
    </row>
    <row r="3938" spans="1:30" x14ac:dyDescent="0.2">
      <c r="A3938" t="str">
        <f t="shared" si="326"/>
        <v/>
      </c>
      <c r="X3938" t="str" cm="1">
        <f t="array" ref="X3938">IF(S3938="","",IF($I3938&lt;&gt;"",$I3938,INDEX($I$2:$I3937,ROW()-COUNTIFS($T$2:$T3937,"="&amp;$T3938,$S$2:$S3937,"&lt;&gt;"&amp;$S3938)-1)))</f>
        <v/>
      </c>
      <c r="Y3938" t="b">
        <f>IF(X3938&lt;&gt;"",VLOOKUP(X3938,game_rosters!$C$43:$E$64,3,FALSE))</f>
        <v>0</v>
      </c>
      <c r="Z3938" t="e" cm="1" vm="1">
        <f t="array" aca="1" ref="Z3938" ca="1">IFERROR(IF(_xlfn._xlws.FILTER(game_rosters!$J:$J,(game_rosters!$G:$G=events!$AN3938)*(game_rosters!$J:$J=events!$X3938))&gt;0,1,""),"")</f>
        <v>#VALUE!</v>
      </c>
      <c r="AA3938">
        <f t="shared" si="327"/>
        <v>1000</v>
      </c>
      <c r="AB3938" t="str">
        <f t="shared" si="328"/>
        <v/>
      </c>
      <c r="AC3938">
        <f t="shared" si="325"/>
        <v>1000</v>
      </c>
      <c r="AD3938" s="6"/>
    </row>
    <row r="3939" spans="1:30" x14ac:dyDescent="0.2">
      <c r="A3939" t="str">
        <f t="shared" si="326"/>
        <v/>
      </c>
      <c r="X3939" t="str" cm="1">
        <f t="array" ref="X3939">IF(S3939="","",IF($I3939&lt;&gt;"",$I3939,INDEX($I$2:$I3938,ROW()-COUNTIFS($T$2:$T3938,"="&amp;$T3939,$S$2:$S3938,"&lt;&gt;"&amp;$S3939)-1)))</f>
        <v/>
      </c>
      <c r="Y3939" t="b">
        <f>IF(X3939&lt;&gt;"",VLOOKUP(X3939,game_rosters!$C$43:$E$64,3,FALSE))</f>
        <v>0</v>
      </c>
      <c r="Z3939" t="e" cm="1" vm="1">
        <f t="array" aca="1" ref="Z3939" ca="1">IFERROR(IF(_xlfn._xlws.FILTER(game_rosters!$J:$J,(game_rosters!$G:$G=events!$AN3939)*(game_rosters!$J:$J=events!$X3939))&gt;0,1,""),"")</f>
        <v>#VALUE!</v>
      </c>
      <c r="AA3939">
        <f t="shared" si="327"/>
        <v>1000</v>
      </c>
      <c r="AB3939" t="str">
        <f t="shared" si="328"/>
        <v/>
      </c>
      <c r="AC3939">
        <f t="shared" si="325"/>
        <v>1000</v>
      </c>
      <c r="AD3939" s="6"/>
    </row>
    <row r="3940" spans="1:30" x14ac:dyDescent="0.2">
      <c r="A3940" t="str">
        <f t="shared" si="326"/>
        <v/>
      </c>
      <c r="X3940" t="str" cm="1">
        <f t="array" ref="X3940">IF(S3940="","",IF($I3940&lt;&gt;"",$I3940,INDEX($I$2:$I3939,ROW()-COUNTIFS($T$2:$T3939,"="&amp;$T3940,$S$2:$S3939,"&lt;&gt;"&amp;$S3940)-1)))</f>
        <v/>
      </c>
      <c r="Y3940" t="b">
        <f>IF(X3940&lt;&gt;"",VLOOKUP(X3940,game_rosters!$C$43:$E$64,3,FALSE))</f>
        <v>0</v>
      </c>
      <c r="Z3940" t="e" cm="1" vm="1">
        <f t="array" aca="1" ref="Z3940" ca="1">IFERROR(IF(_xlfn._xlws.FILTER(game_rosters!$J:$J,(game_rosters!$G:$G=events!$AN3940)*(game_rosters!$J:$J=events!$X3940))&gt;0,1,""),"")</f>
        <v>#VALUE!</v>
      </c>
      <c r="AA3940">
        <f t="shared" si="327"/>
        <v>1000</v>
      </c>
      <c r="AB3940" t="str">
        <f t="shared" si="328"/>
        <v/>
      </c>
      <c r="AC3940">
        <f t="shared" si="325"/>
        <v>1000</v>
      </c>
      <c r="AD3940" s="6"/>
    </row>
    <row r="3941" spans="1:30" x14ac:dyDescent="0.2">
      <c r="A3941" t="str">
        <f t="shared" si="326"/>
        <v/>
      </c>
      <c r="X3941" t="str" cm="1">
        <f t="array" ref="X3941">IF(S3941="","",IF($I3941&lt;&gt;"",$I3941,INDEX($I$2:$I3940,ROW()-COUNTIFS($T$2:$T3940,"="&amp;$T3941,$S$2:$S3940,"&lt;&gt;"&amp;$S3941)-1)))</f>
        <v/>
      </c>
      <c r="Y3941" t="b">
        <f>IF(X3941&lt;&gt;"",VLOOKUP(X3941,game_rosters!$C$43:$E$64,3,FALSE))</f>
        <v>0</v>
      </c>
      <c r="Z3941" t="e" cm="1" vm="1">
        <f t="array" aca="1" ref="Z3941" ca="1">IFERROR(IF(_xlfn._xlws.FILTER(game_rosters!$J:$J,(game_rosters!$G:$G=events!$AN3941)*(game_rosters!$J:$J=events!$X3941))&gt;0,1,""),"")</f>
        <v>#VALUE!</v>
      </c>
      <c r="AA3941">
        <f t="shared" si="327"/>
        <v>1000</v>
      </c>
      <c r="AB3941" t="str">
        <f t="shared" si="328"/>
        <v/>
      </c>
      <c r="AC3941">
        <f t="shared" si="325"/>
        <v>1000</v>
      </c>
      <c r="AD3941" s="6"/>
    </row>
    <row r="3942" spans="1:30" x14ac:dyDescent="0.2">
      <c r="A3942" t="str">
        <f t="shared" si="326"/>
        <v/>
      </c>
      <c r="X3942" t="str" cm="1">
        <f t="array" ref="X3942">IF(S3942="","",IF($I3942&lt;&gt;"",$I3942,INDEX($I$2:$I3941,ROW()-COUNTIFS($T$2:$T3941,"="&amp;$T3942,$S$2:$S3941,"&lt;&gt;"&amp;$S3942)-1)))</f>
        <v/>
      </c>
      <c r="Y3942" t="b">
        <f>IF(X3942&lt;&gt;"",VLOOKUP(X3942,game_rosters!$C$43:$E$64,3,FALSE))</f>
        <v>0</v>
      </c>
      <c r="Z3942" t="e" cm="1" vm="1">
        <f t="array" aca="1" ref="Z3942" ca="1">IFERROR(IF(_xlfn._xlws.FILTER(game_rosters!$J:$J,(game_rosters!$G:$G=events!$AN3942)*(game_rosters!$J:$J=events!$X3942))&gt;0,1,""),"")</f>
        <v>#VALUE!</v>
      </c>
      <c r="AA3942">
        <f t="shared" si="327"/>
        <v>1000</v>
      </c>
      <c r="AB3942" t="str">
        <f t="shared" si="328"/>
        <v/>
      </c>
      <c r="AC3942">
        <f t="shared" si="325"/>
        <v>1000</v>
      </c>
      <c r="AD3942" s="6"/>
    </row>
    <row r="3943" spans="1:30" x14ac:dyDescent="0.2">
      <c r="A3943" t="str">
        <f t="shared" si="326"/>
        <v/>
      </c>
      <c r="X3943" t="str" cm="1">
        <f t="array" ref="X3943">IF(S3943="","",IF($I3943&lt;&gt;"",$I3943,INDEX($I$2:$I3942,ROW()-COUNTIFS($T$2:$T3942,"="&amp;$T3943,$S$2:$S3942,"&lt;&gt;"&amp;$S3943)-1)))</f>
        <v/>
      </c>
      <c r="Y3943" t="b">
        <f>IF(X3943&lt;&gt;"",VLOOKUP(X3943,game_rosters!$C$43:$E$64,3,FALSE))</f>
        <v>0</v>
      </c>
      <c r="Z3943" t="e" cm="1" vm="1">
        <f t="array" aca="1" ref="Z3943" ca="1">IFERROR(IF(_xlfn._xlws.FILTER(game_rosters!$J:$J,(game_rosters!$G:$G=events!$AN3943)*(game_rosters!$J:$J=events!$X3943))&gt;0,1,""),"")</f>
        <v>#VALUE!</v>
      </c>
      <c r="AA3943">
        <f t="shared" si="327"/>
        <v>1000</v>
      </c>
      <c r="AB3943" t="str">
        <f t="shared" si="328"/>
        <v/>
      </c>
      <c r="AC3943">
        <f t="shared" si="325"/>
        <v>1000</v>
      </c>
      <c r="AD3943" s="6"/>
    </row>
    <row r="3944" spans="1:30" x14ac:dyDescent="0.2">
      <c r="A3944" t="str">
        <f t="shared" si="326"/>
        <v/>
      </c>
      <c r="X3944" t="str" cm="1">
        <f t="array" ref="X3944">IF(S3944="","",IF($I3944&lt;&gt;"",$I3944,INDEX($I$2:$I3943,ROW()-COUNTIFS($T$2:$T3943,"="&amp;$T3944,$S$2:$S3943,"&lt;&gt;"&amp;$S3944)-1)))</f>
        <v/>
      </c>
      <c r="Y3944" t="b">
        <f>IF(X3944&lt;&gt;"",VLOOKUP(X3944,game_rosters!$C$43:$E$64,3,FALSE))</f>
        <v>0</v>
      </c>
      <c r="Z3944" t="e" cm="1" vm="1">
        <f t="array" aca="1" ref="Z3944" ca="1">IFERROR(IF(_xlfn._xlws.FILTER(game_rosters!$J:$J,(game_rosters!$G:$G=events!$AN3944)*(game_rosters!$J:$J=events!$X3944))&gt;0,1,""),"")</f>
        <v>#VALUE!</v>
      </c>
      <c r="AA3944">
        <f t="shared" si="327"/>
        <v>1000</v>
      </c>
      <c r="AB3944" t="str">
        <f t="shared" si="328"/>
        <v/>
      </c>
      <c r="AC3944">
        <f t="shared" si="325"/>
        <v>1000</v>
      </c>
      <c r="AD3944" s="6"/>
    </row>
    <row r="3945" spans="1:30" x14ac:dyDescent="0.2">
      <c r="A3945" t="str">
        <f t="shared" si="326"/>
        <v/>
      </c>
      <c r="X3945" t="str" cm="1">
        <f t="array" ref="X3945">IF(S3945="","",IF($I3945&lt;&gt;"",$I3945,INDEX($I$2:$I3944,ROW()-COUNTIFS($T$2:$T3944,"="&amp;$T3945,$S$2:$S3944,"&lt;&gt;"&amp;$S3945)-1)))</f>
        <v/>
      </c>
      <c r="Y3945" t="b">
        <f>IF(X3945&lt;&gt;"",VLOOKUP(X3945,game_rosters!$C$43:$E$64,3,FALSE))</f>
        <v>0</v>
      </c>
      <c r="Z3945" t="e" cm="1" vm="1">
        <f t="array" aca="1" ref="Z3945" ca="1">IFERROR(IF(_xlfn._xlws.FILTER(game_rosters!$J:$J,(game_rosters!$G:$G=events!$AN3945)*(game_rosters!$J:$J=events!$X3945))&gt;0,1,""),"")</f>
        <v>#VALUE!</v>
      </c>
      <c r="AA3945">
        <f t="shared" si="327"/>
        <v>1000</v>
      </c>
      <c r="AB3945" t="str">
        <f t="shared" si="328"/>
        <v/>
      </c>
      <c r="AC3945">
        <f t="shared" si="325"/>
        <v>1000</v>
      </c>
      <c r="AD3945" s="6"/>
    </row>
    <row r="3946" spans="1:30" x14ac:dyDescent="0.2">
      <c r="A3946" t="str">
        <f t="shared" si="326"/>
        <v/>
      </c>
      <c r="X3946" t="str" cm="1">
        <f t="array" ref="X3946">IF(S3946="","",IF($I3946&lt;&gt;"",$I3946,INDEX($I$2:$I3945,ROW()-COUNTIFS($T$2:$T3945,"="&amp;$T3946,$S$2:$S3945,"&lt;&gt;"&amp;$S3946)-1)))</f>
        <v/>
      </c>
      <c r="Y3946" t="b">
        <f>IF(X3946&lt;&gt;"",VLOOKUP(X3946,game_rosters!$C$43:$E$64,3,FALSE))</f>
        <v>0</v>
      </c>
      <c r="Z3946" t="e" cm="1" vm="1">
        <f t="array" aca="1" ref="Z3946" ca="1">IFERROR(IF(_xlfn._xlws.FILTER(game_rosters!$J:$J,(game_rosters!$G:$G=events!$AN3946)*(game_rosters!$J:$J=events!$X3946))&gt;0,1,""),"")</f>
        <v>#VALUE!</v>
      </c>
      <c r="AA3946">
        <f t="shared" si="327"/>
        <v>1000</v>
      </c>
      <c r="AB3946" t="str">
        <f t="shared" si="328"/>
        <v/>
      </c>
      <c r="AC3946">
        <f t="shared" si="325"/>
        <v>1000</v>
      </c>
      <c r="AD3946" s="6"/>
    </row>
    <row r="3947" spans="1:30" x14ac:dyDescent="0.2">
      <c r="A3947" t="str">
        <f t="shared" si="326"/>
        <v/>
      </c>
      <c r="X3947" t="str" cm="1">
        <f t="array" ref="X3947">IF(S3947="","",IF($I3947&lt;&gt;"",$I3947,INDEX($I$2:$I3946,ROW()-COUNTIFS($T$2:$T3946,"="&amp;$T3947,$S$2:$S3946,"&lt;&gt;"&amp;$S3947)-1)))</f>
        <v/>
      </c>
      <c r="Y3947" t="b">
        <f>IF(X3947&lt;&gt;"",VLOOKUP(X3947,game_rosters!$C$43:$E$64,3,FALSE))</f>
        <v>0</v>
      </c>
      <c r="Z3947" t="e" cm="1" vm="1">
        <f t="array" aca="1" ref="Z3947" ca="1">IFERROR(IF(_xlfn._xlws.FILTER(game_rosters!$J:$J,(game_rosters!$G:$G=events!$AN3947)*(game_rosters!$J:$J=events!$X3947))&gt;0,1,""),"")</f>
        <v>#VALUE!</v>
      </c>
      <c r="AA3947">
        <f t="shared" si="327"/>
        <v>1000</v>
      </c>
      <c r="AB3947" t="str">
        <f t="shared" si="328"/>
        <v/>
      </c>
      <c r="AC3947">
        <f t="shared" si="325"/>
        <v>1000</v>
      </c>
      <c r="AD3947" s="6"/>
    </row>
    <row r="3948" spans="1:30" x14ac:dyDescent="0.2">
      <c r="A3948" t="str">
        <f t="shared" si="326"/>
        <v/>
      </c>
      <c r="X3948" t="str" cm="1">
        <f t="array" ref="X3948">IF(S3948="","",IF($I3948&lt;&gt;"",$I3948,INDEX($I$2:$I3947,ROW()-COUNTIFS($T$2:$T3947,"="&amp;$T3948,$S$2:$S3947,"&lt;&gt;"&amp;$S3948)-1)))</f>
        <v/>
      </c>
      <c r="Y3948" t="b">
        <f>IF(X3948&lt;&gt;"",VLOOKUP(X3948,game_rosters!$C$43:$E$64,3,FALSE))</f>
        <v>0</v>
      </c>
      <c r="Z3948" t="e" cm="1" vm="1">
        <f t="array" aca="1" ref="Z3948" ca="1">IFERROR(IF(_xlfn._xlws.FILTER(game_rosters!$J:$J,(game_rosters!$G:$G=events!$AN3948)*(game_rosters!$J:$J=events!$X3948))&gt;0,1,""),"")</f>
        <v>#VALUE!</v>
      </c>
      <c r="AA3948">
        <f t="shared" si="327"/>
        <v>1000</v>
      </c>
      <c r="AB3948" t="str">
        <f t="shared" si="328"/>
        <v/>
      </c>
      <c r="AC3948">
        <f t="shared" si="325"/>
        <v>1000</v>
      </c>
      <c r="AD3948" s="6"/>
    </row>
    <row r="3949" spans="1:30" x14ac:dyDescent="0.2">
      <c r="A3949" t="str">
        <f t="shared" si="326"/>
        <v/>
      </c>
      <c r="X3949" t="str" cm="1">
        <f t="array" ref="X3949">IF(S3949="","",IF($I3949&lt;&gt;"",$I3949,INDEX($I$2:$I3948,ROW()-COUNTIFS($T$2:$T3948,"="&amp;$T3949,$S$2:$S3948,"&lt;&gt;"&amp;$S3949)-1)))</f>
        <v/>
      </c>
      <c r="Y3949" t="b">
        <f>IF(X3949&lt;&gt;"",VLOOKUP(X3949,game_rosters!$C$43:$E$64,3,FALSE))</f>
        <v>0</v>
      </c>
      <c r="Z3949" t="e" cm="1" vm="1">
        <f t="array" aca="1" ref="Z3949" ca="1">IFERROR(IF(_xlfn._xlws.FILTER(game_rosters!$J:$J,(game_rosters!$G:$G=events!$AN3949)*(game_rosters!$J:$J=events!$X3949))&gt;0,1,""),"")</f>
        <v>#VALUE!</v>
      </c>
      <c r="AA3949">
        <f t="shared" si="327"/>
        <v>1000</v>
      </c>
      <c r="AB3949" t="str">
        <f t="shared" si="328"/>
        <v/>
      </c>
      <c r="AC3949">
        <f t="shared" si="325"/>
        <v>1000</v>
      </c>
      <c r="AD3949" s="6"/>
    </row>
    <row r="3950" spans="1:30" x14ac:dyDescent="0.2">
      <c r="A3950" t="str">
        <f t="shared" si="326"/>
        <v/>
      </c>
      <c r="X3950" t="str" cm="1">
        <f t="array" ref="X3950">IF(S3950="","",IF($I3950&lt;&gt;"",$I3950,INDEX($I$2:$I3949,ROW()-COUNTIFS($T$2:$T3949,"="&amp;$T3950,$S$2:$S3949,"&lt;&gt;"&amp;$S3950)-1)))</f>
        <v/>
      </c>
      <c r="Y3950" t="b">
        <f>IF(X3950&lt;&gt;"",VLOOKUP(X3950,game_rosters!$C$43:$E$64,3,FALSE))</f>
        <v>0</v>
      </c>
      <c r="Z3950" t="e" cm="1" vm="1">
        <f t="array" aca="1" ref="Z3950" ca="1">IFERROR(IF(_xlfn._xlws.FILTER(game_rosters!$J:$J,(game_rosters!$G:$G=events!$AN3950)*(game_rosters!$J:$J=events!$X3950))&gt;0,1,""),"")</f>
        <v>#VALUE!</v>
      </c>
      <c r="AA3950">
        <f t="shared" si="327"/>
        <v>1000</v>
      </c>
      <c r="AB3950" t="str">
        <f t="shared" si="328"/>
        <v/>
      </c>
      <c r="AC3950">
        <f t="shared" si="325"/>
        <v>1000</v>
      </c>
      <c r="AD3950" s="6"/>
    </row>
    <row r="3951" spans="1:30" x14ac:dyDescent="0.2">
      <c r="A3951" t="str">
        <f t="shared" si="326"/>
        <v/>
      </c>
      <c r="X3951" t="str" cm="1">
        <f t="array" ref="X3951">IF(S3951="","",IF($I3951&lt;&gt;"",$I3951,INDEX($I$2:$I3950,ROW()-COUNTIFS($T$2:$T3950,"="&amp;$T3951,$S$2:$S3950,"&lt;&gt;"&amp;$S3951)-1)))</f>
        <v/>
      </c>
      <c r="Y3951" t="b">
        <f>IF(X3951&lt;&gt;"",VLOOKUP(X3951,game_rosters!$C$43:$E$64,3,FALSE))</f>
        <v>0</v>
      </c>
      <c r="Z3951" t="e" cm="1" vm="1">
        <f t="array" aca="1" ref="Z3951" ca="1">IFERROR(IF(_xlfn._xlws.FILTER(game_rosters!$J:$J,(game_rosters!$G:$G=events!$AN3951)*(game_rosters!$J:$J=events!$X3951))&gt;0,1,""),"")</f>
        <v>#VALUE!</v>
      </c>
      <c r="AA3951">
        <f t="shared" si="327"/>
        <v>1000</v>
      </c>
      <c r="AB3951" t="str">
        <f t="shared" si="328"/>
        <v/>
      </c>
      <c r="AC3951">
        <f t="shared" si="325"/>
        <v>1000</v>
      </c>
      <c r="AD3951" s="6"/>
    </row>
    <row r="3952" spans="1:30" x14ac:dyDescent="0.2">
      <c r="A3952" t="str">
        <f t="shared" si="326"/>
        <v/>
      </c>
      <c r="X3952" t="str" cm="1">
        <f t="array" ref="X3952">IF(S3952="","",IF($I3952&lt;&gt;"",$I3952,INDEX($I$2:$I3951,ROW()-COUNTIFS($T$2:$T3951,"="&amp;$T3952,$S$2:$S3951,"&lt;&gt;"&amp;$S3952)-1)))</f>
        <v/>
      </c>
      <c r="Y3952" t="b">
        <f>IF(X3952&lt;&gt;"",VLOOKUP(X3952,game_rosters!$C$43:$E$64,3,FALSE))</f>
        <v>0</v>
      </c>
      <c r="Z3952" t="e" cm="1" vm="1">
        <f t="array" aca="1" ref="Z3952" ca="1">IFERROR(IF(_xlfn._xlws.FILTER(game_rosters!$J:$J,(game_rosters!$G:$G=events!$AN3952)*(game_rosters!$J:$J=events!$X3952))&gt;0,1,""),"")</f>
        <v>#VALUE!</v>
      </c>
      <c r="AA3952">
        <f t="shared" si="327"/>
        <v>1000</v>
      </c>
      <c r="AB3952" t="str">
        <f t="shared" si="328"/>
        <v/>
      </c>
      <c r="AC3952">
        <f t="shared" si="325"/>
        <v>1000</v>
      </c>
      <c r="AD3952" s="6"/>
    </row>
    <row r="3953" spans="1:30" x14ac:dyDescent="0.2">
      <c r="A3953" t="str">
        <f t="shared" si="326"/>
        <v/>
      </c>
      <c r="X3953" t="str" cm="1">
        <f t="array" ref="X3953">IF(S3953="","",IF($I3953&lt;&gt;"",$I3953,INDEX($I$2:$I3952,ROW()-COUNTIFS($T$2:$T3952,"="&amp;$T3953,$S$2:$S3952,"&lt;&gt;"&amp;$S3953)-1)))</f>
        <v/>
      </c>
      <c r="Y3953" t="b">
        <f>IF(X3953&lt;&gt;"",VLOOKUP(X3953,game_rosters!$C$43:$E$64,3,FALSE))</f>
        <v>0</v>
      </c>
      <c r="Z3953" t="e" cm="1" vm="1">
        <f t="array" aca="1" ref="Z3953" ca="1">IFERROR(IF(_xlfn._xlws.FILTER(game_rosters!$J:$J,(game_rosters!$G:$G=events!$AN3953)*(game_rosters!$J:$J=events!$X3953))&gt;0,1,""),"")</f>
        <v>#VALUE!</v>
      </c>
      <c r="AA3953">
        <f t="shared" si="327"/>
        <v>1000</v>
      </c>
      <c r="AB3953" t="str">
        <f t="shared" si="328"/>
        <v/>
      </c>
      <c r="AC3953">
        <f t="shared" si="325"/>
        <v>1000</v>
      </c>
      <c r="AD3953" s="6"/>
    </row>
    <row r="3954" spans="1:30" x14ac:dyDescent="0.2">
      <c r="A3954" t="str">
        <f t="shared" si="326"/>
        <v/>
      </c>
      <c r="X3954" t="str" cm="1">
        <f t="array" ref="X3954">IF(S3954="","",IF($I3954&lt;&gt;"",$I3954,INDEX($I$2:$I3953,ROW()-COUNTIFS($T$2:$T3953,"="&amp;$T3954,$S$2:$S3953,"&lt;&gt;"&amp;$S3954)-1)))</f>
        <v/>
      </c>
      <c r="Y3954" t="b">
        <f>IF(X3954&lt;&gt;"",VLOOKUP(X3954,game_rosters!$C$43:$E$64,3,FALSE))</f>
        <v>0</v>
      </c>
      <c r="Z3954" t="e" cm="1" vm="1">
        <f t="array" aca="1" ref="Z3954" ca="1">IFERROR(IF(_xlfn._xlws.FILTER(game_rosters!$J:$J,(game_rosters!$G:$G=events!$AN3954)*(game_rosters!$J:$J=events!$X3954))&gt;0,1,""),"")</f>
        <v>#VALUE!</v>
      </c>
      <c r="AA3954">
        <f t="shared" si="327"/>
        <v>1000</v>
      </c>
      <c r="AB3954" t="str">
        <f t="shared" si="328"/>
        <v/>
      </c>
      <c r="AC3954">
        <f t="shared" si="325"/>
        <v>1000</v>
      </c>
      <c r="AD3954" s="6"/>
    </row>
    <row r="3955" spans="1:30" x14ac:dyDescent="0.2">
      <c r="A3955" t="str">
        <f t="shared" si="326"/>
        <v/>
      </c>
      <c r="X3955" t="str" cm="1">
        <f t="array" ref="X3955">IF(S3955="","",IF($I3955&lt;&gt;"",$I3955,INDEX($I$2:$I3954,ROW()-COUNTIFS($T$2:$T3954,"="&amp;$T3955,$S$2:$S3954,"&lt;&gt;"&amp;$S3955)-1)))</f>
        <v/>
      </c>
      <c r="Y3955" t="b">
        <f>IF(X3955&lt;&gt;"",VLOOKUP(X3955,game_rosters!$C$43:$E$64,3,FALSE))</f>
        <v>0</v>
      </c>
      <c r="Z3955" t="e" cm="1" vm="1">
        <f t="array" aca="1" ref="Z3955" ca="1">IFERROR(IF(_xlfn._xlws.FILTER(game_rosters!$J:$J,(game_rosters!$G:$G=events!$AN3955)*(game_rosters!$J:$J=events!$X3955))&gt;0,1,""),"")</f>
        <v>#VALUE!</v>
      </c>
      <c r="AA3955">
        <f t="shared" si="327"/>
        <v>1000</v>
      </c>
      <c r="AB3955" t="str">
        <f t="shared" si="328"/>
        <v/>
      </c>
      <c r="AC3955">
        <f t="shared" si="325"/>
        <v>1000</v>
      </c>
      <c r="AD3955" s="6"/>
    </row>
    <row r="3956" spans="1:30" x14ac:dyDescent="0.2">
      <c r="A3956" t="str">
        <f t="shared" si="326"/>
        <v/>
      </c>
      <c r="X3956" t="str" cm="1">
        <f t="array" ref="X3956">IF(S3956="","",IF($I3956&lt;&gt;"",$I3956,INDEX($I$2:$I3955,ROW()-COUNTIFS($T$2:$T3955,"="&amp;$T3956,$S$2:$S3955,"&lt;&gt;"&amp;$S3956)-1)))</f>
        <v/>
      </c>
      <c r="Y3956" t="b">
        <f>IF(X3956&lt;&gt;"",VLOOKUP(X3956,game_rosters!$C$43:$E$64,3,FALSE))</f>
        <v>0</v>
      </c>
      <c r="Z3956" t="e" cm="1" vm="1">
        <f t="array" aca="1" ref="Z3956" ca="1">IFERROR(IF(_xlfn._xlws.FILTER(game_rosters!$J:$J,(game_rosters!$G:$G=events!$AN3956)*(game_rosters!$J:$J=events!$X3956))&gt;0,1,""),"")</f>
        <v>#VALUE!</v>
      </c>
      <c r="AA3956">
        <f t="shared" si="327"/>
        <v>1000</v>
      </c>
      <c r="AB3956" t="str">
        <f t="shared" si="328"/>
        <v/>
      </c>
      <c r="AC3956">
        <f t="shared" si="325"/>
        <v>1000</v>
      </c>
      <c r="AD3956" s="6"/>
    </row>
    <row r="3957" spans="1:30" x14ac:dyDescent="0.2">
      <c r="A3957" t="str">
        <f t="shared" si="326"/>
        <v/>
      </c>
      <c r="X3957" t="str" cm="1">
        <f t="array" ref="X3957">IF(S3957="","",IF($I3957&lt;&gt;"",$I3957,INDEX($I$2:$I3956,ROW()-COUNTIFS($T$2:$T3956,"="&amp;$T3957,$S$2:$S3956,"&lt;&gt;"&amp;$S3957)-1)))</f>
        <v/>
      </c>
      <c r="Y3957" t="b">
        <f>IF(X3957&lt;&gt;"",VLOOKUP(X3957,game_rosters!$C$43:$E$64,3,FALSE))</f>
        <v>0</v>
      </c>
      <c r="Z3957" t="e" cm="1" vm="1">
        <f t="array" aca="1" ref="Z3957" ca="1">IFERROR(IF(_xlfn._xlws.FILTER(game_rosters!$J:$J,(game_rosters!$G:$G=events!$AN3957)*(game_rosters!$J:$J=events!$X3957))&gt;0,1,""),"")</f>
        <v>#VALUE!</v>
      </c>
      <c r="AA3957">
        <f t="shared" si="327"/>
        <v>1000</v>
      </c>
      <c r="AB3957" t="str">
        <f t="shared" si="328"/>
        <v/>
      </c>
      <c r="AC3957">
        <f t="shared" si="325"/>
        <v>1000</v>
      </c>
      <c r="AD3957" s="6"/>
    </row>
    <row r="3958" spans="1:30" x14ac:dyDescent="0.2">
      <c r="A3958" t="str">
        <f t="shared" si="326"/>
        <v/>
      </c>
      <c r="X3958" t="str" cm="1">
        <f t="array" ref="X3958">IF(S3958="","",IF($I3958&lt;&gt;"",$I3958,INDEX($I$2:$I3957,ROW()-COUNTIFS($T$2:$T3957,"="&amp;$T3958,$S$2:$S3957,"&lt;&gt;"&amp;$S3958)-1)))</f>
        <v/>
      </c>
      <c r="Y3958" t="b">
        <f>IF(X3958&lt;&gt;"",VLOOKUP(X3958,game_rosters!$C$43:$E$64,3,FALSE))</f>
        <v>0</v>
      </c>
      <c r="Z3958" t="e" cm="1" vm="1">
        <f t="array" aca="1" ref="Z3958" ca="1">IFERROR(IF(_xlfn._xlws.FILTER(game_rosters!$J:$J,(game_rosters!$G:$G=events!$AN3958)*(game_rosters!$J:$J=events!$X3958))&gt;0,1,""),"")</f>
        <v>#VALUE!</v>
      </c>
      <c r="AA3958">
        <f t="shared" si="327"/>
        <v>1000</v>
      </c>
      <c r="AB3958" t="str">
        <f t="shared" si="328"/>
        <v/>
      </c>
      <c r="AC3958">
        <f t="shared" si="325"/>
        <v>1000</v>
      </c>
      <c r="AD3958" s="6"/>
    </row>
    <row r="3959" spans="1:30" x14ac:dyDescent="0.2">
      <c r="A3959" t="str">
        <f t="shared" si="326"/>
        <v/>
      </c>
      <c r="X3959" t="str" cm="1">
        <f t="array" ref="X3959">IF(S3959="","",IF($I3959&lt;&gt;"",$I3959,INDEX($I$2:$I3958,ROW()-COUNTIFS($T$2:$T3958,"="&amp;$T3959,$S$2:$S3958,"&lt;&gt;"&amp;$S3959)-1)))</f>
        <v/>
      </c>
      <c r="Y3959" t="b">
        <f>IF(X3959&lt;&gt;"",VLOOKUP(X3959,game_rosters!$C$43:$E$64,3,FALSE))</f>
        <v>0</v>
      </c>
      <c r="Z3959" t="e" cm="1" vm="1">
        <f t="array" aca="1" ref="Z3959" ca="1">IFERROR(IF(_xlfn._xlws.FILTER(game_rosters!$J:$J,(game_rosters!$G:$G=events!$AN3959)*(game_rosters!$J:$J=events!$X3959))&gt;0,1,""),"")</f>
        <v>#VALUE!</v>
      </c>
      <c r="AA3959">
        <f t="shared" si="327"/>
        <v>1000</v>
      </c>
      <c r="AB3959" t="str">
        <f t="shared" si="328"/>
        <v/>
      </c>
      <c r="AC3959">
        <f t="shared" si="325"/>
        <v>1000</v>
      </c>
      <c r="AD3959" s="6"/>
    </row>
    <row r="3960" spans="1:30" x14ac:dyDescent="0.2">
      <c r="A3960" t="str">
        <f t="shared" si="326"/>
        <v/>
      </c>
      <c r="X3960" t="str" cm="1">
        <f t="array" ref="X3960">IF(S3960="","",IF($I3960&lt;&gt;"",$I3960,INDEX($I$2:$I3959,ROW()-COUNTIFS($T$2:$T3959,"="&amp;$T3960,$S$2:$S3959,"&lt;&gt;"&amp;$S3960)-1)))</f>
        <v/>
      </c>
      <c r="Y3960" t="b">
        <f>IF(X3960&lt;&gt;"",VLOOKUP(X3960,game_rosters!$C$43:$E$64,3,FALSE))</f>
        <v>0</v>
      </c>
      <c r="Z3960" t="e" cm="1" vm="1">
        <f t="array" aca="1" ref="Z3960" ca="1">IFERROR(IF(_xlfn._xlws.FILTER(game_rosters!$J:$J,(game_rosters!$G:$G=events!$AN3960)*(game_rosters!$J:$J=events!$X3960))&gt;0,1,""),"")</f>
        <v>#VALUE!</v>
      </c>
      <c r="AA3960">
        <f t="shared" si="327"/>
        <v>1000</v>
      </c>
      <c r="AB3960" t="str">
        <f t="shared" si="328"/>
        <v/>
      </c>
      <c r="AC3960">
        <f t="shared" si="325"/>
        <v>1000</v>
      </c>
      <c r="AD3960" s="6"/>
    </row>
    <row r="3961" spans="1:30" x14ac:dyDescent="0.2">
      <c r="A3961" t="str">
        <f t="shared" si="326"/>
        <v/>
      </c>
      <c r="X3961" t="str" cm="1">
        <f t="array" ref="X3961">IF(S3961="","",IF($I3961&lt;&gt;"",$I3961,INDEX($I$2:$I3960,ROW()-COUNTIFS($T$2:$T3960,"="&amp;$T3961,$S$2:$S3960,"&lt;&gt;"&amp;$S3961)-1)))</f>
        <v/>
      </c>
      <c r="Y3961" t="b">
        <f>IF(X3961&lt;&gt;"",VLOOKUP(X3961,game_rosters!$C$43:$E$64,3,FALSE))</f>
        <v>0</v>
      </c>
      <c r="Z3961" t="e" cm="1" vm="1">
        <f t="array" aca="1" ref="Z3961" ca="1">IFERROR(IF(_xlfn._xlws.FILTER(game_rosters!$J:$J,(game_rosters!$G:$G=events!$AN3961)*(game_rosters!$J:$J=events!$X3961))&gt;0,1,""),"")</f>
        <v>#VALUE!</v>
      </c>
      <c r="AA3961">
        <f t="shared" si="327"/>
        <v>1000</v>
      </c>
      <c r="AB3961" t="str">
        <f t="shared" si="328"/>
        <v/>
      </c>
      <c r="AC3961">
        <f t="shared" si="325"/>
        <v>1000</v>
      </c>
      <c r="AD3961" s="6"/>
    </row>
    <row r="3962" spans="1:30" x14ac:dyDescent="0.2">
      <c r="A3962" t="str">
        <f t="shared" si="326"/>
        <v/>
      </c>
      <c r="X3962" t="str" cm="1">
        <f t="array" ref="X3962">IF(S3962="","",IF($I3962&lt;&gt;"",$I3962,INDEX($I$2:$I3961,ROW()-COUNTIFS($T$2:$T3961,"="&amp;$T3962,$S$2:$S3961,"&lt;&gt;"&amp;$S3962)-1)))</f>
        <v/>
      </c>
      <c r="Y3962" t="b">
        <f>IF(X3962&lt;&gt;"",VLOOKUP(X3962,game_rosters!$C$43:$E$64,3,FALSE))</f>
        <v>0</v>
      </c>
      <c r="Z3962" t="e" cm="1" vm="1">
        <f t="array" aca="1" ref="Z3962" ca="1">IFERROR(IF(_xlfn._xlws.FILTER(game_rosters!$J:$J,(game_rosters!$G:$G=events!$AN3962)*(game_rosters!$J:$J=events!$X3962))&gt;0,1,""),"")</f>
        <v>#VALUE!</v>
      </c>
      <c r="AA3962">
        <f t="shared" si="327"/>
        <v>1000</v>
      </c>
      <c r="AB3962" t="str">
        <f t="shared" si="328"/>
        <v/>
      </c>
      <c r="AC3962">
        <f t="shared" si="325"/>
        <v>1000</v>
      </c>
      <c r="AD3962" s="6"/>
    </row>
    <row r="3963" spans="1:30" x14ac:dyDescent="0.2">
      <c r="A3963" t="str">
        <f t="shared" si="326"/>
        <v/>
      </c>
      <c r="X3963" t="str" cm="1">
        <f t="array" ref="X3963">IF(S3963="","",IF($I3963&lt;&gt;"",$I3963,INDEX($I$2:$I3962,ROW()-COUNTIFS($T$2:$T3962,"="&amp;$T3963,$S$2:$S3962,"&lt;&gt;"&amp;$S3963)-1)))</f>
        <v/>
      </c>
      <c r="Y3963" t="b">
        <f>IF(X3963&lt;&gt;"",VLOOKUP(X3963,game_rosters!$C$43:$E$64,3,FALSE))</f>
        <v>0</v>
      </c>
      <c r="Z3963" t="e" cm="1" vm="1">
        <f t="array" aca="1" ref="Z3963" ca="1">IFERROR(IF(_xlfn._xlws.FILTER(game_rosters!$J:$J,(game_rosters!$G:$G=events!$AN3963)*(game_rosters!$J:$J=events!$X3963))&gt;0,1,""),"")</f>
        <v>#VALUE!</v>
      </c>
      <c r="AA3963">
        <f t="shared" si="327"/>
        <v>1000</v>
      </c>
      <c r="AB3963" t="str">
        <f t="shared" si="328"/>
        <v/>
      </c>
      <c r="AC3963">
        <f t="shared" si="325"/>
        <v>1000</v>
      </c>
      <c r="AD3963" s="6"/>
    </row>
    <row r="3964" spans="1:30" x14ac:dyDescent="0.2">
      <c r="A3964" t="str">
        <f t="shared" si="326"/>
        <v/>
      </c>
      <c r="X3964" t="str" cm="1">
        <f t="array" ref="X3964">IF(S3964="","",IF($I3964&lt;&gt;"",$I3964,INDEX($I$2:$I3963,ROW()-COUNTIFS($T$2:$T3963,"="&amp;$T3964,$S$2:$S3963,"&lt;&gt;"&amp;$S3964)-1)))</f>
        <v/>
      </c>
      <c r="Y3964" t="b">
        <f>IF(X3964&lt;&gt;"",VLOOKUP(X3964,game_rosters!$C$43:$E$64,3,FALSE))</f>
        <v>0</v>
      </c>
      <c r="Z3964" t="e" cm="1" vm="1">
        <f t="array" aca="1" ref="Z3964" ca="1">IFERROR(IF(_xlfn._xlws.FILTER(game_rosters!$J:$J,(game_rosters!$G:$G=events!$AN3964)*(game_rosters!$J:$J=events!$X3964))&gt;0,1,""),"")</f>
        <v>#VALUE!</v>
      </c>
      <c r="AA3964">
        <f t="shared" si="327"/>
        <v>1000</v>
      </c>
      <c r="AB3964" t="str">
        <f t="shared" si="328"/>
        <v/>
      </c>
      <c r="AC3964">
        <f t="shared" si="325"/>
        <v>1000</v>
      </c>
      <c r="AD3964" s="6"/>
    </row>
    <row r="3965" spans="1:30" x14ac:dyDescent="0.2">
      <c r="A3965" t="str">
        <f t="shared" si="326"/>
        <v/>
      </c>
      <c r="X3965" t="str" cm="1">
        <f t="array" ref="X3965">IF(S3965="","",IF($I3965&lt;&gt;"",$I3965,INDEX($I$2:$I3964,ROW()-COUNTIFS($T$2:$T3964,"="&amp;$T3965,$S$2:$S3964,"&lt;&gt;"&amp;$S3965)-1)))</f>
        <v/>
      </c>
      <c r="Y3965" t="b">
        <f>IF(X3965&lt;&gt;"",VLOOKUP(X3965,game_rosters!$C$43:$E$64,3,FALSE))</f>
        <v>0</v>
      </c>
      <c r="Z3965" t="e" cm="1" vm="1">
        <f t="array" aca="1" ref="Z3965" ca="1">IFERROR(IF(_xlfn._xlws.FILTER(game_rosters!$J:$J,(game_rosters!$G:$G=events!$AN3965)*(game_rosters!$J:$J=events!$X3965))&gt;0,1,""),"")</f>
        <v>#VALUE!</v>
      </c>
      <c r="AA3965">
        <f t="shared" si="327"/>
        <v>1000</v>
      </c>
      <c r="AB3965" t="str">
        <f t="shared" si="328"/>
        <v/>
      </c>
      <c r="AC3965">
        <f t="shared" si="325"/>
        <v>1000</v>
      </c>
      <c r="AD3965" s="6"/>
    </row>
    <row r="3966" spans="1:30" x14ac:dyDescent="0.2">
      <c r="A3966" t="str">
        <f t="shared" si="326"/>
        <v/>
      </c>
      <c r="X3966" t="str" cm="1">
        <f t="array" ref="X3966">IF(S3966="","",IF($I3966&lt;&gt;"",$I3966,INDEX($I$2:$I3965,ROW()-COUNTIFS($T$2:$T3965,"="&amp;$T3966,$S$2:$S3965,"&lt;&gt;"&amp;$S3966)-1)))</f>
        <v/>
      </c>
      <c r="Y3966" t="b">
        <f>IF(X3966&lt;&gt;"",VLOOKUP(X3966,game_rosters!$C$43:$E$64,3,FALSE))</f>
        <v>0</v>
      </c>
      <c r="Z3966" t="e" cm="1" vm="1">
        <f t="array" aca="1" ref="Z3966" ca="1">IFERROR(IF(_xlfn._xlws.FILTER(game_rosters!$J:$J,(game_rosters!$G:$G=events!$AN3966)*(game_rosters!$J:$J=events!$X3966))&gt;0,1,""),"")</f>
        <v>#VALUE!</v>
      </c>
      <c r="AA3966">
        <f t="shared" si="327"/>
        <v>1000</v>
      </c>
      <c r="AB3966" t="str">
        <f t="shared" si="328"/>
        <v/>
      </c>
      <c r="AC3966">
        <f t="shared" si="325"/>
        <v>1000</v>
      </c>
      <c r="AD3966" s="6"/>
    </row>
    <row r="3967" spans="1:30" x14ac:dyDescent="0.2">
      <c r="A3967" t="str">
        <f t="shared" si="326"/>
        <v/>
      </c>
      <c r="X3967" t="str" cm="1">
        <f t="array" ref="X3967">IF(S3967="","",IF($I3967&lt;&gt;"",$I3967,INDEX($I$2:$I3966,ROW()-COUNTIFS($T$2:$T3966,"="&amp;$T3967,$S$2:$S3966,"&lt;&gt;"&amp;$S3967)-1)))</f>
        <v/>
      </c>
      <c r="Y3967" t="b">
        <f>IF(X3967&lt;&gt;"",VLOOKUP(X3967,game_rosters!$C$43:$E$64,3,FALSE))</f>
        <v>0</v>
      </c>
      <c r="Z3967" t="e" cm="1" vm="1">
        <f t="array" aca="1" ref="Z3967" ca="1">IFERROR(IF(_xlfn._xlws.FILTER(game_rosters!$J:$J,(game_rosters!$G:$G=events!$AN3967)*(game_rosters!$J:$J=events!$X3967))&gt;0,1,""),"")</f>
        <v>#VALUE!</v>
      </c>
      <c r="AA3967">
        <f t="shared" si="327"/>
        <v>1000</v>
      </c>
      <c r="AB3967" t="str">
        <f t="shared" si="328"/>
        <v/>
      </c>
      <c r="AC3967">
        <f t="shared" si="325"/>
        <v>1000</v>
      </c>
      <c r="AD3967" s="6"/>
    </row>
    <row r="3968" spans="1:30" x14ac:dyDescent="0.2">
      <c r="A3968" t="str">
        <f t="shared" si="326"/>
        <v/>
      </c>
      <c r="X3968" t="str" cm="1">
        <f t="array" ref="X3968">IF(S3968="","",IF($I3968&lt;&gt;"",$I3968,INDEX($I$2:$I3967,ROW()-COUNTIFS($T$2:$T3967,"="&amp;$T3968,$S$2:$S3967,"&lt;&gt;"&amp;$S3968)-1)))</f>
        <v/>
      </c>
      <c r="Y3968" t="b">
        <f>IF(X3968&lt;&gt;"",VLOOKUP(X3968,game_rosters!$C$43:$E$64,3,FALSE))</f>
        <v>0</v>
      </c>
      <c r="Z3968" t="e" cm="1" vm="1">
        <f t="array" aca="1" ref="Z3968" ca="1">IFERROR(IF(_xlfn._xlws.FILTER(game_rosters!$J:$J,(game_rosters!$G:$G=events!$AN3968)*(game_rosters!$J:$J=events!$X3968))&gt;0,1,""),"")</f>
        <v>#VALUE!</v>
      </c>
      <c r="AA3968">
        <f t="shared" si="327"/>
        <v>1000</v>
      </c>
      <c r="AB3968" t="str">
        <f t="shared" si="328"/>
        <v/>
      </c>
      <c r="AC3968">
        <f t="shared" si="325"/>
        <v>1000</v>
      </c>
      <c r="AD3968" s="6"/>
    </row>
    <row r="3969" spans="1:30" x14ac:dyDescent="0.2">
      <c r="A3969" t="str">
        <f t="shared" si="326"/>
        <v/>
      </c>
      <c r="X3969" t="str" cm="1">
        <f t="array" ref="X3969">IF(S3969="","",IF($I3969&lt;&gt;"",$I3969,INDEX($I$2:$I3968,ROW()-COUNTIFS($T$2:$T3968,"="&amp;$T3969,$S$2:$S3968,"&lt;&gt;"&amp;$S3969)-1)))</f>
        <v/>
      </c>
      <c r="Y3969" t="b">
        <f>IF(X3969&lt;&gt;"",VLOOKUP(X3969,game_rosters!$C$43:$E$64,3,FALSE))</f>
        <v>0</v>
      </c>
      <c r="Z3969" t="e" cm="1" vm="1">
        <f t="array" aca="1" ref="Z3969" ca="1">IFERROR(IF(_xlfn._xlws.FILTER(game_rosters!$J:$J,(game_rosters!$G:$G=events!$AN3969)*(game_rosters!$J:$J=events!$X3969))&gt;0,1,""),"")</f>
        <v>#VALUE!</v>
      </c>
      <c r="AA3969">
        <f t="shared" si="327"/>
        <v>1000</v>
      </c>
      <c r="AB3969" t="str">
        <f t="shared" si="328"/>
        <v/>
      </c>
      <c r="AC3969">
        <f t="shared" si="325"/>
        <v>1000</v>
      </c>
      <c r="AD3969" s="6"/>
    </row>
    <row r="3970" spans="1:30" x14ac:dyDescent="0.2">
      <c r="A3970" t="str">
        <f t="shared" si="326"/>
        <v/>
      </c>
      <c r="X3970" t="str" cm="1">
        <f t="array" ref="X3970">IF(S3970="","",IF($I3970&lt;&gt;"",$I3970,INDEX($I$2:$I3969,ROW()-COUNTIFS($T$2:$T3969,"="&amp;$T3970,$S$2:$S3969,"&lt;&gt;"&amp;$S3970)-1)))</f>
        <v/>
      </c>
      <c r="Y3970" t="b">
        <f>IF(X3970&lt;&gt;"",VLOOKUP(X3970,game_rosters!$C$43:$E$64,3,FALSE))</f>
        <v>0</v>
      </c>
      <c r="Z3970" t="e" cm="1" vm="1">
        <f t="array" aca="1" ref="Z3970" ca="1">IFERROR(IF(_xlfn._xlws.FILTER(game_rosters!$J:$J,(game_rosters!$G:$G=events!$AN3970)*(game_rosters!$J:$J=events!$X3970))&gt;0,1,""),"")</f>
        <v>#VALUE!</v>
      </c>
      <c r="AA3970">
        <f t="shared" si="327"/>
        <v>1000</v>
      </c>
      <c r="AB3970" t="str">
        <f t="shared" si="328"/>
        <v/>
      </c>
      <c r="AC3970">
        <f t="shared" ref="AC3970:AC4000" si="329">IF(AB3970&lt;&gt;"",AB3970,S3970+1000)</f>
        <v>1000</v>
      </c>
      <c r="AD3970" s="6"/>
    </row>
    <row r="3971" spans="1:30" x14ac:dyDescent="0.2">
      <c r="A3971" t="str">
        <f t="shared" si="326"/>
        <v/>
      </c>
      <c r="X3971" t="str" cm="1">
        <f t="array" ref="X3971">IF(S3971="","",IF($I3971&lt;&gt;"",$I3971,INDEX($I$2:$I3970,ROW()-COUNTIFS($T$2:$T3970,"="&amp;$T3971,$S$2:$S3970,"&lt;&gt;"&amp;$S3971)-1)))</f>
        <v/>
      </c>
      <c r="Y3971" t="b">
        <f>IF(X3971&lt;&gt;"",VLOOKUP(X3971,game_rosters!$C$43:$E$64,3,FALSE))</f>
        <v>0</v>
      </c>
      <c r="Z3971" t="e" cm="1" vm="1">
        <f t="array" aca="1" ref="Z3971" ca="1">IFERROR(IF(_xlfn._xlws.FILTER(game_rosters!$J:$J,(game_rosters!$G:$G=events!$AN3971)*(game_rosters!$J:$J=events!$X3971))&gt;0,1,""),"")</f>
        <v>#VALUE!</v>
      </c>
      <c r="AA3971">
        <f t="shared" si="327"/>
        <v>1000</v>
      </c>
      <c r="AB3971" t="str">
        <f t="shared" si="328"/>
        <v/>
      </c>
      <c r="AC3971">
        <f t="shared" si="329"/>
        <v>1000</v>
      </c>
      <c r="AD3971" s="6"/>
    </row>
    <row r="3972" spans="1:30" x14ac:dyDescent="0.2">
      <c r="A3972" t="str">
        <f t="shared" si="326"/>
        <v/>
      </c>
      <c r="X3972" t="str" cm="1">
        <f t="array" ref="X3972">IF(S3972="","",IF($I3972&lt;&gt;"",$I3972,INDEX($I$2:$I3971,ROW()-COUNTIFS($T$2:$T3971,"="&amp;$T3972,$S$2:$S3971,"&lt;&gt;"&amp;$S3972)-1)))</f>
        <v/>
      </c>
      <c r="Y3972" t="b">
        <f>IF(X3972&lt;&gt;"",VLOOKUP(X3972,game_rosters!$C$43:$E$64,3,FALSE))</f>
        <v>0</v>
      </c>
      <c r="Z3972" t="e" cm="1" vm="1">
        <f t="array" aca="1" ref="Z3972" ca="1">IFERROR(IF(_xlfn._xlws.FILTER(game_rosters!$J:$J,(game_rosters!$G:$G=events!$AN3972)*(game_rosters!$J:$J=events!$X3972))&gt;0,1,""),"")</f>
        <v>#VALUE!</v>
      </c>
      <c r="AA3972">
        <f t="shared" si="327"/>
        <v>1000</v>
      </c>
      <c r="AB3972" t="str">
        <f t="shared" si="328"/>
        <v/>
      </c>
      <c r="AC3972">
        <f t="shared" si="329"/>
        <v>1000</v>
      </c>
      <c r="AD3972" s="6"/>
    </row>
    <row r="3973" spans="1:30" x14ac:dyDescent="0.2">
      <c r="A3973" t="str">
        <f t="shared" ref="A3973:A4000" si="330">IF(K3973&lt;&gt;"",1,IF(D3973="x","x",""))</f>
        <v/>
      </c>
      <c r="X3973" t="str" cm="1">
        <f t="array" ref="X3973">IF(S3973="","",IF($I3973&lt;&gt;"",$I3973,INDEX($I$2:$I3972,ROW()-COUNTIFS($T$2:$T3972,"="&amp;$T3973,$S$2:$S3972,"&lt;&gt;"&amp;$S3973)-1)))</f>
        <v/>
      </c>
      <c r="Y3973" t="b">
        <f>IF(X3973&lt;&gt;"",VLOOKUP(X3973,game_rosters!$C$43:$E$64,3,FALSE))</f>
        <v>0</v>
      </c>
      <c r="Z3973" t="e" cm="1" vm="1">
        <f t="array" aca="1" ref="Z3973" ca="1">IFERROR(IF(_xlfn._xlws.FILTER(game_rosters!$J:$J,(game_rosters!$G:$G=events!$AN3973)*(game_rosters!$J:$J=events!$X3973))&gt;0,1,""),"")</f>
        <v>#VALUE!</v>
      </c>
      <c r="AA3973">
        <f t="shared" si="327"/>
        <v>1000</v>
      </c>
      <c r="AB3973" t="str">
        <f t="shared" si="328"/>
        <v/>
      </c>
      <c r="AC3973">
        <f t="shared" si="329"/>
        <v>1000</v>
      </c>
      <c r="AD3973" s="6"/>
    </row>
    <row r="3974" spans="1:30" x14ac:dyDescent="0.2">
      <c r="A3974" t="str">
        <f t="shared" si="330"/>
        <v/>
      </c>
      <c r="X3974" t="str" cm="1">
        <f t="array" ref="X3974">IF(S3974="","",IF($I3974&lt;&gt;"",$I3974,INDEX($I$2:$I3973,ROW()-COUNTIFS($T$2:$T3973,"="&amp;$T3974,$S$2:$S3973,"&lt;&gt;"&amp;$S3974)-1)))</f>
        <v/>
      </c>
      <c r="Y3974" t="b">
        <f>IF(X3974&lt;&gt;"",VLOOKUP(X3974,game_rosters!$C$43:$E$64,3,FALSE))</f>
        <v>0</v>
      </c>
      <c r="Z3974" t="e" cm="1" vm="1">
        <f t="array" aca="1" ref="Z3974" ca="1">IFERROR(IF(_xlfn._xlws.FILTER(game_rosters!$J:$J,(game_rosters!$G:$G=events!$AN3974)*(game_rosters!$J:$J=events!$X3974))&gt;0,1,""),"")</f>
        <v>#VALUE!</v>
      </c>
      <c r="AA3974">
        <f t="shared" si="327"/>
        <v>1000</v>
      </c>
      <c r="AB3974" t="str">
        <f t="shared" si="328"/>
        <v/>
      </c>
      <c r="AC3974">
        <f t="shared" si="329"/>
        <v>1000</v>
      </c>
      <c r="AD3974" s="6"/>
    </row>
    <row r="3975" spans="1:30" x14ac:dyDescent="0.2">
      <c r="A3975" t="str">
        <f t="shared" si="330"/>
        <v/>
      </c>
      <c r="X3975" t="str" cm="1">
        <f t="array" ref="X3975">IF(S3975="","",IF($I3975&lt;&gt;"",$I3975,INDEX($I$2:$I3974,ROW()-COUNTIFS($T$2:$T3974,"="&amp;$T3975,$S$2:$S3974,"&lt;&gt;"&amp;$S3975)-1)))</f>
        <v/>
      </c>
      <c r="Y3975" t="b">
        <f>IF(X3975&lt;&gt;"",VLOOKUP(X3975,game_rosters!$C$43:$E$64,3,FALSE))</f>
        <v>0</v>
      </c>
      <c r="Z3975" t="e" cm="1" vm="1">
        <f t="array" aca="1" ref="Z3975" ca="1">IFERROR(IF(_xlfn._xlws.FILTER(game_rosters!$J:$J,(game_rosters!$G:$G=events!$AN3975)*(game_rosters!$J:$J=events!$X3975))&gt;0,1,""),"")</f>
        <v>#VALUE!</v>
      </c>
      <c r="AA3975">
        <f t="shared" si="327"/>
        <v>1000</v>
      </c>
      <c r="AB3975" t="str">
        <f t="shared" si="328"/>
        <v/>
      </c>
      <c r="AC3975">
        <f t="shared" si="329"/>
        <v>1000</v>
      </c>
      <c r="AD3975" s="6"/>
    </row>
    <row r="3976" spans="1:30" x14ac:dyDescent="0.2">
      <c r="A3976" t="str">
        <f t="shared" si="330"/>
        <v/>
      </c>
      <c r="X3976" t="str" cm="1">
        <f t="array" ref="X3976">IF(S3976="","",IF($I3976&lt;&gt;"",$I3976,INDEX($I$2:$I3975,ROW()-COUNTIFS($T$2:$T3975,"="&amp;$T3976,$S$2:$S3975,"&lt;&gt;"&amp;$S3976)-1)))</f>
        <v/>
      </c>
      <c r="Y3976" t="b">
        <f>IF(X3976&lt;&gt;"",VLOOKUP(X3976,game_rosters!$C$43:$E$64,3,FALSE))</f>
        <v>0</v>
      </c>
      <c r="Z3976" t="e" cm="1" vm="1">
        <f t="array" aca="1" ref="Z3976" ca="1">IFERROR(IF(_xlfn._xlws.FILTER(game_rosters!$J:$J,(game_rosters!$G:$G=events!$AN3976)*(game_rosters!$J:$J=events!$X3976))&gt;0,1,""),"")</f>
        <v>#VALUE!</v>
      </c>
      <c r="AA3976">
        <f t="shared" si="327"/>
        <v>1000</v>
      </c>
      <c r="AB3976" t="str">
        <f t="shared" si="328"/>
        <v/>
      </c>
      <c r="AC3976">
        <f t="shared" si="329"/>
        <v>1000</v>
      </c>
      <c r="AD3976" s="6"/>
    </row>
    <row r="3977" spans="1:30" x14ac:dyDescent="0.2">
      <c r="A3977" t="str">
        <f t="shared" si="330"/>
        <v/>
      </c>
      <c r="X3977" t="str" cm="1">
        <f t="array" ref="X3977">IF(S3977="","",IF($I3977&lt;&gt;"",$I3977,INDEX($I$2:$I3976,ROW()-COUNTIFS($T$2:$T3976,"="&amp;$T3977,$S$2:$S3976,"&lt;&gt;"&amp;$S3977)-1)))</f>
        <v/>
      </c>
      <c r="Y3977" t="b">
        <f>IF(X3977&lt;&gt;"",VLOOKUP(X3977,game_rosters!$C$43:$E$64,3,FALSE))</f>
        <v>0</v>
      </c>
      <c r="Z3977" t="e" cm="1" vm="1">
        <f t="array" aca="1" ref="Z3977" ca="1">IFERROR(IF(_xlfn._xlws.FILTER(game_rosters!$J:$J,(game_rosters!$G:$G=events!$AN3977)*(game_rosters!$J:$J=events!$X3977))&gt;0,1,""),"")</f>
        <v>#VALUE!</v>
      </c>
      <c r="AA3977">
        <f t="shared" si="327"/>
        <v>1000</v>
      </c>
      <c r="AB3977" t="str">
        <f t="shared" si="328"/>
        <v/>
      </c>
      <c r="AC3977">
        <f t="shared" si="329"/>
        <v>1000</v>
      </c>
      <c r="AD3977" s="6"/>
    </row>
    <row r="3978" spans="1:30" x14ac:dyDescent="0.2">
      <c r="A3978" t="str">
        <f t="shared" si="330"/>
        <v/>
      </c>
      <c r="X3978" t="str" cm="1">
        <f t="array" ref="X3978">IF(S3978="","",IF($I3978&lt;&gt;"",$I3978,INDEX($I$2:$I3977,ROW()-COUNTIFS($T$2:$T3977,"="&amp;$T3978,$S$2:$S3977,"&lt;&gt;"&amp;$S3978)-1)))</f>
        <v/>
      </c>
      <c r="Y3978" t="b">
        <f>IF(X3978&lt;&gt;"",VLOOKUP(X3978,game_rosters!$C$43:$E$64,3,FALSE))</f>
        <v>0</v>
      </c>
      <c r="Z3978" t="e" cm="1" vm="1">
        <f t="array" aca="1" ref="Z3978" ca="1">IFERROR(IF(_xlfn._xlws.FILTER(game_rosters!$J:$J,(game_rosters!$G:$G=events!$AN3978)*(game_rosters!$J:$J=events!$X3978))&gt;0,1,""),"")</f>
        <v>#VALUE!</v>
      </c>
      <c r="AA3978">
        <f t="shared" si="327"/>
        <v>1000</v>
      </c>
      <c r="AB3978" t="str">
        <f t="shared" si="328"/>
        <v/>
      </c>
      <c r="AC3978">
        <f t="shared" si="329"/>
        <v>1000</v>
      </c>
      <c r="AD3978" s="6"/>
    </row>
    <row r="3979" spans="1:30" x14ac:dyDescent="0.2">
      <c r="A3979" t="str">
        <f t="shared" si="330"/>
        <v/>
      </c>
      <c r="X3979" t="str" cm="1">
        <f t="array" ref="X3979">IF(S3979="","",IF($I3979&lt;&gt;"",$I3979,INDEX($I$2:$I3978,ROW()-COUNTIFS($T$2:$T3978,"="&amp;$T3979,$S$2:$S3978,"&lt;&gt;"&amp;$S3979)-1)))</f>
        <v/>
      </c>
      <c r="Y3979" t="b">
        <f>IF(X3979&lt;&gt;"",VLOOKUP(X3979,game_rosters!$C$43:$E$64,3,FALSE))</f>
        <v>0</v>
      </c>
      <c r="Z3979" t="e" cm="1" vm="1">
        <f t="array" aca="1" ref="Z3979" ca="1">IFERROR(IF(_xlfn._xlws.FILTER(game_rosters!$J:$J,(game_rosters!$G:$G=events!$AN3979)*(game_rosters!$J:$J=events!$X3979))&gt;0,1,""),"")</f>
        <v>#VALUE!</v>
      </c>
      <c r="AA3979">
        <f t="shared" si="327"/>
        <v>1000</v>
      </c>
      <c r="AB3979" t="str">
        <f t="shared" si="328"/>
        <v/>
      </c>
      <c r="AC3979">
        <f t="shared" si="329"/>
        <v>1000</v>
      </c>
      <c r="AD3979" s="6"/>
    </row>
    <row r="3980" spans="1:30" x14ac:dyDescent="0.2">
      <c r="A3980" t="str">
        <f t="shared" si="330"/>
        <v/>
      </c>
      <c r="X3980" t="str" cm="1">
        <f t="array" ref="X3980">IF(S3980="","",IF($I3980&lt;&gt;"",$I3980,INDEX($I$2:$I3979,ROW()-COUNTIFS($T$2:$T3979,"="&amp;$T3980,$S$2:$S3979,"&lt;&gt;"&amp;$S3980)-1)))</f>
        <v/>
      </c>
      <c r="Y3980" t="b">
        <f>IF(X3980&lt;&gt;"",VLOOKUP(X3980,game_rosters!$C$43:$E$64,3,FALSE))</f>
        <v>0</v>
      </c>
      <c r="Z3980" t="e" cm="1" vm="1">
        <f t="array" aca="1" ref="Z3980" ca="1">IFERROR(IF(_xlfn._xlws.FILTER(game_rosters!$J:$J,(game_rosters!$G:$G=events!$AN3980)*(game_rosters!$J:$J=events!$X3980))&gt;0,1,""),"")</f>
        <v>#VALUE!</v>
      </c>
      <c r="AA3980">
        <f t="shared" si="327"/>
        <v>1000</v>
      </c>
      <c r="AB3980" t="str">
        <f t="shared" si="328"/>
        <v/>
      </c>
      <c r="AC3980">
        <f t="shared" si="329"/>
        <v>1000</v>
      </c>
      <c r="AD3980" s="6"/>
    </row>
    <row r="3981" spans="1:30" x14ac:dyDescent="0.2">
      <c r="A3981" t="str">
        <f t="shared" si="330"/>
        <v/>
      </c>
      <c r="X3981" t="str" cm="1">
        <f t="array" ref="X3981">IF(S3981="","",IF($I3981&lt;&gt;"",$I3981,INDEX($I$2:$I3980,ROW()-COUNTIFS($T$2:$T3980,"="&amp;$T3981,$S$2:$S3980,"&lt;&gt;"&amp;$S3981)-1)))</f>
        <v/>
      </c>
      <c r="Y3981" t="b">
        <f>IF(X3981&lt;&gt;"",VLOOKUP(X3981,game_rosters!$C$43:$E$64,3,FALSE))</f>
        <v>0</v>
      </c>
      <c r="Z3981" t="e" cm="1" vm="1">
        <f t="array" aca="1" ref="Z3981" ca="1">IFERROR(IF(_xlfn._xlws.FILTER(game_rosters!$J:$J,(game_rosters!$G:$G=events!$AN3981)*(game_rosters!$J:$J=events!$X3981))&gt;0,1,""),"")</f>
        <v>#VALUE!</v>
      </c>
      <c r="AA3981">
        <f t="shared" si="327"/>
        <v>1000</v>
      </c>
      <c r="AB3981" t="str">
        <f t="shared" si="328"/>
        <v/>
      </c>
      <c r="AC3981">
        <f t="shared" si="329"/>
        <v>1000</v>
      </c>
      <c r="AD3981" s="6"/>
    </row>
    <row r="3982" spans="1:30" x14ac:dyDescent="0.2">
      <c r="A3982" t="str">
        <f t="shared" si="330"/>
        <v/>
      </c>
      <c r="X3982" t="str" cm="1">
        <f t="array" ref="X3982">IF(S3982="","",IF($I3982&lt;&gt;"",$I3982,INDEX($I$2:$I3981,ROW()-COUNTIFS($T$2:$T3981,"="&amp;$T3982,$S$2:$S3981,"&lt;&gt;"&amp;$S3982)-1)))</f>
        <v/>
      </c>
      <c r="Y3982" t="b">
        <f>IF(X3982&lt;&gt;"",VLOOKUP(X3982,game_rosters!$C$43:$E$64,3,FALSE))</f>
        <v>0</v>
      </c>
      <c r="Z3982" t="e" cm="1" vm="1">
        <f t="array" aca="1" ref="Z3982" ca="1">IFERROR(IF(_xlfn._xlws.FILTER(game_rosters!$J:$J,(game_rosters!$G:$G=events!$AN3982)*(game_rosters!$J:$J=events!$X3982))&gt;0,1,""),"")</f>
        <v>#VALUE!</v>
      </c>
      <c r="AA3982">
        <f t="shared" si="327"/>
        <v>1000</v>
      </c>
      <c r="AB3982" t="str">
        <f t="shared" si="328"/>
        <v/>
      </c>
      <c r="AC3982">
        <f t="shared" si="329"/>
        <v>1000</v>
      </c>
      <c r="AD3982" s="6"/>
    </row>
    <row r="3983" spans="1:30" x14ac:dyDescent="0.2">
      <c r="A3983" t="str">
        <f t="shared" si="330"/>
        <v/>
      </c>
      <c r="X3983" t="str" cm="1">
        <f t="array" ref="X3983">IF(S3983="","",IF($I3983&lt;&gt;"",$I3983,INDEX($I$2:$I3982,ROW()-COUNTIFS($T$2:$T3982,"="&amp;$T3983,$S$2:$S3982,"&lt;&gt;"&amp;$S3983)-1)))</f>
        <v/>
      </c>
      <c r="Y3983" t="b">
        <f>IF(X3983&lt;&gt;"",VLOOKUP(X3983,game_rosters!$C$43:$E$64,3,FALSE))</f>
        <v>0</v>
      </c>
      <c r="Z3983" t="e" cm="1" vm="1">
        <f t="array" aca="1" ref="Z3983" ca="1">IFERROR(IF(_xlfn._xlws.FILTER(game_rosters!$J:$J,(game_rosters!$G:$G=events!$AN3983)*(game_rosters!$J:$J=events!$X3983))&gt;0,1,""),"")</f>
        <v>#VALUE!</v>
      </c>
      <c r="AA3983">
        <f t="shared" si="327"/>
        <v>1000</v>
      </c>
      <c r="AB3983" t="str">
        <f t="shared" si="328"/>
        <v/>
      </c>
      <c r="AC3983">
        <f t="shared" si="329"/>
        <v>1000</v>
      </c>
      <c r="AD3983" s="6"/>
    </row>
    <row r="3984" spans="1:30" x14ac:dyDescent="0.2">
      <c r="A3984" t="str">
        <f t="shared" si="330"/>
        <v/>
      </c>
      <c r="X3984" t="str" cm="1">
        <f t="array" ref="X3984">IF(S3984="","",IF($I3984&lt;&gt;"",$I3984,INDEX($I$2:$I3983,ROW()-COUNTIFS($T$2:$T3983,"="&amp;$T3984,$S$2:$S3983,"&lt;&gt;"&amp;$S3984)-1)))</f>
        <v/>
      </c>
      <c r="Y3984" t="b">
        <f>IF(X3984&lt;&gt;"",VLOOKUP(X3984,game_rosters!$C$43:$E$64,3,FALSE))</f>
        <v>0</v>
      </c>
      <c r="Z3984" t="e" cm="1" vm="1">
        <f t="array" aca="1" ref="Z3984" ca="1">IFERROR(IF(_xlfn._xlws.FILTER(game_rosters!$J:$J,(game_rosters!$G:$G=events!$AN3984)*(game_rosters!$J:$J=events!$X3984))&gt;0,1,""),"")</f>
        <v>#VALUE!</v>
      </c>
      <c r="AA3984">
        <f t="shared" si="327"/>
        <v>1000</v>
      </c>
      <c r="AB3984" t="str">
        <f t="shared" si="328"/>
        <v/>
      </c>
      <c r="AC3984">
        <f t="shared" si="329"/>
        <v>1000</v>
      </c>
      <c r="AD3984" s="6"/>
    </row>
    <row r="3985" spans="1:30" x14ac:dyDescent="0.2">
      <c r="A3985" t="str">
        <f t="shared" si="330"/>
        <v/>
      </c>
      <c r="X3985" t="str" cm="1">
        <f t="array" ref="X3985">IF(S3985="","",IF($I3985&lt;&gt;"",$I3985,INDEX($I$2:$I3984,ROW()-COUNTIFS($T$2:$T3984,"="&amp;$T3985,$S$2:$S3984,"&lt;&gt;"&amp;$S3985)-1)))</f>
        <v/>
      </c>
      <c r="Y3985" t="b">
        <f>IF(X3985&lt;&gt;"",VLOOKUP(X3985,game_rosters!$C$43:$E$64,3,FALSE))</f>
        <v>0</v>
      </c>
      <c r="Z3985" t="e" cm="1" vm="1">
        <f t="array" aca="1" ref="Z3985" ca="1">IFERROR(IF(_xlfn._xlws.FILTER(game_rosters!$J:$J,(game_rosters!$G:$G=events!$AN3985)*(game_rosters!$J:$J=events!$X3985))&gt;0,1,""),"")</f>
        <v>#VALUE!</v>
      </c>
      <c r="AA3985">
        <f t="shared" si="327"/>
        <v>1000</v>
      </c>
      <c r="AB3985" t="str">
        <f t="shared" si="328"/>
        <v/>
      </c>
      <c r="AC3985">
        <f t="shared" si="329"/>
        <v>1000</v>
      </c>
      <c r="AD3985" s="6"/>
    </row>
    <row r="3986" spans="1:30" x14ac:dyDescent="0.2">
      <c r="A3986" t="str">
        <f t="shared" si="330"/>
        <v/>
      </c>
      <c r="X3986" t="str" cm="1">
        <f t="array" ref="X3986">IF(S3986="","",IF($I3986&lt;&gt;"",$I3986,INDEX($I$2:$I3985,ROW()-COUNTIFS($T$2:$T3985,"="&amp;$T3986,$S$2:$S3985,"&lt;&gt;"&amp;$S3986)-1)))</f>
        <v/>
      </c>
      <c r="Y3986" t="b">
        <f>IF(X3986&lt;&gt;"",VLOOKUP(X3986,game_rosters!$C$43:$E$64,3,FALSE))</f>
        <v>0</v>
      </c>
      <c r="Z3986" t="e" cm="1" vm="1">
        <f t="array" aca="1" ref="Z3986" ca="1">IFERROR(IF(_xlfn._xlws.FILTER(game_rosters!$J:$J,(game_rosters!$G:$G=events!$AN3986)*(game_rosters!$J:$J=events!$X3986))&gt;0,1,""),"")</f>
        <v>#VALUE!</v>
      </c>
      <c r="AA3986">
        <f t="shared" si="327"/>
        <v>1000</v>
      </c>
      <c r="AB3986" t="str">
        <f t="shared" si="328"/>
        <v/>
      </c>
      <c r="AC3986">
        <f t="shared" si="329"/>
        <v>1000</v>
      </c>
      <c r="AD3986" s="6"/>
    </row>
    <row r="3987" spans="1:30" x14ac:dyDescent="0.2">
      <c r="A3987" t="str">
        <f t="shared" si="330"/>
        <v/>
      </c>
      <c r="X3987" t="str" cm="1">
        <f t="array" ref="X3987">IF(S3987="","",IF($I3987&lt;&gt;"",$I3987,INDEX($I$2:$I3986,ROW()-COUNTIFS($T$2:$T3986,"="&amp;$T3987,$S$2:$S3986,"&lt;&gt;"&amp;$S3987)-1)))</f>
        <v/>
      </c>
      <c r="Y3987" t="b">
        <f>IF(X3987&lt;&gt;"",VLOOKUP(X3987,game_rosters!$C$43:$E$64,3,FALSE))</f>
        <v>0</v>
      </c>
      <c r="Z3987" t="e" cm="1" vm="1">
        <f t="array" aca="1" ref="Z3987" ca="1">IFERROR(IF(_xlfn._xlws.FILTER(game_rosters!$J:$J,(game_rosters!$G:$G=events!$AN3987)*(game_rosters!$J:$J=events!$X3987))&gt;0,1,""),"")</f>
        <v>#VALUE!</v>
      </c>
      <c r="AA3987">
        <f t="shared" si="327"/>
        <v>1000</v>
      </c>
      <c r="AB3987" t="str">
        <f t="shared" si="328"/>
        <v/>
      </c>
      <c r="AC3987">
        <f t="shared" si="329"/>
        <v>1000</v>
      </c>
      <c r="AD3987" s="6"/>
    </row>
    <row r="3988" spans="1:30" x14ac:dyDescent="0.2">
      <c r="A3988" t="str">
        <f t="shared" si="330"/>
        <v/>
      </c>
      <c r="X3988" t="str" cm="1">
        <f t="array" ref="X3988">IF(S3988="","",IF($I3988&lt;&gt;"",$I3988,INDEX($I$2:$I3987,ROW()-COUNTIFS($T$2:$T3987,"="&amp;$T3988,$S$2:$S3987,"&lt;&gt;"&amp;$S3988)-1)))</f>
        <v/>
      </c>
      <c r="Y3988" t="b">
        <f>IF(X3988&lt;&gt;"",VLOOKUP(X3988,game_rosters!$C$43:$E$64,3,FALSE))</f>
        <v>0</v>
      </c>
      <c r="Z3988" t="e" cm="1" vm="1">
        <f t="array" aca="1" ref="Z3988" ca="1">IFERROR(IF(_xlfn._xlws.FILTER(game_rosters!$J:$J,(game_rosters!$G:$G=events!$AN3988)*(game_rosters!$J:$J=events!$X3988))&gt;0,1,""),"")</f>
        <v>#VALUE!</v>
      </c>
      <c r="AA3988">
        <f t="shared" si="327"/>
        <v>1000</v>
      </c>
      <c r="AB3988" t="str">
        <f t="shared" si="328"/>
        <v/>
      </c>
      <c r="AC3988">
        <f t="shared" si="329"/>
        <v>1000</v>
      </c>
      <c r="AD3988" s="6"/>
    </row>
    <row r="3989" spans="1:30" x14ac:dyDescent="0.2">
      <c r="A3989" t="str">
        <f t="shared" si="330"/>
        <v/>
      </c>
      <c r="X3989" t="str" cm="1">
        <f t="array" ref="X3989">IF(S3989="","",IF($I3989&lt;&gt;"",$I3989,INDEX($I$2:$I3988,ROW()-COUNTIFS($T$2:$T3988,"="&amp;$T3989,$S$2:$S3988,"&lt;&gt;"&amp;$S3989)-1)))</f>
        <v/>
      </c>
      <c r="Y3989" t="b">
        <f>IF(X3989&lt;&gt;"",VLOOKUP(X3989,game_rosters!$C$43:$E$64,3,FALSE))</f>
        <v>0</v>
      </c>
      <c r="Z3989" t="e" cm="1" vm="1">
        <f t="array" aca="1" ref="Z3989" ca="1">IFERROR(IF(_xlfn._xlws.FILTER(game_rosters!$J:$J,(game_rosters!$G:$G=events!$AN3989)*(game_rosters!$J:$J=events!$X3989))&gt;0,1,""),"")</f>
        <v>#VALUE!</v>
      </c>
      <c r="AA3989">
        <f t="shared" si="327"/>
        <v>1000</v>
      </c>
      <c r="AB3989" t="str">
        <f t="shared" si="328"/>
        <v/>
      </c>
      <c r="AC3989">
        <f t="shared" si="329"/>
        <v>1000</v>
      </c>
      <c r="AD3989" s="6"/>
    </row>
    <row r="3990" spans="1:30" x14ac:dyDescent="0.2">
      <c r="A3990" t="str">
        <f t="shared" si="330"/>
        <v/>
      </c>
      <c r="X3990" t="str" cm="1">
        <f t="array" ref="X3990">IF(S3990="","",IF($I3990&lt;&gt;"",$I3990,INDEX($I$2:$I3989,ROW()-COUNTIFS($T$2:$T3989,"="&amp;$T3990,$S$2:$S3989,"&lt;&gt;"&amp;$S3990)-1)))</f>
        <v/>
      </c>
      <c r="Y3990" t="b">
        <f>IF(X3990&lt;&gt;"",VLOOKUP(X3990,game_rosters!$C$43:$E$64,3,FALSE))</f>
        <v>0</v>
      </c>
      <c r="Z3990" t="e" cm="1" vm="1">
        <f t="array" aca="1" ref="Z3990" ca="1">IFERROR(IF(_xlfn._xlws.FILTER(game_rosters!$J:$J,(game_rosters!$G:$G=events!$AN3990)*(game_rosters!$J:$J=events!$X3990))&gt;0,1,""),"")</f>
        <v>#VALUE!</v>
      </c>
      <c r="AA3990">
        <f t="shared" si="327"/>
        <v>1000</v>
      </c>
      <c r="AB3990" t="str">
        <f t="shared" si="328"/>
        <v/>
      </c>
      <c r="AC3990">
        <f t="shared" si="329"/>
        <v>1000</v>
      </c>
      <c r="AD3990" s="6"/>
    </row>
    <row r="3991" spans="1:30" x14ac:dyDescent="0.2">
      <c r="A3991" t="str">
        <f t="shared" si="330"/>
        <v/>
      </c>
      <c r="X3991" t="str" cm="1">
        <f t="array" ref="X3991">IF(S3991="","",IF($I3991&lt;&gt;"",$I3991,INDEX($I$2:$I3990,ROW()-COUNTIFS($T$2:$T3990,"="&amp;$T3991,$S$2:$S3990,"&lt;&gt;"&amp;$S3991)-1)))</f>
        <v/>
      </c>
      <c r="Y3991" t="b">
        <f>IF(X3991&lt;&gt;"",VLOOKUP(X3991,game_rosters!$C$43:$E$64,3,FALSE))</f>
        <v>0</v>
      </c>
      <c r="Z3991" t="e" cm="1" vm="1">
        <f t="array" aca="1" ref="Z3991" ca="1">IFERROR(IF(_xlfn._xlws.FILTER(game_rosters!$J:$J,(game_rosters!$G:$G=events!$AN3991)*(game_rosters!$J:$J=events!$X3991))&gt;0,1,""),"")</f>
        <v>#VALUE!</v>
      </c>
      <c r="AA3991">
        <f t="shared" si="327"/>
        <v>1000</v>
      </c>
      <c r="AB3991" t="str">
        <f t="shared" si="328"/>
        <v/>
      </c>
      <c r="AC3991">
        <f t="shared" si="329"/>
        <v>1000</v>
      </c>
      <c r="AD3991" s="6"/>
    </row>
    <row r="3992" spans="1:30" x14ac:dyDescent="0.2">
      <c r="A3992" t="str">
        <f t="shared" si="330"/>
        <v/>
      </c>
      <c r="X3992" t="str" cm="1">
        <f t="array" ref="X3992">IF(S3992="","",IF($I3992&lt;&gt;"",$I3992,INDEX($I$2:$I3991,ROW()-COUNTIFS($T$2:$T3991,"="&amp;$T3992,$S$2:$S3991,"&lt;&gt;"&amp;$S3992)-1)))</f>
        <v/>
      </c>
      <c r="Y3992" t="b">
        <f>IF(X3992&lt;&gt;"",VLOOKUP(X3992,game_rosters!$C$43:$E$64,3,FALSE))</f>
        <v>0</v>
      </c>
      <c r="Z3992" t="e" cm="1" vm="1">
        <f t="array" aca="1" ref="Z3992" ca="1">IFERROR(IF(_xlfn._xlws.FILTER(game_rosters!$J:$J,(game_rosters!$G:$G=events!$AN3992)*(game_rosters!$J:$J=events!$X3992))&gt;0,1,""),"")</f>
        <v>#VALUE!</v>
      </c>
      <c r="AA3992">
        <f t="shared" si="327"/>
        <v>1000</v>
      </c>
      <c r="AB3992" t="str">
        <f t="shared" si="328"/>
        <v/>
      </c>
      <c r="AC3992">
        <f t="shared" si="329"/>
        <v>1000</v>
      </c>
      <c r="AD3992" s="6"/>
    </row>
    <row r="3993" spans="1:30" x14ac:dyDescent="0.2">
      <c r="A3993" t="str">
        <f t="shared" si="330"/>
        <v/>
      </c>
      <c r="X3993" t="str" cm="1">
        <f t="array" ref="X3993">IF(S3993="","",IF($I3993&lt;&gt;"",$I3993,INDEX($I$2:$I3992,ROW()-COUNTIFS($T$2:$T3992,"="&amp;$T3993,$S$2:$S3992,"&lt;&gt;"&amp;$S3993)-1)))</f>
        <v/>
      </c>
      <c r="Y3993" t="b">
        <f>IF(X3993&lt;&gt;"",VLOOKUP(X3993,game_rosters!$C$43:$E$64,3,FALSE))</f>
        <v>0</v>
      </c>
      <c r="Z3993" t="e" cm="1" vm="1">
        <f t="array" aca="1" ref="Z3993" ca="1">IFERROR(IF(_xlfn._xlws.FILTER(game_rosters!$J:$J,(game_rosters!$G:$G=events!$AN3993)*(game_rosters!$J:$J=events!$X3993))&gt;0,1,""),"")</f>
        <v>#VALUE!</v>
      </c>
      <c r="AA3993">
        <f t="shared" si="327"/>
        <v>1000</v>
      </c>
      <c r="AB3993" t="str">
        <f t="shared" si="328"/>
        <v/>
      </c>
      <c r="AC3993">
        <f t="shared" si="329"/>
        <v>1000</v>
      </c>
      <c r="AD3993" s="6"/>
    </row>
    <row r="3994" spans="1:30" x14ac:dyDescent="0.2">
      <c r="A3994" t="str">
        <f t="shared" si="330"/>
        <v/>
      </c>
      <c r="X3994" t="str" cm="1">
        <f t="array" ref="X3994">IF(S3994="","",IF($I3994&lt;&gt;"",$I3994,INDEX($I$2:$I3993,ROW()-COUNTIFS($T$2:$T3993,"="&amp;$T3994,$S$2:$S3993,"&lt;&gt;"&amp;$S3994)-1)))</f>
        <v/>
      </c>
      <c r="Y3994" t="b">
        <f>IF(X3994&lt;&gt;"",VLOOKUP(X3994,game_rosters!$C$43:$E$64,3,FALSE))</f>
        <v>0</v>
      </c>
      <c r="Z3994" t="e" cm="1" vm="1">
        <f t="array" aca="1" ref="Z3994" ca="1">IFERROR(IF(_xlfn._xlws.FILTER(game_rosters!$J:$J,(game_rosters!$G:$G=events!$AN3994)*(game_rosters!$J:$J=events!$X3994))&gt;0,1,""),"")</f>
        <v>#VALUE!</v>
      </c>
      <c r="AA3994">
        <f t="shared" si="327"/>
        <v>1000</v>
      </c>
      <c r="AB3994" t="str">
        <f t="shared" si="328"/>
        <v/>
      </c>
      <c r="AC3994">
        <f t="shared" si="329"/>
        <v>1000</v>
      </c>
      <c r="AD3994" s="6"/>
    </row>
    <row r="3995" spans="1:30" x14ac:dyDescent="0.2">
      <c r="A3995" t="str">
        <f t="shared" si="330"/>
        <v/>
      </c>
      <c r="X3995" t="str" cm="1">
        <f t="array" ref="X3995">IF(S3995="","",IF($I3995&lt;&gt;"",$I3995,INDEX($I$2:$I3994,ROW()-COUNTIFS($T$2:$T3994,"="&amp;$T3995,$S$2:$S3994,"&lt;&gt;"&amp;$S3995)-1)))</f>
        <v/>
      </c>
      <c r="Y3995" t="b">
        <f>IF(X3995&lt;&gt;"",VLOOKUP(X3995,game_rosters!$C$43:$E$64,3,FALSE))</f>
        <v>0</v>
      </c>
      <c r="Z3995" t="e" cm="1" vm="1">
        <f t="array" aca="1" ref="Z3995" ca="1">IFERROR(IF(_xlfn._xlws.FILTER(game_rosters!$J:$J,(game_rosters!$G:$G=events!$AN3995)*(game_rosters!$J:$J=events!$X3995))&gt;0,1,""),"")</f>
        <v>#VALUE!</v>
      </c>
      <c r="AA3995">
        <f t="shared" si="327"/>
        <v>1000</v>
      </c>
      <c r="AB3995" t="str">
        <f t="shared" si="328"/>
        <v/>
      </c>
      <c r="AC3995">
        <f t="shared" si="329"/>
        <v>1000</v>
      </c>
      <c r="AD3995" s="6"/>
    </row>
    <row r="3996" spans="1:30" x14ac:dyDescent="0.2">
      <c r="A3996" t="str">
        <f t="shared" si="330"/>
        <v/>
      </c>
      <c r="X3996" t="str" cm="1">
        <f t="array" ref="X3996">IF(S3996="","",IF($I3996&lt;&gt;"",$I3996,INDEX($I$2:$I3995,ROW()-COUNTIFS($T$2:$T3995,"="&amp;$T3996,$S$2:$S3995,"&lt;&gt;"&amp;$S3996)-1)))</f>
        <v/>
      </c>
      <c r="Y3996" t="b">
        <f>IF(X3996&lt;&gt;"",VLOOKUP(X3996,game_rosters!$C$43:$E$64,3,FALSE))</f>
        <v>0</v>
      </c>
      <c r="Z3996" t="e" cm="1" vm="1">
        <f t="array" aca="1" ref="Z3996" ca="1">IFERROR(IF(_xlfn._xlws.FILTER(game_rosters!$J:$J,(game_rosters!$G:$G=events!$AN3996)*(game_rosters!$J:$J=events!$X3996))&gt;0,1,""),"")</f>
        <v>#VALUE!</v>
      </c>
      <c r="AA3996">
        <f t="shared" si="327"/>
        <v>1000</v>
      </c>
      <c r="AB3996" t="str">
        <f t="shared" si="328"/>
        <v/>
      </c>
      <c r="AC3996">
        <f t="shared" si="329"/>
        <v>1000</v>
      </c>
      <c r="AD3996" s="6"/>
    </row>
    <row r="3997" spans="1:30" x14ac:dyDescent="0.2">
      <c r="A3997" t="str">
        <f t="shared" si="330"/>
        <v/>
      </c>
      <c r="X3997" t="str" cm="1">
        <f t="array" ref="X3997">IF(S3997="","",IF($I3997&lt;&gt;"",$I3997,INDEX($I$2:$I3996,ROW()-COUNTIFS($T$2:$T3996,"="&amp;$T3997,$S$2:$S3996,"&lt;&gt;"&amp;$S3997)-1)))</f>
        <v/>
      </c>
      <c r="Y3997" t="b">
        <f>IF(X3997&lt;&gt;"",VLOOKUP(X3997,game_rosters!$C$43:$E$64,3,FALSE))</f>
        <v>0</v>
      </c>
      <c r="Z3997" t="e" cm="1" vm="1">
        <f t="array" aca="1" ref="Z3997" ca="1">IFERROR(IF(_xlfn._xlws.FILTER(game_rosters!$J:$J,(game_rosters!$G:$G=events!$AN3997)*(game_rosters!$J:$J=events!$X3997))&gt;0,1,""),"")</f>
        <v>#VALUE!</v>
      </c>
      <c r="AA3997">
        <f t="shared" ref="AA3997:AA4000" si="331">S3997+1000</f>
        <v>1000</v>
      </c>
      <c r="AB3997" t="str">
        <f t="shared" ref="AB3997:AB4000" si="332">IF(T3997&lt;&gt;"",9000+T3997,"")</f>
        <v/>
      </c>
      <c r="AC3997">
        <f t="shared" si="329"/>
        <v>1000</v>
      </c>
      <c r="AD3997" s="6"/>
    </row>
    <row r="3998" spans="1:30" x14ac:dyDescent="0.2">
      <c r="A3998" t="str">
        <f t="shared" si="330"/>
        <v/>
      </c>
      <c r="X3998" t="str" cm="1">
        <f t="array" ref="X3998">IF(S3998="","",IF($I3998&lt;&gt;"",$I3998,INDEX($I$2:$I3997,ROW()-COUNTIFS($T$2:$T3997,"="&amp;$T3998,$S$2:$S3997,"&lt;&gt;"&amp;$S3998)-1)))</f>
        <v/>
      </c>
      <c r="Y3998" t="b">
        <f>IF(X3998&lt;&gt;"",VLOOKUP(X3998,game_rosters!$C$43:$E$64,3,FALSE))</f>
        <v>0</v>
      </c>
      <c r="Z3998" t="e" cm="1" vm="1">
        <f t="array" aca="1" ref="Z3998" ca="1">IFERROR(IF(_xlfn._xlws.FILTER(game_rosters!$J:$J,(game_rosters!$G:$G=events!$AN3998)*(game_rosters!$J:$J=events!$X3998))&gt;0,1,""),"")</f>
        <v>#VALUE!</v>
      </c>
      <c r="AA3998">
        <f t="shared" si="331"/>
        <v>1000</v>
      </c>
      <c r="AB3998" t="str">
        <f t="shared" si="332"/>
        <v/>
      </c>
      <c r="AC3998">
        <f t="shared" si="329"/>
        <v>1000</v>
      </c>
      <c r="AD3998" s="6"/>
    </row>
    <row r="3999" spans="1:30" x14ac:dyDescent="0.2">
      <c r="A3999" t="str">
        <f t="shared" si="330"/>
        <v/>
      </c>
      <c r="X3999" t="str" cm="1">
        <f t="array" ref="X3999">IF(S3999="","",IF($I3999&lt;&gt;"",$I3999,INDEX($I$2:$I3998,ROW()-COUNTIFS($T$2:$T3998,"="&amp;$T3999,$S$2:$S3998,"&lt;&gt;"&amp;$S3999)-1)))</f>
        <v/>
      </c>
      <c r="Y3999" t="b">
        <f>IF(X3999&lt;&gt;"",VLOOKUP(X3999,game_rosters!$C$43:$E$64,3,FALSE))</f>
        <v>0</v>
      </c>
      <c r="Z3999" t="e" cm="1" vm="1">
        <f t="array" aca="1" ref="Z3999" ca="1">IFERROR(IF(_xlfn._xlws.FILTER(game_rosters!$J:$J,(game_rosters!$G:$G=events!$AN3999)*(game_rosters!$J:$J=events!$X3999))&gt;0,1,""),"")</f>
        <v>#VALUE!</v>
      </c>
      <c r="AA3999">
        <f t="shared" si="331"/>
        <v>1000</v>
      </c>
      <c r="AB3999" t="str">
        <f t="shared" si="332"/>
        <v/>
      </c>
      <c r="AC3999">
        <f t="shared" si="329"/>
        <v>1000</v>
      </c>
      <c r="AD3999" s="6"/>
    </row>
    <row r="4000" spans="1:30" x14ac:dyDescent="0.2">
      <c r="A4000" t="str">
        <f t="shared" si="330"/>
        <v/>
      </c>
      <c r="X4000" t="str" cm="1">
        <f t="array" ref="X4000">IF(S4000="","",IF($I4000&lt;&gt;"",$I4000,INDEX($I$2:$I3999,ROW()-COUNTIFS($T$2:$T3999,"="&amp;$T4000,$S$2:$S3999,"&lt;&gt;"&amp;$S4000)-1)))</f>
        <v/>
      </c>
      <c r="Y4000" t="b">
        <f>IF(X4000&lt;&gt;"",VLOOKUP(X4000,game_rosters!$C$43:$E$64,3,FALSE))</f>
        <v>0</v>
      </c>
      <c r="Z4000" t="e" cm="1" vm="1">
        <f t="array" aca="1" ref="Z4000" ca="1">IFERROR(IF(_xlfn._xlws.FILTER(game_rosters!$J:$J,(game_rosters!$G:$G=events!$AN4000)*(game_rosters!$J:$J=events!$X4000))&gt;0,1,""),"")</f>
        <v>#VALUE!</v>
      </c>
      <c r="AA4000">
        <f t="shared" si="331"/>
        <v>1000</v>
      </c>
      <c r="AB4000" t="str">
        <f t="shared" si="332"/>
        <v/>
      </c>
      <c r="AC4000">
        <f t="shared" si="329"/>
        <v>1000</v>
      </c>
      <c r="AD4000" s="6"/>
    </row>
  </sheetData>
  <autoFilter ref="A1:BU1" xr:uid="{24A10568-2B3A-4A48-AC24-E8A68FC7CC92}"/>
  <phoneticPr fontId="2" type="noConversion"/>
  <conditionalFormatting sqref="B4:W4">
    <cfRule type="expression" dxfId="4" priority="8" stopIfTrue="1">
      <formula>$S4&lt;#REF!</formula>
    </cfRule>
  </conditionalFormatting>
  <conditionalFormatting sqref="B2:Z2 Y3:Z4000 X4:Z859 B3:X3 B5:W860 X860:X4000">
    <cfRule type="expression" dxfId="3" priority="5" stopIfTrue="1">
      <formula>$S2&lt;$S3</formula>
    </cfRule>
  </conditionalFormatting>
  <conditionalFormatting sqref="Y1:Y1048576">
    <cfRule type="containsText" dxfId="2" priority="1" operator="containsText" text="TRUE">
      <formula>NOT(ISERROR(SEARCH("TRUE",Y1)))</formula>
    </cfRule>
  </conditionalFormatting>
  <conditionalFormatting sqref="BT1:BU860">
    <cfRule type="containsText" dxfId="1" priority="3" operator="containsText" text="XX">
      <formula>NOT(ISERROR(SEARCH("XX",BT1)))</formula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2B68188-98A6-3F4E-BE51-AC7D2CB1B669}">
          <x14:formula1>
            <xm:f>Lists!$A:$A</xm:f>
          </x14:formula1>
          <xm:sqref>K3:K860</xm:sqref>
        </x14:dataValidation>
        <x14:dataValidation type="list" allowBlank="1" showInputMessage="1" showErrorMessage="1" xr:uid="{AEB0E96D-A258-564D-9E07-30FECDE0D412}">
          <x14:formula1>
            <xm:f>_xlfn.XLOOKUP($K3,Lists!$A$1:$BO$1,Lists!$A$2:$BO$10000)</xm:f>
          </x14:formula1>
          <xm:sqref>L3:L860</xm:sqref>
        </x14:dataValidation>
        <x14:dataValidation type="list" allowBlank="1" showInputMessage="1" showErrorMessage="1" xr:uid="{89E93ACB-5452-944D-8FCA-D1B915343FC2}">
          <x14:formula1>
            <xm:f>_xlfn.XLOOKUP($L3,Lists!$A$1:$BO$1,Lists!$A$2:$BO$10000)</xm:f>
          </x14:formula1>
          <xm:sqref>M3:M860</xm:sqref>
        </x14:dataValidation>
        <x14:dataValidation type="list" allowBlank="1" showInputMessage="1" showErrorMessage="1" xr:uid="{A86E4765-FD14-F245-9244-1C1956801F00}">
          <x14:formula1>
            <xm:f>Lists!$BQ:$BQ</xm:f>
          </x14:formula1>
          <xm:sqref>O3:P860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A400-733E-7A4C-BA36-0E45C3970E91}">
  <sheetPr>
    <tabColor theme="7"/>
  </sheetPr>
  <dimension ref="A1:BC202"/>
  <sheetViews>
    <sheetView zoomScale="85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D5" sqref="D5"/>
    </sheetView>
  </sheetViews>
  <sheetFormatPr baseColWidth="10" defaultRowHeight="16" x14ac:dyDescent="0.2"/>
  <cols>
    <col min="2" max="2" width="10.83203125" style="6"/>
    <col min="4" max="4" width="10.83203125" style="4" customWidth="1"/>
    <col min="6" max="6" width="10.83203125" style="4"/>
    <col min="7" max="7" width="10.83203125" style="6"/>
    <col min="8" max="8" width="10.83203125" style="5"/>
    <col min="14" max="14" width="10.83203125" hidden="1" customWidth="1"/>
    <col min="15" max="15" width="10.83203125" style="5"/>
    <col min="16" max="16" width="10.83203125" style="6"/>
    <col min="21" max="21" width="10.83203125" customWidth="1"/>
    <col min="23" max="23" width="10.83203125" style="6"/>
    <col min="24" max="24" width="10.83203125" style="6" hidden="1" customWidth="1"/>
    <col min="26" max="26" width="10.83203125" hidden="1" customWidth="1"/>
    <col min="28" max="28" width="10.83203125" hidden="1" customWidth="1"/>
    <col min="33" max="33" width="12.6640625" customWidth="1"/>
    <col min="44" max="44" width="34.6640625" customWidth="1"/>
  </cols>
  <sheetData>
    <row r="1" spans="1:55" s="2" customFormat="1" ht="68" x14ac:dyDescent="0.2">
      <c r="A1" s="2" t="s">
        <v>256</v>
      </c>
      <c r="B1" s="9" t="s">
        <v>0</v>
      </c>
      <c r="C1" s="2" t="s">
        <v>259</v>
      </c>
      <c r="D1" s="8" t="s">
        <v>260</v>
      </c>
      <c r="E1" s="2" t="s">
        <v>261</v>
      </c>
      <c r="F1" s="8" t="s">
        <v>262</v>
      </c>
      <c r="G1" s="9" t="s">
        <v>257</v>
      </c>
      <c r="H1" s="12" t="s">
        <v>258</v>
      </c>
      <c r="I1" s="2" t="s">
        <v>263</v>
      </c>
      <c r="J1" s="2" t="s">
        <v>264</v>
      </c>
      <c r="K1" s="2" t="s">
        <v>265</v>
      </c>
      <c r="L1" s="2" t="s">
        <v>266</v>
      </c>
      <c r="M1" s="2" t="s">
        <v>267</v>
      </c>
      <c r="N1" s="2" t="s">
        <v>269</v>
      </c>
      <c r="O1" s="12" t="s">
        <v>268</v>
      </c>
      <c r="P1" s="9" t="s">
        <v>270</v>
      </c>
      <c r="Q1" s="2" t="s">
        <v>271</v>
      </c>
      <c r="R1" s="2" t="s">
        <v>272</v>
      </c>
      <c r="S1" s="2" t="s">
        <v>273</v>
      </c>
      <c r="T1" s="2" t="s">
        <v>274</v>
      </c>
      <c r="U1" s="2" t="s">
        <v>276</v>
      </c>
      <c r="V1" s="2" t="s">
        <v>275</v>
      </c>
      <c r="W1" s="10" t="s">
        <v>277</v>
      </c>
      <c r="X1" s="13" t="s">
        <v>278</v>
      </c>
      <c r="Y1" s="11" t="s">
        <v>279</v>
      </c>
      <c r="Z1" s="16" t="s">
        <v>280</v>
      </c>
      <c r="AA1" s="11" t="s">
        <v>281</v>
      </c>
      <c r="AB1" s="16" t="s">
        <v>282</v>
      </c>
      <c r="AC1" s="11" t="s">
        <v>283</v>
      </c>
      <c r="AD1" s="2" t="s">
        <v>248</v>
      </c>
      <c r="AE1" s="2" t="s">
        <v>249</v>
      </c>
      <c r="AF1" s="2" t="s">
        <v>250</v>
      </c>
      <c r="AG1" s="2" t="s">
        <v>360</v>
      </c>
      <c r="AH1" s="2" t="s">
        <v>359</v>
      </c>
      <c r="AI1" s="2" t="s">
        <v>361</v>
      </c>
      <c r="AJ1" s="2" t="s">
        <v>345</v>
      </c>
      <c r="AK1" s="2" t="s">
        <v>346</v>
      </c>
      <c r="AL1" s="2" t="s">
        <v>347</v>
      </c>
      <c r="AM1" s="2" t="s">
        <v>348</v>
      </c>
      <c r="AN1" s="2" t="s">
        <v>350</v>
      </c>
      <c r="AO1" s="2" t="s">
        <v>349</v>
      </c>
      <c r="AP1" s="2" t="s">
        <v>351</v>
      </c>
      <c r="AQ1" s="2" t="s">
        <v>352</v>
      </c>
      <c r="AR1" s="2" t="s">
        <v>353</v>
      </c>
      <c r="AS1" s="2" t="s">
        <v>362</v>
      </c>
      <c r="AT1" s="2" t="s">
        <v>363</v>
      </c>
      <c r="AU1" s="2" t="s">
        <v>364</v>
      </c>
      <c r="AV1" s="2" t="s">
        <v>889</v>
      </c>
      <c r="AW1" s="2" t="s">
        <v>890</v>
      </c>
      <c r="AX1" s="2" t="s">
        <v>891</v>
      </c>
      <c r="AY1" s="2" t="s">
        <v>892</v>
      </c>
      <c r="AZ1" s="18" t="s">
        <v>396</v>
      </c>
      <c r="BA1" s="18" t="s">
        <v>403</v>
      </c>
      <c r="BB1" s="2" t="s">
        <v>404</v>
      </c>
      <c r="BC1" s="2" t="s">
        <v>405</v>
      </c>
    </row>
    <row r="2" spans="1:55" x14ac:dyDescent="0.2">
      <c r="A2">
        <v>1</v>
      </c>
      <c r="B2" s="6">
        <v>1</v>
      </c>
      <c r="C2">
        <v>18</v>
      </c>
      <c r="D2" s="4" t="s">
        <v>413</v>
      </c>
      <c r="E2">
        <v>16</v>
      </c>
      <c r="F2" s="4" t="s">
        <v>866</v>
      </c>
      <c r="G2" s="6" t="s">
        <v>287</v>
      </c>
      <c r="W2" s="6">
        <f>SUMIFS(events!BJ:BJ,events!K:K,"=DeadIce",events!BK:BK,"&lt;="&amp;shifts!AG2,events!BL:BL,"&gt;"&amp;shifts!AH2,events!AD:AD,"="&amp;shifts!B3)+SUMIFS(events!BJ:BJ,events!K:K,"=Timeout",events!BK:BK,"&lt;="&amp;shifts!AG2,events!BL:BL,"&gt;"&amp;shifts!AH2,events!AD:AD,"="&amp;shifts!B3)</f>
        <v>0</v>
      </c>
      <c r="AB2">
        <v>1</v>
      </c>
      <c r="AD2">
        <f>events!BB2</f>
        <v>18969</v>
      </c>
      <c r="AE2" t="str">
        <f>events!BC2</f>
        <v>Platinum</v>
      </c>
      <c r="AF2" t="str">
        <f>events!BD2</f>
        <v>Velodrome</v>
      </c>
      <c r="AG2" s="4">
        <f>((C2*60)+D2)</f>
        <v>1080</v>
      </c>
      <c r="AH2" s="4">
        <f>((E2*60)+F2)</f>
        <v>998</v>
      </c>
      <c r="AI2" s="14">
        <f>ROUND(AG2-AH2,0)</f>
        <v>82</v>
      </c>
      <c r="AJ2">
        <f>COUNTIF(I2:N2,"&gt;0")</f>
        <v>0</v>
      </c>
      <c r="AK2">
        <f>COUNTIF(P2:U2,"&gt;0")</f>
        <v>0</v>
      </c>
      <c r="AL2">
        <f>IF(O2="",1,0)</f>
        <v>1</v>
      </c>
      <c r="AM2">
        <f>IF(V2="",1,0)</f>
        <v>1</v>
      </c>
      <c r="AN2">
        <f>IF(AND($AL2&lt;&gt;1,$AJ2&lt;$AK2,AM2&lt;&gt;1),1,)</f>
        <v>0</v>
      </c>
      <c r="AO2">
        <f>IF(AND($AL2&lt;&gt;1,$AJ2&gt;$AK2),1,)</f>
        <v>0</v>
      </c>
      <c r="AP2">
        <f t="shared" ref="AP2:AQ4" si="0">IF(AN2=1,1,0)</f>
        <v>0</v>
      </c>
      <c r="AQ2">
        <f t="shared" si="0"/>
        <v>0</v>
      </c>
      <c r="AR2" t="str">
        <f>IF(AND(AJ2=5,AK2=5,AL2=0,AM2=0),"Full Strength",IF(AP2=1,"Away PowerPlay",IF(AO2=1,"Home PowerPlay",IF(AL2=1,"Home EmptyNet",IF(AM2=1,"Away EmptyNet","")))))</f>
        <v>Home EmptyNet</v>
      </c>
      <c r="AS2" t="str">
        <f>IF(AND(AL2=0,AM2=0),AJ2&amp;"v"&amp;AK2,IF(AL2=1,AJ2&amp;"v"&amp;AK2&amp;" Home EN",IF(AM2=1,AJ2&amp;"v"&amp;AK2&amp;" Away EN","")))</f>
        <v>0v0 Home EN</v>
      </c>
      <c r="AT2">
        <v>0</v>
      </c>
      <c r="AU2">
        <v>0</v>
      </c>
      <c r="AV2">
        <f>IF(AND($H2="Home Goal", AO2=0),1,0)</f>
        <v>0</v>
      </c>
      <c r="AW2">
        <f>IF(AX2=1,-1,0)</f>
        <v>0</v>
      </c>
      <c r="AX2">
        <f>IF(AND($H2="AwayGoal", AP2=0),1,0)</f>
        <v>0</v>
      </c>
      <c r="AY2">
        <f>IF(AV2=1,-1,0)</f>
        <v>0</v>
      </c>
      <c r="AZ2">
        <f>IFERROR(VLOOKUP(B2,events!AA:BN,40,FALSE),0)</f>
        <v>0</v>
      </c>
      <c r="BA2">
        <v>0</v>
      </c>
      <c r="BB2">
        <f>IF(BA2&lt;5,0,BA2-5)</f>
        <v>0</v>
      </c>
      <c r="BC2" s="4">
        <f>BB2+AI2+3</f>
        <v>85</v>
      </c>
    </row>
    <row r="3" spans="1:55" x14ac:dyDescent="0.2">
      <c r="A3">
        <v>2</v>
      </c>
      <c r="I3" t="str">
        <f t="shared" ref="I3:M4" si="1">IF($D3&gt;0,I2,"")</f>
        <v/>
      </c>
      <c r="J3" t="str">
        <f t="shared" si="1"/>
        <v/>
      </c>
      <c r="K3" t="str">
        <f t="shared" si="1"/>
        <v/>
      </c>
      <c r="L3" t="str">
        <f t="shared" si="1"/>
        <v/>
      </c>
      <c r="M3" t="str">
        <f t="shared" si="1"/>
        <v/>
      </c>
      <c r="O3" s="5">
        <f>IF(G3="Intermission",$O1,$O2)</f>
        <v>0</v>
      </c>
      <c r="P3" t="str">
        <f t="shared" ref="P3:T4" si="2">IF($D3&gt;0,P2,"")</f>
        <v/>
      </c>
      <c r="Q3" t="str">
        <f t="shared" si="2"/>
        <v/>
      </c>
      <c r="R3" t="str">
        <f t="shared" si="2"/>
        <v/>
      </c>
      <c r="S3" t="str">
        <f t="shared" si="2"/>
        <v/>
      </c>
      <c r="T3" t="str">
        <f t="shared" si="2"/>
        <v/>
      </c>
      <c r="V3" s="5">
        <f>IF(N3="Intermission",$O1,$O2)</f>
        <v>0</v>
      </c>
      <c r="X3" s="6" t="str">
        <f>IF(OR($H2="Home Goal",$H2="Away Goal",$H2="Period End"),"",IF(Y2=1,1,""))</f>
        <v/>
      </c>
      <c r="Z3" t="str">
        <f>IF(OR($H2="Home Goal",$H2="Away Goal",$H2="Period End"),"",IF(AA2=1,1,""))</f>
        <v/>
      </c>
      <c r="AB3" t="str">
        <f>IF(OR($H2="Home Goal",$H2="Away Goal",$H2="Period End"),1,IF(AC2=1,1,""))</f>
        <v/>
      </c>
      <c r="AD3">
        <f t="shared" ref="AD3:AF4" si="3">AD2</f>
        <v>18969</v>
      </c>
      <c r="AE3" t="str">
        <f t="shared" si="3"/>
        <v>Platinum</v>
      </c>
      <c r="AF3" t="str">
        <f t="shared" si="3"/>
        <v>Velodrome</v>
      </c>
      <c r="AG3" s="4">
        <f>((C3*60)+D3)</f>
        <v>0</v>
      </c>
      <c r="AH3" s="4">
        <f>((E3*60)+F3)</f>
        <v>0</v>
      </c>
      <c r="AI3" s="14">
        <f>ROUND(AG3-AH3,0)</f>
        <v>0</v>
      </c>
      <c r="AJ3">
        <f>COUNTIF(I3:N3,"&gt;0")</f>
        <v>0</v>
      </c>
      <c r="AK3">
        <f>COUNTIF(P3:U3,"&gt;0")</f>
        <v>0</v>
      </c>
      <c r="AL3">
        <f>IF(O3="",1,0)</f>
        <v>0</v>
      </c>
      <c r="AM3">
        <f>IF(V3="",1,0)</f>
        <v>0</v>
      </c>
      <c r="AN3">
        <f>IF(AND($AL3&lt;&gt;1,$AJ3&lt;$AK3,AM3&lt;&gt;1),1,)</f>
        <v>0</v>
      </c>
      <c r="AO3">
        <f>IF(AND($AL3&lt;&gt;1,$AJ3&gt;$AK3),1,)</f>
        <v>0</v>
      </c>
      <c r="AP3">
        <f t="shared" si="0"/>
        <v>0</v>
      </c>
      <c r="AQ3">
        <f t="shared" si="0"/>
        <v>0</v>
      </c>
      <c r="AR3" t="str">
        <f>IF(AND(AJ3=5,AK3=5,AL3=0,AM3=0),"Full Strength",IF(AP3=1,"Away PowerPlay",IF(AO3=1,"Home PowerPlay",IF(AL3=1,"Home EmptyNet",IF(AM3=1,"Away EmptyNet","")))))</f>
        <v/>
      </c>
      <c r="AS3" t="str">
        <f>IF(AND(AL3=0,AM3=0),AJ3&amp;"v"&amp;AK3,IF(AL3=1,AJ3&amp;"v"&amp;AK3&amp;" Home EN",IF(AM3=1,AJ3&amp;"v"&amp;AK3&amp;" Away EN","")))</f>
        <v>0v0</v>
      </c>
      <c r="AT3">
        <f>IF($H2="Home Goal",AT2+1,AT2)</f>
        <v>0</v>
      </c>
      <c r="AU3">
        <f>IF($H2="Away Goal",AU2+1,AU2)</f>
        <v>0</v>
      </c>
      <c r="AV3">
        <f>IF(AND($H3="Home Goal", AO3=0),1,0)</f>
        <v>0</v>
      </c>
      <c r="AW3">
        <f>IF(AX3=1,-1,0)</f>
        <v>0</v>
      </c>
      <c r="AX3">
        <f>IF(AND($H3="Away Goal", AP3=0),1,0)</f>
        <v>0</v>
      </c>
      <c r="AY3">
        <f>IF(AV3=1,-1,0)</f>
        <v>0</v>
      </c>
      <c r="AZ3">
        <f>IFERROR(VLOOKUP(B3,events!AA:BN,40,FALSE),0)</f>
        <v>0</v>
      </c>
      <c r="BA3">
        <f>ROUND(IF(G3="Intermission",BA2,((1080)-((C3*60)+D3))+AZ3),0)</f>
        <v>1080</v>
      </c>
      <c r="BB3">
        <f>IF(BA3&lt;5,0,BA3-5)</f>
        <v>1075</v>
      </c>
      <c r="BC3" s="4">
        <f>BB3+AI3+3</f>
        <v>1078</v>
      </c>
    </row>
    <row r="4" spans="1:55" x14ac:dyDescent="0.2">
      <c r="A4">
        <v>3</v>
      </c>
      <c r="I4" t="str">
        <f t="shared" si="1"/>
        <v/>
      </c>
      <c r="J4" t="str">
        <f t="shared" si="1"/>
        <v/>
      </c>
      <c r="K4" t="str">
        <f t="shared" si="1"/>
        <v/>
      </c>
      <c r="L4" t="str">
        <f t="shared" si="1"/>
        <v/>
      </c>
      <c r="M4" t="str">
        <f t="shared" si="1"/>
        <v/>
      </c>
      <c r="N4" t="str">
        <f>IF($D4&gt;0,N3,"")</f>
        <v/>
      </c>
      <c r="O4" s="5">
        <f t="shared" ref="O4:O67" si="4">IF(G4="Intermission",$O2,$O3)</f>
        <v>0</v>
      </c>
      <c r="P4" t="str">
        <f t="shared" si="2"/>
        <v/>
      </c>
      <c r="Q4" t="str">
        <f t="shared" si="2"/>
        <v/>
      </c>
      <c r="R4" t="str">
        <f t="shared" si="2"/>
        <v/>
      </c>
      <c r="S4" t="str">
        <f t="shared" si="2"/>
        <v/>
      </c>
      <c r="T4" t="str">
        <f t="shared" si="2"/>
        <v/>
      </c>
      <c r="V4" s="5">
        <f t="shared" ref="V4:V67" si="5">IF(N4="Intermission",$O2,$O3)</f>
        <v>0</v>
      </c>
      <c r="AD4">
        <f t="shared" si="3"/>
        <v>18969</v>
      </c>
      <c r="AE4" t="str">
        <f t="shared" si="3"/>
        <v>Platinum</v>
      </c>
      <c r="AF4" t="str">
        <f t="shared" si="3"/>
        <v>Velodrome</v>
      </c>
      <c r="AG4" s="4">
        <f>((C4*60)+D4)</f>
        <v>0</v>
      </c>
      <c r="AH4" s="4">
        <f>((E4*60)+F4)</f>
        <v>0</v>
      </c>
      <c r="AI4" s="14">
        <f>ROUND(AG4-AH4,0)</f>
        <v>0</v>
      </c>
      <c r="AJ4">
        <f>COUNTIF(I4:N4,"&gt;0")</f>
        <v>0</v>
      </c>
      <c r="AK4">
        <f>COUNTIF(P4:U4,"&gt;0")</f>
        <v>0</v>
      </c>
      <c r="AL4">
        <f>IF(O4="",1,0)</f>
        <v>0</v>
      </c>
      <c r="AM4">
        <f>IF(V4="",1,0)</f>
        <v>0</v>
      </c>
      <c r="AN4">
        <f>IF(AND($AL4&lt;&gt;1,$AJ4&lt;$AK4,AM4&lt;&gt;1),1,)</f>
        <v>0</v>
      </c>
      <c r="AO4">
        <f>IF(AND($AL4&lt;&gt;1,$AJ4&gt;$AK4),1,)</f>
        <v>0</v>
      </c>
      <c r="AP4">
        <f t="shared" si="0"/>
        <v>0</v>
      </c>
      <c r="AQ4">
        <f t="shared" si="0"/>
        <v>0</v>
      </c>
      <c r="AR4" t="str">
        <f>IF(AND(AJ4=5,AK4=5,AL4=0,AM4=0),"Full Strength",IF(AP4=1,"Away PowerPlay",IF(AO4=1,"Home PowerPlay",IF(AL4=1,"Home EmptyNet",IF(AM4=1,"Away EmptyNet","")))))</f>
        <v/>
      </c>
      <c r="AS4" t="str">
        <f>IF(AND(AL4=0,AM4=0),AJ4&amp;"v"&amp;AK4,IF(AL4=1,AJ4&amp;"v"&amp;AK4&amp;" Home EN",IF(AM4=1,AJ4&amp;"v"&amp;AK4&amp;" Away EN","")))</f>
        <v>0v0</v>
      </c>
      <c r="AT4">
        <f>IF($H3="Home Goal",AT3+1,AT3)</f>
        <v>0</v>
      </c>
      <c r="AU4">
        <f>IF($H3="Away Goal",AU3+1,AU3)</f>
        <v>0</v>
      </c>
      <c r="AV4">
        <f>IF(AND($H4="Home Goal", AO4=0),1,0)</f>
        <v>0</v>
      </c>
      <c r="AW4">
        <f>IF(AX4=1,-1,0)</f>
        <v>0</v>
      </c>
      <c r="AX4">
        <f>IF(AND($H4="Away Goal", AP4=0),1,0)</f>
        <v>0</v>
      </c>
      <c r="AY4">
        <f>IF(AV4=1,-1,0)</f>
        <v>0</v>
      </c>
      <c r="AZ4">
        <f>IFERROR(VLOOKUP(B4,events!AA:BN,40,FALSE),0)</f>
        <v>0</v>
      </c>
      <c r="BA4">
        <f>ROUND(IF(G4="Intermission",BA3,((1080)-((C4*60)+D4))+AZ4),0)</f>
        <v>1080</v>
      </c>
      <c r="BB4">
        <f>IF(BA4&lt;5,0,BA4-5)</f>
        <v>1075</v>
      </c>
      <c r="BC4" s="4">
        <f>BB4+AI4+3</f>
        <v>1078</v>
      </c>
    </row>
    <row r="5" spans="1:55" x14ac:dyDescent="0.2">
      <c r="A5">
        <f t="shared" ref="A5:A68" si="6">A4+1</f>
        <v>4</v>
      </c>
      <c r="I5" t="str">
        <f t="shared" ref="I5:I68" si="7">IF($D5&gt;0,I4,"")</f>
        <v/>
      </c>
      <c r="J5" t="str">
        <f t="shared" ref="J5:J68" si="8">IF($D5&gt;0,J4,"")</f>
        <v/>
      </c>
      <c r="K5" t="str">
        <f t="shared" ref="K5:K68" si="9">IF($D5&gt;0,K4,"")</f>
        <v/>
      </c>
      <c r="L5" t="str">
        <f t="shared" ref="L5:L68" si="10">IF($D5&gt;0,L4,"")</f>
        <v/>
      </c>
      <c r="M5" t="str">
        <f t="shared" ref="M5:M68" si="11">IF($D5&gt;0,M4,"")</f>
        <v/>
      </c>
      <c r="O5" s="5">
        <f t="shared" si="4"/>
        <v>0</v>
      </c>
      <c r="P5" t="str">
        <f t="shared" ref="P5:P68" si="12">IF($D5&gt;0,P4,"")</f>
        <v/>
      </c>
      <c r="Q5" t="str">
        <f t="shared" ref="Q5:Q68" si="13">IF($D5&gt;0,Q4,"")</f>
        <v/>
      </c>
      <c r="R5" t="str">
        <f t="shared" ref="R5:R68" si="14">IF($D5&gt;0,R4,"")</f>
        <v/>
      </c>
      <c r="S5" t="str">
        <f t="shared" ref="S5:S68" si="15">IF($D5&gt;0,S4,"")</f>
        <v/>
      </c>
      <c r="T5" t="str">
        <f t="shared" ref="T5:T68" si="16">IF($D5&gt;0,T4,"")</f>
        <v/>
      </c>
      <c r="V5" s="5">
        <f t="shared" si="5"/>
        <v>0</v>
      </c>
      <c r="AG5" s="4"/>
      <c r="AH5" s="4"/>
      <c r="AI5" s="14"/>
      <c r="BC5" s="4"/>
    </row>
    <row r="6" spans="1:55" x14ac:dyDescent="0.2">
      <c r="A6">
        <f t="shared" si="6"/>
        <v>5</v>
      </c>
      <c r="I6" t="str">
        <f t="shared" si="7"/>
        <v/>
      </c>
      <c r="J6" t="str">
        <f t="shared" si="8"/>
        <v/>
      </c>
      <c r="K6" t="str">
        <f t="shared" si="9"/>
        <v/>
      </c>
      <c r="L6" t="str">
        <f t="shared" si="10"/>
        <v/>
      </c>
      <c r="M6" t="str">
        <f t="shared" si="11"/>
        <v/>
      </c>
      <c r="O6" s="5">
        <f t="shared" si="4"/>
        <v>0</v>
      </c>
      <c r="P6" t="str">
        <f t="shared" si="12"/>
        <v/>
      </c>
      <c r="Q6" t="str">
        <f t="shared" si="13"/>
        <v/>
      </c>
      <c r="R6" t="str">
        <f t="shared" si="14"/>
        <v/>
      </c>
      <c r="S6" t="str">
        <f t="shared" si="15"/>
        <v/>
      </c>
      <c r="T6" t="str">
        <f t="shared" si="16"/>
        <v/>
      </c>
      <c r="V6" s="5">
        <f t="shared" si="5"/>
        <v>0</v>
      </c>
      <c r="AG6" s="4"/>
      <c r="AH6" s="4"/>
      <c r="AI6" s="14"/>
      <c r="BC6" s="4"/>
    </row>
    <row r="7" spans="1:55" x14ac:dyDescent="0.2">
      <c r="A7">
        <f t="shared" si="6"/>
        <v>6</v>
      </c>
      <c r="I7" t="str">
        <f t="shared" si="7"/>
        <v/>
      </c>
      <c r="J7" t="str">
        <f t="shared" si="8"/>
        <v/>
      </c>
      <c r="K7" t="str">
        <f t="shared" si="9"/>
        <v/>
      </c>
      <c r="L7" t="str">
        <f t="shared" si="10"/>
        <v/>
      </c>
      <c r="M7" t="str">
        <f t="shared" si="11"/>
        <v/>
      </c>
      <c r="O7" s="5">
        <f t="shared" si="4"/>
        <v>0</v>
      </c>
      <c r="P7" t="str">
        <f t="shared" si="12"/>
        <v/>
      </c>
      <c r="Q7" t="str">
        <f t="shared" si="13"/>
        <v/>
      </c>
      <c r="R7" t="str">
        <f t="shared" si="14"/>
        <v/>
      </c>
      <c r="S7" t="str">
        <f t="shared" si="15"/>
        <v/>
      </c>
      <c r="T7" t="str">
        <f t="shared" si="16"/>
        <v/>
      </c>
      <c r="V7" s="5">
        <f t="shared" si="5"/>
        <v>0</v>
      </c>
      <c r="AG7" s="4"/>
      <c r="AH7" s="4"/>
      <c r="AI7" s="14"/>
      <c r="BC7" s="4"/>
    </row>
    <row r="8" spans="1:55" x14ac:dyDescent="0.2">
      <c r="A8">
        <f t="shared" si="6"/>
        <v>7</v>
      </c>
      <c r="I8" t="str">
        <f t="shared" si="7"/>
        <v/>
      </c>
      <c r="J8" t="str">
        <f t="shared" si="8"/>
        <v/>
      </c>
      <c r="K8" t="str">
        <f t="shared" si="9"/>
        <v/>
      </c>
      <c r="L8" t="str">
        <f t="shared" si="10"/>
        <v/>
      </c>
      <c r="M8" t="str">
        <f t="shared" si="11"/>
        <v/>
      </c>
      <c r="O8" s="5">
        <f t="shared" si="4"/>
        <v>0</v>
      </c>
      <c r="P8" t="str">
        <f t="shared" si="12"/>
        <v/>
      </c>
      <c r="Q8" t="str">
        <f t="shared" si="13"/>
        <v/>
      </c>
      <c r="R8" t="str">
        <f t="shared" si="14"/>
        <v/>
      </c>
      <c r="S8" t="str">
        <f t="shared" si="15"/>
        <v/>
      </c>
      <c r="T8" t="str">
        <f t="shared" si="16"/>
        <v/>
      </c>
      <c r="V8" s="5">
        <f t="shared" si="5"/>
        <v>0</v>
      </c>
      <c r="AG8" s="4"/>
      <c r="AH8" s="4"/>
      <c r="AI8" s="14"/>
      <c r="BC8" s="4"/>
    </row>
    <row r="9" spans="1:55" x14ac:dyDescent="0.2">
      <c r="A9">
        <f t="shared" si="6"/>
        <v>8</v>
      </c>
      <c r="I9" t="str">
        <f t="shared" si="7"/>
        <v/>
      </c>
      <c r="J9" t="str">
        <f t="shared" si="8"/>
        <v/>
      </c>
      <c r="K9" t="str">
        <f t="shared" si="9"/>
        <v/>
      </c>
      <c r="L9" t="str">
        <f t="shared" si="10"/>
        <v/>
      </c>
      <c r="M9" t="str">
        <f t="shared" si="11"/>
        <v/>
      </c>
      <c r="O9" s="5">
        <f t="shared" si="4"/>
        <v>0</v>
      </c>
      <c r="P9" t="str">
        <f t="shared" si="12"/>
        <v/>
      </c>
      <c r="Q9" t="str">
        <f t="shared" si="13"/>
        <v/>
      </c>
      <c r="R9" t="str">
        <f t="shared" si="14"/>
        <v/>
      </c>
      <c r="S9" t="str">
        <f t="shared" si="15"/>
        <v/>
      </c>
      <c r="T9" t="str">
        <f t="shared" si="16"/>
        <v/>
      </c>
      <c r="V9" s="5">
        <f t="shared" si="5"/>
        <v>0</v>
      </c>
      <c r="AG9" s="4"/>
      <c r="AH9" s="4"/>
      <c r="AI9" s="14"/>
      <c r="BC9" s="4"/>
    </row>
    <row r="10" spans="1:55" x14ac:dyDescent="0.2">
      <c r="A10">
        <f t="shared" si="6"/>
        <v>9</v>
      </c>
      <c r="I10" t="str">
        <f t="shared" si="7"/>
        <v/>
      </c>
      <c r="J10" t="str">
        <f t="shared" si="8"/>
        <v/>
      </c>
      <c r="K10" t="str">
        <f t="shared" si="9"/>
        <v/>
      </c>
      <c r="L10" t="str">
        <f t="shared" si="10"/>
        <v/>
      </c>
      <c r="M10" t="str">
        <f t="shared" si="11"/>
        <v/>
      </c>
      <c r="O10" s="5">
        <f t="shared" si="4"/>
        <v>0</v>
      </c>
      <c r="P10" t="str">
        <f t="shared" si="12"/>
        <v/>
      </c>
      <c r="Q10" t="str">
        <f t="shared" si="13"/>
        <v/>
      </c>
      <c r="R10" t="str">
        <f t="shared" si="14"/>
        <v/>
      </c>
      <c r="S10" t="str">
        <f t="shared" si="15"/>
        <v/>
      </c>
      <c r="T10" t="str">
        <f t="shared" si="16"/>
        <v/>
      </c>
      <c r="V10" s="5">
        <f t="shared" si="5"/>
        <v>0</v>
      </c>
      <c r="AG10" s="4"/>
      <c r="AH10" s="4"/>
      <c r="AI10" s="14"/>
      <c r="BC10" s="4"/>
    </row>
    <row r="11" spans="1:55" x14ac:dyDescent="0.2">
      <c r="A11">
        <f t="shared" si="6"/>
        <v>10</v>
      </c>
      <c r="I11" t="str">
        <f t="shared" si="7"/>
        <v/>
      </c>
      <c r="J11" t="str">
        <f t="shared" si="8"/>
        <v/>
      </c>
      <c r="K11" t="str">
        <f t="shared" si="9"/>
        <v/>
      </c>
      <c r="L11" t="str">
        <f t="shared" si="10"/>
        <v/>
      </c>
      <c r="M11" t="str">
        <f t="shared" si="11"/>
        <v/>
      </c>
      <c r="O11" s="5">
        <f t="shared" si="4"/>
        <v>0</v>
      </c>
      <c r="P11" t="str">
        <f t="shared" si="12"/>
        <v/>
      </c>
      <c r="Q11" t="str">
        <f t="shared" si="13"/>
        <v/>
      </c>
      <c r="R11" t="str">
        <f t="shared" si="14"/>
        <v/>
      </c>
      <c r="S11" t="str">
        <f t="shared" si="15"/>
        <v/>
      </c>
      <c r="T11" t="str">
        <f t="shared" si="16"/>
        <v/>
      </c>
      <c r="V11" s="5">
        <f t="shared" si="5"/>
        <v>0</v>
      </c>
      <c r="AG11" s="4"/>
      <c r="AH11" s="4"/>
      <c r="AI11" s="14"/>
      <c r="BC11" s="4"/>
    </row>
    <row r="12" spans="1:55" x14ac:dyDescent="0.2">
      <c r="A12">
        <f t="shared" si="6"/>
        <v>11</v>
      </c>
      <c r="I12" t="str">
        <f t="shared" si="7"/>
        <v/>
      </c>
      <c r="J12" t="str">
        <f t="shared" si="8"/>
        <v/>
      </c>
      <c r="K12" t="str">
        <f t="shared" si="9"/>
        <v/>
      </c>
      <c r="L12" t="str">
        <f t="shared" si="10"/>
        <v/>
      </c>
      <c r="M12" t="str">
        <f t="shared" si="11"/>
        <v/>
      </c>
      <c r="O12" s="5">
        <f t="shared" si="4"/>
        <v>0</v>
      </c>
      <c r="P12" t="str">
        <f t="shared" si="12"/>
        <v/>
      </c>
      <c r="Q12" t="str">
        <f t="shared" si="13"/>
        <v/>
      </c>
      <c r="R12" t="str">
        <f t="shared" si="14"/>
        <v/>
      </c>
      <c r="S12" t="str">
        <f t="shared" si="15"/>
        <v/>
      </c>
      <c r="T12" t="str">
        <f t="shared" si="16"/>
        <v/>
      </c>
      <c r="V12" s="5">
        <f t="shared" si="5"/>
        <v>0</v>
      </c>
      <c r="AG12" s="4"/>
      <c r="AH12" s="4"/>
      <c r="AI12" s="14"/>
      <c r="BC12" s="4"/>
    </row>
    <row r="13" spans="1:55" x14ac:dyDescent="0.2">
      <c r="A13">
        <f t="shared" si="6"/>
        <v>12</v>
      </c>
      <c r="I13" t="str">
        <f t="shared" si="7"/>
        <v/>
      </c>
      <c r="J13" t="str">
        <f t="shared" si="8"/>
        <v/>
      </c>
      <c r="K13" t="str">
        <f t="shared" si="9"/>
        <v/>
      </c>
      <c r="L13" t="str">
        <f t="shared" si="10"/>
        <v/>
      </c>
      <c r="M13" t="str">
        <f t="shared" si="11"/>
        <v/>
      </c>
      <c r="O13" s="5">
        <f t="shared" si="4"/>
        <v>0</v>
      </c>
      <c r="P13" t="str">
        <f t="shared" si="12"/>
        <v/>
      </c>
      <c r="Q13" t="str">
        <f t="shared" si="13"/>
        <v/>
      </c>
      <c r="R13" t="str">
        <f t="shared" si="14"/>
        <v/>
      </c>
      <c r="S13" t="str">
        <f t="shared" si="15"/>
        <v/>
      </c>
      <c r="T13" t="str">
        <f t="shared" si="16"/>
        <v/>
      </c>
      <c r="V13" s="5">
        <f t="shared" si="5"/>
        <v>0</v>
      </c>
      <c r="AG13" s="4"/>
      <c r="AH13" s="4"/>
      <c r="AI13" s="14"/>
      <c r="BC13" s="4"/>
    </row>
    <row r="14" spans="1:55" x14ac:dyDescent="0.2">
      <c r="A14">
        <f t="shared" si="6"/>
        <v>13</v>
      </c>
      <c r="I14" t="str">
        <f t="shared" si="7"/>
        <v/>
      </c>
      <c r="J14" t="str">
        <f t="shared" si="8"/>
        <v/>
      </c>
      <c r="K14" t="str">
        <f t="shared" si="9"/>
        <v/>
      </c>
      <c r="L14" t="str">
        <f t="shared" si="10"/>
        <v/>
      </c>
      <c r="M14" t="str">
        <f t="shared" si="11"/>
        <v/>
      </c>
      <c r="O14" s="5">
        <f t="shared" si="4"/>
        <v>0</v>
      </c>
      <c r="P14" t="str">
        <f t="shared" si="12"/>
        <v/>
      </c>
      <c r="Q14" t="str">
        <f t="shared" si="13"/>
        <v/>
      </c>
      <c r="R14" t="str">
        <f t="shared" si="14"/>
        <v/>
      </c>
      <c r="S14" t="str">
        <f t="shared" si="15"/>
        <v/>
      </c>
      <c r="T14" t="str">
        <f t="shared" si="16"/>
        <v/>
      </c>
      <c r="V14" s="5">
        <f t="shared" si="5"/>
        <v>0</v>
      </c>
      <c r="AG14" s="4"/>
      <c r="AH14" s="4"/>
      <c r="AI14" s="14"/>
      <c r="BC14" s="4"/>
    </row>
    <row r="15" spans="1:55" x14ac:dyDescent="0.2">
      <c r="A15">
        <f t="shared" si="6"/>
        <v>14</v>
      </c>
      <c r="I15" t="str">
        <f t="shared" si="7"/>
        <v/>
      </c>
      <c r="J15" t="str">
        <f t="shared" si="8"/>
        <v/>
      </c>
      <c r="K15" t="str">
        <f t="shared" si="9"/>
        <v/>
      </c>
      <c r="L15" t="str">
        <f t="shared" si="10"/>
        <v/>
      </c>
      <c r="M15" t="str">
        <f t="shared" si="11"/>
        <v/>
      </c>
      <c r="O15" s="5">
        <f t="shared" si="4"/>
        <v>0</v>
      </c>
      <c r="P15" t="str">
        <f t="shared" si="12"/>
        <v/>
      </c>
      <c r="Q15" t="str">
        <f t="shared" si="13"/>
        <v/>
      </c>
      <c r="R15" t="str">
        <f t="shared" si="14"/>
        <v/>
      </c>
      <c r="S15" t="str">
        <f t="shared" si="15"/>
        <v/>
      </c>
      <c r="T15" t="str">
        <f t="shared" si="16"/>
        <v/>
      </c>
      <c r="V15" s="5">
        <f t="shared" si="5"/>
        <v>0</v>
      </c>
      <c r="AG15" s="4"/>
      <c r="AH15" s="4"/>
      <c r="AI15" s="14"/>
      <c r="BC15" s="4"/>
    </row>
    <row r="16" spans="1:55" x14ac:dyDescent="0.2">
      <c r="A16">
        <f t="shared" si="6"/>
        <v>15</v>
      </c>
      <c r="I16" t="str">
        <f t="shared" si="7"/>
        <v/>
      </c>
      <c r="J16" t="str">
        <f t="shared" si="8"/>
        <v/>
      </c>
      <c r="K16" t="str">
        <f t="shared" si="9"/>
        <v/>
      </c>
      <c r="L16" t="str">
        <f t="shared" si="10"/>
        <v/>
      </c>
      <c r="M16" t="str">
        <f t="shared" si="11"/>
        <v/>
      </c>
      <c r="O16" s="5">
        <f t="shared" si="4"/>
        <v>0</v>
      </c>
      <c r="P16" t="str">
        <f t="shared" si="12"/>
        <v/>
      </c>
      <c r="Q16" t="str">
        <f t="shared" si="13"/>
        <v/>
      </c>
      <c r="R16" t="str">
        <f t="shared" si="14"/>
        <v/>
      </c>
      <c r="S16" t="str">
        <f t="shared" si="15"/>
        <v/>
      </c>
      <c r="T16" t="str">
        <f t="shared" si="16"/>
        <v/>
      </c>
      <c r="V16" s="5">
        <f t="shared" si="5"/>
        <v>0</v>
      </c>
      <c r="AG16" s="4"/>
      <c r="AH16" s="4"/>
      <c r="AI16" s="14"/>
      <c r="BC16" s="4"/>
    </row>
    <row r="17" spans="1:55" x14ac:dyDescent="0.2">
      <c r="A17">
        <f t="shared" si="6"/>
        <v>16</v>
      </c>
      <c r="I17" t="str">
        <f t="shared" si="7"/>
        <v/>
      </c>
      <c r="J17" t="str">
        <f t="shared" si="8"/>
        <v/>
      </c>
      <c r="K17" t="str">
        <f t="shared" si="9"/>
        <v/>
      </c>
      <c r="L17" t="str">
        <f t="shared" si="10"/>
        <v/>
      </c>
      <c r="M17" t="str">
        <f t="shared" si="11"/>
        <v/>
      </c>
      <c r="O17" s="5">
        <f t="shared" si="4"/>
        <v>0</v>
      </c>
      <c r="P17" t="str">
        <f t="shared" si="12"/>
        <v/>
      </c>
      <c r="Q17" t="str">
        <f t="shared" si="13"/>
        <v/>
      </c>
      <c r="R17" t="str">
        <f t="shared" si="14"/>
        <v/>
      </c>
      <c r="S17" t="str">
        <f t="shared" si="15"/>
        <v/>
      </c>
      <c r="T17" t="str">
        <f t="shared" si="16"/>
        <v/>
      </c>
      <c r="V17" s="5">
        <f t="shared" si="5"/>
        <v>0</v>
      </c>
      <c r="AG17" s="4"/>
      <c r="AH17" s="4"/>
      <c r="AI17" s="14"/>
      <c r="BC17" s="4"/>
    </row>
    <row r="18" spans="1:55" x14ac:dyDescent="0.2">
      <c r="A18">
        <f t="shared" si="6"/>
        <v>17</v>
      </c>
      <c r="I18" t="str">
        <f t="shared" si="7"/>
        <v/>
      </c>
      <c r="J18" t="str">
        <f t="shared" si="8"/>
        <v/>
      </c>
      <c r="K18" t="str">
        <f t="shared" si="9"/>
        <v/>
      </c>
      <c r="L18" t="str">
        <f t="shared" si="10"/>
        <v/>
      </c>
      <c r="M18" t="str">
        <f t="shared" si="11"/>
        <v/>
      </c>
      <c r="O18" s="5">
        <f t="shared" si="4"/>
        <v>0</v>
      </c>
      <c r="P18" t="str">
        <f t="shared" si="12"/>
        <v/>
      </c>
      <c r="Q18" t="str">
        <f t="shared" si="13"/>
        <v/>
      </c>
      <c r="R18" t="str">
        <f t="shared" si="14"/>
        <v/>
      </c>
      <c r="S18" t="str">
        <f t="shared" si="15"/>
        <v/>
      </c>
      <c r="T18" t="str">
        <f t="shared" si="16"/>
        <v/>
      </c>
      <c r="V18" s="5">
        <f t="shared" si="5"/>
        <v>0</v>
      </c>
      <c r="AG18" s="4"/>
      <c r="AH18" s="4"/>
      <c r="AI18" s="14"/>
      <c r="BC18" s="4"/>
    </row>
    <row r="19" spans="1:55" x14ac:dyDescent="0.2">
      <c r="A19">
        <f t="shared" si="6"/>
        <v>18</v>
      </c>
      <c r="I19" t="str">
        <f t="shared" si="7"/>
        <v/>
      </c>
      <c r="J19" t="str">
        <f t="shared" si="8"/>
        <v/>
      </c>
      <c r="K19" t="str">
        <f t="shared" si="9"/>
        <v/>
      </c>
      <c r="L19" t="str">
        <f t="shared" si="10"/>
        <v/>
      </c>
      <c r="M19" t="str">
        <f t="shared" si="11"/>
        <v/>
      </c>
      <c r="O19" s="5">
        <f t="shared" si="4"/>
        <v>0</v>
      </c>
      <c r="P19" t="str">
        <f t="shared" si="12"/>
        <v/>
      </c>
      <c r="Q19" t="str">
        <f t="shared" si="13"/>
        <v/>
      </c>
      <c r="R19" t="str">
        <f t="shared" si="14"/>
        <v/>
      </c>
      <c r="S19" t="str">
        <f t="shared" si="15"/>
        <v/>
      </c>
      <c r="T19" t="str">
        <f t="shared" si="16"/>
        <v/>
      </c>
      <c r="V19" s="5">
        <f t="shared" si="5"/>
        <v>0</v>
      </c>
      <c r="AG19" s="4"/>
      <c r="AH19" s="4"/>
      <c r="AI19" s="14"/>
      <c r="BC19" s="4"/>
    </row>
    <row r="20" spans="1:55" x14ac:dyDescent="0.2">
      <c r="A20">
        <f t="shared" si="6"/>
        <v>19</v>
      </c>
      <c r="I20" t="str">
        <f t="shared" si="7"/>
        <v/>
      </c>
      <c r="J20" t="str">
        <f t="shared" si="8"/>
        <v/>
      </c>
      <c r="K20" t="str">
        <f t="shared" si="9"/>
        <v/>
      </c>
      <c r="L20" t="str">
        <f t="shared" si="10"/>
        <v/>
      </c>
      <c r="M20" t="str">
        <f t="shared" si="11"/>
        <v/>
      </c>
      <c r="O20" s="5">
        <f t="shared" si="4"/>
        <v>0</v>
      </c>
      <c r="P20" t="str">
        <f t="shared" si="12"/>
        <v/>
      </c>
      <c r="Q20" t="str">
        <f t="shared" si="13"/>
        <v/>
      </c>
      <c r="R20" t="str">
        <f t="shared" si="14"/>
        <v/>
      </c>
      <c r="S20" t="str">
        <f t="shared" si="15"/>
        <v/>
      </c>
      <c r="T20" t="str">
        <f t="shared" si="16"/>
        <v/>
      </c>
      <c r="V20" s="5">
        <f t="shared" si="5"/>
        <v>0</v>
      </c>
      <c r="AG20" s="4"/>
      <c r="AH20" s="4"/>
      <c r="AI20" s="14"/>
      <c r="BC20" s="4"/>
    </row>
    <row r="21" spans="1:55" x14ac:dyDescent="0.2">
      <c r="A21">
        <f t="shared" si="6"/>
        <v>20</v>
      </c>
      <c r="I21" t="str">
        <f t="shared" si="7"/>
        <v/>
      </c>
      <c r="J21" t="str">
        <f t="shared" si="8"/>
        <v/>
      </c>
      <c r="K21" t="str">
        <f t="shared" si="9"/>
        <v/>
      </c>
      <c r="L21" t="str">
        <f t="shared" si="10"/>
        <v/>
      </c>
      <c r="M21" t="str">
        <f t="shared" si="11"/>
        <v/>
      </c>
      <c r="O21" s="5">
        <f t="shared" si="4"/>
        <v>0</v>
      </c>
      <c r="P21" t="str">
        <f t="shared" si="12"/>
        <v/>
      </c>
      <c r="Q21" t="str">
        <f t="shared" si="13"/>
        <v/>
      </c>
      <c r="R21" t="str">
        <f t="shared" si="14"/>
        <v/>
      </c>
      <c r="S21" t="str">
        <f t="shared" si="15"/>
        <v/>
      </c>
      <c r="T21" t="str">
        <f t="shared" si="16"/>
        <v/>
      </c>
      <c r="V21" s="5">
        <f t="shared" si="5"/>
        <v>0</v>
      </c>
      <c r="AG21" s="4"/>
      <c r="AH21" s="4"/>
      <c r="AI21" s="14"/>
      <c r="BC21" s="4"/>
    </row>
    <row r="22" spans="1:55" x14ac:dyDescent="0.2">
      <c r="A22">
        <f t="shared" si="6"/>
        <v>21</v>
      </c>
      <c r="I22" t="str">
        <f t="shared" si="7"/>
        <v/>
      </c>
      <c r="J22" t="str">
        <f t="shared" si="8"/>
        <v/>
      </c>
      <c r="K22" t="str">
        <f t="shared" si="9"/>
        <v/>
      </c>
      <c r="L22" t="str">
        <f t="shared" si="10"/>
        <v/>
      </c>
      <c r="M22" t="str">
        <f t="shared" si="11"/>
        <v/>
      </c>
      <c r="O22" s="5">
        <f t="shared" si="4"/>
        <v>0</v>
      </c>
      <c r="P22" t="str">
        <f t="shared" si="12"/>
        <v/>
      </c>
      <c r="Q22" t="str">
        <f t="shared" si="13"/>
        <v/>
      </c>
      <c r="R22" t="str">
        <f t="shared" si="14"/>
        <v/>
      </c>
      <c r="S22" t="str">
        <f t="shared" si="15"/>
        <v/>
      </c>
      <c r="T22" t="str">
        <f t="shared" si="16"/>
        <v/>
      </c>
      <c r="V22" s="5">
        <f t="shared" si="5"/>
        <v>0</v>
      </c>
      <c r="AG22" s="4"/>
      <c r="AH22" s="4"/>
      <c r="AI22" s="14"/>
      <c r="BC22" s="4"/>
    </row>
    <row r="23" spans="1:55" x14ac:dyDescent="0.2">
      <c r="A23">
        <f t="shared" si="6"/>
        <v>22</v>
      </c>
      <c r="I23" t="str">
        <f t="shared" si="7"/>
        <v/>
      </c>
      <c r="J23" t="str">
        <f t="shared" si="8"/>
        <v/>
      </c>
      <c r="K23" t="str">
        <f t="shared" si="9"/>
        <v/>
      </c>
      <c r="L23" t="str">
        <f t="shared" si="10"/>
        <v/>
      </c>
      <c r="M23" t="str">
        <f t="shared" si="11"/>
        <v/>
      </c>
      <c r="O23" s="5">
        <f t="shared" si="4"/>
        <v>0</v>
      </c>
      <c r="P23" t="str">
        <f t="shared" si="12"/>
        <v/>
      </c>
      <c r="Q23" t="str">
        <f t="shared" si="13"/>
        <v/>
      </c>
      <c r="R23" t="str">
        <f t="shared" si="14"/>
        <v/>
      </c>
      <c r="S23" t="str">
        <f t="shared" si="15"/>
        <v/>
      </c>
      <c r="T23" t="str">
        <f t="shared" si="16"/>
        <v/>
      </c>
      <c r="V23" s="5">
        <f t="shared" si="5"/>
        <v>0</v>
      </c>
      <c r="AG23" s="4"/>
      <c r="AH23" s="4"/>
      <c r="AI23" s="14"/>
      <c r="BC23" s="4"/>
    </row>
    <row r="24" spans="1:55" x14ac:dyDescent="0.2">
      <c r="A24">
        <f t="shared" si="6"/>
        <v>23</v>
      </c>
      <c r="I24" t="str">
        <f t="shared" si="7"/>
        <v/>
      </c>
      <c r="J24" t="str">
        <f t="shared" si="8"/>
        <v/>
      </c>
      <c r="K24" t="str">
        <f t="shared" si="9"/>
        <v/>
      </c>
      <c r="L24" t="str">
        <f t="shared" si="10"/>
        <v/>
      </c>
      <c r="M24" t="str">
        <f t="shared" si="11"/>
        <v/>
      </c>
      <c r="O24" s="5">
        <f t="shared" si="4"/>
        <v>0</v>
      </c>
      <c r="P24" t="str">
        <f t="shared" si="12"/>
        <v/>
      </c>
      <c r="Q24" t="str">
        <f t="shared" si="13"/>
        <v/>
      </c>
      <c r="R24" t="str">
        <f t="shared" si="14"/>
        <v/>
      </c>
      <c r="S24" t="str">
        <f t="shared" si="15"/>
        <v/>
      </c>
      <c r="T24" t="str">
        <f t="shared" si="16"/>
        <v/>
      </c>
      <c r="V24" s="5">
        <f t="shared" si="5"/>
        <v>0</v>
      </c>
      <c r="AG24" s="4"/>
      <c r="AH24" s="4"/>
      <c r="AI24" s="14"/>
      <c r="BC24" s="4"/>
    </row>
    <row r="25" spans="1:55" x14ac:dyDescent="0.2">
      <c r="A25">
        <f t="shared" si="6"/>
        <v>24</v>
      </c>
      <c r="I25" t="str">
        <f t="shared" si="7"/>
        <v/>
      </c>
      <c r="J25" t="str">
        <f t="shared" si="8"/>
        <v/>
      </c>
      <c r="K25" t="str">
        <f t="shared" si="9"/>
        <v/>
      </c>
      <c r="L25" t="str">
        <f t="shared" si="10"/>
        <v/>
      </c>
      <c r="M25" t="str">
        <f t="shared" si="11"/>
        <v/>
      </c>
      <c r="O25" s="5">
        <f t="shared" si="4"/>
        <v>0</v>
      </c>
      <c r="P25" t="str">
        <f t="shared" si="12"/>
        <v/>
      </c>
      <c r="Q25" t="str">
        <f t="shared" si="13"/>
        <v/>
      </c>
      <c r="R25" t="str">
        <f t="shared" si="14"/>
        <v/>
      </c>
      <c r="S25" t="str">
        <f t="shared" si="15"/>
        <v/>
      </c>
      <c r="T25" t="str">
        <f t="shared" si="16"/>
        <v/>
      </c>
      <c r="V25" s="5">
        <f t="shared" si="5"/>
        <v>0</v>
      </c>
      <c r="AG25" s="4"/>
      <c r="AH25" s="4"/>
      <c r="AI25" s="14"/>
      <c r="BC25" s="4"/>
    </row>
    <row r="26" spans="1:55" x14ac:dyDescent="0.2">
      <c r="A26">
        <f t="shared" si="6"/>
        <v>25</v>
      </c>
      <c r="I26" t="str">
        <f t="shared" si="7"/>
        <v/>
      </c>
      <c r="J26" t="str">
        <f t="shared" si="8"/>
        <v/>
      </c>
      <c r="K26" t="str">
        <f t="shared" si="9"/>
        <v/>
      </c>
      <c r="L26" t="str">
        <f t="shared" si="10"/>
        <v/>
      </c>
      <c r="M26" t="str">
        <f t="shared" si="11"/>
        <v/>
      </c>
      <c r="O26" s="5">
        <f t="shared" si="4"/>
        <v>0</v>
      </c>
      <c r="P26" t="str">
        <f t="shared" si="12"/>
        <v/>
      </c>
      <c r="Q26" t="str">
        <f t="shared" si="13"/>
        <v/>
      </c>
      <c r="R26" t="str">
        <f t="shared" si="14"/>
        <v/>
      </c>
      <c r="S26" t="str">
        <f t="shared" si="15"/>
        <v/>
      </c>
      <c r="T26" t="str">
        <f t="shared" si="16"/>
        <v/>
      </c>
      <c r="V26" s="5">
        <f t="shared" si="5"/>
        <v>0</v>
      </c>
      <c r="AG26" s="4"/>
      <c r="AH26" s="4"/>
      <c r="AI26" s="14"/>
      <c r="BC26" s="4"/>
    </row>
    <row r="27" spans="1:55" x14ac:dyDescent="0.2">
      <c r="A27">
        <f t="shared" si="6"/>
        <v>26</v>
      </c>
      <c r="I27" t="str">
        <f t="shared" si="7"/>
        <v/>
      </c>
      <c r="J27" t="str">
        <f t="shared" si="8"/>
        <v/>
      </c>
      <c r="K27" t="str">
        <f t="shared" si="9"/>
        <v/>
      </c>
      <c r="L27" t="str">
        <f t="shared" si="10"/>
        <v/>
      </c>
      <c r="M27" t="str">
        <f t="shared" si="11"/>
        <v/>
      </c>
      <c r="O27" s="5">
        <f t="shared" si="4"/>
        <v>0</v>
      </c>
      <c r="P27" t="str">
        <f t="shared" si="12"/>
        <v/>
      </c>
      <c r="Q27" t="str">
        <f t="shared" si="13"/>
        <v/>
      </c>
      <c r="R27" t="str">
        <f t="shared" si="14"/>
        <v/>
      </c>
      <c r="S27" t="str">
        <f t="shared" si="15"/>
        <v/>
      </c>
      <c r="T27" t="str">
        <f t="shared" si="16"/>
        <v/>
      </c>
      <c r="V27" s="5">
        <f t="shared" si="5"/>
        <v>0</v>
      </c>
      <c r="AG27" s="4"/>
      <c r="AH27" s="4"/>
      <c r="AI27" s="14"/>
      <c r="BC27" s="4"/>
    </row>
    <row r="28" spans="1:55" x14ac:dyDescent="0.2">
      <c r="A28">
        <f t="shared" si="6"/>
        <v>27</v>
      </c>
      <c r="I28" t="str">
        <f t="shared" si="7"/>
        <v/>
      </c>
      <c r="J28" t="str">
        <f t="shared" si="8"/>
        <v/>
      </c>
      <c r="K28" t="str">
        <f t="shared" si="9"/>
        <v/>
      </c>
      <c r="L28" t="str">
        <f t="shared" si="10"/>
        <v/>
      </c>
      <c r="M28" t="str">
        <f t="shared" si="11"/>
        <v/>
      </c>
      <c r="O28" s="5">
        <f t="shared" si="4"/>
        <v>0</v>
      </c>
      <c r="P28" t="str">
        <f t="shared" si="12"/>
        <v/>
      </c>
      <c r="Q28" t="str">
        <f t="shared" si="13"/>
        <v/>
      </c>
      <c r="R28" t="str">
        <f t="shared" si="14"/>
        <v/>
      </c>
      <c r="S28" t="str">
        <f t="shared" si="15"/>
        <v/>
      </c>
      <c r="T28" t="str">
        <f t="shared" si="16"/>
        <v/>
      </c>
      <c r="V28" s="5">
        <f t="shared" si="5"/>
        <v>0</v>
      </c>
      <c r="AG28" s="4"/>
      <c r="AH28" s="4"/>
      <c r="AI28" s="14"/>
      <c r="BC28" s="4"/>
    </row>
    <row r="29" spans="1:55" x14ac:dyDescent="0.2">
      <c r="A29">
        <f t="shared" si="6"/>
        <v>28</v>
      </c>
      <c r="I29" t="str">
        <f t="shared" si="7"/>
        <v/>
      </c>
      <c r="J29" t="str">
        <f t="shared" si="8"/>
        <v/>
      </c>
      <c r="K29" t="str">
        <f t="shared" si="9"/>
        <v/>
      </c>
      <c r="L29" t="str">
        <f t="shared" si="10"/>
        <v/>
      </c>
      <c r="M29" t="str">
        <f t="shared" si="11"/>
        <v/>
      </c>
      <c r="O29" s="5">
        <f t="shared" si="4"/>
        <v>0</v>
      </c>
      <c r="P29" t="str">
        <f t="shared" si="12"/>
        <v/>
      </c>
      <c r="Q29" t="str">
        <f t="shared" si="13"/>
        <v/>
      </c>
      <c r="R29" t="str">
        <f t="shared" si="14"/>
        <v/>
      </c>
      <c r="S29" t="str">
        <f t="shared" si="15"/>
        <v/>
      </c>
      <c r="T29" t="str">
        <f t="shared" si="16"/>
        <v/>
      </c>
      <c r="V29" s="5">
        <f t="shared" si="5"/>
        <v>0</v>
      </c>
      <c r="AG29" s="4"/>
      <c r="AH29" s="4"/>
      <c r="AI29" s="14"/>
      <c r="BC29" s="4"/>
    </row>
    <row r="30" spans="1:55" x14ac:dyDescent="0.2">
      <c r="A30">
        <f t="shared" si="6"/>
        <v>29</v>
      </c>
      <c r="I30" t="str">
        <f t="shared" si="7"/>
        <v/>
      </c>
      <c r="J30" t="str">
        <f t="shared" si="8"/>
        <v/>
      </c>
      <c r="K30" t="str">
        <f t="shared" si="9"/>
        <v/>
      </c>
      <c r="L30" t="str">
        <f t="shared" si="10"/>
        <v/>
      </c>
      <c r="M30" t="str">
        <f t="shared" si="11"/>
        <v/>
      </c>
      <c r="O30" s="5">
        <f t="shared" si="4"/>
        <v>0</v>
      </c>
      <c r="P30" t="str">
        <f t="shared" si="12"/>
        <v/>
      </c>
      <c r="Q30" t="str">
        <f t="shared" si="13"/>
        <v/>
      </c>
      <c r="R30" t="str">
        <f t="shared" si="14"/>
        <v/>
      </c>
      <c r="S30" t="str">
        <f t="shared" si="15"/>
        <v/>
      </c>
      <c r="T30" t="str">
        <f t="shared" si="16"/>
        <v/>
      </c>
      <c r="V30" s="5">
        <f t="shared" si="5"/>
        <v>0</v>
      </c>
      <c r="AG30" s="4"/>
      <c r="AH30" s="4"/>
      <c r="AI30" s="14"/>
      <c r="BC30" s="4"/>
    </row>
    <row r="31" spans="1:55" x14ac:dyDescent="0.2">
      <c r="A31">
        <f t="shared" si="6"/>
        <v>30</v>
      </c>
      <c r="I31" t="str">
        <f t="shared" si="7"/>
        <v/>
      </c>
      <c r="J31" t="str">
        <f t="shared" si="8"/>
        <v/>
      </c>
      <c r="K31" t="str">
        <f t="shared" si="9"/>
        <v/>
      </c>
      <c r="L31" t="str">
        <f t="shared" si="10"/>
        <v/>
      </c>
      <c r="M31" t="str">
        <f t="shared" si="11"/>
        <v/>
      </c>
      <c r="O31" s="5">
        <f t="shared" si="4"/>
        <v>0</v>
      </c>
      <c r="P31" t="str">
        <f t="shared" si="12"/>
        <v/>
      </c>
      <c r="Q31" t="str">
        <f t="shared" si="13"/>
        <v/>
      </c>
      <c r="R31" t="str">
        <f t="shared" si="14"/>
        <v/>
      </c>
      <c r="S31" t="str">
        <f t="shared" si="15"/>
        <v/>
      </c>
      <c r="T31" t="str">
        <f t="shared" si="16"/>
        <v/>
      </c>
      <c r="V31" s="5">
        <f t="shared" si="5"/>
        <v>0</v>
      </c>
      <c r="AG31" s="4"/>
      <c r="AH31" s="4"/>
      <c r="AI31" s="14"/>
      <c r="BC31" s="4"/>
    </row>
    <row r="32" spans="1:55" x14ac:dyDescent="0.2">
      <c r="A32">
        <f t="shared" si="6"/>
        <v>31</v>
      </c>
      <c r="I32" t="str">
        <f t="shared" si="7"/>
        <v/>
      </c>
      <c r="J32" t="str">
        <f t="shared" si="8"/>
        <v/>
      </c>
      <c r="K32" t="str">
        <f t="shared" si="9"/>
        <v/>
      </c>
      <c r="L32" t="str">
        <f t="shared" si="10"/>
        <v/>
      </c>
      <c r="M32" t="str">
        <f t="shared" si="11"/>
        <v/>
      </c>
      <c r="O32" s="5">
        <f t="shared" si="4"/>
        <v>0</v>
      </c>
      <c r="P32" t="str">
        <f t="shared" si="12"/>
        <v/>
      </c>
      <c r="Q32" t="str">
        <f t="shared" si="13"/>
        <v/>
      </c>
      <c r="R32" t="str">
        <f t="shared" si="14"/>
        <v/>
      </c>
      <c r="S32" t="str">
        <f t="shared" si="15"/>
        <v/>
      </c>
      <c r="T32" t="str">
        <f t="shared" si="16"/>
        <v/>
      </c>
      <c r="V32" s="5">
        <f t="shared" si="5"/>
        <v>0</v>
      </c>
      <c r="AG32" s="4"/>
      <c r="AH32" s="4"/>
      <c r="AI32" s="14"/>
      <c r="BC32" s="4"/>
    </row>
    <row r="33" spans="1:55" x14ac:dyDescent="0.2">
      <c r="A33">
        <f t="shared" si="6"/>
        <v>32</v>
      </c>
      <c r="I33" t="str">
        <f t="shared" si="7"/>
        <v/>
      </c>
      <c r="J33" t="str">
        <f t="shared" si="8"/>
        <v/>
      </c>
      <c r="K33" t="str">
        <f t="shared" si="9"/>
        <v/>
      </c>
      <c r="L33" t="str">
        <f t="shared" si="10"/>
        <v/>
      </c>
      <c r="M33" t="str">
        <f t="shared" si="11"/>
        <v/>
      </c>
      <c r="O33" s="5">
        <f t="shared" si="4"/>
        <v>0</v>
      </c>
      <c r="P33" t="str">
        <f t="shared" si="12"/>
        <v/>
      </c>
      <c r="Q33" t="str">
        <f t="shared" si="13"/>
        <v/>
      </c>
      <c r="R33" t="str">
        <f t="shared" si="14"/>
        <v/>
      </c>
      <c r="S33" t="str">
        <f t="shared" si="15"/>
        <v/>
      </c>
      <c r="T33" t="str">
        <f t="shared" si="16"/>
        <v/>
      </c>
      <c r="V33" s="5">
        <f t="shared" si="5"/>
        <v>0</v>
      </c>
      <c r="AG33" s="4"/>
      <c r="AH33" s="4"/>
      <c r="AI33" s="14"/>
      <c r="BC33" s="4"/>
    </row>
    <row r="34" spans="1:55" x14ac:dyDescent="0.2">
      <c r="A34">
        <f t="shared" si="6"/>
        <v>33</v>
      </c>
      <c r="I34" t="str">
        <f t="shared" si="7"/>
        <v/>
      </c>
      <c r="J34" t="str">
        <f t="shared" si="8"/>
        <v/>
      </c>
      <c r="K34" t="str">
        <f t="shared" si="9"/>
        <v/>
      </c>
      <c r="L34" t="str">
        <f t="shared" si="10"/>
        <v/>
      </c>
      <c r="M34" t="str">
        <f t="shared" si="11"/>
        <v/>
      </c>
      <c r="O34" s="5">
        <f t="shared" si="4"/>
        <v>0</v>
      </c>
      <c r="P34" t="str">
        <f t="shared" si="12"/>
        <v/>
      </c>
      <c r="Q34" t="str">
        <f t="shared" si="13"/>
        <v/>
      </c>
      <c r="R34" t="str">
        <f t="shared" si="14"/>
        <v/>
      </c>
      <c r="S34" t="str">
        <f t="shared" si="15"/>
        <v/>
      </c>
      <c r="T34" t="str">
        <f t="shared" si="16"/>
        <v/>
      </c>
      <c r="V34" s="5">
        <f t="shared" si="5"/>
        <v>0</v>
      </c>
      <c r="AG34" s="4"/>
      <c r="AH34" s="4"/>
      <c r="AI34" s="14"/>
      <c r="BC34" s="4"/>
    </row>
    <row r="35" spans="1:55" x14ac:dyDescent="0.2">
      <c r="A35">
        <f t="shared" si="6"/>
        <v>34</v>
      </c>
      <c r="I35" t="str">
        <f t="shared" si="7"/>
        <v/>
      </c>
      <c r="J35" t="str">
        <f t="shared" si="8"/>
        <v/>
      </c>
      <c r="K35" t="str">
        <f t="shared" si="9"/>
        <v/>
      </c>
      <c r="L35" t="str">
        <f t="shared" si="10"/>
        <v/>
      </c>
      <c r="M35" t="str">
        <f t="shared" si="11"/>
        <v/>
      </c>
      <c r="O35" s="5">
        <f t="shared" si="4"/>
        <v>0</v>
      </c>
      <c r="P35" t="str">
        <f t="shared" si="12"/>
        <v/>
      </c>
      <c r="Q35" t="str">
        <f t="shared" si="13"/>
        <v/>
      </c>
      <c r="R35" t="str">
        <f t="shared" si="14"/>
        <v/>
      </c>
      <c r="S35" t="str">
        <f t="shared" si="15"/>
        <v/>
      </c>
      <c r="T35" t="str">
        <f t="shared" si="16"/>
        <v/>
      </c>
      <c r="V35" s="5">
        <f t="shared" si="5"/>
        <v>0</v>
      </c>
      <c r="AG35" s="4"/>
      <c r="AH35" s="4"/>
      <c r="AI35" s="14"/>
      <c r="BC35" s="4"/>
    </row>
    <row r="36" spans="1:55" x14ac:dyDescent="0.2">
      <c r="A36">
        <f t="shared" si="6"/>
        <v>35</v>
      </c>
      <c r="I36" t="str">
        <f t="shared" si="7"/>
        <v/>
      </c>
      <c r="J36" t="str">
        <f t="shared" si="8"/>
        <v/>
      </c>
      <c r="K36" t="str">
        <f t="shared" si="9"/>
        <v/>
      </c>
      <c r="L36" t="str">
        <f t="shared" si="10"/>
        <v/>
      </c>
      <c r="M36" t="str">
        <f t="shared" si="11"/>
        <v/>
      </c>
      <c r="O36" s="5">
        <f t="shared" si="4"/>
        <v>0</v>
      </c>
      <c r="P36" t="str">
        <f t="shared" si="12"/>
        <v/>
      </c>
      <c r="Q36" t="str">
        <f t="shared" si="13"/>
        <v/>
      </c>
      <c r="R36" t="str">
        <f t="shared" si="14"/>
        <v/>
      </c>
      <c r="S36" t="str">
        <f t="shared" si="15"/>
        <v/>
      </c>
      <c r="T36" t="str">
        <f t="shared" si="16"/>
        <v/>
      </c>
      <c r="V36" s="5">
        <f t="shared" si="5"/>
        <v>0</v>
      </c>
      <c r="AG36" s="4"/>
      <c r="AH36" s="4"/>
      <c r="AI36" s="14"/>
      <c r="BC36" s="4"/>
    </row>
    <row r="37" spans="1:55" x14ac:dyDescent="0.2">
      <c r="A37">
        <f t="shared" si="6"/>
        <v>36</v>
      </c>
      <c r="I37" t="str">
        <f t="shared" si="7"/>
        <v/>
      </c>
      <c r="J37" t="str">
        <f t="shared" si="8"/>
        <v/>
      </c>
      <c r="K37" t="str">
        <f t="shared" si="9"/>
        <v/>
      </c>
      <c r="L37" t="str">
        <f t="shared" si="10"/>
        <v/>
      </c>
      <c r="M37" t="str">
        <f t="shared" si="11"/>
        <v/>
      </c>
      <c r="O37" s="5">
        <f t="shared" si="4"/>
        <v>0</v>
      </c>
      <c r="P37" t="str">
        <f t="shared" si="12"/>
        <v/>
      </c>
      <c r="Q37" t="str">
        <f t="shared" si="13"/>
        <v/>
      </c>
      <c r="R37" t="str">
        <f t="shared" si="14"/>
        <v/>
      </c>
      <c r="S37" t="str">
        <f t="shared" si="15"/>
        <v/>
      </c>
      <c r="T37" t="str">
        <f t="shared" si="16"/>
        <v/>
      </c>
      <c r="V37" s="5">
        <f t="shared" si="5"/>
        <v>0</v>
      </c>
      <c r="AG37" s="4"/>
      <c r="AH37" s="4"/>
      <c r="AI37" s="14"/>
      <c r="BC37" s="4"/>
    </row>
    <row r="38" spans="1:55" x14ac:dyDescent="0.2">
      <c r="A38">
        <f t="shared" si="6"/>
        <v>37</v>
      </c>
      <c r="I38" t="str">
        <f t="shared" si="7"/>
        <v/>
      </c>
      <c r="J38" t="str">
        <f t="shared" si="8"/>
        <v/>
      </c>
      <c r="K38" t="str">
        <f t="shared" si="9"/>
        <v/>
      </c>
      <c r="L38" t="str">
        <f t="shared" si="10"/>
        <v/>
      </c>
      <c r="M38" t="str">
        <f t="shared" si="11"/>
        <v/>
      </c>
      <c r="O38" s="5">
        <f t="shared" si="4"/>
        <v>0</v>
      </c>
      <c r="P38" t="str">
        <f t="shared" si="12"/>
        <v/>
      </c>
      <c r="Q38" t="str">
        <f t="shared" si="13"/>
        <v/>
      </c>
      <c r="R38" t="str">
        <f t="shared" si="14"/>
        <v/>
      </c>
      <c r="S38" t="str">
        <f t="shared" si="15"/>
        <v/>
      </c>
      <c r="T38" t="str">
        <f t="shared" si="16"/>
        <v/>
      </c>
      <c r="V38" s="5">
        <f t="shared" si="5"/>
        <v>0</v>
      </c>
      <c r="AG38" s="4"/>
      <c r="AH38" s="4"/>
      <c r="AI38" s="14"/>
      <c r="BC38" s="4"/>
    </row>
    <row r="39" spans="1:55" x14ac:dyDescent="0.2">
      <c r="A39">
        <f t="shared" si="6"/>
        <v>38</v>
      </c>
      <c r="I39" t="str">
        <f t="shared" si="7"/>
        <v/>
      </c>
      <c r="J39" t="str">
        <f t="shared" si="8"/>
        <v/>
      </c>
      <c r="K39" t="str">
        <f t="shared" si="9"/>
        <v/>
      </c>
      <c r="L39" t="str">
        <f t="shared" si="10"/>
        <v/>
      </c>
      <c r="M39" t="str">
        <f t="shared" si="11"/>
        <v/>
      </c>
      <c r="O39" s="5">
        <f t="shared" si="4"/>
        <v>0</v>
      </c>
      <c r="P39" t="str">
        <f t="shared" si="12"/>
        <v/>
      </c>
      <c r="Q39" t="str">
        <f t="shared" si="13"/>
        <v/>
      </c>
      <c r="R39" t="str">
        <f t="shared" si="14"/>
        <v/>
      </c>
      <c r="S39" t="str">
        <f t="shared" si="15"/>
        <v/>
      </c>
      <c r="T39" t="str">
        <f t="shared" si="16"/>
        <v/>
      </c>
      <c r="V39" s="5">
        <f t="shared" si="5"/>
        <v>0</v>
      </c>
      <c r="AG39" s="4"/>
      <c r="AH39" s="4"/>
      <c r="AI39" s="14"/>
      <c r="BC39" s="4"/>
    </row>
    <row r="40" spans="1:55" x14ac:dyDescent="0.2">
      <c r="A40">
        <f t="shared" si="6"/>
        <v>39</v>
      </c>
      <c r="I40" t="str">
        <f t="shared" si="7"/>
        <v/>
      </c>
      <c r="J40" t="str">
        <f t="shared" si="8"/>
        <v/>
      </c>
      <c r="K40" t="str">
        <f t="shared" si="9"/>
        <v/>
      </c>
      <c r="L40" t="str">
        <f t="shared" si="10"/>
        <v/>
      </c>
      <c r="M40" t="str">
        <f t="shared" si="11"/>
        <v/>
      </c>
      <c r="O40" s="5">
        <f t="shared" si="4"/>
        <v>0</v>
      </c>
      <c r="P40" t="str">
        <f t="shared" si="12"/>
        <v/>
      </c>
      <c r="Q40" t="str">
        <f t="shared" si="13"/>
        <v/>
      </c>
      <c r="R40" t="str">
        <f t="shared" si="14"/>
        <v/>
      </c>
      <c r="S40" t="str">
        <f t="shared" si="15"/>
        <v/>
      </c>
      <c r="T40" t="str">
        <f t="shared" si="16"/>
        <v/>
      </c>
      <c r="V40" s="5">
        <f t="shared" si="5"/>
        <v>0</v>
      </c>
      <c r="AG40" s="4"/>
      <c r="AH40" s="4"/>
      <c r="AI40" s="14"/>
      <c r="BC40" s="4"/>
    </row>
    <row r="41" spans="1:55" x14ac:dyDescent="0.2">
      <c r="A41">
        <f t="shared" si="6"/>
        <v>40</v>
      </c>
      <c r="I41" t="str">
        <f t="shared" si="7"/>
        <v/>
      </c>
      <c r="J41" t="str">
        <f t="shared" si="8"/>
        <v/>
      </c>
      <c r="K41" t="str">
        <f t="shared" si="9"/>
        <v/>
      </c>
      <c r="L41" t="str">
        <f t="shared" si="10"/>
        <v/>
      </c>
      <c r="M41" t="str">
        <f t="shared" si="11"/>
        <v/>
      </c>
      <c r="O41" s="5">
        <f t="shared" si="4"/>
        <v>0</v>
      </c>
      <c r="P41" t="str">
        <f t="shared" si="12"/>
        <v/>
      </c>
      <c r="Q41" t="str">
        <f t="shared" si="13"/>
        <v/>
      </c>
      <c r="R41" t="str">
        <f t="shared" si="14"/>
        <v/>
      </c>
      <c r="S41" t="str">
        <f t="shared" si="15"/>
        <v/>
      </c>
      <c r="T41" t="str">
        <f t="shared" si="16"/>
        <v/>
      </c>
      <c r="V41" s="5">
        <f t="shared" si="5"/>
        <v>0</v>
      </c>
      <c r="AG41" s="4"/>
      <c r="AH41" s="4"/>
      <c r="AI41" s="14"/>
      <c r="BC41" s="4"/>
    </row>
    <row r="42" spans="1:55" x14ac:dyDescent="0.2">
      <c r="A42">
        <f t="shared" si="6"/>
        <v>41</v>
      </c>
      <c r="I42" t="str">
        <f t="shared" si="7"/>
        <v/>
      </c>
      <c r="J42" t="str">
        <f t="shared" si="8"/>
        <v/>
      </c>
      <c r="K42" t="str">
        <f t="shared" si="9"/>
        <v/>
      </c>
      <c r="L42" t="str">
        <f t="shared" si="10"/>
        <v/>
      </c>
      <c r="M42" t="str">
        <f t="shared" si="11"/>
        <v/>
      </c>
      <c r="O42" s="5">
        <f t="shared" si="4"/>
        <v>0</v>
      </c>
      <c r="P42" t="str">
        <f t="shared" si="12"/>
        <v/>
      </c>
      <c r="Q42" t="str">
        <f t="shared" si="13"/>
        <v/>
      </c>
      <c r="R42" t="str">
        <f t="shared" si="14"/>
        <v/>
      </c>
      <c r="S42" t="str">
        <f t="shared" si="15"/>
        <v/>
      </c>
      <c r="T42" t="str">
        <f t="shared" si="16"/>
        <v/>
      </c>
      <c r="V42" s="5">
        <f t="shared" si="5"/>
        <v>0</v>
      </c>
      <c r="AG42" s="4"/>
      <c r="AH42" s="4"/>
      <c r="AI42" s="14"/>
      <c r="BC42" s="4"/>
    </row>
    <row r="43" spans="1:55" x14ac:dyDescent="0.2">
      <c r="A43">
        <f t="shared" si="6"/>
        <v>42</v>
      </c>
      <c r="I43" t="str">
        <f t="shared" si="7"/>
        <v/>
      </c>
      <c r="J43" t="str">
        <f t="shared" si="8"/>
        <v/>
      </c>
      <c r="K43" t="str">
        <f t="shared" si="9"/>
        <v/>
      </c>
      <c r="L43" t="str">
        <f t="shared" si="10"/>
        <v/>
      </c>
      <c r="M43" t="str">
        <f t="shared" si="11"/>
        <v/>
      </c>
      <c r="O43" s="5">
        <f t="shared" si="4"/>
        <v>0</v>
      </c>
      <c r="P43" t="str">
        <f t="shared" si="12"/>
        <v/>
      </c>
      <c r="Q43" t="str">
        <f t="shared" si="13"/>
        <v/>
      </c>
      <c r="R43" t="str">
        <f t="shared" si="14"/>
        <v/>
      </c>
      <c r="S43" t="str">
        <f t="shared" si="15"/>
        <v/>
      </c>
      <c r="T43" t="str">
        <f t="shared" si="16"/>
        <v/>
      </c>
      <c r="V43" s="5">
        <f t="shared" si="5"/>
        <v>0</v>
      </c>
      <c r="AG43" s="4"/>
      <c r="AH43" s="4"/>
      <c r="AI43" s="14"/>
      <c r="BC43" s="4"/>
    </row>
    <row r="44" spans="1:55" x14ac:dyDescent="0.2">
      <c r="A44">
        <f t="shared" si="6"/>
        <v>43</v>
      </c>
      <c r="I44" t="str">
        <f t="shared" si="7"/>
        <v/>
      </c>
      <c r="J44" t="str">
        <f t="shared" si="8"/>
        <v/>
      </c>
      <c r="K44" t="str">
        <f t="shared" si="9"/>
        <v/>
      </c>
      <c r="L44" t="str">
        <f t="shared" si="10"/>
        <v/>
      </c>
      <c r="M44" t="str">
        <f t="shared" si="11"/>
        <v/>
      </c>
      <c r="O44" s="5">
        <f t="shared" si="4"/>
        <v>0</v>
      </c>
      <c r="P44" t="str">
        <f t="shared" si="12"/>
        <v/>
      </c>
      <c r="Q44" t="str">
        <f t="shared" si="13"/>
        <v/>
      </c>
      <c r="R44" t="str">
        <f t="shared" si="14"/>
        <v/>
      </c>
      <c r="S44" t="str">
        <f t="shared" si="15"/>
        <v/>
      </c>
      <c r="T44" t="str">
        <f t="shared" si="16"/>
        <v/>
      </c>
      <c r="V44" s="5">
        <f t="shared" si="5"/>
        <v>0</v>
      </c>
      <c r="AG44" s="4"/>
      <c r="AH44" s="4"/>
      <c r="AI44" s="14"/>
      <c r="BC44" s="4"/>
    </row>
    <row r="45" spans="1:55" x14ac:dyDescent="0.2">
      <c r="A45">
        <f t="shared" si="6"/>
        <v>44</v>
      </c>
      <c r="I45" t="str">
        <f t="shared" si="7"/>
        <v/>
      </c>
      <c r="J45" t="str">
        <f t="shared" si="8"/>
        <v/>
      </c>
      <c r="K45" t="str">
        <f t="shared" si="9"/>
        <v/>
      </c>
      <c r="L45" t="str">
        <f t="shared" si="10"/>
        <v/>
      </c>
      <c r="M45" t="str">
        <f t="shared" si="11"/>
        <v/>
      </c>
      <c r="O45" s="5">
        <f t="shared" si="4"/>
        <v>0</v>
      </c>
      <c r="P45" t="str">
        <f t="shared" si="12"/>
        <v/>
      </c>
      <c r="Q45" t="str">
        <f t="shared" si="13"/>
        <v/>
      </c>
      <c r="R45" t="str">
        <f t="shared" si="14"/>
        <v/>
      </c>
      <c r="S45" t="str">
        <f t="shared" si="15"/>
        <v/>
      </c>
      <c r="T45" t="str">
        <f t="shared" si="16"/>
        <v/>
      </c>
      <c r="V45" s="5">
        <f t="shared" si="5"/>
        <v>0</v>
      </c>
      <c r="AG45" s="4"/>
      <c r="AH45" s="4"/>
      <c r="AI45" s="14"/>
      <c r="BC45" s="4"/>
    </row>
    <row r="46" spans="1:55" x14ac:dyDescent="0.2">
      <c r="A46">
        <f t="shared" si="6"/>
        <v>45</v>
      </c>
      <c r="I46" t="str">
        <f t="shared" si="7"/>
        <v/>
      </c>
      <c r="J46" t="str">
        <f t="shared" si="8"/>
        <v/>
      </c>
      <c r="K46" t="str">
        <f t="shared" si="9"/>
        <v/>
      </c>
      <c r="L46" t="str">
        <f t="shared" si="10"/>
        <v/>
      </c>
      <c r="M46" t="str">
        <f t="shared" si="11"/>
        <v/>
      </c>
      <c r="O46" s="5">
        <f t="shared" si="4"/>
        <v>0</v>
      </c>
      <c r="P46" t="str">
        <f t="shared" si="12"/>
        <v/>
      </c>
      <c r="Q46" t="str">
        <f t="shared" si="13"/>
        <v/>
      </c>
      <c r="R46" t="str">
        <f t="shared" si="14"/>
        <v/>
      </c>
      <c r="S46" t="str">
        <f t="shared" si="15"/>
        <v/>
      </c>
      <c r="T46" t="str">
        <f t="shared" si="16"/>
        <v/>
      </c>
      <c r="V46" s="5">
        <f t="shared" si="5"/>
        <v>0</v>
      </c>
      <c r="AG46" s="4"/>
      <c r="AH46" s="4"/>
      <c r="AI46" s="14"/>
      <c r="BC46" s="4"/>
    </row>
    <row r="47" spans="1:55" x14ac:dyDescent="0.2">
      <c r="A47">
        <f t="shared" si="6"/>
        <v>46</v>
      </c>
      <c r="I47" t="str">
        <f t="shared" si="7"/>
        <v/>
      </c>
      <c r="J47" t="str">
        <f t="shared" si="8"/>
        <v/>
      </c>
      <c r="K47" t="str">
        <f t="shared" si="9"/>
        <v/>
      </c>
      <c r="L47" t="str">
        <f t="shared" si="10"/>
        <v/>
      </c>
      <c r="M47" t="str">
        <f t="shared" si="11"/>
        <v/>
      </c>
      <c r="O47" s="5">
        <f t="shared" si="4"/>
        <v>0</v>
      </c>
      <c r="P47" t="str">
        <f t="shared" si="12"/>
        <v/>
      </c>
      <c r="Q47" t="str">
        <f t="shared" si="13"/>
        <v/>
      </c>
      <c r="R47" t="str">
        <f t="shared" si="14"/>
        <v/>
      </c>
      <c r="S47" t="str">
        <f t="shared" si="15"/>
        <v/>
      </c>
      <c r="T47" t="str">
        <f t="shared" si="16"/>
        <v/>
      </c>
      <c r="V47" s="5">
        <f t="shared" si="5"/>
        <v>0</v>
      </c>
      <c r="AG47" s="4"/>
      <c r="AH47" s="4"/>
      <c r="AI47" s="14"/>
      <c r="BC47" s="4"/>
    </row>
    <row r="48" spans="1:55" x14ac:dyDescent="0.2">
      <c r="A48">
        <f t="shared" si="6"/>
        <v>47</v>
      </c>
      <c r="I48" t="str">
        <f t="shared" si="7"/>
        <v/>
      </c>
      <c r="J48" t="str">
        <f t="shared" si="8"/>
        <v/>
      </c>
      <c r="K48" t="str">
        <f t="shared" si="9"/>
        <v/>
      </c>
      <c r="L48" t="str">
        <f t="shared" si="10"/>
        <v/>
      </c>
      <c r="M48" t="str">
        <f t="shared" si="11"/>
        <v/>
      </c>
      <c r="O48" s="5">
        <f t="shared" si="4"/>
        <v>0</v>
      </c>
      <c r="P48" t="str">
        <f t="shared" si="12"/>
        <v/>
      </c>
      <c r="Q48" t="str">
        <f t="shared" si="13"/>
        <v/>
      </c>
      <c r="R48" t="str">
        <f t="shared" si="14"/>
        <v/>
      </c>
      <c r="S48" t="str">
        <f t="shared" si="15"/>
        <v/>
      </c>
      <c r="T48" t="str">
        <f t="shared" si="16"/>
        <v/>
      </c>
      <c r="V48" s="5">
        <f t="shared" si="5"/>
        <v>0</v>
      </c>
      <c r="AG48" s="4"/>
      <c r="AH48" s="4"/>
      <c r="AI48" s="14"/>
      <c r="BC48" s="4"/>
    </row>
    <row r="49" spans="1:55" x14ac:dyDescent="0.2">
      <c r="A49">
        <f t="shared" si="6"/>
        <v>48</v>
      </c>
      <c r="I49" t="str">
        <f t="shared" si="7"/>
        <v/>
      </c>
      <c r="J49" t="str">
        <f t="shared" si="8"/>
        <v/>
      </c>
      <c r="K49" t="str">
        <f t="shared" si="9"/>
        <v/>
      </c>
      <c r="L49" t="str">
        <f t="shared" si="10"/>
        <v/>
      </c>
      <c r="M49" t="str">
        <f t="shared" si="11"/>
        <v/>
      </c>
      <c r="O49" s="5">
        <f t="shared" si="4"/>
        <v>0</v>
      </c>
      <c r="P49" t="str">
        <f t="shared" si="12"/>
        <v/>
      </c>
      <c r="Q49" t="str">
        <f t="shared" si="13"/>
        <v/>
      </c>
      <c r="R49" t="str">
        <f t="shared" si="14"/>
        <v/>
      </c>
      <c r="S49" t="str">
        <f t="shared" si="15"/>
        <v/>
      </c>
      <c r="T49" t="str">
        <f t="shared" si="16"/>
        <v/>
      </c>
      <c r="V49" s="5">
        <f t="shared" si="5"/>
        <v>0</v>
      </c>
      <c r="AG49" s="4"/>
      <c r="AH49" s="4"/>
      <c r="AI49" s="14"/>
      <c r="BC49" s="4"/>
    </row>
    <row r="50" spans="1:55" x14ac:dyDescent="0.2">
      <c r="A50">
        <f t="shared" si="6"/>
        <v>49</v>
      </c>
      <c r="I50" t="str">
        <f t="shared" si="7"/>
        <v/>
      </c>
      <c r="J50" t="str">
        <f t="shared" si="8"/>
        <v/>
      </c>
      <c r="K50" t="str">
        <f t="shared" si="9"/>
        <v/>
      </c>
      <c r="L50" t="str">
        <f t="shared" si="10"/>
        <v/>
      </c>
      <c r="M50" t="str">
        <f t="shared" si="11"/>
        <v/>
      </c>
      <c r="O50" s="5">
        <f t="shared" si="4"/>
        <v>0</v>
      </c>
      <c r="P50" t="str">
        <f t="shared" si="12"/>
        <v/>
      </c>
      <c r="Q50" t="str">
        <f t="shared" si="13"/>
        <v/>
      </c>
      <c r="R50" t="str">
        <f t="shared" si="14"/>
        <v/>
      </c>
      <c r="S50" t="str">
        <f t="shared" si="15"/>
        <v/>
      </c>
      <c r="T50" t="str">
        <f t="shared" si="16"/>
        <v/>
      </c>
      <c r="V50" s="5">
        <f t="shared" si="5"/>
        <v>0</v>
      </c>
      <c r="AG50" s="4"/>
      <c r="AH50" s="4"/>
      <c r="AI50" s="14"/>
      <c r="BC50" s="4"/>
    </row>
    <row r="51" spans="1:55" x14ac:dyDescent="0.2">
      <c r="A51">
        <f t="shared" si="6"/>
        <v>50</v>
      </c>
      <c r="I51" t="str">
        <f t="shared" si="7"/>
        <v/>
      </c>
      <c r="J51" t="str">
        <f t="shared" si="8"/>
        <v/>
      </c>
      <c r="K51" t="str">
        <f t="shared" si="9"/>
        <v/>
      </c>
      <c r="L51" t="str">
        <f t="shared" si="10"/>
        <v/>
      </c>
      <c r="M51" t="str">
        <f t="shared" si="11"/>
        <v/>
      </c>
      <c r="O51" s="5">
        <f t="shared" si="4"/>
        <v>0</v>
      </c>
      <c r="P51" t="str">
        <f t="shared" si="12"/>
        <v/>
      </c>
      <c r="Q51" t="str">
        <f t="shared" si="13"/>
        <v/>
      </c>
      <c r="R51" t="str">
        <f t="shared" si="14"/>
        <v/>
      </c>
      <c r="S51" t="str">
        <f t="shared" si="15"/>
        <v/>
      </c>
      <c r="T51" t="str">
        <f t="shared" si="16"/>
        <v/>
      </c>
      <c r="V51" s="5">
        <f t="shared" si="5"/>
        <v>0</v>
      </c>
      <c r="AG51" s="4"/>
      <c r="AH51" s="4"/>
      <c r="AI51" s="14"/>
      <c r="BC51" s="4"/>
    </row>
    <row r="52" spans="1:55" x14ac:dyDescent="0.2">
      <c r="A52">
        <f t="shared" si="6"/>
        <v>51</v>
      </c>
      <c r="I52" t="str">
        <f t="shared" si="7"/>
        <v/>
      </c>
      <c r="J52" t="str">
        <f t="shared" si="8"/>
        <v/>
      </c>
      <c r="K52" t="str">
        <f t="shared" si="9"/>
        <v/>
      </c>
      <c r="L52" t="str">
        <f t="shared" si="10"/>
        <v/>
      </c>
      <c r="M52" t="str">
        <f t="shared" si="11"/>
        <v/>
      </c>
      <c r="O52" s="5">
        <f t="shared" si="4"/>
        <v>0</v>
      </c>
      <c r="P52" t="str">
        <f t="shared" si="12"/>
        <v/>
      </c>
      <c r="Q52" t="str">
        <f t="shared" si="13"/>
        <v/>
      </c>
      <c r="R52" t="str">
        <f t="shared" si="14"/>
        <v/>
      </c>
      <c r="S52" t="str">
        <f t="shared" si="15"/>
        <v/>
      </c>
      <c r="T52" t="str">
        <f t="shared" si="16"/>
        <v/>
      </c>
      <c r="V52" s="5">
        <f t="shared" si="5"/>
        <v>0</v>
      </c>
      <c r="AG52" s="4"/>
      <c r="AH52" s="4"/>
      <c r="AI52" s="14"/>
      <c r="BC52" s="4"/>
    </row>
    <row r="53" spans="1:55" x14ac:dyDescent="0.2">
      <c r="A53">
        <f t="shared" si="6"/>
        <v>52</v>
      </c>
      <c r="I53" t="str">
        <f t="shared" si="7"/>
        <v/>
      </c>
      <c r="J53" t="str">
        <f t="shared" si="8"/>
        <v/>
      </c>
      <c r="K53" t="str">
        <f t="shared" si="9"/>
        <v/>
      </c>
      <c r="L53" t="str">
        <f t="shared" si="10"/>
        <v/>
      </c>
      <c r="M53" t="str">
        <f t="shared" si="11"/>
        <v/>
      </c>
      <c r="O53" s="5">
        <f t="shared" si="4"/>
        <v>0</v>
      </c>
      <c r="P53" t="str">
        <f t="shared" si="12"/>
        <v/>
      </c>
      <c r="Q53" t="str">
        <f t="shared" si="13"/>
        <v/>
      </c>
      <c r="R53" t="str">
        <f t="shared" si="14"/>
        <v/>
      </c>
      <c r="S53" t="str">
        <f t="shared" si="15"/>
        <v/>
      </c>
      <c r="T53" t="str">
        <f t="shared" si="16"/>
        <v/>
      </c>
      <c r="V53" s="5">
        <f t="shared" si="5"/>
        <v>0</v>
      </c>
      <c r="AG53" s="4"/>
      <c r="AH53" s="4"/>
      <c r="AI53" s="14"/>
      <c r="BC53" s="4"/>
    </row>
    <row r="54" spans="1:55" x14ac:dyDescent="0.2">
      <c r="A54">
        <f t="shared" si="6"/>
        <v>53</v>
      </c>
      <c r="I54" t="str">
        <f t="shared" si="7"/>
        <v/>
      </c>
      <c r="J54" t="str">
        <f t="shared" si="8"/>
        <v/>
      </c>
      <c r="K54" t="str">
        <f t="shared" si="9"/>
        <v/>
      </c>
      <c r="L54" t="str">
        <f t="shared" si="10"/>
        <v/>
      </c>
      <c r="M54" t="str">
        <f t="shared" si="11"/>
        <v/>
      </c>
      <c r="O54" s="5">
        <f t="shared" si="4"/>
        <v>0</v>
      </c>
      <c r="P54" t="str">
        <f t="shared" si="12"/>
        <v/>
      </c>
      <c r="Q54" t="str">
        <f t="shared" si="13"/>
        <v/>
      </c>
      <c r="R54" t="str">
        <f t="shared" si="14"/>
        <v/>
      </c>
      <c r="S54" t="str">
        <f t="shared" si="15"/>
        <v/>
      </c>
      <c r="T54" t="str">
        <f t="shared" si="16"/>
        <v/>
      </c>
      <c r="V54" s="5">
        <f t="shared" si="5"/>
        <v>0</v>
      </c>
      <c r="AG54" s="4"/>
      <c r="AH54" s="4"/>
      <c r="AI54" s="14"/>
      <c r="BC54" s="4"/>
    </row>
    <row r="55" spans="1:55" x14ac:dyDescent="0.2">
      <c r="A55">
        <f t="shared" si="6"/>
        <v>54</v>
      </c>
      <c r="I55" t="str">
        <f t="shared" si="7"/>
        <v/>
      </c>
      <c r="J55" t="str">
        <f t="shared" si="8"/>
        <v/>
      </c>
      <c r="K55" t="str">
        <f t="shared" si="9"/>
        <v/>
      </c>
      <c r="L55" t="str">
        <f t="shared" si="10"/>
        <v/>
      </c>
      <c r="M55" t="str">
        <f t="shared" si="11"/>
        <v/>
      </c>
      <c r="O55" s="5">
        <f t="shared" si="4"/>
        <v>0</v>
      </c>
      <c r="P55" t="str">
        <f t="shared" si="12"/>
        <v/>
      </c>
      <c r="Q55" t="str">
        <f t="shared" si="13"/>
        <v/>
      </c>
      <c r="R55" t="str">
        <f t="shared" si="14"/>
        <v/>
      </c>
      <c r="S55" t="str">
        <f t="shared" si="15"/>
        <v/>
      </c>
      <c r="T55" t="str">
        <f t="shared" si="16"/>
        <v/>
      </c>
      <c r="V55" s="5">
        <f t="shared" si="5"/>
        <v>0</v>
      </c>
      <c r="AG55" s="4"/>
      <c r="AH55" s="4"/>
      <c r="AI55" s="14"/>
      <c r="BC55" s="4"/>
    </row>
    <row r="56" spans="1:55" x14ac:dyDescent="0.2">
      <c r="A56">
        <f t="shared" si="6"/>
        <v>55</v>
      </c>
      <c r="I56" t="str">
        <f t="shared" si="7"/>
        <v/>
      </c>
      <c r="J56" t="str">
        <f t="shared" si="8"/>
        <v/>
      </c>
      <c r="K56" t="str">
        <f t="shared" si="9"/>
        <v/>
      </c>
      <c r="L56" t="str">
        <f t="shared" si="10"/>
        <v/>
      </c>
      <c r="M56" t="str">
        <f t="shared" si="11"/>
        <v/>
      </c>
      <c r="O56" s="5">
        <f t="shared" si="4"/>
        <v>0</v>
      </c>
      <c r="P56" t="str">
        <f t="shared" si="12"/>
        <v/>
      </c>
      <c r="Q56" t="str">
        <f t="shared" si="13"/>
        <v/>
      </c>
      <c r="R56" t="str">
        <f t="shared" si="14"/>
        <v/>
      </c>
      <c r="S56" t="str">
        <f t="shared" si="15"/>
        <v/>
      </c>
      <c r="T56" t="str">
        <f t="shared" si="16"/>
        <v/>
      </c>
      <c r="V56" s="5">
        <f t="shared" si="5"/>
        <v>0</v>
      </c>
      <c r="AG56" s="4"/>
      <c r="AH56" s="4"/>
      <c r="AI56" s="14"/>
      <c r="BC56" s="4"/>
    </row>
    <row r="57" spans="1:55" x14ac:dyDescent="0.2">
      <c r="A57">
        <f t="shared" si="6"/>
        <v>56</v>
      </c>
      <c r="I57" t="str">
        <f t="shared" si="7"/>
        <v/>
      </c>
      <c r="J57" t="str">
        <f t="shared" si="8"/>
        <v/>
      </c>
      <c r="K57" t="str">
        <f t="shared" si="9"/>
        <v/>
      </c>
      <c r="L57" t="str">
        <f t="shared" si="10"/>
        <v/>
      </c>
      <c r="M57" t="str">
        <f t="shared" si="11"/>
        <v/>
      </c>
      <c r="O57" s="5">
        <f t="shared" si="4"/>
        <v>0</v>
      </c>
      <c r="P57" t="str">
        <f t="shared" si="12"/>
        <v/>
      </c>
      <c r="Q57" t="str">
        <f t="shared" si="13"/>
        <v/>
      </c>
      <c r="R57" t="str">
        <f t="shared" si="14"/>
        <v/>
      </c>
      <c r="S57" t="str">
        <f t="shared" si="15"/>
        <v/>
      </c>
      <c r="T57" t="str">
        <f t="shared" si="16"/>
        <v/>
      </c>
      <c r="V57" s="5">
        <f t="shared" si="5"/>
        <v>0</v>
      </c>
      <c r="AG57" s="4"/>
      <c r="AH57" s="4"/>
      <c r="AI57" s="14"/>
      <c r="BC57" s="4"/>
    </row>
    <row r="58" spans="1:55" x14ac:dyDescent="0.2">
      <c r="A58">
        <f t="shared" si="6"/>
        <v>57</v>
      </c>
      <c r="I58" t="str">
        <f t="shared" si="7"/>
        <v/>
      </c>
      <c r="J58" t="str">
        <f t="shared" si="8"/>
        <v/>
      </c>
      <c r="K58" t="str">
        <f t="shared" si="9"/>
        <v/>
      </c>
      <c r="L58" t="str">
        <f t="shared" si="10"/>
        <v/>
      </c>
      <c r="M58" t="str">
        <f t="shared" si="11"/>
        <v/>
      </c>
      <c r="O58" s="5">
        <f t="shared" si="4"/>
        <v>0</v>
      </c>
      <c r="P58" t="str">
        <f t="shared" si="12"/>
        <v/>
      </c>
      <c r="Q58" t="str">
        <f t="shared" si="13"/>
        <v/>
      </c>
      <c r="R58" t="str">
        <f t="shared" si="14"/>
        <v/>
      </c>
      <c r="S58" t="str">
        <f t="shared" si="15"/>
        <v/>
      </c>
      <c r="T58" t="str">
        <f t="shared" si="16"/>
        <v/>
      </c>
      <c r="V58" s="5">
        <f t="shared" si="5"/>
        <v>0</v>
      </c>
      <c r="AG58" s="4"/>
      <c r="AH58" s="4"/>
      <c r="AI58" s="14"/>
      <c r="BC58" s="4"/>
    </row>
    <row r="59" spans="1:55" x14ac:dyDescent="0.2">
      <c r="A59">
        <f t="shared" si="6"/>
        <v>58</v>
      </c>
      <c r="I59" t="str">
        <f t="shared" si="7"/>
        <v/>
      </c>
      <c r="J59" t="str">
        <f t="shared" si="8"/>
        <v/>
      </c>
      <c r="K59" t="str">
        <f t="shared" si="9"/>
        <v/>
      </c>
      <c r="L59" t="str">
        <f t="shared" si="10"/>
        <v/>
      </c>
      <c r="M59" t="str">
        <f t="shared" si="11"/>
        <v/>
      </c>
      <c r="O59" s="5">
        <f t="shared" si="4"/>
        <v>0</v>
      </c>
      <c r="P59" t="str">
        <f t="shared" si="12"/>
        <v/>
      </c>
      <c r="Q59" t="str">
        <f t="shared" si="13"/>
        <v/>
      </c>
      <c r="R59" t="str">
        <f t="shared" si="14"/>
        <v/>
      </c>
      <c r="S59" t="str">
        <f t="shared" si="15"/>
        <v/>
      </c>
      <c r="T59" t="str">
        <f t="shared" si="16"/>
        <v/>
      </c>
      <c r="V59" s="5">
        <f t="shared" si="5"/>
        <v>0</v>
      </c>
      <c r="AG59" s="4"/>
      <c r="AH59" s="4"/>
      <c r="AI59" s="14"/>
      <c r="BC59" s="4"/>
    </row>
    <row r="60" spans="1:55" x14ac:dyDescent="0.2">
      <c r="A60">
        <f t="shared" si="6"/>
        <v>59</v>
      </c>
      <c r="I60" t="str">
        <f t="shared" si="7"/>
        <v/>
      </c>
      <c r="J60" t="str">
        <f t="shared" si="8"/>
        <v/>
      </c>
      <c r="K60" t="str">
        <f t="shared" si="9"/>
        <v/>
      </c>
      <c r="L60" t="str">
        <f t="shared" si="10"/>
        <v/>
      </c>
      <c r="M60" t="str">
        <f t="shared" si="11"/>
        <v/>
      </c>
      <c r="O60" s="5">
        <f t="shared" si="4"/>
        <v>0</v>
      </c>
      <c r="P60" t="str">
        <f t="shared" si="12"/>
        <v/>
      </c>
      <c r="Q60" t="str">
        <f t="shared" si="13"/>
        <v/>
      </c>
      <c r="R60" t="str">
        <f t="shared" si="14"/>
        <v/>
      </c>
      <c r="S60" t="str">
        <f t="shared" si="15"/>
        <v/>
      </c>
      <c r="T60" t="str">
        <f t="shared" si="16"/>
        <v/>
      </c>
      <c r="V60" s="5">
        <f t="shared" si="5"/>
        <v>0</v>
      </c>
      <c r="AG60" s="4"/>
      <c r="AH60" s="4"/>
      <c r="AI60" s="14"/>
      <c r="BC60" s="4"/>
    </row>
    <row r="61" spans="1:55" x14ac:dyDescent="0.2">
      <c r="A61">
        <f t="shared" si="6"/>
        <v>60</v>
      </c>
      <c r="I61" t="str">
        <f t="shared" si="7"/>
        <v/>
      </c>
      <c r="J61" t="str">
        <f t="shared" si="8"/>
        <v/>
      </c>
      <c r="K61" t="str">
        <f t="shared" si="9"/>
        <v/>
      </c>
      <c r="L61" t="str">
        <f t="shared" si="10"/>
        <v/>
      </c>
      <c r="M61" t="str">
        <f t="shared" si="11"/>
        <v/>
      </c>
      <c r="O61" s="5">
        <f t="shared" si="4"/>
        <v>0</v>
      </c>
      <c r="P61" t="str">
        <f t="shared" si="12"/>
        <v/>
      </c>
      <c r="Q61" t="str">
        <f t="shared" si="13"/>
        <v/>
      </c>
      <c r="R61" t="str">
        <f t="shared" si="14"/>
        <v/>
      </c>
      <c r="S61" t="str">
        <f t="shared" si="15"/>
        <v/>
      </c>
      <c r="T61" t="str">
        <f t="shared" si="16"/>
        <v/>
      </c>
      <c r="V61" s="5">
        <f t="shared" si="5"/>
        <v>0</v>
      </c>
      <c r="AG61" s="4"/>
      <c r="AH61" s="4"/>
      <c r="AI61" s="14"/>
      <c r="BC61" s="4"/>
    </row>
    <row r="62" spans="1:55" x14ac:dyDescent="0.2">
      <c r="A62">
        <f t="shared" si="6"/>
        <v>61</v>
      </c>
      <c r="I62" t="str">
        <f t="shared" si="7"/>
        <v/>
      </c>
      <c r="J62" t="str">
        <f t="shared" si="8"/>
        <v/>
      </c>
      <c r="K62" t="str">
        <f t="shared" si="9"/>
        <v/>
      </c>
      <c r="L62" t="str">
        <f t="shared" si="10"/>
        <v/>
      </c>
      <c r="M62" t="str">
        <f t="shared" si="11"/>
        <v/>
      </c>
      <c r="O62" s="5">
        <f t="shared" si="4"/>
        <v>0</v>
      </c>
      <c r="P62" t="str">
        <f t="shared" si="12"/>
        <v/>
      </c>
      <c r="Q62" t="str">
        <f t="shared" si="13"/>
        <v/>
      </c>
      <c r="R62" t="str">
        <f t="shared" si="14"/>
        <v/>
      </c>
      <c r="S62" t="str">
        <f t="shared" si="15"/>
        <v/>
      </c>
      <c r="T62" t="str">
        <f t="shared" si="16"/>
        <v/>
      </c>
      <c r="V62" s="5">
        <f t="shared" si="5"/>
        <v>0</v>
      </c>
      <c r="AG62" s="4"/>
      <c r="AH62" s="4"/>
      <c r="AI62" s="14"/>
      <c r="BC62" s="4"/>
    </row>
    <row r="63" spans="1:55" x14ac:dyDescent="0.2">
      <c r="A63">
        <f t="shared" si="6"/>
        <v>62</v>
      </c>
      <c r="I63" t="str">
        <f t="shared" si="7"/>
        <v/>
      </c>
      <c r="J63" t="str">
        <f t="shared" si="8"/>
        <v/>
      </c>
      <c r="K63" t="str">
        <f t="shared" si="9"/>
        <v/>
      </c>
      <c r="L63" t="str">
        <f t="shared" si="10"/>
        <v/>
      </c>
      <c r="M63" t="str">
        <f t="shared" si="11"/>
        <v/>
      </c>
      <c r="O63" s="5">
        <f t="shared" si="4"/>
        <v>0</v>
      </c>
      <c r="P63" t="str">
        <f t="shared" si="12"/>
        <v/>
      </c>
      <c r="Q63" t="str">
        <f t="shared" si="13"/>
        <v/>
      </c>
      <c r="R63" t="str">
        <f t="shared" si="14"/>
        <v/>
      </c>
      <c r="S63" t="str">
        <f t="shared" si="15"/>
        <v/>
      </c>
      <c r="T63" t="str">
        <f t="shared" si="16"/>
        <v/>
      </c>
      <c r="V63" s="5">
        <f t="shared" si="5"/>
        <v>0</v>
      </c>
      <c r="AG63" s="4"/>
      <c r="AH63" s="4"/>
      <c r="AI63" s="14"/>
      <c r="BC63" s="4"/>
    </row>
    <row r="64" spans="1:55" x14ac:dyDescent="0.2">
      <c r="A64">
        <f t="shared" si="6"/>
        <v>63</v>
      </c>
      <c r="I64" t="str">
        <f t="shared" si="7"/>
        <v/>
      </c>
      <c r="J64" t="str">
        <f t="shared" si="8"/>
        <v/>
      </c>
      <c r="K64" t="str">
        <f t="shared" si="9"/>
        <v/>
      </c>
      <c r="L64" t="str">
        <f t="shared" si="10"/>
        <v/>
      </c>
      <c r="M64" t="str">
        <f t="shared" si="11"/>
        <v/>
      </c>
      <c r="O64" s="5">
        <f t="shared" si="4"/>
        <v>0</v>
      </c>
      <c r="P64" t="str">
        <f t="shared" si="12"/>
        <v/>
      </c>
      <c r="Q64" t="str">
        <f t="shared" si="13"/>
        <v/>
      </c>
      <c r="R64" t="str">
        <f t="shared" si="14"/>
        <v/>
      </c>
      <c r="S64" t="str">
        <f t="shared" si="15"/>
        <v/>
      </c>
      <c r="T64" t="str">
        <f t="shared" si="16"/>
        <v/>
      </c>
      <c r="V64" s="5">
        <f t="shared" si="5"/>
        <v>0</v>
      </c>
      <c r="AG64" s="4"/>
      <c r="AH64" s="4"/>
      <c r="AI64" s="14"/>
      <c r="BC64" s="4"/>
    </row>
    <row r="65" spans="1:55" x14ac:dyDescent="0.2">
      <c r="A65">
        <f t="shared" si="6"/>
        <v>64</v>
      </c>
      <c r="I65" t="str">
        <f t="shared" si="7"/>
        <v/>
      </c>
      <c r="J65" t="str">
        <f t="shared" si="8"/>
        <v/>
      </c>
      <c r="K65" t="str">
        <f t="shared" si="9"/>
        <v/>
      </c>
      <c r="L65" t="str">
        <f t="shared" si="10"/>
        <v/>
      </c>
      <c r="M65" t="str">
        <f t="shared" si="11"/>
        <v/>
      </c>
      <c r="O65" s="5">
        <f t="shared" si="4"/>
        <v>0</v>
      </c>
      <c r="P65" t="str">
        <f t="shared" si="12"/>
        <v/>
      </c>
      <c r="Q65" t="str">
        <f t="shared" si="13"/>
        <v/>
      </c>
      <c r="R65" t="str">
        <f t="shared" si="14"/>
        <v/>
      </c>
      <c r="S65" t="str">
        <f t="shared" si="15"/>
        <v/>
      </c>
      <c r="T65" t="str">
        <f t="shared" si="16"/>
        <v/>
      </c>
      <c r="V65" s="5">
        <f t="shared" si="5"/>
        <v>0</v>
      </c>
      <c r="AG65" s="4"/>
      <c r="AH65" s="4"/>
      <c r="AI65" s="14"/>
      <c r="BC65" s="4"/>
    </row>
    <row r="66" spans="1:55" x14ac:dyDescent="0.2">
      <c r="A66">
        <f t="shared" si="6"/>
        <v>65</v>
      </c>
      <c r="I66" t="str">
        <f t="shared" si="7"/>
        <v/>
      </c>
      <c r="J66" t="str">
        <f t="shared" si="8"/>
        <v/>
      </c>
      <c r="K66" t="str">
        <f t="shared" si="9"/>
        <v/>
      </c>
      <c r="L66" t="str">
        <f t="shared" si="10"/>
        <v/>
      </c>
      <c r="M66" t="str">
        <f t="shared" si="11"/>
        <v/>
      </c>
      <c r="O66" s="5">
        <f t="shared" si="4"/>
        <v>0</v>
      </c>
      <c r="P66" t="str">
        <f t="shared" si="12"/>
        <v/>
      </c>
      <c r="Q66" t="str">
        <f t="shared" si="13"/>
        <v/>
      </c>
      <c r="R66" t="str">
        <f t="shared" si="14"/>
        <v/>
      </c>
      <c r="S66" t="str">
        <f t="shared" si="15"/>
        <v/>
      </c>
      <c r="T66" t="str">
        <f t="shared" si="16"/>
        <v/>
      </c>
      <c r="V66" s="5">
        <f t="shared" si="5"/>
        <v>0</v>
      </c>
      <c r="AG66" s="4"/>
      <c r="AH66" s="4"/>
      <c r="AI66" s="14"/>
      <c r="BC66" s="4"/>
    </row>
    <row r="67" spans="1:55" x14ac:dyDescent="0.2">
      <c r="A67">
        <f t="shared" si="6"/>
        <v>66</v>
      </c>
      <c r="I67" t="str">
        <f t="shared" si="7"/>
        <v/>
      </c>
      <c r="J67" t="str">
        <f t="shared" si="8"/>
        <v/>
      </c>
      <c r="K67" t="str">
        <f t="shared" si="9"/>
        <v/>
      </c>
      <c r="L67" t="str">
        <f t="shared" si="10"/>
        <v/>
      </c>
      <c r="M67" t="str">
        <f t="shared" si="11"/>
        <v/>
      </c>
      <c r="O67" s="5">
        <f t="shared" si="4"/>
        <v>0</v>
      </c>
      <c r="P67" t="str">
        <f t="shared" si="12"/>
        <v/>
      </c>
      <c r="Q67" t="str">
        <f t="shared" si="13"/>
        <v/>
      </c>
      <c r="R67" t="str">
        <f t="shared" si="14"/>
        <v/>
      </c>
      <c r="S67" t="str">
        <f t="shared" si="15"/>
        <v/>
      </c>
      <c r="T67" t="str">
        <f t="shared" si="16"/>
        <v/>
      </c>
      <c r="V67" s="5">
        <f t="shared" si="5"/>
        <v>0</v>
      </c>
      <c r="AG67" s="4"/>
      <c r="AH67" s="4"/>
      <c r="AI67" s="14"/>
      <c r="BC67" s="4"/>
    </row>
    <row r="68" spans="1:55" x14ac:dyDescent="0.2">
      <c r="A68">
        <f t="shared" si="6"/>
        <v>67</v>
      </c>
      <c r="I68" t="str">
        <f t="shared" si="7"/>
        <v/>
      </c>
      <c r="J68" t="str">
        <f t="shared" si="8"/>
        <v/>
      </c>
      <c r="K68" t="str">
        <f t="shared" si="9"/>
        <v/>
      </c>
      <c r="L68" t="str">
        <f t="shared" si="10"/>
        <v/>
      </c>
      <c r="M68" t="str">
        <f t="shared" si="11"/>
        <v/>
      </c>
      <c r="O68" s="5">
        <f t="shared" ref="O68:O99" si="17">IF(G68="Intermission",$O66,$O67)</f>
        <v>0</v>
      </c>
      <c r="P68" t="str">
        <f t="shared" si="12"/>
        <v/>
      </c>
      <c r="Q68" t="str">
        <f t="shared" si="13"/>
        <v/>
      </c>
      <c r="R68" t="str">
        <f t="shared" si="14"/>
        <v/>
      </c>
      <c r="S68" t="str">
        <f t="shared" si="15"/>
        <v/>
      </c>
      <c r="T68" t="str">
        <f t="shared" si="16"/>
        <v/>
      </c>
      <c r="V68" s="5">
        <f t="shared" ref="V68:V99" si="18">IF(N68="Intermission",$O66,$O67)</f>
        <v>0</v>
      </c>
      <c r="AG68" s="4"/>
      <c r="AH68" s="4"/>
      <c r="AI68" s="14"/>
      <c r="BC68" s="4"/>
    </row>
    <row r="69" spans="1:55" x14ac:dyDescent="0.2">
      <c r="A69">
        <f t="shared" ref="A69:A99" si="19">A68+1</f>
        <v>68</v>
      </c>
      <c r="I69" t="str">
        <f t="shared" ref="I69:I99" si="20">IF($D69&gt;0,I68,"")</f>
        <v/>
      </c>
      <c r="J69" t="str">
        <f t="shared" ref="J69:J99" si="21">IF($D69&gt;0,J68,"")</f>
        <v/>
      </c>
      <c r="K69" t="str">
        <f t="shared" ref="K69:K99" si="22">IF($D69&gt;0,K68,"")</f>
        <v/>
      </c>
      <c r="L69" t="str">
        <f t="shared" ref="L69:L99" si="23">IF($D69&gt;0,L68,"")</f>
        <v/>
      </c>
      <c r="M69" t="str">
        <f t="shared" ref="M69:M99" si="24">IF($D69&gt;0,M68,"")</f>
        <v/>
      </c>
      <c r="O69" s="5">
        <f t="shared" si="17"/>
        <v>0</v>
      </c>
      <c r="P69" t="str">
        <f t="shared" ref="P69:P99" si="25">IF($D69&gt;0,P68,"")</f>
        <v/>
      </c>
      <c r="Q69" t="str">
        <f t="shared" ref="Q69:Q99" si="26">IF($D69&gt;0,Q68,"")</f>
        <v/>
      </c>
      <c r="R69" t="str">
        <f t="shared" ref="R69:R99" si="27">IF($D69&gt;0,R68,"")</f>
        <v/>
      </c>
      <c r="S69" t="str">
        <f t="shared" ref="S69:S99" si="28">IF($D69&gt;0,S68,"")</f>
        <v/>
      </c>
      <c r="T69" t="str">
        <f t="shared" ref="T69:T99" si="29">IF($D69&gt;0,T68,"")</f>
        <v/>
      </c>
      <c r="V69" s="5">
        <f t="shared" si="18"/>
        <v>0</v>
      </c>
      <c r="AG69" s="4"/>
      <c r="AH69" s="4"/>
      <c r="AI69" s="14"/>
      <c r="BC69" s="4"/>
    </row>
    <row r="70" spans="1:55" x14ac:dyDescent="0.2">
      <c r="A70">
        <f t="shared" si="19"/>
        <v>69</v>
      </c>
      <c r="I70" t="str">
        <f t="shared" si="20"/>
        <v/>
      </c>
      <c r="J70" t="str">
        <f t="shared" si="21"/>
        <v/>
      </c>
      <c r="K70" t="str">
        <f t="shared" si="22"/>
        <v/>
      </c>
      <c r="L70" t="str">
        <f t="shared" si="23"/>
        <v/>
      </c>
      <c r="M70" t="str">
        <f t="shared" si="24"/>
        <v/>
      </c>
      <c r="O70" s="5">
        <f t="shared" si="17"/>
        <v>0</v>
      </c>
      <c r="P70" t="str">
        <f t="shared" si="25"/>
        <v/>
      </c>
      <c r="Q70" t="str">
        <f t="shared" si="26"/>
        <v/>
      </c>
      <c r="R70" t="str">
        <f t="shared" si="27"/>
        <v/>
      </c>
      <c r="S70" t="str">
        <f t="shared" si="28"/>
        <v/>
      </c>
      <c r="T70" t="str">
        <f t="shared" si="29"/>
        <v/>
      </c>
      <c r="V70" s="5">
        <f t="shared" si="18"/>
        <v>0</v>
      </c>
      <c r="AG70" s="4"/>
      <c r="AH70" s="4"/>
      <c r="AI70" s="14"/>
      <c r="BC70" s="4"/>
    </row>
    <row r="71" spans="1:55" x14ac:dyDescent="0.2">
      <c r="A71">
        <f t="shared" si="19"/>
        <v>70</v>
      </c>
      <c r="I71" t="str">
        <f t="shared" si="20"/>
        <v/>
      </c>
      <c r="J71" t="str">
        <f t="shared" si="21"/>
        <v/>
      </c>
      <c r="K71" t="str">
        <f t="shared" si="22"/>
        <v/>
      </c>
      <c r="L71" t="str">
        <f t="shared" si="23"/>
        <v/>
      </c>
      <c r="M71" t="str">
        <f t="shared" si="24"/>
        <v/>
      </c>
      <c r="O71" s="5">
        <f t="shared" si="17"/>
        <v>0</v>
      </c>
      <c r="P71" t="str">
        <f t="shared" si="25"/>
        <v/>
      </c>
      <c r="Q71" t="str">
        <f t="shared" si="26"/>
        <v/>
      </c>
      <c r="R71" t="str">
        <f t="shared" si="27"/>
        <v/>
      </c>
      <c r="S71" t="str">
        <f t="shared" si="28"/>
        <v/>
      </c>
      <c r="T71" t="str">
        <f t="shared" si="29"/>
        <v/>
      </c>
      <c r="V71" s="5">
        <f t="shared" si="18"/>
        <v>0</v>
      </c>
      <c r="AG71" s="4"/>
      <c r="AH71" s="4"/>
      <c r="AI71" s="14"/>
      <c r="BC71" s="4"/>
    </row>
    <row r="72" spans="1:55" x14ac:dyDescent="0.2">
      <c r="A72">
        <f t="shared" si="19"/>
        <v>71</v>
      </c>
      <c r="I72" t="str">
        <f t="shared" si="20"/>
        <v/>
      </c>
      <c r="J72" t="str">
        <f t="shared" si="21"/>
        <v/>
      </c>
      <c r="K72" t="str">
        <f t="shared" si="22"/>
        <v/>
      </c>
      <c r="L72" t="str">
        <f t="shared" si="23"/>
        <v/>
      </c>
      <c r="M72" t="str">
        <f t="shared" si="24"/>
        <v/>
      </c>
      <c r="O72" s="5">
        <f t="shared" si="17"/>
        <v>0</v>
      </c>
      <c r="P72" t="str">
        <f t="shared" si="25"/>
        <v/>
      </c>
      <c r="Q72" t="str">
        <f t="shared" si="26"/>
        <v/>
      </c>
      <c r="R72" t="str">
        <f t="shared" si="27"/>
        <v/>
      </c>
      <c r="S72" t="str">
        <f t="shared" si="28"/>
        <v/>
      </c>
      <c r="T72" t="str">
        <f t="shared" si="29"/>
        <v/>
      </c>
      <c r="V72" s="5">
        <f t="shared" si="18"/>
        <v>0</v>
      </c>
      <c r="AG72" s="4"/>
      <c r="AH72" s="4"/>
      <c r="AI72" s="14"/>
      <c r="BC72" s="4"/>
    </row>
    <row r="73" spans="1:55" x14ac:dyDescent="0.2">
      <c r="A73">
        <f t="shared" si="19"/>
        <v>72</v>
      </c>
      <c r="I73" t="str">
        <f t="shared" si="20"/>
        <v/>
      </c>
      <c r="J73" t="str">
        <f t="shared" si="21"/>
        <v/>
      </c>
      <c r="K73" t="str">
        <f t="shared" si="22"/>
        <v/>
      </c>
      <c r="L73" t="str">
        <f t="shared" si="23"/>
        <v/>
      </c>
      <c r="M73" t="str">
        <f t="shared" si="24"/>
        <v/>
      </c>
      <c r="O73" s="5">
        <f t="shared" si="17"/>
        <v>0</v>
      </c>
      <c r="P73" t="str">
        <f t="shared" si="25"/>
        <v/>
      </c>
      <c r="Q73" t="str">
        <f t="shared" si="26"/>
        <v/>
      </c>
      <c r="R73" t="str">
        <f t="shared" si="27"/>
        <v/>
      </c>
      <c r="S73" t="str">
        <f t="shared" si="28"/>
        <v/>
      </c>
      <c r="T73" t="str">
        <f t="shared" si="29"/>
        <v/>
      </c>
      <c r="V73" s="5">
        <f t="shared" si="18"/>
        <v>0</v>
      </c>
      <c r="AG73" s="4"/>
      <c r="AH73" s="4"/>
      <c r="AI73" s="14"/>
      <c r="BC73" s="4"/>
    </row>
    <row r="74" spans="1:55" x14ac:dyDescent="0.2">
      <c r="A74">
        <f t="shared" si="19"/>
        <v>73</v>
      </c>
      <c r="I74" t="str">
        <f t="shared" si="20"/>
        <v/>
      </c>
      <c r="J74" t="str">
        <f t="shared" si="21"/>
        <v/>
      </c>
      <c r="K74" t="str">
        <f t="shared" si="22"/>
        <v/>
      </c>
      <c r="L74" t="str">
        <f t="shared" si="23"/>
        <v/>
      </c>
      <c r="M74" t="str">
        <f t="shared" si="24"/>
        <v/>
      </c>
      <c r="O74" s="5">
        <f t="shared" si="17"/>
        <v>0</v>
      </c>
      <c r="P74" t="str">
        <f t="shared" si="25"/>
        <v/>
      </c>
      <c r="Q74" t="str">
        <f t="shared" si="26"/>
        <v/>
      </c>
      <c r="R74" t="str">
        <f t="shared" si="27"/>
        <v/>
      </c>
      <c r="S74" t="str">
        <f t="shared" si="28"/>
        <v/>
      </c>
      <c r="T74" t="str">
        <f t="shared" si="29"/>
        <v/>
      </c>
      <c r="V74" s="5">
        <f t="shared" si="18"/>
        <v>0</v>
      </c>
      <c r="AG74" s="4"/>
      <c r="AH74" s="4"/>
      <c r="AI74" s="14"/>
      <c r="BC74" s="4"/>
    </row>
    <row r="75" spans="1:55" x14ac:dyDescent="0.2">
      <c r="A75">
        <f t="shared" si="19"/>
        <v>74</v>
      </c>
      <c r="I75" t="str">
        <f t="shared" si="20"/>
        <v/>
      </c>
      <c r="J75" t="str">
        <f t="shared" si="21"/>
        <v/>
      </c>
      <c r="K75" t="str">
        <f t="shared" si="22"/>
        <v/>
      </c>
      <c r="L75" t="str">
        <f t="shared" si="23"/>
        <v/>
      </c>
      <c r="M75" t="str">
        <f t="shared" si="24"/>
        <v/>
      </c>
      <c r="O75" s="5">
        <f t="shared" si="17"/>
        <v>0</v>
      </c>
      <c r="P75" t="str">
        <f t="shared" si="25"/>
        <v/>
      </c>
      <c r="Q75" t="str">
        <f t="shared" si="26"/>
        <v/>
      </c>
      <c r="R75" t="str">
        <f t="shared" si="27"/>
        <v/>
      </c>
      <c r="S75" t="str">
        <f t="shared" si="28"/>
        <v/>
      </c>
      <c r="T75" t="str">
        <f t="shared" si="29"/>
        <v/>
      </c>
      <c r="V75" s="5">
        <f t="shared" si="18"/>
        <v>0</v>
      </c>
      <c r="AG75" s="4"/>
      <c r="AH75" s="4"/>
      <c r="AI75" s="14"/>
      <c r="BC75" s="4"/>
    </row>
    <row r="76" spans="1:55" x14ac:dyDescent="0.2">
      <c r="A76">
        <f t="shared" si="19"/>
        <v>75</v>
      </c>
      <c r="I76" t="str">
        <f t="shared" si="20"/>
        <v/>
      </c>
      <c r="J76" t="str">
        <f t="shared" si="21"/>
        <v/>
      </c>
      <c r="K76" t="str">
        <f t="shared" si="22"/>
        <v/>
      </c>
      <c r="L76" t="str">
        <f t="shared" si="23"/>
        <v/>
      </c>
      <c r="M76" t="str">
        <f t="shared" si="24"/>
        <v/>
      </c>
      <c r="O76" s="5">
        <f t="shared" si="17"/>
        <v>0</v>
      </c>
      <c r="P76" t="str">
        <f t="shared" si="25"/>
        <v/>
      </c>
      <c r="Q76" t="str">
        <f t="shared" si="26"/>
        <v/>
      </c>
      <c r="R76" t="str">
        <f t="shared" si="27"/>
        <v/>
      </c>
      <c r="S76" t="str">
        <f t="shared" si="28"/>
        <v/>
      </c>
      <c r="T76" t="str">
        <f t="shared" si="29"/>
        <v/>
      </c>
      <c r="V76" s="5">
        <f t="shared" si="18"/>
        <v>0</v>
      </c>
      <c r="AG76" s="4"/>
      <c r="AH76" s="4"/>
      <c r="AI76" s="14"/>
      <c r="BC76" s="4"/>
    </row>
    <row r="77" spans="1:55" x14ac:dyDescent="0.2">
      <c r="A77">
        <f t="shared" si="19"/>
        <v>76</v>
      </c>
      <c r="I77" t="str">
        <f t="shared" si="20"/>
        <v/>
      </c>
      <c r="J77" t="str">
        <f t="shared" si="21"/>
        <v/>
      </c>
      <c r="K77" t="str">
        <f t="shared" si="22"/>
        <v/>
      </c>
      <c r="L77" t="str">
        <f t="shared" si="23"/>
        <v/>
      </c>
      <c r="M77" t="str">
        <f t="shared" si="24"/>
        <v/>
      </c>
      <c r="O77" s="5">
        <f t="shared" si="17"/>
        <v>0</v>
      </c>
      <c r="P77" t="str">
        <f t="shared" si="25"/>
        <v/>
      </c>
      <c r="Q77" t="str">
        <f t="shared" si="26"/>
        <v/>
      </c>
      <c r="R77" t="str">
        <f t="shared" si="27"/>
        <v/>
      </c>
      <c r="S77" t="str">
        <f t="shared" si="28"/>
        <v/>
      </c>
      <c r="T77" t="str">
        <f t="shared" si="29"/>
        <v/>
      </c>
      <c r="V77" s="5">
        <f t="shared" si="18"/>
        <v>0</v>
      </c>
      <c r="AG77" s="4"/>
      <c r="AH77" s="4"/>
      <c r="AI77" s="14"/>
      <c r="BC77" s="4"/>
    </row>
    <row r="78" spans="1:55" x14ac:dyDescent="0.2">
      <c r="A78">
        <f t="shared" si="19"/>
        <v>77</v>
      </c>
      <c r="I78" t="str">
        <f t="shared" si="20"/>
        <v/>
      </c>
      <c r="J78" t="str">
        <f t="shared" si="21"/>
        <v/>
      </c>
      <c r="K78" t="str">
        <f t="shared" si="22"/>
        <v/>
      </c>
      <c r="L78" t="str">
        <f t="shared" si="23"/>
        <v/>
      </c>
      <c r="M78" t="str">
        <f t="shared" si="24"/>
        <v/>
      </c>
      <c r="O78" s="5">
        <f t="shared" si="17"/>
        <v>0</v>
      </c>
      <c r="P78" t="str">
        <f t="shared" si="25"/>
        <v/>
      </c>
      <c r="Q78" t="str">
        <f t="shared" si="26"/>
        <v/>
      </c>
      <c r="R78" t="str">
        <f t="shared" si="27"/>
        <v/>
      </c>
      <c r="S78" t="str">
        <f t="shared" si="28"/>
        <v/>
      </c>
      <c r="T78" t="str">
        <f t="shared" si="29"/>
        <v/>
      </c>
      <c r="V78" s="5">
        <f t="shared" si="18"/>
        <v>0</v>
      </c>
      <c r="AG78" s="4"/>
      <c r="AH78" s="4"/>
      <c r="AI78" s="14"/>
      <c r="BC78" s="4"/>
    </row>
    <row r="79" spans="1:55" x14ac:dyDescent="0.2">
      <c r="A79">
        <f t="shared" si="19"/>
        <v>78</v>
      </c>
      <c r="I79" t="str">
        <f t="shared" si="20"/>
        <v/>
      </c>
      <c r="J79" t="str">
        <f t="shared" si="21"/>
        <v/>
      </c>
      <c r="K79" t="str">
        <f t="shared" si="22"/>
        <v/>
      </c>
      <c r="L79" t="str">
        <f t="shared" si="23"/>
        <v/>
      </c>
      <c r="M79" t="str">
        <f t="shared" si="24"/>
        <v/>
      </c>
      <c r="O79" s="5">
        <f t="shared" si="17"/>
        <v>0</v>
      </c>
      <c r="P79" t="str">
        <f t="shared" si="25"/>
        <v/>
      </c>
      <c r="Q79" t="str">
        <f t="shared" si="26"/>
        <v/>
      </c>
      <c r="R79" t="str">
        <f t="shared" si="27"/>
        <v/>
      </c>
      <c r="S79" t="str">
        <f t="shared" si="28"/>
        <v/>
      </c>
      <c r="T79" t="str">
        <f t="shared" si="29"/>
        <v/>
      </c>
      <c r="V79" s="5">
        <f t="shared" si="18"/>
        <v>0</v>
      </c>
      <c r="AG79" s="4"/>
      <c r="AH79" s="4"/>
      <c r="AI79" s="14"/>
      <c r="BC79" s="4"/>
    </row>
    <row r="80" spans="1:55" x14ac:dyDescent="0.2">
      <c r="A80">
        <f t="shared" si="19"/>
        <v>79</v>
      </c>
      <c r="I80" t="str">
        <f t="shared" si="20"/>
        <v/>
      </c>
      <c r="J80" t="str">
        <f t="shared" si="21"/>
        <v/>
      </c>
      <c r="K80" t="str">
        <f t="shared" si="22"/>
        <v/>
      </c>
      <c r="L80" t="str">
        <f t="shared" si="23"/>
        <v/>
      </c>
      <c r="M80" t="str">
        <f t="shared" si="24"/>
        <v/>
      </c>
      <c r="O80" s="5">
        <f t="shared" si="17"/>
        <v>0</v>
      </c>
      <c r="P80" t="str">
        <f t="shared" si="25"/>
        <v/>
      </c>
      <c r="Q80" t="str">
        <f t="shared" si="26"/>
        <v/>
      </c>
      <c r="R80" t="str">
        <f t="shared" si="27"/>
        <v/>
      </c>
      <c r="S80" t="str">
        <f t="shared" si="28"/>
        <v/>
      </c>
      <c r="T80" t="str">
        <f t="shared" si="29"/>
        <v/>
      </c>
      <c r="V80" s="5">
        <f t="shared" si="18"/>
        <v>0</v>
      </c>
      <c r="AG80" s="4"/>
      <c r="AH80" s="4"/>
      <c r="AI80" s="14"/>
      <c r="BC80" s="4"/>
    </row>
    <row r="81" spans="1:55" x14ac:dyDescent="0.2">
      <c r="A81">
        <f t="shared" si="19"/>
        <v>80</v>
      </c>
      <c r="I81" t="str">
        <f t="shared" si="20"/>
        <v/>
      </c>
      <c r="J81" t="str">
        <f t="shared" si="21"/>
        <v/>
      </c>
      <c r="K81" t="str">
        <f t="shared" si="22"/>
        <v/>
      </c>
      <c r="L81" t="str">
        <f t="shared" si="23"/>
        <v/>
      </c>
      <c r="M81" t="str">
        <f t="shared" si="24"/>
        <v/>
      </c>
      <c r="O81" s="5">
        <f t="shared" si="17"/>
        <v>0</v>
      </c>
      <c r="P81" t="str">
        <f t="shared" si="25"/>
        <v/>
      </c>
      <c r="Q81" t="str">
        <f t="shared" si="26"/>
        <v/>
      </c>
      <c r="R81" t="str">
        <f t="shared" si="27"/>
        <v/>
      </c>
      <c r="S81" t="str">
        <f t="shared" si="28"/>
        <v/>
      </c>
      <c r="T81" t="str">
        <f t="shared" si="29"/>
        <v/>
      </c>
      <c r="V81" s="5">
        <f t="shared" si="18"/>
        <v>0</v>
      </c>
      <c r="AG81" s="4"/>
      <c r="AH81" s="4"/>
      <c r="AI81" s="14"/>
      <c r="BC81" s="4"/>
    </row>
    <row r="82" spans="1:55" x14ac:dyDescent="0.2">
      <c r="A82">
        <f t="shared" si="19"/>
        <v>81</v>
      </c>
      <c r="I82" t="str">
        <f t="shared" si="20"/>
        <v/>
      </c>
      <c r="J82" t="str">
        <f t="shared" si="21"/>
        <v/>
      </c>
      <c r="K82" t="str">
        <f t="shared" si="22"/>
        <v/>
      </c>
      <c r="L82" t="str">
        <f t="shared" si="23"/>
        <v/>
      </c>
      <c r="M82" t="str">
        <f t="shared" si="24"/>
        <v/>
      </c>
      <c r="O82" s="5">
        <f t="shared" si="17"/>
        <v>0</v>
      </c>
      <c r="P82" t="str">
        <f t="shared" si="25"/>
        <v/>
      </c>
      <c r="Q82" t="str">
        <f t="shared" si="26"/>
        <v/>
      </c>
      <c r="R82" t="str">
        <f t="shared" si="27"/>
        <v/>
      </c>
      <c r="S82" t="str">
        <f t="shared" si="28"/>
        <v/>
      </c>
      <c r="T82" t="str">
        <f t="shared" si="29"/>
        <v/>
      </c>
      <c r="V82" s="5">
        <f t="shared" si="18"/>
        <v>0</v>
      </c>
      <c r="AG82" s="4"/>
      <c r="AH82" s="4"/>
      <c r="AI82" s="14"/>
      <c r="BC82" s="4"/>
    </row>
    <row r="83" spans="1:55" x14ac:dyDescent="0.2">
      <c r="A83">
        <f t="shared" si="19"/>
        <v>82</v>
      </c>
      <c r="I83" t="str">
        <f t="shared" si="20"/>
        <v/>
      </c>
      <c r="J83" t="str">
        <f t="shared" si="21"/>
        <v/>
      </c>
      <c r="K83" t="str">
        <f t="shared" si="22"/>
        <v/>
      </c>
      <c r="L83" t="str">
        <f t="shared" si="23"/>
        <v/>
      </c>
      <c r="M83" t="str">
        <f t="shared" si="24"/>
        <v/>
      </c>
      <c r="O83" s="5">
        <f t="shared" si="17"/>
        <v>0</v>
      </c>
      <c r="P83" t="str">
        <f t="shared" si="25"/>
        <v/>
      </c>
      <c r="Q83" t="str">
        <f t="shared" si="26"/>
        <v/>
      </c>
      <c r="R83" t="str">
        <f t="shared" si="27"/>
        <v/>
      </c>
      <c r="S83" t="str">
        <f t="shared" si="28"/>
        <v/>
      </c>
      <c r="T83" t="str">
        <f t="shared" si="29"/>
        <v/>
      </c>
      <c r="V83" s="5">
        <f t="shared" si="18"/>
        <v>0</v>
      </c>
      <c r="AG83" s="4"/>
      <c r="AH83" s="4"/>
      <c r="AI83" s="14"/>
      <c r="BC83" s="4"/>
    </row>
    <row r="84" spans="1:55" x14ac:dyDescent="0.2">
      <c r="A84">
        <f t="shared" si="19"/>
        <v>83</v>
      </c>
      <c r="I84" t="str">
        <f t="shared" si="20"/>
        <v/>
      </c>
      <c r="J84" t="str">
        <f t="shared" si="21"/>
        <v/>
      </c>
      <c r="K84" t="str">
        <f t="shared" si="22"/>
        <v/>
      </c>
      <c r="L84" t="str">
        <f t="shared" si="23"/>
        <v/>
      </c>
      <c r="M84" t="str">
        <f t="shared" si="24"/>
        <v/>
      </c>
      <c r="O84" s="5">
        <f t="shared" si="17"/>
        <v>0</v>
      </c>
      <c r="P84" t="str">
        <f t="shared" si="25"/>
        <v/>
      </c>
      <c r="Q84" t="str">
        <f t="shared" si="26"/>
        <v/>
      </c>
      <c r="R84" t="str">
        <f t="shared" si="27"/>
        <v/>
      </c>
      <c r="S84" t="str">
        <f t="shared" si="28"/>
        <v/>
      </c>
      <c r="T84" t="str">
        <f t="shared" si="29"/>
        <v/>
      </c>
      <c r="V84" s="5">
        <f t="shared" si="18"/>
        <v>0</v>
      </c>
      <c r="AG84" s="4"/>
      <c r="AH84" s="4"/>
      <c r="AI84" s="14"/>
      <c r="BC84" s="4"/>
    </row>
    <row r="85" spans="1:55" x14ac:dyDescent="0.2">
      <c r="A85">
        <f t="shared" si="19"/>
        <v>84</v>
      </c>
      <c r="I85" t="str">
        <f t="shared" si="20"/>
        <v/>
      </c>
      <c r="J85" t="str">
        <f t="shared" si="21"/>
        <v/>
      </c>
      <c r="K85" t="str">
        <f t="shared" si="22"/>
        <v/>
      </c>
      <c r="L85" t="str">
        <f t="shared" si="23"/>
        <v/>
      </c>
      <c r="M85" t="str">
        <f t="shared" si="24"/>
        <v/>
      </c>
      <c r="O85" s="5">
        <f t="shared" si="17"/>
        <v>0</v>
      </c>
      <c r="P85" t="str">
        <f t="shared" si="25"/>
        <v/>
      </c>
      <c r="Q85" t="str">
        <f t="shared" si="26"/>
        <v/>
      </c>
      <c r="R85" t="str">
        <f t="shared" si="27"/>
        <v/>
      </c>
      <c r="S85" t="str">
        <f t="shared" si="28"/>
        <v/>
      </c>
      <c r="T85" t="str">
        <f t="shared" si="29"/>
        <v/>
      </c>
      <c r="V85" s="5">
        <f t="shared" si="18"/>
        <v>0</v>
      </c>
      <c r="AG85" s="4"/>
      <c r="AH85" s="4"/>
      <c r="AI85" s="14"/>
      <c r="BC85" s="4"/>
    </row>
    <row r="86" spans="1:55" x14ac:dyDescent="0.2">
      <c r="A86">
        <f t="shared" si="19"/>
        <v>85</v>
      </c>
      <c r="I86" t="str">
        <f t="shared" si="20"/>
        <v/>
      </c>
      <c r="J86" t="str">
        <f t="shared" si="21"/>
        <v/>
      </c>
      <c r="K86" t="str">
        <f t="shared" si="22"/>
        <v/>
      </c>
      <c r="L86" t="str">
        <f t="shared" si="23"/>
        <v/>
      </c>
      <c r="M86" t="str">
        <f t="shared" si="24"/>
        <v/>
      </c>
      <c r="O86" s="5">
        <f t="shared" si="17"/>
        <v>0</v>
      </c>
      <c r="P86" t="str">
        <f t="shared" si="25"/>
        <v/>
      </c>
      <c r="Q86" t="str">
        <f t="shared" si="26"/>
        <v/>
      </c>
      <c r="R86" t="str">
        <f t="shared" si="27"/>
        <v/>
      </c>
      <c r="S86" t="str">
        <f t="shared" si="28"/>
        <v/>
      </c>
      <c r="T86" t="str">
        <f t="shared" si="29"/>
        <v/>
      </c>
      <c r="V86" s="5">
        <f t="shared" si="18"/>
        <v>0</v>
      </c>
      <c r="AG86" s="4"/>
      <c r="AH86" s="4"/>
      <c r="AI86" s="14"/>
      <c r="BC86" s="4"/>
    </row>
    <row r="87" spans="1:55" x14ac:dyDescent="0.2">
      <c r="A87">
        <f t="shared" si="19"/>
        <v>86</v>
      </c>
      <c r="I87" t="str">
        <f t="shared" si="20"/>
        <v/>
      </c>
      <c r="J87" t="str">
        <f t="shared" si="21"/>
        <v/>
      </c>
      <c r="K87" t="str">
        <f t="shared" si="22"/>
        <v/>
      </c>
      <c r="L87" t="str">
        <f t="shared" si="23"/>
        <v/>
      </c>
      <c r="M87" t="str">
        <f t="shared" si="24"/>
        <v/>
      </c>
      <c r="O87" s="5">
        <f t="shared" si="17"/>
        <v>0</v>
      </c>
      <c r="P87" t="str">
        <f t="shared" si="25"/>
        <v/>
      </c>
      <c r="Q87" t="str">
        <f t="shared" si="26"/>
        <v/>
      </c>
      <c r="R87" t="str">
        <f t="shared" si="27"/>
        <v/>
      </c>
      <c r="S87" t="str">
        <f t="shared" si="28"/>
        <v/>
      </c>
      <c r="T87" t="str">
        <f t="shared" si="29"/>
        <v/>
      </c>
      <c r="V87" s="5">
        <f t="shared" si="18"/>
        <v>0</v>
      </c>
      <c r="AG87" s="4"/>
      <c r="AH87" s="4"/>
      <c r="AI87" s="14"/>
      <c r="BC87" s="4"/>
    </row>
    <row r="88" spans="1:55" x14ac:dyDescent="0.2">
      <c r="A88">
        <f t="shared" si="19"/>
        <v>87</v>
      </c>
      <c r="I88" t="str">
        <f t="shared" si="20"/>
        <v/>
      </c>
      <c r="J88" t="str">
        <f t="shared" si="21"/>
        <v/>
      </c>
      <c r="K88" t="str">
        <f t="shared" si="22"/>
        <v/>
      </c>
      <c r="L88" t="str">
        <f t="shared" si="23"/>
        <v/>
      </c>
      <c r="M88" t="str">
        <f t="shared" si="24"/>
        <v/>
      </c>
      <c r="O88" s="5">
        <f t="shared" si="17"/>
        <v>0</v>
      </c>
      <c r="P88" t="str">
        <f t="shared" si="25"/>
        <v/>
      </c>
      <c r="Q88" t="str">
        <f t="shared" si="26"/>
        <v/>
      </c>
      <c r="R88" t="str">
        <f t="shared" si="27"/>
        <v/>
      </c>
      <c r="S88" t="str">
        <f t="shared" si="28"/>
        <v/>
      </c>
      <c r="T88" t="str">
        <f t="shared" si="29"/>
        <v/>
      </c>
      <c r="V88" s="5">
        <f t="shared" si="18"/>
        <v>0</v>
      </c>
      <c r="AG88" s="4"/>
      <c r="AH88" s="4"/>
      <c r="AI88" s="14"/>
      <c r="BC88" s="4"/>
    </row>
    <row r="89" spans="1:55" x14ac:dyDescent="0.2">
      <c r="A89">
        <f t="shared" si="19"/>
        <v>88</v>
      </c>
      <c r="I89" t="str">
        <f t="shared" si="20"/>
        <v/>
      </c>
      <c r="J89" t="str">
        <f t="shared" si="21"/>
        <v/>
      </c>
      <c r="K89" t="str">
        <f t="shared" si="22"/>
        <v/>
      </c>
      <c r="L89" t="str">
        <f t="shared" si="23"/>
        <v/>
      </c>
      <c r="M89" t="str">
        <f t="shared" si="24"/>
        <v/>
      </c>
      <c r="O89" s="5">
        <f t="shared" si="17"/>
        <v>0</v>
      </c>
      <c r="P89" t="str">
        <f t="shared" si="25"/>
        <v/>
      </c>
      <c r="Q89" t="str">
        <f t="shared" si="26"/>
        <v/>
      </c>
      <c r="R89" t="str">
        <f t="shared" si="27"/>
        <v/>
      </c>
      <c r="S89" t="str">
        <f t="shared" si="28"/>
        <v/>
      </c>
      <c r="T89" t="str">
        <f t="shared" si="29"/>
        <v/>
      </c>
      <c r="V89" s="5">
        <f t="shared" si="18"/>
        <v>0</v>
      </c>
      <c r="AG89" s="4"/>
      <c r="AH89" s="4"/>
      <c r="AI89" s="14"/>
      <c r="BC89" s="4"/>
    </row>
    <row r="90" spans="1:55" x14ac:dyDescent="0.2">
      <c r="A90">
        <f t="shared" si="19"/>
        <v>89</v>
      </c>
      <c r="I90" t="str">
        <f t="shared" si="20"/>
        <v/>
      </c>
      <c r="J90" t="str">
        <f t="shared" si="21"/>
        <v/>
      </c>
      <c r="K90" t="str">
        <f t="shared" si="22"/>
        <v/>
      </c>
      <c r="L90" t="str">
        <f t="shared" si="23"/>
        <v/>
      </c>
      <c r="M90" t="str">
        <f t="shared" si="24"/>
        <v/>
      </c>
      <c r="O90" s="5">
        <f t="shared" si="17"/>
        <v>0</v>
      </c>
      <c r="P90" t="str">
        <f t="shared" si="25"/>
        <v/>
      </c>
      <c r="Q90" t="str">
        <f t="shared" si="26"/>
        <v/>
      </c>
      <c r="R90" t="str">
        <f t="shared" si="27"/>
        <v/>
      </c>
      <c r="S90" t="str">
        <f t="shared" si="28"/>
        <v/>
      </c>
      <c r="T90" t="str">
        <f t="shared" si="29"/>
        <v/>
      </c>
      <c r="V90" s="5">
        <f t="shared" si="18"/>
        <v>0</v>
      </c>
      <c r="AG90" s="4"/>
      <c r="AH90" s="4"/>
      <c r="AI90" s="14"/>
      <c r="BC90" s="4"/>
    </row>
    <row r="91" spans="1:55" x14ac:dyDescent="0.2">
      <c r="A91">
        <f t="shared" si="19"/>
        <v>90</v>
      </c>
      <c r="I91" t="str">
        <f t="shared" si="20"/>
        <v/>
      </c>
      <c r="J91" t="str">
        <f t="shared" si="21"/>
        <v/>
      </c>
      <c r="K91" t="str">
        <f t="shared" si="22"/>
        <v/>
      </c>
      <c r="L91" t="str">
        <f t="shared" si="23"/>
        <v/>
      </c>
      <c r="M91" t="str">
        <f t="shared" si="24"/>
        <v/>
      </c>
      <c r="O91" s="5">
        <f t="shared" si="17"/>
        <v>0</v>
      </c>
      <c r="P91" t="str">
        <f t="shared" si="25"/>
        <v/>
      </c>
      <c r="Q91" t="str">
        <f t="shared" si="26"/>
        <v/>
      </c>
      <c r="R91" t="str">
        <f t="shared" si="27"/>
        <v/>
      </c>
      <c r="S91" t="str">
        <f t="shared" si="28"/>
        <v/>
      </c>
      <c r="T91" t="str">
        <f t="shared" si="29"/>
        <v/>
      </c>
      <c r="V91" s="5">
        <f t="shared" si="18"/>
        <v>0</v>
      </c>
      <c r="AG91" s="4"/>
      <c r="AH91" s="4"/>
      <c r="AI91" s="14"/>
      <c r="BC91" s="4"/>
    </row>
    <row r="92" spans="1:55" x14ac:dyDescent="0.2">
      <c r="A92">
        <f t="shared" si="19"/>
        <v>91</v>
      </c>
      <c r="I92" t="str">
        <f t="shared" si="20"/>
        <v/>
      </c>
      <c r="J92" t="str">
        <f t="shared" si="21"/>
        <v/>
      </c>
      <c r="K92" t="str">
        <f t="shared" si="22"/>
        <v/>
      </c>
      <c r="L92" t="str">
        <f t="shared" si="23"/>
        <v/>
      </c>
      <c r="M92" t="str">
        <f t="shared" si="24"/>
        <v/>
      </c>
      <c r="O92" s="5">
        <f t="shared" si="17"/>
        <v>0</v>
      </c>
      <c r="P92" t="str">
        <f t="shared" si="25"/>
        <v/>
      </c>
      <c r="Q92" t="str">
        <f t="shared" si="26"/>
        <v/>
      </c>
      <c r="R92" t="str">
        <f t="shared" si="27"/>
        <v/>
      </c>
      <c r="S92" t="str">
        <f t="shared" si="28"/>
        <v/>
      </c>
      <c r="T92" t="str">
        <f t="shared" si="29"/>
        <v/>
      </c>
      <c r="V92" s="5">
        <f t="shared" si="18"/>
        <v>0</v>
      </c>
      <c r="AG92" s="4"/>
      <c r="AH92" s="4"/>
      <c r="AI92" s="14"/>
      <c r="BC92" s="4"/>
    </row>
    <row r="93" spans="1:55" x14ac:dyDescent="0.2">
      <c r="A93">
        <f t="shared" si="19"/>
        <v>92</v>
      </c>
      <c r="I93" t="str">
        <f t="shared" si="20"/>
        <v/>
      </c>
      <c r="J93" t="str">
        <f t="shared" si="21"/>
        <v/>
      </c>
      <c r="K93" t="str">
        <f t="shared" si="22"/>
        <v/>
      </c>
      <c r="L93" t="str">
        <f t="shared" si="23"/>
        <v/>
      </c>
      <c r="M93" t="str">
        <f t="shared" si="24"/>
        <v/>
      </c>
      <c r="O93" s="5">
        <f t="shared" si="17"/>
        <v>0</v>
      </c>
      <c r="P93" t="str">
        <f t="shared" si="25"/>
        <v/>
      </c>
      <c r="Q93" t="str">
        <f t="shared" si="26"/>
        <v/>
      </c>
      <c r="R93" t="str">
        <f t="shared" si="27"/>
        <v/>
      </c>
      <c r="S93" t="str">
        <f t="shared" si="28"/>
        <v/>
      </c>
      <c r="T93" t="str">
        <f t="shared" si="29"/>
        <v/>
      </c>
      <c r="V93" s="5">
        <f t="shared" si="18"/>
        <v>0</v>
      </c>
      <c r="AG93" s="4"/>
      <c r="AH93" s="4"/>
      <c r="AI93" s="14"/>
      <c r="BC93" s="4"/>
    </row>
    <row r="94" spans="1:55" x14ac:dyDescent="0.2">
      <c r="A94">
        <f t="shared" si="19"/>
        <v>93</v>
      </c>
      <c r="I94" t="str">
        <f t="shared" si="20"/>
        <v/>
      </c>
      <c r="J94" t="str">
        <f t="shared" si="21"/>
        <v/>
      </c>
      <c r="K94" t="str">
        <f t="shared" si="22"/>
        <v/>
      </c>
      <c r="L94" t="str">
        <f t="shared" si="23"/>
        <v/>
      </c>
      <c r="M94" t="str">
        <f t="shared" si="24"/>
        <v/>
      </c>
      <c r="O94" s="5">
        <f t="shared" si="17"/>
        <v>0</v>
      </c>
      <c r="P94" t="str">
        <f t="shared" si="25"/>
        <v/>
      </c>
      <c r="Q94" t="str">
        <f t="shared" si="26"/>
        <v/>
      </c>
      <c r="R94" t="str">
        <f t="shared" si="27"/>
        <v/>
      </c>
      <c r="S94" t="str">
        <f t="shared" si="28"/>
        <v/>
      </c>
      <c r="T94" t="str">
        <f t="shared" si="29"/>
        <v/>
      </c>
      <c r="V94" s="5">
        <f t="shared" si="18"/>
        <v>0</v>
      </c>
      <c r="AG94" s="4"/>
      <c r="AH94" s="4"/>
      <c r="AI94" s="14"/>
      <c r="BC94" s="4"/>
    </row>
    <row r="95" spans="1:55" x14ac:dyDescent="0.2">
      <c r="A95">
        <f t="shared" si="19"/>
        <v>94</v>
      </c>
      <c r="I95" t="str">
        <f t="shared" si="20"/>
        <v/>
      </c>
      <c r="J95" t="str">
        <f t="shared" si="21"/>
        <v/>
      </c>
      <c r="K95" t="str">
        <f t="shared" si="22"/>
        <v/>
      </c>
      <c r="L95" t="str">
        <f t="shared" si="23"/>
        <v/>
      </c>
      <c r="M95" t="str">
        <f t="shared" si="24"/>
        <v/>
      </c>
      <c r="O95" s="5">
        <f t="shared" si="17"/>
        <v>0</v>
      </c>
      <c r="P95" t="str">
        <f t="shared" si="25"/>
        <v/>
      </c>
      <c r="Q95" t="str">
        <f t="shared" si="26"/>
        <v/>
      </c>
      <c r="R95" t="str">
        <f t="shared" si="27"/>
        <v/>
      </c>
      <c r="S95" t="str">
        <f t="shared" si="28"/>
        <v/>
      </c>
      <c r="T95" t="str">
        <f t="shared" si="29"/>
        <v/>
      </c>
      <c r="V95" s="5">
        <f t="shared" si="18"/>
        <v>0</v>
      </c>
      <c r="AG95" s="4"/>
      <c r="AH95" s="4"/>
      <c r="AI95" s="14"/>
      <c r="BC95" s="4"/>
    </row>
    <row r="96" spans="1:55" x14ac:dyDescent="0.2">
      <c r="A96">
        <f t="shared" si="19"/>
        <v>95</v>
      </c>
      <c r="I96" t="str">
        <f t="shared" si="20"/>
        <v/>
      </c>
      <c r="J96" t="str">
        <f t="shared" si="21"/>
        <v/>
      </c>
      <c r="K96" t="str">
        <f t="shared" si="22"/>
        <v/>
      </c>
      <c r="L96" t="str">
        <f t="shared" si="23"/>
        <v/>
      </c>
      <c r="M96" t="str">
        <f t="shared" si="24"/>
        <v/>
      </c>
      <c r="O96" s="5">
        <f t="shared" si="17"/>
        <v>0</v>
      </c>
      <c r="P96" t="str">
        <f t="shared" si="25"/>
        <v/>
      </c>
      <c r="Q96" t="str">
        <f t="shared" si="26"/>
        <v/>
      </c>
      <c r="R96" t="str">
        <f t="shared" si="27"/>
        <v/>
      </c>
      <c r="S96" t="str">
        <f t="shared" si="28"/>
        <v/>
      </c>
      <c r="T96" t="str">
        <f t="shared" si="29"/>
        <v/>
      </c>
      <c r="V96" s="5">
        <f t="shared" si="18"/>
        <v>0</v>
      </c>
      <c r="AG96" s="4"/>
      <c r="AH96" s="4"/>
      <c r="AI96" s="14"/>
      <c r="BC96" s="4"/>
    </row>
    <row r="97" spans="1:55" x14ac:dyDescent="0.2">
      <c r="A97">
        <f t="shared" si="19"/>
        <v>96</v>
      </c>
      <c r="I97" t="str">
        <f t="shared" si="20"/>
        <v/>
      </c>
      <c r="J97" t="str">
        <f t="shared" si="21"/>
        <v/>
      </c>
      <c r="K97" t="str">
        <f t="shared" si="22"/>
        <v/>
      </c>
      <c r="L97" t="str">
        <f t="shared" si="23"/>
        <v/>
      </c>
      <c r="M97" t="str">
        <f t="shared" si="24"/>
        <v/>
      </c>
      <c r="O97" s="5">
        <f t="shared" si="17"/>
        <v>0</v>
      </c>
      <c r="P97" t="str">
        <f t="shared" si="25"/>
        <v/>
      </c>
      <c r="Q97" t="str">
        <f t="shared" si="26"/>
        <v/>
      </c>
      <c r="R97" t="str">
        <f t="shared" si="27"/>
        <v/>
      </c>
      <c r="S97" t="str">
        <f t="shared" si="28"/>
        <v/>
      </c>
      <c r="T97" t="str">
        <f t="shared" si="29"/>
        <v/>
      </c>
      <c r="V97" s="5">
        <f t="shared" si="18"/>
        <v>0</v>
      </c>
      <c r="AG97" s="4"/>
      <c r="AH97" s="4"/>
      <c r="AI97" s="14"/>
      <c r="BC97" s="4"/>
    </row>
    <row r="98" spans="1:55" x14ac:dyDescent="0.2">
      <c r="A98">
        <f t="shared" si="19"/>
        <v>97</v>
      </c>
      <c r="I98" t="str">
        <f t="shared" si="20"/>
        <v/>
      </c>
      <c r="J98" t="str">
        <f t="shared" si="21"/>
        <v/>
      </c>
      <c r="K98" t="str">
        <f t="shared" si="22"/>
        <v/>
      </c>
      <c r="L98" t="str">
        <f t="shared" si="23"/>
        <v/>
      </c>
      <c r="M98" t="str">
        <f t="shared" si="24"/>
        <v/>
      </c>
      <c r="O98" s="5">
        <f t="shared" si="17"/>
        <v>0</v>
      </c>
      <c r="P98" t="str">
        <f t="shared" si="25"/>
        <v/>
      </c>
      <c r="Q98" t="str">
        <f t="shared" si="26"/>
        <v/>
      </c>
      <c r="R98" t="str">
        <f t="shared" si="27"/>
        <v/>
      </c>
      <c r="S98" t="str">
        <f t="shared" si="28"/>
        <v/>
      </c>
      <c r="T98" t="str">
        <f t="shared" si="29"/>
        <v/>
      </c>
      <c r="V98" s="5">
        <f t="shared" si="18"/>
        <v>0</v>
      </c>
      <c r="AG98" s="4"/>
      <c r="AH98" s="4"/>
      <c r="AI98" s="14"/>
      <c r="BC98" s="4"/>
    </row>
    <row r="99" spans="1:55" x14ac:dyDescent="0.2">
      <c r="A99">
        <f t="shared" si="19"/>
        <v>98</v>
      </c>
      <c r="I99" t="str">
        <f t="shared" si="20"/>
        <v/>
      </c>
      <c r="J99" t="str">
        <f t="shared" si="21"/>
        <v/>
      </c>
      <c r="K99" t="str">
        <f t="shared" si="22"/>
        <v/>
      </c>
      <c r="L99" t="str">
        <f t="shared" si="23"/>
        <v/>
      </c>
      <c r="M99" t="str">
        <f t="shared" si="24"/>
        <v/>
      </c>
      <c r="O99" s="5">
        <f t="shared" si="17"/>
        <v>0</v>
      </c>
      <c r="P99" t="str">
        <f t="shared" si="25"/>
        <v/>
      </c>
      <c r="Q99" t="str">
        <f t="shared" si="26"/>
        <v/>
      </c>
      <c r="R99" t="str">
        <f t="shared" si="27"/>
        <v/>
      </c>
      <c r="S99" t="str">
        <f t="shared" si="28"/>
        <v/>
      </c>
      <c r="T99" t="str">
        <f t="shared" si="29"/>
        <v/>
      </c>
      <c r="V99" s="5">
        <f t="shared" si="18"/>
        <v>0</v>
      </c>
      <c r="AG99" s="4"/>
      <c r="AH99" s="4"/>
      <c r="AI99" s="14"/>
      <c r="BC99" s="4"/>
    </row>
    <row r="100" spans="1:55" x14ac:dyDescent="0.2">
      <c r="P100"/>
      <c r="AG100" s="4"/>
      <c r="AH100" s="4"/>
      <c r="AI100" s="14"/>
      <c r="BC100" s="4"/>
    </row>
    <row r="101" spans="1:55" x14ac:dyDescent="0.2">
      <c r="P101"/>
      <c r="AG101" s="4"/>
      <c r="AH101" s="4"/>
      <c r="AI101" s="14"/>
      <c r="BC101" s="4"/>
    </row>
    <row r="102" spans="1:55" x14ac:dyDescent="0.2">
      <c r="P102"/>
      <c r="AG102" s="4"/>
      <c r="AH102" s="4"/>
      <c r="AI102" s="14"/>
      <c r="BC102" s="4"/>
    </row>
    <row r="103" spans="1:55" x14ac:dyDescent="0.2">
      <c r="P103"/>
      <c r="AG103" s="4"/>
      <c r="AH103" s="4"/>
      <c r="AI103" s="14"/>
      <c r="BC103" s="4"/>
    </row>
    <row r="104" spans="1:55" x14ac:dyDescent="0.2">
      <c r="P104"/>
      <c r="AG104" s="4"/>
      <c r="AH104" s="4"/>
      <c r="AI104" s="14"/>
      <c r="BC104" s="4"/>
    </row>
    <row r="105" spans="1:55" x14ac:dyDescent="0.2">
      <c r="P105"/>
      <c r="AG105" s="4"/>
      <c r="AH105" s="4"/>
      <c r="AI105" s="14"/>
      <c r="BC105" s="4"/>
    </row>
    <row r="106" spans="1:55" x14ac:dyDescent="0.2">
      <c r="P106"/>
      <c r="AG106" s="4"/>
      <c r="AH106" s="4"/>
      <c r="AI106" s="14"/>
      <c r="BC106" s="4"/>
    </row>
    <row r="107" spans="1:55" x14ac:dyDescent="0.2">
      <c r="P107"/>
      <c r="AG107" s="4"/>
      <c r="AH107" s="4"/>
      <c r="AI107" s="14"/>
      <c r="BC107" s="4"/>
    </row>
    <row r="108" spans="1:55" x14ac:dyDescent="0.2">
      <c r="P108"/>
      <c r="AG108" s="4"/>
      <c r="AH108" s="4"/>
      <c r="AI108" s="14"/>
      <c r="BC108" s="4"/>
    </row>
    <row r="109" spans="1:55" x14ac:dyDescent="0.2">
      <c r="P109"/>
      <c r="AG109" s="4"/>
      <c r="AH109" s="4"/>
      <c r="AI109" s="14"/>
      <c r="BC109" s="4"/>
    </row>
    <row r="110" spans="1:55" x14ac:dyDescent="0.2">
      <c r="P110"/>
      <c r="AG110" s="4"/>
      <c r="AH110" s="4"/>
      <c r="AI110" s="14"/>
      <c r="BC110" s="4"/>
    </row>
    <row r="111" spans="1:55" x14ac:dyDescent="0.2">
      <c r="P111"/>
      <c r="AG111" s="4"/>
      <c r="AH111" s="4"/>
      <c r="AI111" s="14"/>
      <c r="BC111" s="4"/>
    </row>
    <row r="112" spans="1:55" x14ac:dyDescent="0.2">
      <c r="P112"/>
      <c r="AG112" s="4"/>
      <c r="AH112" s="4"/>
      <c r="AI112" s="14"/>
      <c r="BC112" s="4"/>
    </row>
    <row r="113" spans="16:55" x14ac:dyDescent="0.2">
      <c r="P113"/>
      <c r="AG113" s="4"/>
      <c r="AH113" s="4"/>
      <c r="AI113" s="14"/>
      <c r="BC113" s="4"/>
    </row>
    <row r="114" spans="16:55" x14ac:dyDescent="0.2">
      <c r="P114"/>
      <c r="AG114" s="4"/>
      <c r="AH114" s="4"/>
      <c r="AI114" s="14"/>
      <c r="BC114" s="4"/>
    </row>
    <row r="115" spans="16:55" x14ac:dyDescent="0.2">
      <c r="P115"/>
      <c r="AG115" s="4"/>
      <c r="AH115" s="4"/>
      <c r="AI115" s="14"/>
      <c r="BC115" s="4"/>
    </row>
    <row r="116" spans="16:55" x14ac:dyDescent="0.2">
      <c r="P116"/>
      <c r="AG116" s="4"/>
      <c r="AH116" s="4"/>
      <c r="AI116" s="14"/>
      <c r="BC116" s="4"/>
    </row>
    <row r="117" spans="16:55" x14ac:dyDescent="0.2">
      <c r="P117"/>
      <c r="AG117" s="4"/>
      <c r="AH117" s="4"/>
      <c r="AI117" s="14"/>
      <c r="BC117" s="4"/>
    </row>
    <row r="118" spans="16:55" x14ac:dyDescent="0.2">
      <c r="P118"/>
      <c r="AG118" s="4"/>
      <c r="AH118" s="4"/>
      <c r="AI118" s="14"/>
      <c r="BC118" s="4"/>
    </row>
    <row r="119" spans="16:55" x14ac:dyDescent="0.2">
      <c r="P119"/>
      <c r="AG119" s="4"/>
      <c r="AH119" s="4"/>
      <c r="AI119" s="14"/>
      <c r="BC119" s="4"/>
    </row>
    <row r="120" spans="16:55" x14ac:dyDescent="0.2">
      <c r="P120"/>
      <c r="AG120" s="4"/>
      <c r="AH120" s="4"/>
      <c r="AI120" s="14"/>
      <c r="BC120" s="4"/>
    </row>
    <row r="121" spans="16:55" x14ac:dyDescent="0.2">
      <c r="P121"/>
      <c r="AG121" s="4"/>
      <c r="AH121" s="4"/>
      <c r="AI121" s="14"/>
      <c r="BC121" s="4"/>
    </row>
    <row r="122" spans="16:55" x14ac:dyDescent="0.2">
      <c r="P122"/>
      <c r="AG122" s="4"/>
      <c r="AH122" s="4"/>
      <c r="AI122" s="14"/>
      <c r="BC122" s="4"/>
    </row>
    <row r="123" spans="16:55" x14ac:dyDescent="0.2">
      <c r="P123"/>
      <c r="AG123" s="4"/>
      <c r="AH123" s="4"/>
      <c r="AI123" s="14"/>
      <c r="BC123" s="4"/>
    </row>
    <row r="124" spans="16:55" x14ac:dyDescent="0.2">
      <c r="P124"/>
      <c r="AG124" s="4"/>
      <c r="AH124" s="4"/>
      <c r="AI124" s="14"/>
      <c r="BC124" s="4"/>
    </row>
    <row r="125" spans="16:55" x14ac:dyDescent="0.2">
      <c r="P125"/>
      <c r="AG125" s="4"/>
      <c r="AH125" s="4"/>
      <c r="AI125" s="14"/>
      <c r="BC125" s="4"/>
    </row>
    <row r="126" spans="16:55" x14ac:dyDescent="0.2">
      <c r="P126"/>
      <c r="AG126" s="4"/>
      <c r="AH126" s="4"/>
      <c r="AI126" s="14"/>
      <c r="BC126" s="4"/>
    </row>
    <row r="127" spans="16:55" x14ac:dyDescent="0.2">
      <c r="P127"/>
      <c r="AG127" s="4"/>
      <c r="AH127" s="4"/>
      <c r="AI127" s="14"/>
      <c r="BC127" s="4"/>
    </row>
    <row r="128" spans="16:55" x14ac:dyDescent="0.2">
      <c r="P128"/>
      <c r="AG128" s="4"/>
      <c r="AH128" s="4"/>
      <c r="AI128" s="14"/>
      <c r="BC128" s="4"/>
    </row>
    <row r="129" spans="16:55" x14ac:dyDescent="0.2">
      <c r="P129"/>
      <c r="AG129" s="4"/>
      <c r="AH129" s="4"/>
      <c r="AI129" s="14"/>
      <c r="BC129" s="4"/>
    </row>
    <row r="130" spans="16:55" x14ac:dyDescent="0.2">
      <c r="P130"/>
      <c r="AG130" s="4"/>
      <c r="AH130" s="4"/>
      <c r="AI130" s="14"/>
      <c r="BC130" s="4"/>
    </row>
    <row r="131" spans="16:55" x14ac:dyDescent="0.2">
      <c r="P131"/>
      <c r="AG131" s="4"/>
      <c r="AH131" s="4"/>
      <c r="AI131" s="14"/>
      <c r="BC131" s="4"/>
    </row>
    <row r="132" spans="16:55" x14ac:dyDescent="0.2">
      <c r="P132"/>
      <c r="AG132" s="4"/>
      <c r="AH132" s="4"/>
      <c r="AI132" s="14"/>
      <c r="BC132" s="4"/>
    </row>
    <row r="133" spans="16:55" x14ac:dyDescent="0.2">
      <c r="P133"/>
      <c r="AG133" s="4"/>
      <c r="AH133" s="4"/>
      <c r="AI133" s="14"/>
      <c r="BC133" s="4"/>
    </row>
    <row r="134" spans="16:55" x14ac:dyDescent="0.2">
      <c r="P134"/>
      <c r="AG134" s="4"/>
      <c r="AH134" s="4"/>
      <c r="AI134" s="14"/>
      <c r="BC134" s="4"/>
    </row>
    <row r="135" spans="16:55" x14ac:dyDescent="0.2">
      <c r="P135"/>
      <c r="AG135" s="4"/>
      <c r="AH135" s="4"/>
      <c r="AI135" s="14"/>
      <c r="BC135" s="4"/>
    </row>
    <row r="136" spans="16:55" x14ac:dyDescent="0.2">
      <c r="P136"/>
      <c r="AG136" s="4"/>
      <c r="AH136" s="4"/>
      <c r="AI136" s="14"/>
      <c r="BC136" s="4"/>
    </row>
    <row r="137" spans="16:55" x14ac:dyDescent="0.2">
      <c r="P137"/>
      <c r="AG137" s="4"/>
      <c r="AH137" s="4"/>
      <c r="AI137" s="14"/>
      <c r="BC137" s="4"/>
    </row>
    <row r="138" spans="16:55" x14ac:dyDescent="0.2">
      <c r="P138"/>
      <c r="AG138" s="4"/>
      <c r="AH138" s="4"/>
      <c r="AI138" s="14"/>
      <c r="BC138" s="4"/>
    </row>
    <row r="139" spans="16:55" x14ac:dyDescent="0.2">
      <c r="P139"/>
      <c r="AG139" s="4"/>
      <c r="AH139" s="4"/>
      <c r="AI139" s="14"/>
      <c r="BC139" s="4"/>
    </row>
    <row r="140" spans="16:55" x14ac:dyDescent="0.2">
      <c r="P140"/>
      <c r="AG140" s="4"/>
      <c r="AH140" s="4"/>
      <c r="AI140" s="14"/>
      <c r="BC140" s="4"/>
    </row>
    <row r="141" spans="16:55" x14ac:dyDescent="0.2">
      <c r="P141"/>
      <c r="AG141" s="4"/>
      <c r="AH141" s="4"/>
      <c r="AI141" s="14"/>
      <c r="BC141" s="4"/>
    </row>
    <row r="142" spans="16:55" x14ac:dyDescent="0.2">
      <c r="P142"/>
      <c r="AG142" s="4"/>
      <c r="AH142" s="4"/>
      <c r="AI142" s="14"/>
      <c r="BC142" s="4"/>
    </row>
    <row r="143" spans="16:55" x14ac:dyDescent="0.2">
      <c r="P143"/>
      <c r="AG143" s="4"/>
      <c r="AH143" s="4"/>
      <c r="AI143" s="14"/>
      <c r="BC143" s="4"/>
    </row>
    <row r="144" spans="16:55" x14ac:dyDescent="0.2">
      <c r="P144"/>
      <c r="AG144" s="4"/>
      <c r="AH144" s="4"/>
      <c r="AI144" s="14"/>
      <c r="BC144" s="4"/>
    </row>
    <row r="145" spans="16:55" x14ac:dyDescent="0.2">
      <c r="P145"/>
      <c r="AG145" s="4"/>
      <c r="AH145" s="4"/>
      <c r="AI145" s="14"/>
      <c r="BC145" s="4"/>
    </row>
    <row r="146" spans="16:55" x14ac:dyDescent="0.2">
      <c r="P146"/>
      <c r="AG146" s="4"/>
      <c r="AH146" s="4"/>
      <c r="AI146" s="14"/>
      <c r="BC146" s="4"/>
    </row>
    <row r="147" spans="16:55" x14ac:dyDescent="0.2">
      <c r="P147"/>
      <c r="AG147" s="4"/>
      <c r="AH147" s="4"/>
      <c r="AI147" s="14"/>
      <c r="BC147" s="4"/>
    </row>
    <row r="148" spans="16:55" x14ac:dyDescent="0.2">
      <c r="P148"/>
      <c r="AG148" s="4"/>
      <c r="AH148" s="4"/>
      <c r="AI148" s="14"/>
      <c r="BC148" s="4"/>
    </row>
    <row r="149" spans="16:55" x14ac:dyDescent="0.2">
      <c r="P149"/>
      <c r="AG149" s="4"/>
      <c r="AH149" s="4"/>
      <c r="AI149" s="14"/>
      <c r="BC149" s="4"/>
    </row>
    <row r="150" spans="16:55" x14ac:dyDescent="0.2">
      <c r="P150"/>
      <c r="AG150" s="4"/>
      <c r="AH150" s="4"/>
      <c r="AI150" s="14"/>
      <c r="BC150" s="4"/>
    </row>
    <row r="151" spans="16:55" x14ac:dyDescent="0.2">
      <c r="P151"/>
      <c r="AG151" s="4"/>
      <c r="AH151" s="4"/>
      <c r="AI151" s="14"/>
      <c r="BC151" s="4"/>
    </row>
    <row r="152" spans="16:55" x14ac:dyDescent="0.2">
      <c r="P152"/>
      <c r="AG152" s="4"/>
      <c r="AH152" s="4"/>
      <c r="AI152" s="14"/>
      <c r="BC152" s="4"/>
    </row>
    <row r="153" spans="16:55" x14ac:dyDescent="0.2">
      <c r="P153"/>
      <c r="AG153" s="4"/>
      <c r="AH153" s="4"/>
      <c r="AI153" s="14"/>
      <c r="BC153" s="4"/>
    </row>
    <row r="154" spans="16:55" x14ac:dyDescent="0.2">
      <c r="P154"/>
      <c r="AG154" s="4"/>
      <c r="AH154" s="4"/>
      <c r="AI154" s="14"/>
      <c r="BC154" s="4"/>
    </row>
    <row r="155" spans="16:55" x14ac:dyDescent="0.2">
      <c r="P155"/>
      <c r="AG155" s="4"/>
      <c r="AH155" s="4"/>
      <c r="AI155" s="14"/>
      <c r="BC155" s="4"/>
    </row>
    <row r="156" spans="16:55" x14ac:dyDescent="0.2">
      <c r="P156"/>
      <c r="AG156" s="4"/>
      <c r="AH156" s="4"/>
      <c r="AI156" s="14"/>
      <c r="BC156" s="4"/>
    </row>
    <row r="157" spans="16:55" x14ac:dyDescent="0.2">
      <c r="P157"/>
      <c r="AG157" s="4"/>
      <c r="AH157" s="4"/>
      <c r="AI157" s="14"/>
      <c r="BC157" s="4"/>
    </row>
    <row r="158" spans="16:55" x14ac:dyDescent="0.2">
      <c r="P158"/>
      <c r="AG158" s="4"/>
      <c r="AH158" s="4"/>
      <c r="AI158" s="14"/>
      <c r="BC158" s="4"/>
    </row>
    <row r="159" spans="16:55" x14ac:dyDescent="0.2">
      <c r="P159"/>
      <c r="AG159" s="4"/>
      <c r="AH159" s="4"/>
      <c r="AI159" s="14"/>
      <c r="BC159" s="4"/>
    </row>
    <row r="160" spans="16:55" x14ac:dyDescent="0.2">
      <c r="P160"/>
      <c r="AG160" s="4"/>
      <c r="AH160" s="4"/>
      <c r="AI160" s="14"/>
      <c r="BC160" s="4"/>
    </row>
    <row r="161" spans="16:55" x14ac:dyDescent="0.2">
      <c r="P161"/>
      <c r="AG161" s="4"/>
      <c r="AH161" s="4"/>
      <c r="AI161" s="14"/>
      <c r="BC161" s="4"/>
    </row>
    <row r="162" spans="16:55" x14ac:dyDescent="0.2">
      <c r="P162"/>
      <c r="AG162" s="4"/>
      <c r="AH162" s="4"/>
      <c r="AI162" s="14"/>
      <c r="BC162" s="4"/>
    </row>
    <row r="163" spans="16:55" x14ac:dyDescent="0.2">
      <c r="P163"/>
      <c r="AG163" s="4"/>
      <c r="AH163" s="4"/>
      <c r="AI163" s="14"/>
      <c r="BC163" s="4"/>
    </row>
    <row r="164" spans="16:55" x14ac:dyDescent="0.2">
      <c r="P164"/>
      <c r="AG164" s="4"/>
      <c r="AH164" s="4"/>
      <c r="AI164" s="14"/>
      <c r="BC164" s="4"/>
    </row>
    <row r="165" spans="16:55" x14ac:dyDescent="0.2">
      <c r="P165"/>
      <c r="AG165" s="4"/>
      <c r="AH165" s="4"/>
      <c r="AI165" s="14"/>
      <c r="BC165" s="4"/>
    </row>
    <row r="166" spans="16:55" x14ac:dyDescent="0.2">
      <c r="P166"/>
      <c r="AG166" s="4"/>
      <c r="AH166" s="4"/>
      <c r="AI166" s="14"/>
      <c r="BC166" s="4"/>
    </row>
    <row r="167" spans="16:55" x14ac:dyDescent="0.2">
      <c r="P167"/>
      <c r="AG167" s="4"/>
      <c r="AH167" s="4"/>
      <c r="AI167" s="14"/>
      <c r="BC167" s="4"/>
    </row>
    <row r="168" spans="16:55" x14ac:dyDescent="0.2">
      <c r="P168"/>
      <c r="AG168" s="4"/>
      <c r="AH168" s="4"/>
      <c r="AI168" s="14"/>
      <c r="BC168" s="4"/>
    </row>
    <row r="169" spans="16:55" x14ac:dyDescent="0.2">
      <c r="P169"/>
      <c r="AG169" s="4"/>
      <c r="AH169" s="4"/>
      <c r="AI169" s="14"/>
      <c r="BC169" s="4"/>
    </row>
    <row r="170" spans="16:55" x14ac:dyDescent="0.2">
      <c r="P170"/>
      <c r="AG170" s="4"/>
      <c r="AH170" s="4"/>
      <c r="AI170" s="14"/>
      <c r="BC170" s="4"/>
    </row>
    <row r="171" spans="16:55" x14ac:dyDescent="0.2">
      <c r="P171"/>
      <c r="AG171" s="4"/>
      <c r="AH171" s="4"/>
      <c r="AI171" s="14"/>
      <c r="BC171" s="4"/>
    </row>
    <row r="172" spans="16:55" x14ac:dyDescent="0.2">
      <c r="P172"/>
      <c r="AG172" s="4"/>
      <c r="AH172" s="4"/>
      <c r="AI172" s="14"/>
      <c r="BC172" s="4"/>
    </row>
    <row r="173" spans="16:55" x14ac:dyDescent="0.2">
      <c r="P173"/>
      <c r="AG173" s="4"/>
      <c r="AH173" s="4"/>
      <c r="AI173" s="14"/>
      <c r="BC173" s="4"/>
    </row>
    <row r="174" spans="16:55" x14ac:dyDescent="0.2">
      <c r="P174"/>
      <c r="AG174" s="4"/>
      <c r="AH174" s="4"/>
      <c r="AI174" s="14"/>
      <c r="BC174" s="4"/>
    </row>
    <row r="175" spans="16:55" x14ac:dyDescent="0.2">
      <c r="P175"/>
      <c r="AG175" s="4"/>
      <c r="AH175" s="4"/>
      <c r="AI175" s="14"/>
      <c r="BC175" s="4"/>
    </row>
    <row r="176" spans="16:55" x14ac:dyDescent="0.2">
      <c r="P176"/>
      <c r="AG176" s="4"/>
      <c r="AH176" s="4"/>
      <c r="AI176" s="14"/>
      <c r="BC176" s="4"/>
    </row>
    <row r="177" spans="16:55" x14ac:dyDescent="0.2">
      <c r="P177"/>
      <c r="AG177" s="4"/>
      <c r="AH177" s="4"/>
      <c r="AI177" s="14"/>
      <c r="BC177" s="4"/>
    </row>
    <row r="178" spans="16:55" x14ac:dyDescent="0.2">
      <c r="P178"/>
      <c r="AG178" s="4"/>
      <c r="AH178" s="4"/>
      <c r="AI178" s="14"/>
      <c r="BC178" s="4"/>
    </row>
    <row r="179" spans="16:55" x14ac:dyDescent="0.2">
      <c r="P179"/>
      <c r="AG179" s="4"/>
      <c r="AH179" s="4"/>
      <c r="AI179" s="14"/>
      <c r="BC179" s="4"/>
    </row>
    <row r="180" spans="16:55" x14ac:dyDescent="0.2">
      <c r="P180"/>
      <c r="AG180" s="4"/>
      <c r="AH180" s="4"/>
      <c r="AI180" s="14"/>
      <c r="BC180" s="4"/>
    </row>
    <row r="181" spans="16:55" x14ac:dyDescent="0.2">
      <c r="P181"/>
      <c r="AG181" s="4"/>
      <c r="AH181" s="4"/>
      <c r="AI181" s="14"/>
      <c r="BC181" s="4"/>
    </row>
    <row r="182" spans="16:55" x14ac:dyDescent="0.2">
      <c r="P182"/>
      <c r="AG182" s="4"/>
      <c r="AH182" s="4"/>
      <c r="AI182" s="14"/>
      <c r="BC182" s="4"/>
    </row>
    <row r="183" spans="16:55" x14ac:dyDescent="0.2">
      <c r="P183"/>
      <c r="AG183" s="4"/>
      <c r="AH183" s="4"/>
      <c r="AI183" s="14"/>
      <c r="BC183" s="4"/>
    </row>
    <row r="184" spans="16:55" x14ac:dyDescent="0.2">
      <c r="P184"/>
      <c r="AG184" s="4"/>
      <c r="AH184" s="4"/>
      <c r="AI184" s="14"/>
      <c r="BC184" s="4"/>
    </row>
    <row r="185" spans="16:55" x14ac:dyDescent="0.2">
      <c r="P185"/>
      <c r="AG185" s="4"/>
      <c r="AH185" s="4"/>
      <c r="AI185" s="14"/>
      <c r="BC185" s="4"/>
    </row>
    <row r="186" spans="16:55" x14ac:dyDescent="0.2">
      <c r="P186"/>
      <c r="AG186" s="4"/>
      <c r="AH186" s="4"/>
      <c r="AI186" s="14"/>
      <c r="BC186" s="4"/>
    </row>
    <row r="187" spans="16:55" x14ac:dyDescent="0.2">
      <c r="P187"/>
      <c r="AG187" s="4"/>
      <c r="AH187" s="4"/>
      <c r="AI187" s="14"/>
      <c r="BC187" s="4"/>
    </row>
    <row r="188" spans="16:55" x14ac:dyDescent="0.2">
      <c r="P188"/>
      <c r="AG188" s="4"/>
      <c r="AH188" s="4"/>
      <c r="AI188" s="14"/>
      <c r="BC188" s="4"/>
    </row>
    <row r="189" spans="16:55" x14ac:dyDescent="0.2">
      <c r="P189"/>
      <c r="AG189" s="4"/>
      <c r="AH189" s="4"/>
      <c r="AI189" s="14"/>
      <c r="BC189" s="4"/>
    </row>
    <row r="190" spans="16:55" x14ac:dyDescent="0.2">
      <c r="P190"/>
      <c r="AG190" s="4"/>
      <c r="AH190" s="4"/>
      <c r="AI190" s="14"/>
      <c r="BC190" s="4"/>
    </row>
    <row r="191" spans="16:55" x14ac:dyDescent="0.2">
      <c r="P191"/>
      <c r="AG191" s="4"/>
      <c r="AH191" s="4"/>
      <c r="AI191" s="14"/>
      <c r="BC191" s="4"/>
    </row>
    <row r="192" spans="16:55" x14ac:dyDescent="0.2">
      <c r="P192"/>
      <c r="AG192" s="4"/>
      <c r="AH192" s="4"/>
      <c r="AI192" s="14"/>
      <c r="BC192" s="4"/>
    </row>
    <row r="193" spans="16:55" x14ac:dyDescent="0.2">
      <c r="P193"/>
      <c r="AG193" s="4"/>
      <c r="AH193" s="4"/>
      <c r="AI193" s="14"/>
      <c r="BC193" s="4"/>
    </row>
    <row r="194" spans="16:55" x14ac:dyDescent="0.2">
      <c r="P194"/>
      <c r="AG194" s="4"/>
      <c r="AH194" s="4"/>
      <c r="AI194" s="14"/>
      <c r="BC194" s="4"/>
    </row>
    <row r="195" spans="16:55" x14ac:dyDescent="0.2">
      <c r="P195"/>
      <c r="AG195" s="4"/>
      <c r="AH195" s="4"/>
      <c r="AI195" s="14"/>
      <c r="BC195" s="4"/>
    </row>
    <row r="196" spans="16:55" x14ac:dyDescent="0.2">
      <c r="P196"/>
      <c r="AG196" s="4"/>
      <c r="AH196" s="4"/>
      <c r="AI196" s="14"/>
      <c r="BC196" s="4"/>
    </row>
    <row r="197" spans="16:55" x14ac:dyDescent="0.2">
      <c r="P197"/>
      <c r="AG197" s="4"/>
      <c r="AH197" s="4"/>
      <c r="AI197" s="14"/>
      <c r="BC197" s="4"/>
    </row>
    <row r="198" spans="16:55" x14ac:dyDescent="0.2">
      <c r="P198"/>
      <c r="AG198" s="4"/>
      <c r="AH198" s="4"/>
      <c r="AI198" s="14"/>
      <c r="BC198" s="4"/>
    </row>
    <row r="199" spans="16:55" x14ac:dyDescent="0.2">
      <c r="P199"/>
      <c r="AG199" s="4"/>
      <c r="AH199" s="4"/>
      <c r="AI199" s="14"/>
      <c r="BC199" s="4"/>
    </row>
    <row r="200" spans="16:55" x14ac:dyDescent="0.2">
      <c r="P200"/>
      <c r="AG200" s="4"/>
      <c r="AH200" s="4"/>
      <c r="AI200" s="14"/>
      <c r="BC200" s="4"/>
    </row>
    <row r="201" spans="16:55" x14ac:dyDescent="0.2">
      <c r="P201"/>
      <c r="AG201" s="4"/>
      <c r="AH201" s="4"/>
      <c r="AI201" s="14"/>
      <c r="BC201" s="4"/>
    </row>
    <row r="202" spans="16:55" x14ac:dyDescent="0.2">
      <c r="P202"/>
      <c r="AG202" s="4"/>
      <c r="AH202" s="4"/>
      <c r="AI202" s="14"/>
      <c r="BC202" s="4"/>
    </row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C6BD61-2492-1B48-8640-EE7F44BD2FBE}">
          <x14:formula1>
            <xm:f>Lists!$BI:$BI</xm:f>
          </x14:formula1>
          <xm:sqref>G2:G201</xm:sqref>
        </x14:dataValidation>
        <x14:dataValidation type="list" allowBlank="1" showInputMessage="1" showErrorMessage="1" xr:uid="{F96B7B0B-A1E0-0441-9959-A79C46FEC7D1}">
          <x14:formula1>
            <xm:f>Lists!$BJ:$BJ</xm:f>
          </x14:formula1>
          <xm:sqref>H2:H201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E104-6AEB-6A4D-8F83-331F2C542107}">
  <sheetPr>
    <tabColor theme="7"/>
  </sheetPr>
  <dimension ref="A1:BB63"/>
  <sheetViews>
    <sheetView workbookViewId="0">
      <selection activeCell="J9" sqref="J9"/>
    </sheetView>
  </sheetViews>
  <sheetFormatPr baseColWidth="10" defaultRowHeight="16" x14ac:dyDescent="0.2"/>
  <cols>
    <col min="4" max="9" width="10.83203125" customWidth="1"/>
    <col min="11" max="11" width="20.5" customWidth="1"/>
    <col min="19" max="20" width="10.83203125" customWidth="1"/>
    <col min="21" max="21" width="32.33203125" customWidth="1"/>
    <col min="22" max="26" width="10.83203125" customWidth="1"/>
    <col min="27" max="28" width="10.83203125" style="40"/>
  </cols>
  <sheetData>
    <row r="1" spans="1:54" x14ac:dyDescent="0.2">
      <c r="A1" t="s">
        <v>840</v>
      </c>
      <c r="B1" s="38" t="s">
        <v>896</v>
      </c>
    </row>
    <row r="2" spans="1:54" x14ac:dyDescent="0.2">
      <c r="B2" s="36" t="s">
        <v>812</v>
      </c>
      <c r="C2" s="36" t="s">
        <v>248</v>
      </c>
      <c r="D2" s="36" t="s">
        <v>813</v>
      </c>
      <c r="E2" s="36" t="s">
        <v>814</v>
      </c>
      <c r="F2" s="36" t="s">
        <v>815</v>
      </c>
      <c r="G2" s="36" t="s">
        <v>793</v>
      </c>
      <c r="H2" s="36" t="s">
        <v>816</v>
      </c>
      <c r="I2" s="36" t="s">
        <v>817</v>
      </c>
      <c r="J2" s="36" t="s">
        <v>789</v>
      </c>
      <c r="K2" s="36" t="s">
        <v>818</v>
      </c>
      <c r="L2" s="36" t="s">
        <v>819</v>
      </c>
      <c r="M2" s="36" t="s">
        <v>820</v>
      </c>
      <c r="N2" s="36" t="s">
        <v>821</v>
      </c>
      <c r="O2" s="36" t="s">
        <v>822</v>
      </c>
      <c r="P2" s="36" t="s">
        <v>823</v>
      </c>
      <c r="Q2" s="36" t="s">
        <v>824</v>
      </c>
      <c r="R2" s="36" t="s">
        <v>825</v>
      </c>
      <c r="S2" s="36" t="s">
        <v>826</v>
      </c>
      <c r="T2" s="36" t="s">
        <v>827</v>
      </c>
      <c r="U2" s="36" t="s">
        <v>828</v>
      </c>
      <c r="V2" s="36" t="s">
        <v>829</v>
      </c>
      <c r="W2" s="36" t="s">
        <v>810</v>
      </c>
      <c r="X2" s="37" t="s">
        <v>830</v>
      </c>
      <c r="Y2" s="37" t="s">
        <v>831</v>
      </c>
      <c r="Z2" s="37" t="s">
        <v>832</v>
      </c>
      <c r="AA2" s="41" t="s">
        <v>833</v>
      </c>
      <c r="AB2" s="41" t="s">
        <v>865</v>
      </c>
      <c r="AC2" s="37" t="s">
        <v>841</v>
      </c>
      <c r="AD2" s="37" t="s">
        <v>842</v>
      </c>
      <c r="AE2" s="37" t="s">
        <v>843</v>
      </c>
      <c r="AF2" s="37" t="s">
        <v>844</v>
      </c>
      <c r="AG2" s="37" t="s">
        <v>845</v>
      </c>
      <c r="AH2" s="37" t="s">
        <v>846</v>
      </c>
      <c r="AI2" s="37" t="s">
        <v>847</v>
      </c>
      <c r="AJ2" s="37" t="s">
        <v>848</v>
      </c>
      <c r="AO2" t="s">
        <v>835</v>
      </c>
      <c r="AP2" t="s">
        <v>836</v>
      </c>
      <c r="AQ2" t="s">
        <v>837</v>
      </c>
      <c r="AR2" t="s">
        <v>834</v>
      </c>
      <c r="AS2" t="s">
        <v>838</v>
      </c>
      <c r="AT2" t="s">
        <v>839</v>
      </c>
      <c r="AW2" t="s">
        <v>835</v>
      </c>
      <c r="AX2" t="s">
        <v>836</v>
      </c>
      <c r="AY2" t="s">
        <v>837</v>
      </c>
      <c r="AZ2" t="s">
        <v>834</v>
      </c>
      <c r="BA2" t="s">
        <v>838</v>
      </c>
      <c r="BB2" t="s">
        <v>839</v>
      </c>
    </row>
    <row r="3" spans="1:54" x14ac:dyDescent="0.2">
      <c r="AB3" s="40" t="str">
        <f>IF(G3="home","h",IF(G3="away","a",""))</f>
        <v/>
      </c>
      <c r="AC3">
        <f>COUNTIFS(events!$X:$X,"="&amp;game_rosters!$J3,events!$AR:$AR,"="&amp;game_rosters!$G3,events!$K:$K,"=Goal")</f>
        <v>0</v>
      </c>
      <c r="AD3">
        <f>COUNTIFS(events!$X:$X,"="&amp;game_rosters!$J3,events!$AR:$AR,"="&amp;game_rosters!$G3,events!$K:$K,"=Penalty")</f>
        <v>0</v>
      </c>
      <c r="AE3">
        <f>COUNTIFS(events!$X:$X,"="&amp;game_rosters!$J3,events!$AR:$AR,"="&amp;game_rosters!$G3,events!$O:$O,"=AssistPrimary")</f>
        <v>0</v>
      </c>
      <c r="AF3">
        <f>COUNTIFS(events!$X:$X,"="&amp;game_rosters!$J3,events!$AR:$AR,"="&amp;game_rosters!$G3,events!$O:$O,"=AssistSecondary")</f>
        <v>0</v>
      </c>
      <c r="AG3">
        <f>AE3+AF3</f>
        <v>0</v>
      </c>
      <c r="AH3">
        <f>AC3-N3</f>
        <v>0</v>
      </c>
      <c r="AI3">
        <f>(AD3*3)-Q3</f>
        <v>0</v>
      </c>
      <c r="AJ3">
        <f>AG3-O3</f>
        <v>0</v>
      </c>
      <c r="AO3" t="e" cm="1">
        <f t="array" ref="AO3">_xlfn._xlws.FILTER(events!$I:$I,(events!$K:$K="Goal")*(events!$AR:$AR="Home"))</f>
        <v>#VALUE!</v>
      </c>
      <c r="AP3" t="e" cm="1">
        <f t="array" ref="AP3">_xlfn._xlws.FILTER(events!$I:$I,((events!O:O="AssistPrimary")+(events!O:O="AssistSecondary"))*(events!$AR:$AR="Home"))</f>
        <v>#VALUE!</v>
      </c>
      <c r="AQ3" t="e" cm="1">
        <f t="array" ref="AQ3">_xlfn._xlws.FILTER(events!$I:$I,(events!$K:$K="Penalty")*(events!$AR:$AR="Home"))</f>
        <v>#VALUE!</v>
      </c>
      <c r="AR3" t="e" cm="1">
        <f t="array" ref="AR3">_xlfn._xlws.FILTER(events!$I:$I,(events!$K:$K="Goal")*(events!$AR:$AR="Away"))</f>
        <v>#VALUE!</v>
      </c>
      <c r="AS3" t="e" cm="1">
        <f t="array" ref="AS3">_xlfn._xlws.FILTER(events!$I:$I,((events!O:O="AssistPrimary")+(events!O:O="AssistSecondary"))*(events!$AR:$AR="Away"))</f>
        <v>#VALUE!</v>
      </c>
      <c r="AT3" t="str" cm="1">
        <f t="array" ref="AT3">IFERROR(_xlfn._xlws.FILTER(events!$I:$I,(events!$K:$K="Penalty")*(events!$AR:$AR="Away")),"")</f>
        <v/>
      </c>
      <c r="AW3" t="e" cm="1" vm="2">
        <f t="array" ref="AW3">_xlfn._xlws.FILTER($J:$J,($G:$G="Home")*($N:$N&gt;=1))</f>
        <v>#VALUE!</v>
      </c>
      <c r="AX3" t="e" cm="1" vm="2">
        <f t="array" ref="AX3">_xlfn._xlws.FILTER($J:$J,($G:$G="Home")*($O:$O&gt;=1))</f>
        <v>#VALUE!</v>
      </c>
      <c r="AY3" t="e" cm="1" vm="2">
        <f t="array" ref="AY3">_xlfn._xlws.FILTER($J:$J,($G:$G="Home")*($Q:$Q&gt;=1))</f>
        <v>#VALUE!</v>
      </c>
      <c r="AZ3" t="e" cm="1" vm="2">
        <f t="array" ref="AZ3">_xlfn._xlws.FILTER($J:$J,($G:$G="Away")*($N:$N&gt;=1))</f>
        <v>#VALUE!</v>
      </c>
      <c r="BA3" t="e" cm="1" vm="2">
        <f t="array" ref="BA3">_xlfn._xlws.FILTER($J:$J,($G:$G="Away")*($O:$O&gt;=1))</f>
        <v>#VALUE!</v>
      </c>
      <c r="BB3" t="str" cm="1">
        <f t="array" ref="BB3">IFERROR(_xlfn._xlws.FILTER($J:$J,($G:$G="Away")*($Q:$Q&gt;=1)),"")</f>
        <v/>
      </c>
    </row>
    <row r="4" spans="1:54" x14ac:dyDescent="0.2">
      <c r="AB4" s="40" t="str">
        <f t="shared" ref="AB4:AB29" si="0">IF(G4="home","h",IF(G4="away","a",""))</f>
        <v/>
      </c>
      <c r="AC4">
        <f>COUNTIFS(events!$X:$X,"="&amp;game_rosters!$J4,events!$AR:$AR,"="&amp;game_rosters!$G4,events!$K:$K,"=Goal")</f>
        <v>0</v>
      </c>
      <c r="AD4">
        <f>COUNTIFS(events!$X:$X,"="&amp;game_rosters!$J4,events!$AR:$AR,"="&amp;game_rosters!$G4,events!$K:$K,"=Penalty")</f>
        <v>0</v>
      </c>
      <c r="AE4">
        <f>COUNTIFS(events!$X:$X,"="&amp;game_rosters!$J4,events!$AR:$AR,"="&amp;game_rosters!$G4,events!$O:$O,"=AssistPrimary")</f>
        <v>0</v>
      </c>
      <c r="AF4">
        <f>COUNTIFS(events!$X:$X,"="&amp;game_rosters!$J4,events!$AR:$AR,"="&amp;game_rosters!$G4,events!$O:$O,"=AssistSecondary")</f>
        <v>0</v>
      </c>
      <c r="AG4">
        <f t="shared" ref="AG4:AG29" si="1">AE4+AF4</f>
        <v>0</v>
      </c>
      <c r="AH4">
        <f t="shared" ref="AH4:AH29" si="2">AC4-N4</f>
        <v>0</v>
      </c>
      <c r="AI4">
        <f t="shared" ref="AI4:AI29" si="3">(AD4*3)-Q4</f>
        <v>0</v>
      </c>
      <c r="AJ4">
        <f t="shared" ref="AJ4:AJ29" si="4">AG4-O4</f>
        <v>0</v>
      </c>
    </row>
    <row r="5" spans="1:54" x14ac:dyDescent="0.2">
      <c r="AB5" s="40" t="str">
        <f t="shared" si="0"/>
        <v/>
      </c>
      <c r="AC5">
        <f>COUNTIFS(events!$X:$X,"="&amp;game_rosters!$J5,events!$AR:$AR,"="&amp;game_rosters!$G5,events!$K:$K,"=Goal")</f>
        <v>0</v>
      </c>
      <c r="AD5">
        <f>COUNTIFS(events!$X:$X,"="&amp;game_rosters!$J5,events!$AR:$AR,"="&amp;game_rosters!$G5,events!$K:$K,"=Penalty")</f>
        <v>0</v>
      </c>
      <c r="AE5">
        <f>COUNTIFS(events!$X:$X,"="&amp;game_rosters!$J5,events!$AR:$AR,"="&amp;game_rosters!$G5,events!$O:$O,"=AssistPrimary")</f>
        <v>0</v>
      </c>
      <c r="AF5">
        <f>COUNTIFS(events!$X:$X,"="&amp;game_rosters!$J5,events!$AR:$AR,"="&amp;game_rosters!$G5,events!$O:$O,"=AssistSecondary")</f>
        <v>0</v>
      </c>
      <c r="AG5">
        <f t="shared" si="1"/>
        <v>0</v>
      </c>
      <c r="AH5">
        <f t="shared" si="2"/>
        <v>0</v>
      </c>
      <c r="AI5">
        <f t="shared" si="3"/>
        <v>0</v>
      </c>
      <c r="AJ5">
        <f t="shared" si="4"/>
        <v>0</v>
      </c>
    </row>
    <row r="6" spans="1:54" x14ac:dyDescent="0.2">
      <c r="AB6" s="40" t="str">
        <f t="shared" si="0"/>
        <v/>
      </c>
      <c r="AC6">
        <f>COUNTIFS(events!$X:$X,"="&amp;game_rosters!$J6,events!$AR:$AR,"="&amp;game_rosters!$G6,events!$K:$K,"=Goal")</f>
        <v>0</v>
      </c>
      <c r="AD6">
        <f>COUNTIFS(events!$X:$X,"="&amp;game_rosters!$J6,events!$AR:$AR,"="&amp;game_rosters!$G6,events!$K:$K,"=Penalty")</f>
        <v>0</v>
      </c>
      <c r="AE6">
        <f>COUNTIFS(events!$X:$X,"="&amp;game_rosters!$J6,events!$AR:$AR,"="&amp;game_rosters!$G6,events!$O:$O,"=AssistPrimary")</f>
        <v>0</v>
      </c>
      <c r="AF6">
        <f>COUNTIFS(events!$X:$X,"="&amp;game_rosters!$J6,events!$AR:$AR,"="&amp;game_rosters!$G6,events!$O:$O,"=AssistSecondary")</f>
        <v>0</v>
      </c>
      <c r="AG6">
        <f t="shared" si="1"/>
        <v>0</v>
      </c>
      <c r="AH6">
        <f t="shared" si="2"/>
        <v>0</v>
      </c>
      <c r="AI6">
        <f t="shared" si="3"/>
        <v>0</v>
      </c>
      <c r="AJ6">
        <f t="shared" si="4"/>
        <v>0</v>
      </c>
    </row>
    <row r="7" spans="1:54" x14ac:dyDescent="0.2">
      <c r="AB7" s="40" t="str">
        <f t="shared" si="0"/>
        <v/>
      </c>
      <c r="AC7">
        <f>COUNTIFS(events!$X:$X,"="&amp;game_rosters!$J7,events!$AR:$AR,"="&amp;game_rosters!$G7,events!$K:$K,"=Goal")</f>
        <v>0</v>
      </c>
      <c r="AD7">
        <f>COUNTIFS(events!$X:$X,"="&amp;game_rosters!$J7,events!$AR:$AR,"="&amp;game_rosters!$G7,events!$K:$K,"=Penalty")</f>
        <v>0</v>
      </c>
      <c r="AE7">
        <f>COUNTIFS(events!$X:$X,"="&amp;game_rosters!$J7,events!$AR:$AR,"="&amp;game_rosters!$G7,events!$O:$O,"=AssistPrimary")</f>
        <v>0</v>
      </c>
      <c r="AF7">
        <f>COUNTIFS(events!$X:$X,"="&amp;game_rosters!$J7,events!$AR:$AR,"="&amp;game_rosters!$G7,events!$O:$O,"=AssistSecondary")</f>
        <v>0</v>
      </c>
      <c r="AG7">
        <f t="shared" si="1"/>
        <v>0</v>
      </c>
      <c r="AH7">
        <f t="shared" si="2"/>
        <v>0</v>
      </c>
      <c r="AI7">
        <f t="shared" si="3"/>
        <v>0</v>
      </c>
      <c r="AJ7">
        <f t="shared" si="4"/>
        <v>0</v>
      </c>
    </row>
    <row r="8" spans="1:54" x14ac:dyDescent="0.2">
      <c r="AB8" s="40" t="str">
        <f t="shared" si="0"/>
        <v/>
      </c>
      <c r="AC8">
        <f>COUNTIFS(events!$X:$X,"="&amp;game_rosters!$J8,events!$AR:$AR,"="&amp;game_rosters!$G8,events!$K:$K,"=Goal")</f>
        <v>0</v>
      </c>
      <c r="AD8">
        <f>COUNTIFS(events!$X:$X,"="&amp;game_rosters!$J8,events!$AR:$AR,"="&amp;game_rosters!$G8,events!$K:$K,"=Penalty")</f>
        <v>0</v>
      </c>
      <c r="AE8">
        <f>COUNTIFS(events!$X:$X,"="&amp;game_rosters!$J8,events!$AR:$AR,"="&amp;game_rosters!$G8,events!$O:$O,"=AssistPrimary")</f>
        <v>0</v>
      </c>
      <c r="AF8">
        <f>COUNTIFS(events!$X:$X,"="&amp;game_rosters!$J8,events!$AR:$AR,"="&amp;game_rosters!$G8,events!$O:$O,"=AssistSecondary")</f>
        <v>0</v>
      </c>
      <c r="AG8">
        <f t="shared" si="1"/>
        <v>0</v>
      </c>
      <c r="AH8">
        <f t="shared" si="2"/>
        <v>0</v>
      </c>
      <c r="AI8">
        <f t="shared" si="3"/>
        <v>0</v>
      </c>
      <c r="AJ8">
        <f t="shared" si="4"/>
        <v>0</v>
      </c>
    </row>
    <row r="9" spans="1:54" x14ac:dyDescent="0.2">
      <c r="AB9" s="40" t="str">
        <f t="shared" si="0"/>
        <v/>
      </c>
      <c r="AC9">
        <f>COUNTIFS(events!$X:$X,"="&amp;game_rosters!$J9,events!$AR:$AR,"="&amp;game_rosters!$G9,events!$K:$K,"=Goal")</f>
        <v>0</v>
      </c>
      <c r="AD9">
        <f>COUNTIFS(events!$X:$X,"="&amp;game_rosters!$J9,events!$AR:$AR,"="&amp;game_rosters!$G9,events!$K:$K,"=Penalty")</f>
        <v>0</v>
      </c>
      <c r="AE9">
        <f>COUNTIFS(events!$X:$X,"="&amp;game_rosters!$J9,events!$AR:$AR,"="&amp;game_rosters!$G9,events!$O:$O,"=AssistPrimary")</f>
        <v>0</v>
      </c>
      <c r="AF9">
        <f>COUNTIFS(events!$X:$X,"="&amp;game_rosters!$J9,events!$AR:$AR,"="&amp;game_rosters!$G9,events!$O:$O,"=AssistSecondary")</f>
        <v>0</v>
      </c>
      <c r="AG9">
        <f t="shared" si="1"/>
        <v>0</v>
      </c>
      <c r="AH9">
        <f>AC9-N9</f>
        <v>0</v>
      </c>
      <c r="AI9">
        <f t="shared" si="3"/>
        <v>0</v>
      </c>
      <c r="AJ9">
        <f t="shared" si="4"/>
        <v>0</v>
      </c>
    </row>
    <row r="10" spans="1:54" x14ac:dyDescent="0.2">
      <c r="AB10" s="40" t="str">
        <f t="shared" si="0"/>
        <v/>
      </c>
      <c r="AC10">
        <f>COUNTIFS(events!$X:$X,"="&amp;game_rosters!$J10,events!$AR:$AR,"="&amp;game_rosters!$G10,events!$K:$K,"=Goal")</f>
        <v>0</v>
      </c>
      <c r="AD10">
        <f>COUNTIFS(events!$X:$X,"="&amp;game_rosters!$J10,events!$AR:$AR,"="&amp;game_rosters!$G10,events!$K:$K,"=Penalty")</f>
        <v>0</v>
      </c>
      <c r="AE10">
        <f>COUNTIFS(events!$X:$X,"="&amp;game_rosters!$J10,events!$AR:$AR,"="&amp;game_rosters!$G10,events!$O:$O,"=AssistPrimary")</f>
        <v>0</v>
      </c>
      <c r="AF10">
        <f>COUNTIFS(events!$X:$X,"="&amp;game_rosters!$J10,events!$AR:$AR,"="&amp;game_rosters!$G10,events!$O:$O,"=AssistSecondary")</f>
        <v>0</v>
      </c>
      <c r="AG10">
        <f t="shared" si="1"/>
        <v>0</v>
      </c>
      <c r="AH10">
        <f t="shared" si="2"/>
        <v>0</v>
      </c>
      <c r="AI10">
        <f t="shared" si="3"/>
        <v>0</v>
      </c>
      <c r="AJ10">
        <f t="shared" si="4"/>
        <v>0</v>
      </c>
    </row>
    <row r="11" spans="1:54" x14ac:dyDescent="0.2">
      <c r="AB11" s="40" t="str">
        <f t="shared" si="0"/>
        <v/>
      </c>
      <c r="AC11">
        <f>COUNTIFS(events!$X:$X,"="&amp;game_rosters!$J11,events!$AR:$AR,"="&amp;game_rosters!$G11,events!$K:$K,"=Goal")</f>
        <v>0</v>
      </c>
      <c r="AD11">
        <f>COUNTIFS(events!$X:$X,"="&amp;game_rosters!$J11,events!$AR:$AR,"="&amp;game_rosters!$G11,events!$K:$K,"=Penalty")</f>
        <v>0</v>
      </c>
      <c r="AE11">
        <f>COUNTIFS(events!$X:$X,"="&amp;game_rosters!$J11,events!$AR:$AR,"="&amp;game_rosters!$G11,events!$O:$O,"=AssistPrimary")</f>
        <v>0</v>
      </c>
      <c r="AF11">
        <f>COUNTIFS(events!$X:$X,"="&amp;game_rosters!$J11,events!$AR:$AR,"="&amp;game_rosters!$G11,events!$O:$O,"=AssistSecondary")</f>
        <v>0</v>
      </c>
      <c r="AG11">
        <f t="shared" si="1"/>
        <v>0</v>
      </c>
      <c r="AH11">
        <f t="shared" si="2"/>
        <v>0</v>
      </c>
      <c r="AI11">
        <f t="shared" si="3"/>
        <v>0</v>
      </c>
      <c r="AJ11">
        <f t="shared" si="4"/>
        <v>0</v>
      </c>
    </row>
    <row r="12" spans="1:54" x14ac:dyDescent="0.2">
      <c r="AB12" s="40" t="str">
        <f t="shared" si="0"/>
        <v/>
      </c>
      <c r="AC12">
        <f>COUNTIFS(events!$X:$X,"="&amp;game_rosters!$J12,events!$AR:$AR,"="&amp;game_rosters!$G12,events!$K:$K,"=Goal")</f>
        <v>0</v>
      </c>
      <c r="AD12">
        <f>COUNTIFS(events!$X:$X,"="&amp;game_rosters!$J12,events!$AR:$AR,"="&amp;game_rosters!$G12,events!$K:$K,"=Penalty")</f>
        <v>0</v>
      </c>
      <c r="AE12">
        <f>COUNTIFS(events!$X:$X,"="&amp;game_rosters!$J12,events!$AR:$AR,"="&amp;game_rosters!$G12,events!$O:$O,"=AssistPrimary")</f>
        <v>0</v>
      </c>
      <c r="AF12">
        <f>COUNTIFS(events!$X:$X,"="&amp;game_rosters!$J12,events!$AR:$AR,"="&amp;game_rosters!$G12,events!$O:$O,"=AssistSecondary")</f>
        <v>0</v>
      </c>
      <c r="AG12">
        <f t="shared" si="1"/>
        <v>0</v>
      </c>
      <c r="AH12">
        <f t="shared" si="2"/>
        <v>0</v>
      </c>
      <c r="AI12">
        <f t="shared" si="3"/>
        <v>0</v>
      </c>
      <c r="AJ12">
        <f t="shared" si="4"/>
        <v>0</v>
      </c>
    </row>
    <row r="13" spans="1:54" x14ac:dyDescent="0.2">
      <c r="AB13" s="40" t="str">
        <f t="shared" si="0"/>
        <v/>
      </c>
      <c r="AC13">
        <f>COUNTIFS(events!$X:$X,"="&amp;game_rosters!$J13,events!$AR:$AR,"="&amp;game_rosters!$G13,events!$K:$K,"=Goal")</f>
        <v>0</v>
      </c>
      <c r="AD13">
        <f>COUNTIFS(events!$X:$X,"="&amp;game_rosters!$J13,events!$AR:$AR,"="&amp;game_rosters!$G13,events!$K:$K,"=Penalty")</f>
        <v>0</v>
      </c>
      <c r="AE13">
        <f>COUNTIFS(events!$X:$X,"="&amp;game_rosters!$J13,events!$AR:$AR,"="&amp;game_rosters!$G13,events!$O:$O,"=AssistPrimary")</f>
        <v>0</v>
      </c>
      <c r="AF13">
        <f>COUNTIFS(events!$X:$X,"="&amp;game_rosters!$J13,events!$AR:$AR,"="&amp;game_rosters!$G13,events!$O:$O,"=AssistSecondary")</f>
        <v>0</v>
      </c>
      <c r="AG13">
        <f t="shared" si="1"/>
        <v>0</v>
      </c>
      <c r="AH13">
        <f t="shared" si="2"/>
        <v>0</v>
      </c>
      <c r="AI13">
        <f t="shared" si="3"/>
        <v>0</v>
      </c>
      <c r="AJ13">
        <f t="shared" si="4"/>
        <v>0</v>
      </c>
    </row>
    <row r="14" spans="1:54" x14ac:dyDescent="0.2">
      <c r="AB14" s="40" t="str">
        <f t="shared" si="0"/>
        <v/>
      </c>
      <c r="AC14">
        <f>COUNTIFS(events!$X:$X,"="&amp;game_rosters!$J14,events!$AR:$AR,"="&amp;game_rosters!$G14,events!$K:$K,"=Goal")</f>
        <v>0</v>
      </c>
      <c r="AD14">
        <f>COUNTIFS(events!$X:$X,"="&amp;game_rosters!$J14,events!$AR:$AR,"="&amp;game_rosters!$G14,events!$K:$K,"=Penalty")</f>
        <v>0</v>
      </c>
      <c r="AE14">
        <f>COUNTIFS(events!$X:$X,"="&amp;game_rosters!$J14,events!$AR:$AR,"="&amp;game_rosters!$G14,events!$O:$O,"=AssistPrimary")</f>
        <v>0</v>
      </c>
      <c r="AF14">
        <f>COUNTIFS(events!$X:$X,"="&amp;game_rosters!$J14,events!$AR:$AR,"="&amp;game_rosters!$G14,events!$O:$O,"=AssistSecondary")</f>
        <v>0</v>
      </c>
      <c r="AG14">
        <f t="shared" si="1"/>
        <v>0</v>
      </c>
      <c r="AH14">
        <f t="shared" si="2"/>
        <v>0</v>
      </c>
      <c r="AI14">
        <f t="shared" si="3"/>
        <v>0</v>
      </c>
      <c r="AJ14">
        <f t="shared" si="4"/>
        <v>0</v>
      </c>
    </row>
    <row r="15" spans="1:54" x14ac:dyDescent="0.2">
      <c r="AB15" s="40" t="str">
        <f t="shared" si="0"/>
        <v/>
      </c>
      <c r="AC15">
        <f>COUNTIFS(events!$X:$X,"="&amp;game_rosters!$J15,events!$AR:$AR,"="&amp;game_rosters!$G15,events!$K:$K,"=Goal")</f>
        <v>0</v>
      </c>
      <c r="AD15">
        <f>COUNTIFS(events!$X:$X,"="&amp;game_rosters!$J15,events!$AR:$AR,"="&amp;game_rosters!$G15,events!$K:$K,"=Penalty")</f>
        <v>0</v>
      </c>
      <c r="AE15">
        <f>COUNTIFS(events!$X:$X,"="&amp;game_rosters!$J15,events!$AR:$AR,"="&amp;game_rosters!$G15,events!$O:$O,"=AssistPrimary")</f>
        <v>0</v>
      </c>
      <c r="AF15">
        <f>COUNTIFS(events!$X:$X,"="&amp;game_rosters!$J15,events!$AR:$AR,"="&amp;game_rosters!$G15,events!$O:$O,"=AssistSecondary")</f>
        <v>0</v>
      </c>
      <c r="AG15">
        <f t="shared" si="1"/>
        <v>0</v>
      </c>
      <c r="AH15">
        <f t="shared" si="2"/>
        <v>0</v>
      </c>
      <c r="AI15">
        <f t="shared" si="3"/>
        <v>0</v>
      </c>
      <c r="AJ15">
        <f t="shared" si="4"/>
        <v>0</v>
      </c>
    </row>
    <row r="16" spans="1:54" x14ac:dyDescent="0.2">
      <c r="AB16" s="40" t="str">
        <f t="shared" si="0"/>
        <v/>
      </c>
      <c r="AC16">
        <f>COUNTIFS(events!$X:$X,"="&amp;game_rosters!$J16,events!$AR:$AR,"="&amp;game_rosters!$G16,events!$K:$K,"=Goal")</f>
        <v>0</v>
      </c>
      <c r="AD16">
        <f>COUNTIFS(events!$X:$X,"="&amp;game_rosters!$J16,events!$AR:$AR,"="&amp;game_rosters!$G16,events!$K:$K,"=Penalty")</f>
        <v>0</v>
      </c>
      <c r="AE16">
        <f>COUNTIFS(events!$X:$X,"="&amp;game_rosters!$J16,events!$AR:$AR,"="&amp;game_rosters!$G16,events!$O:$O,"=AssistPrimary")</f>
        <v>0</v>
      </c>
      <c r="AF16">
        <f>COUNTIFS(events!$X:$X,"="&amp;game_rosters!$J16,events!$AR:$AR,"="&amp;game_rosters!$G16,events!$O:$O,"=AssistSecondary")</f>
        <v>0</v>
      </c>
      <c r="AG16">
        <f t="shared" si="1"/>
        <v>0</v>
      </c>
      <c r="AH16">
        <f t="shared" si="2"/>
        <v>0</v>
      </c>
      <c r="AI16">
        <f t="shared" si="3"/>
        <v>0</v>
      </c>
      <c r="AJ16">
        <f t="shared" si="4"/>
        <v>0</v>
      </c>
    </row>
    <row r="17" spans="28:36" x14ac:dyDescent="0.2">
      <c r="AB17" s="40" t="str">
        <f t="shared" si="0"/>
        <v/>
      </c>
      <c r="AC17">
        <f>COUNTIFS(events!$X:$X,"="&amp;game_rosters!$J17,events!$AR:$AR,"="&amp;game_rosters!$G17,events!$K:$K,"=Goal")</f>
        <v>0</v>
      </c>
      <c r="AD17">
        <f>COUNTIFS(events!$X:$X,"="&amp;game_rosters!$J17,events!$AR:$AR,"="&amp;game_rosters!$G17,events!$K:$K,"=Penalty")</f>
        <v>0</v>
      </c>
      <c r="AE17">
        <f>COUNTIFS(events!$X:$X,"="&amp;game_rosters!$J17,events!$AR:$AR,"="&amp;game_rosters!$G17,events!$O:$O,"=AssistPrimary")</f>
        <v>0</v>
      </c>
      <c r="AF17">
        <f>COUNTIFS(events!$X:$X,"="&amp;game_rosters!$J17,events!$AR:$AR,"="&amp;game_rosters!$G17,events!$O:$O,"=AssistSecondary")</f>
        <v>0</v>
      </c>
      <c r="AG17">
        <f t="shared" si="1"/>
        <v>0</v>
      </c>
      <c r="AH17">
        <f>AC17-N17</f>
        <v>0</v>
      </c>
      <c r="AI17">
        <f t="shared" si="3"/>
        <v>0</v>
      </c>
      <c r="AJ17">
        <f t="shared" si="4"/>
        <v>0</v>
      </c>
    </row>
    <row r="18" spans="28:36" x14ac:dyDescent="0.2">
      <c r="AB18" s="40" t="str">
        <f t="shared" si="0"/>
        <v/>
      </c>
      <c r="AC18">
        <f>COUNTIFS(events!$X:$X,"="&amp;game_rosters!$J18,events!$AR:$AR,"="&amp;game_rosters!$G18,events!$K:$K,"=Goal")</f>
        <v>0</v>
      </c>
      <c r="AD18">
        <f>COUNTIFS(events!$X:$X,"="&amp;game_rosters!$J18,events!$AR:$AR,"="&amp;game_rosters!$G18,events!$K:$K,"=Penalty")</f>
        <v>0</v>
      </c>
      <c r="AE18">
        <f>COUNTIFS(events!$X:$X,"="&amp;game_rosters!$J18,events!$AR:$AR,"="&amp;game_rosters!$G18,events!$O:$O,"=AssistPrimary")</f>
        <v>0</v>
      </c>
      <c r="AF18">
        <f>COUNTIFS(events!$X:$X,"="&amp;game_rosters!$J18,events!$AR:$AR,"="&amp;game_rosters!$G18,events!$O:$O,"=AssistSecondary")</f>
        <v>0</v>
      </c>
      <c r="AG18">
        <f t="shared" si="1"/>
        <v>0</v>
      </c>
      <c r="AH18">
        <f t="shared" si="2"/>
        <v>0</v>
      </c>
      <c r="AI18">
        <f t="shared" si="3"/>
        <v>0</v>
      </c>
      <c r="AJ18">
        <f>AG18-O18</f>
        <v>0</v>
      </c>
    </row>
    <row r="19" spans="28:36" x14ac:dyDescent="0.2">
      <c r="AB19" s="40" t="str">
        <f t="shared" si="0"/>
        <v/>
      </c>
      <c r="AC19">
        <f>COUNTIFS(events!$X:$X,"="&amp;game_rosters!$J19,events!$AR:$AR,"="&amp;game_rosters!$G19,events!$K:$K,"=Goal")</f>
        <v>0</v>
      </c>
      <c r="AD19">
        <f>COUNTIFS(events!$X:$X,"="&amp;game_rosters!$J19,events!$AR:$AR,"="&amp;game_rosters!$G19,events!$K:$K,"=Penalty")</f>
        <v>0</v>
      </c>
      <c r="AE19">
        <f>COUNTIFS(events!$X:$X,"="&amp;game_rosters!$J19,events!$AR:$AR,"="&amp;game_rosters!$G19,events!$O:$O,"=AssistPrimary")</f>
        <v>0</v>
      </c>
      <c r="AF19">
        <f>COUNTIFS(events!$X:$X,"="&amp;game_rosters!$J19,events!$AR:$AR,"="&amp;game_rosters!$G19,events!$O:$O,"=AssistSecondary")</f>
        <v>0</v>
      </c>
      <c r="AG19">
        <f t="shared" si="1"/>
        <v>0</v>
      </c>
      <c r="AH19">
        <f t="shared" si="2"/>
        <v>0</v>
      </c>
      <c r="AI19">
        <f t="shared" si="3"/>
        <v>0</v>
      </c>
      <c r="AJ19">
        <f t="shared" si="4"/>
        <v>0</v>
      </c>
    </row>
    <row r="20" spans="28:36" x14ac:dyDescent="0.2">
      <c r="AB20" s="40" t="str">
        <f t="shared" si="0"/>
        <v/>
      </c>
      <c r="AC20">
        <f>COUNTIFS(events!$X:$X,"="&amp;game_rosters!$J20,events!$AR:$AR,"="&amp;game_rosters!$G20,events!$K:$K,"=Goal")</f>
        <v>0</v>
      </c>
      <c r="AD20">
        <f>COUNTIFS(events!$X:$X,"="&amp;game_rosters!$J20,events!$AR:$AR,"="&amp;game_rosters!$G20,events!$K:$K,"=Penalty")</f>
        <v>0</v>
      </c>
      <c r="AE20">
        <f>COUNTIFS(events!$X:$X,"="&amp;game_rosters!$J20,events!$AR:$AR,"="&amp;game_rosters!$G20,events!$O:$O,"=AssistPrimary")</f>
        <v>0</v>
      </c>
      <c r="AF20">
        <f>COUNTIFS(events!$X:$X,"="&amp;game_rosters!$J20,events!$AR:$AR,"="&amp;game_rosters!$G20,events!$O:$O,"=AssistSecondary")</f>
        <v>0</v>
      </c>
      <c r="AG20">
        <f t="shared" si="1"/>
        <v>0</v>
      </c>
      <c r="AH20">
        <f t="shared" si="2"/>
        <v>0</v>
      </c>
      <c r="AI20">
        <f t="shared" si="3"/>
        <v>0</v>
      </c>
      <c r="AJ20">
        <f t="shared" si="4"/>
        <v>0</v>
      </c>
    </row>
    <row r="21" spans="28:36" x14ac:dyDescent="0.2">
      <c r="AB21" s="40" t="str">
        <f t="shared" si="0"/>
        <v/>
      </c>
      <c r="AC21">
        <f>COUNTIFS(events!$X:$X,"="&amp;game_rosters!$J21,events!$AR:$AR,"="&amp;game_rosters!$G21,events!$K:$K,"=Goal")</f>
        <v>0</v>
      </c>
      <c r="AD21">
        <f>COUNTIFS(events!$X:$X,"="&amp;game_rosters!$J21,events!$AR:$AR,"="&amp;game_rosters!$G21,events!$K:$K,"=Penalty")</f>
        <v>0</v>
      </c>
      <c r="AE21">
        <f>COUNTIFS(events!$X:$X,"="&amp;game_rosters!$J21,events!$AR:$AR,"="&amp;game_rosters!$G21,events!$O:$O,"=AssistPrimary")</f>
        <v>0</v>
      </c>
      <c r="AF21">
        <f>COUNTIFS(events!$X:$X,"="&amp;game_rosters!$J21,events!$AR:$AR,"="&amp;game_rosters!$G21,events!$O:$O,"=AssistSecondary")</f>
        <v>0</v>
      </c>
      <c r="AG21">
        <f t="shared" si="1"/>
        <v>0</v>
      </c>
      <c r="AH21">
        <f t="shared" si="2"/>
        <v>0</v>
      </c>
      <c r="AI21">
        <f t="shared" si="3"/>
        <v>0</v>
      </c>
      <c r="AJ21">
        <f t="shared" si="4"/>
        <v>0</v>
      </c>
    </row>
    <row r="22" spans="28:36" x14ac:dyDescent="0.2">
      <c r="AB22" s="40" t="str">
        <f t="shared" si="0"/>
        <v/>
      </c>
      <c r="AC22">
        <f>COUNTIFS(events!$X:$X,"="&amp;game_rosters!$J22,events!$AR:$AR,"="&amp;game_rosters!$G22,events!$K:$K,"=Goal")</f>
        <v>0</v>
      </c>
      <c r="AD22">
        <f>COUNTIFS(events!$X:$X,"="&amp;game_rosters!$J22,events!$AR:$AR,"="&amp;game_rosters!$G22,events!$K:$K,"=Penalty")</f>
        <v>0</v>
      </c>
      <c r="AE22">
        <f>COUNTIFS(events!$X:$X,"="&amp;game_rosters!$J22,events!$AR:$AR,"="&amp;game_rosters!$G22,events!$O:$O,"=AssistPrimary")</f>
        <v>0</v>
      </c>
      <c r="AF22">
        <f>COUNTIFS(events!$X:$X,"="&amp;game_rosters!$J22,events!$AR:$AR,"="&amp;game_rosters!$G22,events!$O:$O,"=AssistSecondary")</f>
        <v>0</v>
      </c>
      <c r="AG22">
        <f t="shared" si="1"/>
        <v>0</v>
      </c>
      <c r="AH22">
        <f t="shared" si="2"/>
        <v>0</v>
      </c>
      <c r="AI22">
        <f t="shared" si="3"/>
        <v>0</v>
      </c>
      <c r="AJ22">
        <f t="shared" si="4"/>
        <v>0</v>
      </c>
    </row>
    <row r="23" spans="28:36" x14ac:dyDescent="0.2">
      <c r="AB23" s="40" t="str">
        <f t="shared" si="0"/>
        <v/>
      </c>
      <c r="AC23">
        <f>COUNTIFS(events!$X:$X,"="&amp;game_rosters!$J23,events!$AR:$AR,"="&amp;game_rosters!$G23,events!$K:$K,"=Goal")</f>
        <v>0</v>
      </c>
      <c r="AD23">
        <f>COUNTIFS(events!$X:$X,"="&amp;game_rosters!$J23,events!$AR:$AR,"="&amp;game_rosters!$G23,events!$K:$K,"=Penalty")</f>
        <v>0</v>
      </c>
      <c r="AE23">
        <f>COUNTIFS(events!$X:$X,"="&amp;game_rosters!$J23,events!$AR:$AR,"="&amp;game_rosters!$G23,events!$O:$O,"=AssistPrimary")</f>
        <v>0</v>
      </c>
      <c r="AF23">
        <f>COUNTIFS(events!$X:$X,"="&amp;game_rosters!$J23,events!$AR:$AR,"="&amp;game_rosters!$G23,events!$O:$O,"=AssistSecondary")</f>
        <v>0</v>
      </c>
      <c r="AG23">
        <f t="shared" si="1"/>
        <v>0</v>
      </c>
      <c r="AH23">
        <f t="shared" si="2"/>
        <v>0</v>
      </c>
      <c r="AI23">
        <f t="shared" si="3"/>
        <v>0</v>
      </c>
      <c r="AJ23">
        <f t="shared" si="4"/>
        <v>0</v>
      </c>
    </row>
    <row r="24" spans="28:36" x14ac:dyDescent="0.2">
      <c r="AB24" s="40" t="str">
        <f t="shared" si="0"/>
        <v/>
      </c>
      <c r="AC24">
        <f>COUNTIFS(events!$X:$X,"="&amp;game_rosters!$J24,events!$AR:$AR,"="&amp;game_rosters!$G24,events!$K:$K,"=Goal")</f>
        <v>0</v>
      </c>
      <c r="AD24">
        <f>COUNTIFS(events!$X:$X,"="&amp;game_rosters!$J24,events!$AR:$AR,"="&amp;game_rosters!$G24,events!$K:$K,"=Penalty")</f>
        <v>0</v>
      </c>
      <c r="AE24">
        <f>COUNTIFS(events!$X:$X,"="&amp;game_rosters!$J24,events!$AR:$AR,"="&amp;game_rosters!$G24,events!$O:$O,"=AssistPrimary")</f>
        <v>0</v>
      </c>
      <c r="AF24">
        <f>COUNTIFS(events!$X:$X,"="&amp;game_rosters!$J24,events!$AR:$AR,"="&amp;game_rosters!$G24,events!$O:$O,"=AssistSecondary")</f>
        <v>0</v>
      </c>
      <c r="AG24">
        <f t="shared" si="1"/>
        <v>0</v>
      </c>
      <c r="AH24">
        <f t="shared" si="2"/>
        <v>0</v>
      </c>
      <c r="AI24">
        <f t="shared" si="3"/>
        <v>0</v>
      </c>
      <c r="AJ24">
        <f t="shared" si="4"/>
        <v>0</v>
      </c>
    </row>
    <row r="25" spans="28:36" x14ac:dyDescent="0.2">
      <c r="AB25" s="40" t="str">
        <f t="shared" si="0"/>
        <v/>
      </c>
      <c r="AC25">
        <f>COUNTIFS(events!$X:$X,"="&amp;game_rosters!$J25,events!$AR:$AR,"="&amp;game_rosters!$G25,events!$K:$K,"=Goal")</f>
        <v>0</v>
      </c>
      <c r="AD25">
        <f>COUNTIFS(events!$X:$X,"="&amp;game_rosters!$J25,events!$AR:$AR,"="&amp;game_rosters!$G25,events!$K:$K,"=Penalty")</f>
        <v>0</v>
      </c>
      <c r="AE25">
        <f>COUNTIFS(events!$X:$X,"="&amp;game_rosters!$J25,events!$AR:$AR,"="&amp;game_rosters!$G25,events!$O:$O,"=AssistPrimary")</f>
        <v>0</v>
      </c>
      <c r="AF25">
        <f>COUNTIFS(events!$X:$X,"="&amp;game_rosters!$J25,events!$AR:$AR,"="&amp;game_rosters!$G25,events!$O:$O,"=AssistSecondary")</f>
        <v>0</v>
      </c>
      <c r="AG25">
        <f t="shared" si="1"/>
        <v>0</v>
      </c>
      <c r="AH25">
        <f t="shared" si="2"/>
        <v>0</v>
      </c>
      <c r="AI25">
        <f t="shared" si="3"/>
        <v>0</v>
      </c>
      <c r="AJ25">
        <f t="shared" si="4"/>
        <v>0</v>
      </c>
    </row>
    <row r="26" spans="28:36" x14ac:dyDescent="0.2">
      <c r="AB26" s="40" t="str">
        <f t="shared" si="0"/>
        <v/>
      </c>
      <c r="AC26">
        <f>COUNTIFS(events!$X:$X,"="&amp;game_rosters!$J26,events!$AR:$AR,"="&amp;game_rosters!$G26,events!$K:$K,"=Goal")</f>
        <v>0</v>
      </c>
      <c r="AD26">
        <f>COUNTIFS(events!$X:$X,"="&amp;game_rosters!$J26,events!$AR:$AR,"="&amp;game_rosters!$G26,events!$K:$K,"=Penalty")</f>
        <v>0</v>
      </c>
      <c r="AE26">
        <f>COUNTIFS(events!$X:$X,"="&amp;game_rosters!$J26,events!$AR:$AR,"="&amp;game_rosters!$G26,events!$O:$O,"=AssistPrimary")</f>
        <v>0</v>
      </c>
      <c r="AF26">
        <f>COUNTIFS(events!$X:$X,"="&amp;game_rosters!$J26,events!$AR:$AR,"="&amp;game_rosters!$G26,events!$O:$O,"=AssistSecondary")</f>
        <v>0</v>
      </c>
      <c r="AG26">
        <f t="shared" si="1"/>
        <v>0</v>
      </c>
      <c r="AH26">
        <f t="shared" si="2"/>
        <v>0</v>
      </c>
      <c r="AI26">
        <f t="shared" si="3"/>
        <v>0</v>
      </c>
      <c r="AJ26">
        <f t="shared" si="4"/>
        <v>0</v>
      </c>
    </row>
    <row r="27" spans="28:36" x14ac:dyDescent="0.2">
      <c r="AB27" s="40" t="str">
        <f t="shared" si="0"/>
        <v/>
      </c>
      <c r="AC27">
        <f>COUNTIFS(events!$X:$X,"="&amp;game_rosters!$J27,events!$AR:$AR,"="&amp;game_rosters!$G27,events!$K:$K,"=Goal")</f>
        <v>0</v>
      </c>
      <c r="AD27">
        <f>COUNTIFS(events!$X:$X,"="&amp;game_rosters!$J27,events!$AR:$AR,"="&amp;game_rosters!$G27,events!$K:$K,"=Penalty")</f>
        <v>0</v>
      </c>
      <c r="AE27">
        <f>COUNTIFS(events!$X:$X,"="&amp;game_rosters!$J27,events!$AR:$AR,"="&amp;game_rosters!$G27,events!$O:$O,"=AssistPrimary")</f>
        <v>0</v>
      </c>
      <c r="AF27">
        <f>COUNTIFS(events!$X:$X,"="&amp;game_rosters!$J27,events!$AR:$AR,"="&amp;game_rosters!$G27,events!$O:$O,"=AssistSecondary")</f>
        <v>0</v>
      </c>
      <c r="AG27">
        <f t="shared" si="1"/>
        <v>0</v>
      </c>
      <c r="AH27">
        <f t="shared" si="2"/>
        <v>0</v>
      </c>
      <c r="AI27">
        <f t="shared" si="3"/>
        <v>0</v>
      </c>
      <c r="AJ27">
        <f t="shared" si="4"/>
        <v>0</v>
      </c>
    </row>
    <row r="28" spans="28:36" x14ac:dyDescent="0.2">
      <c r="AB28" s="40" t="str">
        <f t="shared" si="0"/>
        <v/>
      </c>
      <c r="AC28">
        <f>COUNTIFS(events!$X:$X,"="&amp;game_rosters!$J28,events!$AR:$AR,"="&amp;game_rosters!$G28,events!$K:$K,"=Goal")</f>
        <v>0</v>
      </c>
      <c r="AD28">
        <f>COUNTIFS(events!$X:$X,"="&amp;game_rosters!$J28,events!$AR:$AR,"="&amp;game_rosters!$G28,events!$K:$K,"=Penalty")</f>
        <v>0</v>
      </c>
      <c r="AE28">
        <f>COUNTIFS(events!$X:$X,"="&amp;game_rosters!$J28,events!$AR:$AR,"="&amp;game_rosters!$G28,events!$O:$O,"=AssistPrimary")</f>
        <v>0</v>
      </c>
      <c r="AF28">
        <f>COUNTIFS(events!$X:$X,"="&amp;game_rosters!$J28,events!$AR:$AR,"="&amp;game_rosters!$G28,events!$O:$O,"=AssistSecondary")</f>
        <v>0</v>
      </c>
      <c r="AG28">
        <f t="shared" si="1"/>
        <v>0</v>
      </c>
      <c r="AH28">
        <f t="shared" si="2"/>
        <v>0</v>
      </c>
      <c r="AI28">
        <f t="shared" si="3"/>
        <v>0</v>
      </c>
      <c r="AJ28">
        <f t="shared" si="4"/>
        <v>0</v>
      </c>
    </row>
    <row r="29" spans="28:36" x14ac:dyDescent="0.2">
      <c r="AB29" s="40" t="str">
        <f t="shared" si="0"/>
        <v/>
      </c>
      <c r="AC29">
        <f>COUNTIFS(events!$X:$X,"="&amp;game_rosters!$J29,events!$AR:$AR,"="&amp;game_rosters!$G29,events!$K:$K,"=Goal")</f>
        <v>0</v>
      </c>
      <c r="AD29">
        <f>COUNTIFS(events!$X:$X,"="&amp;game_rosters!$J29,events!$AR:$AR,"="&amp;game_rosters!$G29,events!$K:$K,"=Penalty")</f>
        <v>0</v>
      </c>
      <c r="AE29">
        <f>COUNTIFS(events!$X:$X,"="&amp;game_rosters!$J29,events!$AR:$AR,"="&amp;game_rosters!$G29,events!$O:$O,"=AssistPrimary")</f>
        <v>0</v>
      </c>
      <c r="AF29">
        <f>COUNTIFS(events!$X:$X,"="&amp;game_rosters!$J29,events!$AR:$AR,"="&amp;game_rosters!$G29,events!$O:$O,"=AssistSecondary")</f>
        <v>0</v>
      </c>
      <c r="AG29">
        <f t="shared" si="1"/>
        <v>0</v>
      </c>
      <c r="AH29">
        <f t="shared" si="2"/>
        <v>0</v>
      </c>
      <c r="AI29">
        <f t="shared" si="3"/>
        <v>0</v>
      </c>
      <c r="AJ29">
        <f t="shared" si="4"/>
        <v>0</v>
      </c>
    </row>
    <row r="43" spans="3:5" x14ac:dyDescent="0.2">
      <c r="C43" t="s">
        <v>862</v>
      </c>
      <c r="D43" t="s">
        <v>863</v>
      </c>
      <c r="E43" t="s">
        <v>894</v>
      </c>
    </row>
    <row r="44" spans="3:5" x14ac:dyDescent="0.2">
      <c r="C44" t="e" cm="1" vm="2">
        <f t="array" ref="C44">_xlfn._xlws.FILTER(J:J,G:G="home")</f>
        <v>#VALUE!</v>
      </c>
      <c r="D44" t="e" cm="1" vm="2">
        <f t="array" ref="D44">_xlfn._xlws.FILTER(J:J,G:G="away")</f>
        <v>#VALUE!</v>
      </c>
      <c r="E44" t="b">
        <f>COUNTIF(C$44:D$65,C44)&gt;1</f>
        <v>1</v>
      </c>
    </row>
    <row r="45" spans="3:5" x14ac:dyDescent="0.2">
      <c r="E45" t="b">
        <f t="shared" ref="E45:E63" si="5">COUNTIF(C$44:D$65,C45)&gt;1</f>
        <v>0</v>
      </c>
    </row>
    <row r="46" spans="3:5" x14ac:dyDescent="0.2">
      <c r="E46" t="b">
        <f t="shared" si="5"/>
        <v>0</v>
      </c>
    </row>
    <row r="47" spans="3:5" x14ac:dyDescent="0.2">
      <c r="E47" t="b">
        <f t="shared" si="5"/>
        <v>0</v>
      </c>
    </row>
    <row r="48" spans="3:5" x14ac:dyDescent="0.2">
      <c r="E48" t="b">
        <f t="shared" si="5"/>
        <v>0</v>
      </c>
    </row>
    <row r="49" spans="5:5" x14ac:dyDescent="0.2">
      <c r="E49" t="b">
        <f t="shared" si="5"/>
        <v>0</v>
      </c>
    </row>
    <row r="50" spans="5:5" x14ac:dyDescent="0.2">
      <c r="E50" t="b">
        <f t="shared" si="5"/>
        <v>0</v>
      </c>
    </row>
    <row r="51" spans="5:5" x14ac:dyDescent="0.2">
      <c r="E51" t="b">
        <f t="shared" si="5"/>
        <v>0</v>
      </c>
    </row>
    <row r="52" spans="5:5" x14ac:dyDescent="0.2">
      <c r="E52" t="b">
        <f t="shared" si="5"/>
        <v>0</v>
      </c>
    </row>
    <row r="53" spans="5:5" x14ac:dyDescent="0.2">
      <c r="E53" t="b">
        <f t="shared" si="5"/>
        <v>0</v>
      </c>
    </row>
    <row r="54" spans="5:5" x14ac:dyDescent="0.2">
      <c r="E54" t="b">
        <f t="shared" si="5"/>
        <v>0</v>
      </c>
    </row>
    <row r="55" spans="5:5" x14ac:dyDescent="0.2">
      <c r="E55" t="b">
        <f t="shared" si="5"/>
        <v>0</v>
      </c>
    </row>
    <row r="56" spans="5:5" x14ac:dyDescent="0.2">
      <c r="E56" t="b">
        <f t="shared" si="5"/>
        <v>0</v>
      </c>
    </row>
    <row r="57" spans="5:5" x14ac:dyDescent="0.2">
      <c r="E57" t="b">
        <f t="shared" si="5"/>
        <v>0</v>
      </c>
    </row>
    <row r="58" spans="5:5" x14ac:dyDescent="0.2">
      <c r="E58" t="b">
        <f t="shared" si="5"/>
        <v>0</v>
      </c>
    </row>
    <row r="59" spans="5:5" x14ac:dyDescent="0.2">
      <c r="E59" t="b">
        <f t="shared" si="5"/>
        <v>0</v>
      </c>
    </row>
    <row r="60" spans="5:5" x14ac:dyDescent="0.2">
      <c r="E60" t="b">
        <f t="shared" si="5"/>
        <v>0</v>
      </c>
    </row>
    <row r="61" spans="5:5" x14ac:dyDescent="0.2">
      <c r="E61" t="b">
        <f t="shared" si="5"/>
        <v>0</v>
      </c>
    </row>
    <row r="62" spans="5:5" x14ac:dyDescent="0.2">
      <c r="E62" t="b">
        <f t="shared" si="5"/>
        <v>0</v>
      </c>
    </row>
    <row r="63" spans="5:5" x14ac:dyDescent="0.2">
      <c r="E63" t="b">
        <f t="shared" si="5"/>
        <v>0</v>
      </c>
    </row>
  </sheetData>
  <conditionalFormatting sqref="AH1:AJ1048576">
    <cfRule type="cellIs" dxfId="0" priority="1" operator="not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59</vt:i4>
      </vt:variant>
    </vt:vector>
  </HeadingPairs>
  <TitlesOfParts>
    <vt:vector size="66" baseType="lpstr">
      <vt:lpstr>examples</vt:lpstr>
      <vt:lpstr>Sheet1</vt:lpstr>
      <vt:lpstr>Rules</vt:lpstr>
      <vt:lpstr>Lists</vt:lpstr>
      <vt:lpstr>events</vt:lpstr>
      <vt:lpstr>shifts</vt:lpstr>
      <vt:lpstr>game_rosters</vt:lpstr>
      <vt:lpstr>DEfensive</vt:lpstr>
      <vt:lpstr>EventType</vt:lpstr>
      <vt:lpstr>Faceoff</vt:lpstr>
      <vt:lpstr>Goal</vt:lpstr>
      <vt:lpstr>Goal_PenaltyShot</vt:lpstr>
      <vt:lpstr>Goal_Scored</vt:lpstr>
      <vt:lpstr>Goal_Shootout</vt:lpstr>
      <vt:lpstr>LoosePuck</vt:lpstr>
      <vt:lpstr>Offensive</vt:lpstr>
      <vt:lpstr>Pass</vt:lpstr>
      <vt:lpstr>Pass_Completed</vt:lpstr>
      <vt:lpstr>Pass_Deflected</vt:lpstr>
      <vt:lpstr>Pass_Intercepted</vt:lpstr>
      <vt:lpstr>Pass_Missed</vt:lpstr>
      <vt:lpstr>Penalty</vt:lpstr>
      <vt:lpstr>Penalty_Major</vt:lpstr>
      <vt:lpstr>Penalty_Minor</vt:lpstr>
      <vt:lpstr>Penalty_Offsetting</vt:lpstr>
      <vt:lpstr>PenaltyShot_Missed</vt:lpstr>
      <vt:lpstr>PenaltyShot_OnNet</vt:lpstr>
      <vt:lpstr>PenaltyShot_Saved</vt:lpstr>
      <vt:lpstr>PenaltyShot_Shootout</vt:lpstr>
      <vt:lpstr>Play</vt:lpstr>
      <vt:lpstr>Play_Defensive</vt:lpstr>
      <vt:lpstr>Play_Offensive</vt:lpstr>
      <vt:lpstr>Possession</vt:lpstr>
      <vt:lpstr>Rebound</vt:lpstr>
      <vt:lpstr>Save</vt:lpstr>
      <vt:lpstr>Save_Freeze</vt:lpstr>
      <vt:lpstr>Save_Played</vt:lpstr>
      <vt:lpstr>Save_Rebound</vt:lpstr>
      <vt:lpstr>Shootout_Missed</vt:lpstr>
      <vt:lpstr>Shootout_OnNet</vt:lpstr>
      <vt:lpstr>Shootout_Saved</vt:lpstr>
      <vt:lpstr>Shot</vt:lpstr>
      <vt:lpstr>Shot_Blocked</vt:lpstr>
      <vt:lpstr>Shot_BlockedSameTeam</vt:lpstr>
      <vt:lpstr>Shot_Deflected</vt:lpstr>
      <vt:lpstr>Shot_DeflectedGoal</vt:lpstr>
      <vt:lpstr>Shot_DeflectedOnNetSaved</vt:lpstr>
      <vt:lpstr>Shot_Missed</vt:lpstr>
      <vt:lpstr>Shot_MissedPost</vt:lpstr>
      <vt:lpstr>Shot_OnNetGoal</vt:lpstr>
      <vt:lpstr>Shot_OnNetSaved</vt:lpstr>
      <vt:lpstr>Shot_TippedGoal</vt:lpstr>
      <vt:lpstr>Shot_TippedOnNetSaved</vt:lpstr>
      <vt:lpstr>Stoppage</vt:lpstr>
      <vt:lpstr>Stoppage_Other</vt:lpstr>
      <vt:lpstr>Stoppage_Period</vt:lpstr>
      <vt:lpstr>Stoppage_Play</vt:lpstr>
      <vt:lpstr>Turnover</vt:lpstr>
      <vt:lpstr>Turnover_Giveaway</vt:lpstr>
      <vt:lpstr>Turnover_Takeaway</vt:lpstr>
      <vt:lpstr>Zone_Entry</vt:lpstr>
      <vt:lpstr>Zone_Entry_Exit</vt:lpstr>
      <vt:lpstr>Zone_EntryFailed</vt:lpstr>
      <vt:lpstr>Zone_Exit</vt:lpstr>
      <vt:lpstr>Zone_ExitFailed</vt:lpstr>
      <vt:lpstr>Zone_Keepin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Pinnell</dc:creator>
  <cp:lastModifiedBy>Ronnie Pinnell</cp:lastModifiedBy>
  <dcterms:created xsi:type="dcterms:W3CDTF">2025-08-29T17:51:06Z</dcterms:created>
  <dcterms:modified xsi:type="dcterms:W3CDTF">2025-12-23T05:28:10Z</dcterms:modified>
</cp:coreProperties>
</file>